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Novos Negócios\1- Inteligência de Mercado\Bases\Contabilidade\Orçado\"/>
    </mc:Choice>
  </mc:AlternateContent>
  <xr:revisionPtr revIDLastSave="0" documentId="13_ncr:1_{D154783F-2AFD-4D0F-BCFA-7E2E3758309B}" xr6:coauthVersionLast="47" xr6:coauthVersionMax="47" xr10:uidLastSave="{00000000-0000-0000-0000-000000000000}"/>
  <bookViews>
    <workbookView xWindow="1125" yWindow="1125" windowWidth="21600" windowHeight="11295" firstSheet="1" activeTab="1" xr2:uid="{00000000-000D-0000-FFFF-FFFF00000000}"/>
  </bookViews>
  <sheets>
    <sheet name="Lista de Produtos CLASSIFICAÇÃO" sheetId="2" r:id="rId1"/>
    <sheet name="Banco de Dados - Fat." sheetId="4" r:id="rId2"/>
    <sheet name="clientes" sheetId="22" r:id="rId3"/>
    <sheet name="Mov - Orçada" sheetId="19" r:id="rId4"/>
    <sheet name="Projeção - Ton  Movimentação" sheetId="21" state="hidden" r:id="rId5"/>
    <sheet name="Orçado" sheetId="20" state="hidden" r:id="rId6"/>
    <sheet name="TD - Produto" sheetId="6" r:id="rId7"/>
    <sheet name="TD - Grupo" sheetId="18" r:id="rId8"/>
    <sheet name="Projeção-Ocupação" sheetId="23" r:id="rId9"/>
    <sheet name="Projeção - Vol. Movimentação" sheetId="24" r:id="rId10"/>
    <sheet name="Planilha4" sheetId="16" state="hidden" r:id="rId11"/>
    <sheet name="Planilha5" sheetId="17" state="hidden" r:id="rId12"/>
    <sheet name="Diferença" sheetId="9" state="hidden" r:id="rId13"/>
  </sheets>
  <externalReferences>
    <externalReference r:id="rId14"/>
    <externalReference r:id="rId15"/>
  </externalReferences>
  <definedNames>
    <definedName name="_xlnm._FilterDatabase" localSheetId="1" hidden="1">'Banco de Dados - Fat.'!$A$1:$G$3115</definedName>
    <definedName name="_xlnm._FilterDatabase" localSheetId="0" hidden="1">'Lista de Produtos CLASSIFICAÇÃO'!$A$1:$C$93</definedName>
    <definedName name="_xlnm._FilterDatabase" localSheetId="9" hidden="1">'Projeção - Vol. Movimentação'!$A$1:$G$565</definedName>
    <definedName name="_xlnm._FilterDatabase" localSheetId="8" hidden="1">'Projeção-Ocupação'!$A$1:$H$2605</definedName>
    <definedName name="DadosExternos_1" localSheetId="5">Orçado!$A$1</definedName>
    <definedName name="DadosExternos_2" localSheetId="4" hidden="1">'Projeção - Ton  Movimentação'!$A$1:$I$338</definedName>
    <definedName name="ListaClientes">[1]!Clientes[Cliente]</definedName>
    <definedName name="ListaCT">[1]!CTs[CT]</definedName>
    <definedName name="ListaÍndice">[1]!Índices[Índice]</definedName>
    <definedName name="ListaProduto">[1]!Produtos[Produto]</definedName>
    <definedName name="ListaProdutoClasse">[1]!Produtos[CLASSE]</definedName>
    <definedName name="ListaProdutos">[1]!Produtos[#Data]</definedName>
    <definedName name="ListaServiço">[1]!Serviços[Serviço]</definedName>
  </definedNames>
  <calcPr calcId="191029"/>
  <pivotCaches>
    <pivotCache cacheId="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9" l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" i="19"/>
  <c r="M2392" i="23"/>
  <c r="M2393" i="23" s="1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175" i="24"/>
  <c r="F176" i="24"/>
  <c r="F177" i="24"/>
  <c r="F178" i="24"/>
  <c r="F179" i="24"/>
  <c r="F180" i="24"/>
  <c r="F181" i="24"/>
  <c r="F182" i="24"/>
  <c r="F183" i="24"/>
  <c r="F184" i="24"/>
  <c r="F185" i="24"/>
  <c r="F186" i="24"/>
  <c r="F187" i="24"/>
  <c r="F188" i="24"/>
  <c r="F189" i="24"/>
  <c r="F190" i="24"/>
  <c r="F191" i="24"/>
  <c r="F192" i="24"/>
  <c r="F193" i="24"/>
  <c r="F194" i="24"/>
  <c r="F195" i="24"/>
  <c r="F196" i="24"/>
  <c r="F197" i="24"/>
  <c r="F198" i="24"/>
  <c r="F199" i="24"/>
  <c r="F200" i="24"/>
  <c r="F201" i="24"/>
  <c r="F202" i="24"/>
  <c r="F203" i="24"/>
  <c r="F204" i="24"/>
  <c r="F205" i="24"/>
  <c r="F206" i="24"/>
  <c r="F207" i="24"/>
  <c r="F208" i="24"/>
  <c r="F209" i="24"/>
  <c r="F210" i="24"/>
  <c r="F211" i="24"/>
  <c r="F212" i="24"/>
  <c r="F213" i="24"/>
  <c r="F214" i="24"/>
  <c r="F215" i="24"/>
  <c r="F216" i="24"/>
  <c r="F217" i="24"/>
  <c r="F218" i="24"/>
  <c r="F219" i="24"/>
  <c r="F220" i="24"/>
  <c r="F221" i="24"/>
  <c r="F222" i="24"/>
  <c r="F223" i="24"/>
  <c r="F224" i="24"/>
  <c r="F225" i="24"/>
  <c r="F226" i="24"/>
  <c r="F227" i="24"/>
  <c r="F228" i="24"/>
  <c r="F229" i="24"/>
  <c r="F230" i="24"/>
  <c r="F231" i="24"/>
  <c r="F232" i="24"/>
  <c r="F233" i="24"/>
  <c r="F234" i="24"/>
  <c r="F235" i="24"/>
  <c r="F236" i="24"/>
  <c r="F237" i="24"/>
  <c r="F238" i="24"/>
  <c r="F239" i="24"/>
  <c r="F240" i="24"/>
  <c r="F241" i="24"/>
  <c r="F242" i="24"/>
  <c r="F243" i="24"/>
  <c r="F244" i="24"/>
  <c r="F245" i="24"/>
  <c r="F246" i="24"/>
  <c r="F247" i="24"/>
  <c r="F248" i="24"/>
  <c r="F249" i="24"/>
  <c r="F250" i="24"/>
  <c r="F251" i="24"/>
  <c r="F252" i="24"/>
  <c r="F253" i="24"/>
  <c r="F254" i="24"/>
  <c r="F255" i="24"/>
  <c r="F256" i="24"/>
  <c r="F257" i="24"/>
  <c r="F258" i="24"/>
  <c r="F259" i="24"/>
  <c r="F260" i="24"/>
  <c r="F261" i="24"/>
  <c r="F262" i="24"/>
  <c r="F263" i="24"/>
  <c r="F264" i="24"/>
  <c r="F265" i="24"/>
  <c r="F266" i="24"/>
  <c r="F267" i="24"/>
  <c r="F268" i="24"/>
  <c r="F269" i="24"/>
  <c r="F270" i="24"/>
  <c r="F271" i="24"/>
  <c r="F272" i="24"/>
  <c r="F273" i="24"/>
  <c r="F274" i="24"/>
  <c r="F275" i="24"/>
  <c r="F276" i="24"/>
  <c r="F277" i="24"/>
  <c r="F278" i="24"/>
  <c r="F279" i="24"/>
  <c r="F280" i="24"/>
  <c r="F281" i="24"/>
  <c r="F282" i="24"/>
  <c r="F283" i="24"/>
  <c r="F284" i="24"/>
  <c r="F285" i="24"/>
  <c r="F286" i="24"/>
  <c r="F287" i="24"/>
  <c r="F288" i="24"/>
  <c r="F289" i="24"/>
  <c r="F290" i="24"/>
  <c r="F291" i="24"/>
  <c r="F292" i="24"/>
  <c r="F293" i="24"/>
  <c r="F294" i="24"/>
  <c r="F295" i="24"/>
  <c r="F296" i="24"/>
  <c r="F297" i="24"/>
  <c r="F298" i="24"/>
  <c r="F299" i="24"/>
  <c r="F300" i="24"/>
  <c r="F301" i="24"/>
  <c r="F302" i="24"/>
  <c r="F303" i="24"/>
  <c r="F304" i="24"/>
  <c r="F305" i="24"/>
  <c r="F306" i="24"/>
  <c r="F307" i="24"/>
  <c r="F308" i="24"/>
  <c r="F309" i="24"/>
  <c r="F310" i="24"/>
  <c r="F311" i="24"/>
  <c r="F312" i="24"/>
  <c r="F313" i="24"/>
  <c r="F314" i="24"/>
  <c r="F315" i="24"/>
  <c r="F316" i="24"/>
  <c r="F317" i="24"/>
  <c r="F318" i="24"/>
  <c r="F319" i="24"/>
  <c r="F320" i="24"/>
  <c r="F321" i="24"/>
  <c r="F322" i="24"/>
  <c r="F323" i="24"/>
  <c r="F324" i="24"/>
  <c r="F325" i="24"/>
  <c r="F326" i="24"/>
  <c r="F327" i="24"/>
  <c r="F328" i="24"/>
  <c r="F329" i="24"/>
  <c r="F330" i="24"/>
  <c r="F331" i="24"/>
  <c r="F332" i="24"/>
  <c r="F333" i="24"/>
  <c r="F334" i="24"/>
  <c r="F335" i="24"/>
  <c r="F336" i="24"/>
  <c r="F337" i="24"/>
  <c r="F338" i="24"/>
  <c r="F339" i="24"/>
  <c r="F340" i="24"/>
  <c r="F341" i="24"/>
  <c r="F342" i="24"/>
  <c r="F343" i="24"/>
  <c r="F344" i="24"/>
  <c r="F345" i="24"/>
  <c r="F346" i="24"/>
  <c r="F347" i="24"/>
  <c r="F348" i="24"/>
  <c r="F349" i="24"/>
  <c r="F350" i="24"/>
  <c r="F351" i="24"/>
  <c r="F352" i="24"/>
  <c r="F353" i="24"/>
  <c r="F354" i="24"/>
  <c r="F355" i="24"/>
  <c r="F356" i="24"/>
  <c r="F357" i="24"/>
  <c r="F358" i="24"/>
  <c r="F359" i="24"/>
  <c r="F360" i="24"/>
  <c r="F361" i="24"/>
  <c r="F362" i="24"/>
  <c r="F363" i="24"/>
  <c r="F364" i="24"/>
  <c r="F365" i="24"/>
  <c r="F366" i="24"/>
  <c r="F367" i="24"/>
  <c r="F368" i="24"/>
  <c r="F369" i="24"/>
  <c r="F370" i="24"/>
  <c r="F371" i="24"/>
  <c r="F372" i="24"/>
  <c r="F373" i="24"/>
  <c r="F374" i="24"/>
  <c r="F375" i="24"/>
  <c r="F376" i="24"/>
  <c r="F377" i="24"/>
  <c r="F378" i="24"/>
  <c r="F379" i="24"/>
  <c r="F380" i="24"/>
  <c r="F381" i="24"/>
  <c r="F382" i="24"/>
  <c r="F383" i="24"/>
  <c r="F384" i="24"/>
  <c r="F385" i="24"/>
  <c r="F386" i="24"/>
  <c r="F387" i="24"/>
  <c r="F388" i="24"/>
  <c r="F389" i="24"/>
  <c r="F390" i="24"/>
  <c r="F391" i="24"/>
  <c r="F392" i="24"/>
  <c r="F393" i="24"/>
  <c r="F394" i="24"/>
  <c r="F395" i="24"/>
  <c r="F396" i="24"/>
  <c r="F397" i="24"/>
  <c r="F398" i="24"/>
  <c r="F399" i="24"/>
  <c r="F400" i="24"/>
  <c r="F401" i="24"/>
  <c r="F402" i="24"/>
  <c r="F403" i="24"/>
  <c r="F404" i="24"/>
  <c r="F405" i="24"/>
  <c r="F406" i="24"/>
  <c r="F407" i="24"/>
  <c r="F408" i="24"/>
  <c r="F409" i="24"/>
  <c r="F410" i="24"/>
  <c r="F411" i="24"/>
  <c r="F412" i="24"/>
  <c r="F413" i="24"/>
  <c r="F414" i="24"/>
  <c r="F415" i="24"/>
  <c r="F416" i="24"/>
  <c r="F417" i="24"/>
  <c r="F418" i="24"/>
  <c r="F419" i="24"/>
  <c r="F420" i="24"/>
  <c r="F421" i="24"/>
  <c r="F422" i="24"/>
  <c r="F423" i="24"/>
  <c r="F424" i="24"/>
  <c r="F425" i="24"/>
  <c r="F426" i="24"/>
  <c r="F427" i="24"/>
  <c r="F428" i="24"/>
  <c r="F429" i="24"/>
  <c r="F430" i="24"/>
  <c r="F431" i="24"/>
  <c r="F432" i="24"/>
  <c r="F433" i="24"/>
  <c r="F434" i="24"/>
  <c r="F435" i="24"/>
  <c r="F436" i="24"/>
  <c r="F437" i="24"/>
  <c r="F438" i="24"/>
  <c r="F439" i="24"/>
  <c r="F440" i="24"/>
  <c r="F441" i="24"/>
  <c r="F442" i="24"/>
  <c r="F443" i="24"/>
  <c r="F444" i="24"/>
  <c r="F445" i="24"/>
  <c r="F446" i="24"/>
  <c r="F447" i="24"/>
  <c r="F448" i="24"/>
  <c r="F449" i="24"/>
  <c r="F450" i="24"/>
  <c r="F451" i="24"/>
  <c r="F452" i="24"/>
  <c r="F453" i="24"/>
  <c r="F454" i="24"/>
  <c r="F455" i="24"/>
  <c r="F456" i="24"/>
  <c r="F457" i="24"/>
  <c r="F458" i="24"/>
  <c r="F459" i="24"/>
  <c r="F460" i="24"/>
  <c r="F461" i="24"/>
  <c r="F462" i="24"/>
  <c r="F463" i="24"/>
  <c r="F464" i="24"/>
  <c r="F465" i="24"/>
  <c r="F466" i="24"/>
  <c r="F467" i="24"/>
  <c r="F468" i="24"/>
  <c r="F469" i="24"/>
  <c r="F470" i="24"/>
  <c r="F471" i="24"/>
  <c r="F472" i="24"/>
  <c r="F473" i="24"/>
  <c r="F474" i="24"/>
  <c r="F475" i="24"/>
  <c r="F476" i="24"/>
  <c r="F477" i="24"/>
  <c r="F478" i="24"/>
  <c r="F479" i="24"/>
  <c r="F480" i="24"/>
  <c r="F481" i="24"/>
  <c r="F482" i="24"/>
  <c r="F483" i="24"/>
  <c r="F484" i="24"/>
  <c r="F485" i="24"/>
  <c r="F486" i="24"/>
  <c r="F487" i="24"/>
  <c r="F488" i="24"/>
  <c r="F489" i="24"/>
  <c r="F490" i="24"/>
  <c r="F491" i="24"/>
  <c r="F492" i="24"/>
  <c r="F493" i="24"/>
  <c r="F494" i="24"/>
  <c r="F495" i="24"/>
  <c r="F496" i="24"/>
  <c r="F497" i="24"/>
  <c r="F498" i="24"/>
  <c r="F499" i="24"/>
  <c r="F500" i="24"/>
  <c r="F501" i="24"/>
  <c r="F502" i="24"/>
  <c r="F503" i="24"/>
  <c r="F504" i="24"/>
  <c r="F505" i="24"/>
  <c r="F506" i="24"/>
  <c r="F507" i="24"/>
  <c r="F508" i="24"/>
  <c r="F509" i="24"/>
  <c r="F510" i="24"/>
  <c r="F511" i="24"/>
  <c r="F512" i="24"/>
  <c r="F513" i="24"/>
  <c r="F514" i="24"/>
  <c r="F515" i="24"/>
  <c r="F516" i="24"/>
  <c r="F517" i="24"/>
  <c r="F518" i="24"/>
  <c r="F519" i="24"/>
  <c r="F520" i="24"/>
  <c r="F521" i="24"/>
  <c r="F522" i="24"/>
  <c r="F523" i="24"/>
  <c r="F524" i="24"/>
  <c r="F525" i="24"/>
  <c r="F526" i="24"/>
  <c r="F527" i="24"/>
  <c r="F528" i="24"/>
  <c r="F529" i="24"/>
  <c r="F530" i="24"/>
  <c r="F531" i="24"/>
  <c r="F532" i="24"/>
  <c r="F533" i="24"/>
  <c r="F534" i="24"/>
  <c r="F535" i="24"/>
  <c r="F536" i="24"/>
  <c r="F537" i="24"/>
  <c r="F538" i="24"/>
  <c r="F539" i="24"/>
  <c r="F540" i="24"/>
  <c r="F541" i="24"/>
  <c r="F542" i="24"/>
  <c r="F543" i="24"/>
  <c r="F544" i="24"/>
  <c r="F545" i="24"/>
  <c r="F546" i="24"/>
  <c r="F547" i="24"/>
  <c r="F548" i="24"/>
  <c r="F549" i="24"/>
  <c r="F550" i="24"/>
  <c r="F551" i="24"/>
  <c r="F552" i="24"/>
  <c r="F553" i="24"/>
  <c r="F554" i="24"/>
  <c r="F555" i="24"/>
  <c r="F556" i="24"/>
  <c r="F557" i="24"/>
  <c r="F558" i="24"/>
  <c r="F559" i="24"/>
  <c r="F560" i="24"/>
  <c r="F561" i="24"/>
  <c r="F562" i="24"/>
  <c r="F563" i="24"/>
  <c r="F564" i="24"/>
  <c r="F565" i="24"/>
  <c r="F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2" i="24"/>
  <c r="E2391" i="23" l="1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E512" i="23"/>
  <c r="E513" i="23"/>
  <c r="E514" i="23"/>
  <c r="E515" i="23"/>
  <c r="E516" i="23"/>
  <c r="E517" i="23"/>
  <c r="E518" i="23"/>
  <c r="E519" i="23"/>
  <c r="E520" i="23"/>
  <c r="E521" i="23"/>
  <c r="E522" i="23"/>
  <c r="E523" i="23"/>
  <c r="E524" i="23"/>
  <c r="E525" i="23"/>
  <c r="E526" i="23"/>
  <c r="E527" i="23"/>
  <c r="E528" i="23"/>
  <c r="E529" i="23"/>
  <c r="E530" i="23"/>
  <c r="E531" i="23"/>
  <c r="E532" i="23"/>
  <c r="E533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E558" i="23"/>
  <c r="E559" i="23"/>
  <c r="E560" i="23"/>
  <c r="E561" i="23"/>
  <c r="E562" i="23"/>
  <c r="E563" i="23"/>
  <c r="E564" i="23"/>
  <c r="E565" i="23"/>
  <c r="E566" i="23"/>
  <c r="E567" i="23"/>
  <c r="E568" i="23"/>
  <c r="E569" i="23"/>
  <c r="E570" i="23"/>
  <c r="E571" i="23"/>
  <c r="E572" i="23"/>
  <c r="E573" i="23"/>
  <c r="E574" i="23"/>
  <c r="E575" i="23"/>
  <c r="E576" i="23"/>
  <c r="E577" i="23"/>
  <c r="E578" i="23"/>
  <c r="E579" i="23"/>
  <c r="E580" i="23"/>
  <c r="E581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94" i="23"/>
  <c r="E595" i="23"/>
  <c r="E596" i="23"/>
  <c r="E597" i="23"/>
  <c r="E598" i="23"/>
  <c r="E599" i="23"/>
  <c r="E600" i="23"/>
  <c r="E601" i="23"/>
  <c r="E602" i="23"/>
  <c r="E603" i="23"/>
  <c r="E604" i="23"/>
  <c r="E605" i="23"/>
  <c r="E606" i="23"/>
  <c r="E607" i="23"/>
  <c r="E608" i="23"/>
  <c r="E609" i="23"/>
  <c r="E610" i="23"/>
  <c r="E611" i="23"/>
  <c r="E612" i="23"/>
  <c r="E613" i="23"/>
  <c r="E614" i="23"/>
  <c r="E615" i="23"/>
  <c r="E616" i="23"/>
  <c r="E617" i="23"/>
  <c r="E618" i="23"/>
  <c r="E619" i="23"/>
  <c r="E620" i="23"/>
  <c r="E621" i="23"/>
  <c r="E622" i="23"/>
  <c r="E623" i="23"/>
  <c r="E624" i="23"/>
  <c r="E625" i="23"/>
  <c r="E626" i="23"/>
  <c r="E627" i="23"/>
  <c r="E628" i="23"/>
  <c r="E629" i="23"/>
  <c r="E630" i="23"/>
  <c r="E631" i="23"/>
  <c r="E632" i="23"/>
  <c r="E633" i="23"/>
  <c r="E634" i="23"/>
  <c r="E635" i="23"/>
  <c r="E636" i="23"/>
  <c r="E637" i="23"/>
  <c r="E638" i="23"/>
  <c r="E639" i="23"/>
  <c r="E640" i="23"/>
  <c r="E641" i="23"/>
  <c r="E642" i="23"/>
  <c r="E643" i="23"/>
  <c r="E644" i="23"/>
  <c r="E645" i="23"/>
  <c r="E646" i="23"/>
  <c r="E647" i="23"/>
  <c r="E648" i="23"/>
  <c r="E649" i="23"/>
  <c r="E650" i="23"/>
  <c r="E651" i="23"/>
  <c r="E652" i="23"/>
  <c r="E653" i="23"/>
  <c r="E654" i="23"/>
  <c r="E655" i="23"/>
  <c r="E656" i="23"/>
  <c r="E657" i="23"/>
  <c r="E658" i="23"/>
  <c r="E659" i="23"/>
  <c r="E660" i="23"/>
  <c r="E661" i="23"/>
  <c r="E662" i="23"/>
  <c r="E663" i="23"/>
  <c r="E664" i="23"/>
  <c r="E665" i="23"/>
  <c r="E666" i="23"/>
  <c r="E667" i="23"/>
  <c r="E668" i="23"/>
  <c r="E669" i="23"/>
  <c r="E670" i="23"/>
  <c r="E671" i="23"/>
  <c r="E672" i="23"/>
  <c r="E673" i="23"/>
  <c r="E674" i="23"/>
  <c r="E675" i="23"/>
  <c r="E676" i="23"/>
  <c r="E677" i="23"/>
  <c r="E678" i="23"/>
  <c r="E679" i="23"/>
  <c r="E680" i="23"/>
  <c r="E681" i="23"/>
  <c r="E682" i="23"/>
  <c r="E683" i="23"/>
  <c r="E684" i="23"/>
  <c r="E685" i="23"/>
  <c r="E686" i="23"/>
  <c r="E687" i="23"/>
  <c r="E688" i="23"/>
  <c r="E689" i="23"/>
  <c r="E690" i="23"/>
  <c r="E691" i="23"/>
  <c r="E692" i="23"/>
  <c r="E693" i="23"/>
  <c r="E694" i="23"/>
  <c r="E695" i="23"/>
  <c r="E696" i="23"/>
  <c r="E697" i="23"/>
  <c r="E698" i="23"/>
  <c r="E699" i="23"/>
  <c r="E700" i="23"/>
  <c r="E701" i="23"/>
  <c r="E702" i="23"/>
  <c r="E703" i="23"/>
  <c r="E704" i="23"/>
  <c r="E705" i="23"/>
  <c r="E706" i="23"/>
  <c r="E707" i="23"/>
  <c r="E708" i="23"/>
  <c r="E709" i="23"/>
  <c r="E710" i="23"/>
  <c r="E711" i="23"/>
  <c r="E712" i="23"/>
  <c r="E713" i="23"/>
  <c r="E714" i="23"/>
  <c r="E715" i="23"/>
  <c r="E716" i="23"/>
  <c r="E717" i="23"/>
  <c r="E718" i="23"/>
  <c r="E719" i="23"/>
  <c r="E720" i="23"/>
  <c r="E721" i="23"/>
  <c r="E722" i="23"/>
  <c r="E723" i="23"/>
  <c r="E724" i="23"/>
  <c r="E725" i="23"/>
  <c r="E726" i="23"/>
  <c r="E727" i="23"/>
  <c r="E728" i="23"/>
  <c r="E729" i="23"/>
  <c r="E730" i="23"/>
  <c r="E731" i="23"/>
  <c r="E732" i="23"/>
  <c r="E733" i="23"/>
  <c r="E734" i="23"/>
  <c r="E735" i="23"/>
  <c r="E736" i="23"/>
  <c r="E737" i="23"/>
  <c r="E738" i="23"/>
  <c r="E739" i="23"/>
  <c r="E740" i="23"/>
  <c r="E741" i="23"/>
  <c r="E742" i="23"/>
  <c r="E743" i="23"/>
  <c r="E744" i="23"/>
  <c r="E745" i="23"/>
  <c r="E746" i="23"/>
  <c r="E747" i="23"/>
  <c r="E748" i="23"/>
  <c r="E749" i="23"/>
  <c r="E750" i="23"/>
  <c r="E751" i="23"/>
  <c r="E752" i="23"/>
  <c r="E753" i="23"/>
  <c r="E754" i="23"/>
  <c r="E755" i="23"/>
  <c r="E756" i="23"/>
  <c r="E757" i="23"/>
  <c r="E758" i="23"/>
  <c r="E759" i="23"/>
  <c r="E760" i="23"/>
  <c r="E761" i="23"/>
  <c r="E762" i="23"/>
  <c r="E763" i="23"/>
  <c r="E764" i="23"/>
  <c r="E765" i="23"/>
  <c r="E766" i="23"/>
  <c r="E767" i="23"/>
  <c r="E768" i="23"/>
  <c r="E769" i="23"/>
  <c r="E770" i="23"/>
  <c r="E771" i="23"/>
  <c r="E772" i="23"/>
  <c r="E773" i="23"/>
  <c r="E774" i="23"/>
  <c r="E775" i="23"/>
  <c r="E776" i="23"/>
  <c r="E777" i="23"/>
  <c r="E778" i="23"/>
  <c r="E779" i="23"/>
  <c r="E780" i="23"/>
  <c r="E781" i="23"/>
  <c r="E782" i="23"/>
  <c r="E783" i="23"/>
  <c r="E784" i="23"/>
  <c r="E785" i="23"/>
  <c r="E786" i="23"/>
  <c r="E787" i="23"/>
  <c r="E788" i="23"/>
  <c r="E789" i="23"/>
  <c r="E790" i="23"/>
  <c r="E791" i="23"/>
  <c r="E792" i="23"/>
  <c r="E793" i="23"/>
  <c r="E794" i="23"/>
  <c r="E795" i="23"/>
  <c r="E796" i="23"/>
  <c r="E797" i="23"/>
  <c r="E798" i="23"/>
  <c r="E799" i="23"/>
  <c r="E800" i="23"/>
  <c r="E801" i="23"/>
  <c r="E802" i="23"/>
  <c r="E803" i="23"/>
  <c r="E804" i="23"/>
  <c r="E805" i="23"/>
  <c r="E806" i="23"/>
  <c r="E807" i="23"/>
  <c r="E808" i="23"/>
  <c r="E809" i="23"/>
  <c r="E810" i="23"/>
  <c r="E811" i="23"/>
  <c r="E812" i="23"/>
  <c r="E813" i="23"/>
  <c r="E814" i="23"/>
  <c r="E815" i="23"/>
  <c r="E816" i="23"/>
  <c r="E817" i="23"/>
  <c r="E818" i="23"/>
  <c r="E819" i="23"/>
  <c r="E820" i="23"/>
  <c r="E821" i="23"/>
  <c r="E822" i="23"/>
  <c r="E823" i="23"/>
  <c r="E824" i="23"/>
  <c r="E825" i="23"/>
  <c r="E826" i="23"/>
  <c r="E827" i="23"/>
  <c r="E828" i="23"/>
  <c r="E829" i="23"/>
  <c r="E830" i="23"/>
  <c r="E831" i="23"/>
  <c r="E832" i="23"/>
  <c r="E833" i="23"/>
  <c r="E834" i="23"/>
  <c r="E835" i="23"/>
  <c r="E836" i="23"/>
  <c r="E837" i="23"/>
  <c r="E838" i="23"/>
  <c r="E839" i="23"/>
  <c r="E840" i="23"/>
  <c r="E841" i="23"/>
  <c r="E842" i="23"/>
  <c r="E843" i="23"/>
  <c r="E844" i="23"/>
  <c r="E845" i="23"/>
  <c r="E846" i="23"/>
  <c r="E847" i="23"/>
  <c r="E848" i="23"/>
  <c r="E849" i="23"/>
  <c r="E850" i="23"/>
  <c r="E851" i="23"/>
  <c r="E852" i="23"/>
  <c r="E853" i="23"/>
  <c r="E854" i="23"/>
  <c r="E855" i="23"/>
  <c r="E856" i="23"/>
  <c r="E857" i="23"/>
  <c r="E858" i="23"/>
  <c r="E859" i="23"/>
  <c r="E860" i="23"/>
  <c r="E861" i="23"/>
  <c r="E862" i="23"/>
  <c r="E863" i="23"/>
  <c r="E864" i="23"/>
  <c r="E865" i="23"/>
  <c r="E866" i="23"/>
  <c r="E867" i="23"/>
  <c r="E868" i="23"/>
  <c r="E869" i="23"/>
  <c r="E870" i="23"/>
  <c r="E871" i="23"/>
  <c r="E872" i="23"/>
  <c r="E873" i="23"/>
  <c r="E874" i="23"/>
  <c r="E875" i="23"/>
  <c r="E876" i="23"/>
  <c r="E877" i="23"/>
  <c r="E878" i="23"/>
  <c r="E879" i="23"/>
  <c r="E880" i="23"/>
  <c r="E881" i="23"/>
  <c r="E882" i="23"/>
  <c r="E883" i="23"/>
  <c r="E884" i="23"/>
  <c r="E885" i="23"/>
  <c r="E886" i="23"/>
  <c r="E887" i="23"/>
  <c r="E888" i="23"/>
  <c r="E889" i="23"/>
  <c r="E890" i="23"/>
  <c r="E891" i="23"/>
  <c r="E892" i="23"/>
  <c r="E893" i="23"/>
  <c r="E894" i="23"/>
  <c r="E895" i="23"/>
  <c r="E896" i="23"/>
  <c r="E897" i="23"/>
  <c r="E898" i="23"/>
  <c r="E899" i="23"/>
  <c r="E900" i="23"/>
  <c r="E901" i="23"/>
  <c r="E902" i="23"/>
  <c r="E903" i="23"/>
  <c r="E904" i="23"/>
  <c r="E905" i="23"/>
  <c r="E906" i="23"/>
  <c r="E907" i="23"/>
  <c r="E908" i="23"/>
  <c r="E909" i="23"/>
  <c r="E910" i="23"/>
  <c r="E911" i="23"/>
  <c r="E912" i="23"/>
  <c r="E913" i="23"/>
  <c r="E914" i="23"/>
  <c r="E915" i="23"/>
  <c r="E916" i="23"/>
  <c r="E917" i="23"/>
  <c r="E918" i="23"/>
  <c r="E919" i="23"/>
  <c r="E920" i="23"/>
  <c r="E921" i="23"/>
  <c r="E922" i="23"/>
  <c r="E923" i="23"/>
  <c r="E924" i="23"/>
  <c r="E925" i="23"/>
  <c r="E926" i="23"/>
  <c r="E927" i="23"/>
  <c r="E928" i="23"/>
  <c r="E929" i="23"/>
  <c r="E930" i="23"/>
  <c r="E931" i="23"/>
  <c r="E932" i="23"/>
  <c r="E933" i="23"/>
  <c r="E934" i="23"/>
  <c r="E935" i="23"/>
  <c r="E936" i="23"/>
  <c r="E937" i="23"/>
  <c r="E938" i="23"/>
  <c r="E939" i="23"/>
  <c r="E940" i="23"/>
  <c r="E941" i="23"/>
  <c r="E942" i="23"/>
  <c r="E943" i="23"/>
  <c r="E944" i="23"/>
  <c r="E945" i="23"/>
  <c r="E946" i="23"/>
  <c r="E947" i="23"/>
  <c r="E948" i="23"/>
  <c r="E949" i="23"/>
  <c r="E950" i="23"/>
  <c r="E951" i="23"/>
  <c r="E952" i="23"/>
  <c r="E953" i="23"/>
  <c r="E954" i="23"/>
  <c r="E955" i="23"/>
  <c r="E956" i="23"/>
  <c r="E957" i="23"/>
  <c r="E958" i="23"/>
  <c r="E959" i="23"/>
  <c r="E960" i="23"/>
  <c r="E961" i="23"/>
  <c r="E962" i="23"/>
  <c r="E963" i="23"/>
  <c r="E964" i="23"/>
  <c r="E965" i="23"/>
  <c r="E966" i="23"/>
  <c r="E967" i="23"/>
  <c r="E968" i="23"/>
  <c r="E969" i="23"/>
  <c r="E970" i="23"/>
  <c r="E971" i="23"/>
  <c r="E972" i="23"/>
  <c r="E973" i="23"/>
  <c r="E974" i="23"/>
  <c r="E975" i="23"/>
  <c r="E976" i="23"/>
  <c r="E977" i="23"/>
  <c r="E978" i="23"/>
  <c r="E979" i="23"/>
  <c r="E980" i="23"/>
  <c r="E981" i="23"/>
  <c r="E982" i="23"/>
  <c r="E983" i="23"/>
  <c r="E984" i="23"/>
  <c r="E985" i="23"/>
  <c r="E986" i="23"/>
  <c r="E987" i="23"/>
  <c r="E988" i="23"/>
  <c r="E989" i="23"/>
  <c r="E990" i="23"/>
  <c r="E991" i="23"/>
  <c r="E992" i="23"/>
  <c r="E993" i="23"/>
  <c r="E994" i="23"/>
  <c r="E995" i="23"/>
  <c r="E996" i="23"/>
  <c r="E997" i="23"/>
  <c r="E998" i="23"/>
  <c r="E999" i="23"/>
  <c r="E1000" i="23"/>
  <c r="E1001" i="23"/>
  <c r="E1002" i="23"/>
  <c r="E1003" i="23"/>
  <c r="E1004" i="23"/>
  <c r="E1005" i="23"/>
  <c r="E1006" i="23"/>
  <c r="E1007" i="23"/>
  <c r="E1008" i="23"/>
  <c r="E1009" i="23"/>
  <c r="E1010" i="23"/>
  <c r="E1011" i="23"/>
  <c r="E1012" i="23"/>
  <c r="E1013" i="23"/>
  <c r="E1014" i="23"/>
  <c r="E1015" i="23"/>
  <c r="E1016" i="23"/>
  <c r="E1017" i="23"/>
  <c r="E1018" i="23"/>
  <c r="E1019" i="23"/>
  <c r="E1020" i="23"/>
  <c r="E1021" i="23"/>
  <c r="E1022" i="23"/>
  <c r="E1023" i="23"/>
  <c r="E1024" i="23"/>
  <c r="E1025" i="23"/>
  <c r="E1026" i="23"/>
  <c r="E1027" i="23"/>
  <c r="E1028" i="23"/>
  <c r="E1029" i="23"/>
  <c r="E1030" i="23"/>
  <c r="E1031" i="23"/>
  <c r="E1032" i="23"/>
  <c r="E1033" i="23"/>
  <c r="E1034" i="23"/>
  <c r="E1035" i="23"/>
  <c r="E1036" i="23"/>
  <c r="E1037" i="23"/>
  <c r="E1038" i="23"/>
  <c r="E1039" i="23"/>
  <c r="E1040" i="23"/>
  <c r="E1041" i="23"/>
  <c r="E1042" i="23"/>
  <c r="E1043" i="23"/>
  <c r="E1044" i="23"/>
  <c r="E1045" i="23"/>
  <c r="E1046" i="23"/>
  <c r="E1047" i="23"/>
  <c r="E1048" i="23"/>
  <c r="E1049" i="23"/>
  <c r="E1050" i="23"/>
  <c r="E1051" i="23"/>
  <c r="E1052" i="23"/>
  <c r="E1053" i="23"/>
  <c r="E1054" i="23"/>
  <c r="E1055" i="23"/>
  <c r="E1056" i="23"/>
  <c r="E1057" i="23"/>
  <c r="E1058" i="23"/>
  <c r="E1059" i="23"/>
  <c r="E1060" i="23"/>
  <c r="E1061" i="23"/>
  <c r="E1062" i="23"/>
  <c r="E1063" i="23"/>
  <c r="E1064" i="23"/>
  <c r="E1065" i="23"/>
  <c r="E1066" i="23"/>
  <c r="E1067" i="23"/>
  <c r="E1068" i="23"/>
  <c r="E1069" i="23"/>
  <c r="E1070" i="23"/>
  <c r="E1071" i="23"/>
  <c r="E1072" i="23"/>
  <c r="E1073" i="23"/>
  <c r="E1074" i="23"/>
  <c r="E1075" i="23"/>
  <c r="E1076" i="23"/>
  <c r="E1077" i="23"/>
  <c r="E1078" i="23"/>
  <c r="E1079" i="23"/>
  <c r="E1080" i="23"/>
  <c r="E1081" i="23"/>
  <c r="E1082" i="23"/>
  <c r="E1083" i="23"/>
  <c r="E1084" i="23"/>
  <c r="E1085" i="23"/>
  <c r="E1086" i="23"/>
  <c r="E1087" i="23"/>
  <c r="E1088" i="23"/>
  <c r="E1089" i="23"/>
  <c r="E1090" i="23"/>
  <c r="E1091" i="23"/>
  <c r="E1092" i="23"/>
  <c r="E1093" i="23"/>
  <c r="E1094" i="23"/>
  <c r="E1095" i="23"/>
  <c r="E1096" i="23"/>
  <c r="E1097" i="23"/>
  <c r="E1098" i="23"/>
  <c r="E1099" i="23"/>
  <c r="E1100" i="23"/>
  <c r="E1101" i="23"/>
  <c r="E1102" i="23"/>
  <c r="E1103" i="23"/>
  <c r="E1104" i="23"/>
  <c r="E1105" i="23"/>
  <c r="E1106" i="23"/>
  <c r="E1107" i="23"/>
  <c r="E1108" i="23"/>
  <c r="E1109" i="23"/>
  <c r="E1110" i="23"/>
  <c r="E1111" i="23"/>
  <c r="E1112" i="23"/>
  <c r="E1113" i="23"/>
  <c r="E1114" i="23"/>
  <c r="E1115" i="23"/>
  <c r="E1116" i="23"/>
  <c r="E1117" i="23"/>
  <c r="E1118" i="23"/>
  <c r="E1119" i="23"/>
  <c r="E1120" i="23"/>
  <c r="E1121" i="23"/>
  <c r="E1122" i="23"/>
  <c r="E1123" i="23"/>
  <c r="E1124" i="23"/>
  <c r="E1125" i="23"/>
  <c r="E1126" i="23"/>
  <c r="E1127" i="23"/>
  <c r="E1128" i="23"/>
  <c r="E1129" i="23"/>
  <c r="E1130" i="23"/>
  <c r="E1131" i="23"/>
  <c r="E1132" i="23"/>
  <c r="E1133" i="23"/>
  <c r="E1134" i="23"/>
  <c r="E1135" i="23"/>
  <c r="E1136" i="23"/>
  <c r="E1137" i="23"/>
  <c r="E1138" i="23"/>
  <c r="E1139" i="23"/>
  <c r="E1140" i="23"/>
  <c r="E1141" i="23"/>
  <c r="E1142" i="23"/>
  <c r="E1143" i="23"/>
  <c r="E1144" i="23"/>
  <c r="E1145" i="23"/>
  <c r="E1146" i="23"/>
  <c r="E1147" i="23"/>
  <c r="E1148" i="23"/>
  <c r="E1149" i="23"/>
  <c r="E1150" i="23"/>
  <c r="E1151" i="23"/>
  <c r="E1152" i="23"/>
  <c r="E1153" i="23"/>
  <c r="E1154" i="23"/>
  <c r="E1155" i="23"/>
  <c r="E1156" i="23"/>
  <c r="E1157" i="23"/>
  <c r="E1158" i="23"/>
  <c r="E1159" i="23"/>
  <c r="E1160" i="23"/>
  <c r="E1161" i="23"/>
  <c r="E1162" i="23"/>
  <c r="E1163" i="23"/>
  <c r="E1164" i="23"/>
  <c r="E1165" i="23"/>
  <c r="E1166" i="23"/>
  <c r="E1167" i="23"/>
  <c r="E1168" i="23"/>
  <c r="E1169" i="23"/>
  <c r="E1170" i="23"/>
  <c r="E1171" i="23"/>
  <c r="E1172" i="23"/>
  <c r="E1173" i="23"/>
  <c r="E1174" i="23"/>
  <c r="E1175" i="23"/>
  <c r="E1176" i="23"/>
  <c r="E1177" i="23"/>
  <c r="E1178" i="23"/>
  <c r="E1179" i="23"/>
  <c r="E1180" i="23"/>
  <c r="E1181" i="23"/>
  <c r="E1182" i="23"/>
  <c r="E1183" i="23"/>
  <c r="E1184" i="23"/>
  <c r="E1185" i="23"/>
  <c r="E1186" i="23"/>
  <c r="E1187" i="23"/>
  <c r="E1188" i="23"/>
  <c r="E1189" i="23"/>
  <c r="E1190" i="23"/>
  <c r="E1191" i="23"/>
  <c r="E1192" i="23"/>
  <c r="E1193" i="23"/>
  <c r="E1194" i="23"/>
  <c r="E1195" i="23"/>
  <c r="E1196" i="23"/>
  <c r="E1197" i="23"/>
  <c r="E1198" i="23"/>
  <c r="E1199" i="23"/>
  <c r="E1200" i="23"/>
  <c r="E1201" i="23"/>
  <c r="E1202" i="23"/>
  <c r="E1203" i="23"/>
  <c r="E1204" i="23"/>
  <c r="E1205" i="23"/>
  <c r="E1206" i="23"/>
  <c r="E1207" i="23"/>
  <c r="E1208" i="23"/>
  <c r="E1209" i="23"/>
  <c r="E1210" i="23"/>
  <c r="E1211" i="23"/>
  <c r="E1212" i="23"/>
  <c r="E1213" i="23"/>
  <c r="E1214" i="23"/>
  <c r="E1215" i="23"/>
  <c r="E1216" i="23"/>
  <c r="E1217" i="23"/>
  <c r="E1218" i="23"/>
  <c r="E1219" i="23"/>
  <c r="E1220" i="23"/>
  <c r="E1221" i="23"/>
  <c r="E1222" i="23"/>
  <c r="E1223" i="23"/>
  <c r="E1224" i="23"/>
  <c r="E1225" i="23"/>
  <c r="E1226" i="23"/>
  <c r="E1227" i="23"/>
  <c r="E1228" i="23"/>
  <c r="E1229" i="23"/>
  <c r="E1230" i="23"/>
  <c r="E1231" i="23"/>
  <c r="E1232" i="23"/>
  <c r="E1233" i="23"/>
  <c r="E1234" i="23"/>
  <c r="E1235" i="23"/>
  <c r="E1236" i="23"/>
  <c r="E1237" i="23"/>
  <c r="E1238" i="23"/>
  <c r="E1239" i="23"/>
  <c r="E1240" i="23"/>
  <c r="E1241" i="23"/>
  <c r="E1242" i="23"/>
  <c r="E1243" i="23"/>
  <c r="E1244" i="23"/>
  <c r="E1245" i="23"/>
  <c r="E1246" i="23"/>
  <c r="E1247" i="23"/>
  <c r="E1248" i="23"/>
  <c r="E1249" i="23"/>
  <c r="E1250" i="23"/>
  <c r="E1251" i="23"/>
  <c r="E1252" i="23"/>
  <c r="E1253" i="23"/>
  <c r="E1254" i="23"/>
  <c r="E1255" i="23"/>
  <c r="E1256" i="23"/>
  <c r="E1257" i="23"/>
  <c r="E1258" i="23"/>
  <c r="E1259" i="23"/>
  <c r="E1260" i="23"/>
  <c r="E1261" i="23"/>
  <c r="E1262" i="23"/>
  <c r="E1263" i="23"/>
  <c r="E1264" i="23"/>
  <c r="E1265" i="23"/>
  <c r="E1266" i="23"/>
  <c r="E1267" i="23"/>
  <c r="E1268" i="23"/>
  <c r="E1269" i="23"/>
  <c r="E1270" i="23"/>
  <c r="E1271" i="23"/>
  <c r="E1272" i="23"/>
  <c r="E1273" i="23"/>
  <c r="E1274" i="23"/>
  <c r="E1275" i="23"/>
  <c r="E1276" i="23"/>
  <c r="E1277" i="23"/>
  <c r="E1278" i="23"/>
  <c r="E1279" i="23"/>
  <c r="E1280" i="23"/>
  <c r="E1281" i="23"/>
  <c r="E1282" i="23"/>
  <c r="E1283" i="23"/>
  <c r="E1284" i="23"/>
  <c r="E1285" i="23"/>
  <c r="E1286" i="23"/>
  <c r="E1287" i="23"/>
  <c r="E1288" i="23"/>
  <c r="E1289" i="23"/>
  <c r="E1290" i="23"/>
  <c r="E1291" i="23"/>
  <c r="E1292" i="23"/>
  <c r="E1293" i="23"/>
  <c r="E1294" i="23"/>
  <c r="E1295" i="23"/>
  <c r="E1296" i="23"/>
  <c r="E1297" i="23"/>
  <c r="E1298" i="23"/>
  <c r="E1299" i="23"/>
  <c r="E1300" i="23"/>
  <c r="E1301" i="23"/>
  <c r="E1302" i="23"/>
  <c r="E1303" i="23"/>
  <c r="E1304" i="23"/>
  <c r="E1305" i="23"/>
  <c r="E1306" i="23"/>
  <c r="E1307" i="23"/>
  <c r="E1308" i="23"/>
  <c r="E1309" i="23"/>
  <c r="E1310" i="23"/>
  <c r="E1311" i="23"/>
  <c r="E1312" i="23"/>
  <c r="E1313" i="23"/>
  <c r="E1314" i="23"/>
  <c r="E1315" i="23"/>
  <c r="E1316" i="23"/>
  <c r="E1317" i="23"/>
  <c r="E1318" i="23"/>
  <c r="E1319" i="23"/>
  <c r="E1320" i="23"/>
  <c r="E1321" i="23"/>
  <c r="E1322" i="23"/>
  <c r="E1323" i="23"/>
  <c r="E1324" i="23"/>
  <c r="E1325" i="23"/>
  <c r="E1326" i="23"/>
  <c r="E1327" i="23"/>
  <c r="E1328" i="23"/>
  <c r="E1329" i="23"/>
  <c r="E1330" i="23"/>
  <c r="E1331" i="23"/>
  <c r="E1332" i="23"/>
  <c r="E1333" i="23"/>
  <c r="E1334" i="23"/>
  <c r="E1335" i="23"/>
  <c r="E1336" i="23"/>
  <c r="E1337" i="23"/>
  <c r="E1338" i="23"/>
  <c r="E1339" i="23"/>
  <c r="E1340" i="23"/>
  <c r="E1341" i="23"/>
  <c r="E1342" i="23"/>
  <c r="E1343" i="23"/>
  <c r="E1344" i="23"/>
  <c r="E1345" i="23"/>
  <c r="E1346" i="23"/>
  <c r="E1347" i="23"/>
  <c r="E1348" i="23"/>
  <c r="E1349" i="23"/>
  <c r="E1350" i="23"/>
  <c r="E1351" i="23"/>
  <c r="E1352" i="23"/>
  <c r="E1353" i="23"/>
  <c r="E1354" i="23"/>
  <c r="E1355" i="23"/>
  <c r="E1356" i="23"/>
  <c r="E1357" i="23"/>
  <c r="E1358" i="23"/>
  <c r="E1359" i="23"/>
  <c r="E1360" i="23"/>
  <c r="E1361" i="23"/>
  <c r="E1362" i="23"/>
  <c r="E1363" i="23"/>
  <c r="E1364" i="23"/>
  <c r="E1365" i="23"/>
  <c r="E1366" i="23"/>
  <c r="E1367" i="23"/>
  <c r="E1368" i="23"/>
  <c r="E1369" i="23"/>
  <c r="E1370" i="23"/>
  <c r="E1371" i="23"/>
  <c r="E1372" i="23"/>
  <c r="E1373" i="23"/>
  <c r="E1374" i="23"/>
  <c r="E1375" i="23"/>
  <c r="E1376" i="23"/>
  <c r="E1377" i="23"/>
  <c r="E1378" i="23"/>
  <c r="E1379" i="23"/>
  <c r="E1380" i="23"/>
  <c r="E1381" i="23"/>
  <c r="E1382" i="23"/>
  <c r="E1383" i="23"/>
  <c r="E1384" i="23"/>
  <c r="E1385" i="23"/>
  <c r="E1386" i="23"/>
  <c r="E1387" i="23"/>
  <c r="E1388" i="23"/>
  <c r="E1389" i="23"/>
  <c r="E1390" i="23"/>
  <c r="E1391" i="23"/>
  <c r="E1392" i="23"/>
  <c r="E1393" i="23"/>
  <c r="E1394" i="23"/>
  <c r="E1395" i="23"/>
  <c r="E1396" i="23"/>
  <c r="E1397" i="23"/>
  <c r="E1398" i="23"/>
  <c r="E1399" i="23"/>
  <c r="E1400" i="23"/>
  <c r="E1401" i="23"/>
  <c r="E1402" i="23"/>
  <c r="E1403" i="23"/>
  <c r="E1404" i="23"/>
  <c r="E1405" i="23"/>
  <c r="E1406" i="23"/>
  <c r="E1407" i="23"/>
  <c r="E1408" i="23"/>
  <c r="E1409" i="23"/>
  <c r="E1410" i="23"/>
  <c r="E1411" i="23"/>
  <c r="E1412" i="23"/>
  <c r="E1413" i="23"/>
  <c r="E1414" i="23"/>
  <c r="E1415" i="23"/>
  <c r="E1416" i="23"/>
  <c r="E1417" i="23"/>
  <c r="E1418" i="23"/>
  <c r="E1419" i="23"/>
  <c r="E1420" i="23"/>
  <c r="E1421" i="23"/>
  <c r="E1422" i="23"/>
  <c r="E1423" i="23"/>
  <c r="E1424" i="23"/>
  <c r="E1425" i="23"/>
  <c r="E1426" i="23"/>
  <c r="E1427" i="23"/>
  <c r="E1428" i="23"/>
  <c r="E1429" i="23"/>
  <c r="E1430" i="23"/>
  <c r="E1431" i="23"/>
  <c r="E1432" i="23"/>
  <c r="E1433" i="23"/>
  <c r="E1434" i="23"/>
  <c r="E1435" i="23"/>
  <c r="E1436" i="23"/>
  <c r="E1437" i="23"/>
  <c r="E1438" i="23"/>
  <c r="E1439" i="23"/>
  <c r="E1440" i="23"/>
  <c r="E1441" i="23"/>
  <c r="E1442" i="23"/>
  <c r="E1443" i="23"/>
  <c r="E1444" i="23"/>
  <c r="E1445" i="23"/>
  <c r="E1446" i="23"/>
  <c r="E1447" i="23"/>
  <c r="E1448" i="23"/>
  <c r="E1449" i="23"/>
  <c r="E1450" i="23"/>
  <c r="E1451" i="23"/>
  <c r="E1452" i="23"/>
  <c r="E1453" i="23"/>
  <c r="E1454" i="23"/>
  <c r="E1455" i="23"/>
  <c r="E1456" i="23"/>
  <c r="E1457" i="23"/>
  <c r="E1458" i="23"/>
  <c r="E1459" i="23"/>
  <c r="E1460" i="23"/>
  <c r="E1461" i="23"/>
  <c r="E1462" i="23"/>
  <c r="E1463" i="23"/>
  <c r="E1464" i="23"/>
  <c r="E1465" i="23"/>
  <c r="E1466" i="23"/>
  <c r="E1467" i="23"/>
  <c r="E1468" i="23"/>
  <c r="E1469" i="23"/>
  <c r="E1470" i="23"/>
  <c r="E1471" i="23"/>
  <c r="E1472" i="23"/>
  <c r="E1473" i="23"/>
  <c r="E1474" i="23"/>
  <c r="E1475" i="23"/>
  <c r="E1476" i="23"/>
  <c r="E1477" i="23"/>
  <c r="E1478" i="23"/>
  <c r="E1479" i="23"/>
  <c r="E1480" i="23"/>
  <c r="E1481" i="23"/>
  <c r="E1482" i="23"/>
  <c r="E1483" i="23"/>
  <c r="E1484" i="23"/>
  <c r="E1485" i="23"/>
  <c r="E1486" i="23"/>
  <c r="E1487" i="23"/>
  <c r="E1488" i="23"/>
  <c r="E1489" i="23"/>
  <c r="E1490" i="23"/>
  <c r="E1491" i="23"/>
  <c r="E1492" i="23"/>
  <c r="E1493" i="23"/>
  <c r="E1494" i="23"/>
  <c r="E1495" i="23"/>
  <c r="E1496" i="23"/>
  <c r="E1497" i="23"/>
  <c r="E1498" i="23"/>
  <c r="E1499" i="23"/>
  <c r="E1500" i="23"/>
  <c r="E1501" i="23"/>
  <c r="E1502" i="23"/>
  <c r="E1503" i="23"/>
  <c r="E1504" i="23"/>
  <c r="E1505" i="23"/>
  <c r="E1506" i="23"/>
  <c r="E1507" i="23"/>
  <c r="E1508" i="23"/>
  <c r="E1509" i="23"/>
  <c r="E1510" i="23"/>
  <c r="E1511" i="23"/>
  <c r="E1512" i="23"/>
  <c r="E1513" i="23"/>
  <c r="E1514" i="23"/>
  <c r="E1515" i="23"/>
  <c r="E1516" i="23"/>
  <c r="E1517" i="23"/>
  <c r="E1518" i="23"/>
  <c r="E1519" i="23"/>
  <c r="E1520" i="23"/>
  <c r="E1521" i="23"/>
  <c r="E1522" i="23"/>
  <c r="E1523" i="23"/>
  <c r="E1524" i="23"/>
  <c r="E1525" i="23"/>
  <c r="E1526" i="23"/>
  <c r="E1527" i="23"/>
  <c r="E1528" i="23"/>
  <c r="E1529" i="23"/>
  <c r="E1530" i="23"/>
  <c r="E1531" i="23"/>
  <c r="E1532" i="23"/>
  <c r="E1533" i="23"/>
  <c r="E1534" i="23"/>
  <c r="E1535" i="23"/>
  <c r="E1536" i="23"/>
  <c r="E1537" i="23"/>
  <c r="E1538" i="23"/>
  <c r="E1539" i="23"/>
  <c r="E1540" i="23"/>
  <c r="E1541" i="23"/>
  <c r="E1542" i="23"/>
  <c r="E1543" i="23"/>
  <c r="E1544" i="23"/>
  <c r="E1545" i="23"/>
  <c r="E1546" i="23"/>
  <c r="E1547" i="23"/>
  <c r="E1548" i="23"/>
  <c r="E1549" i="23"/>
  <c r="E1550" i="23"/>
  <c r="E1551" i="23"/>
  <c r="E1552" i="23"/>
  <c r="E1553" i="23"/>
  <c r="E1554" i="23"/>
  <c r="E1555" i="23"/>
  <c r="E1556" i="23"/>
  <c r="E1557" i="23"/>
  <c r="E1558" i="23"/>
  <c r="E1559" i="23"/>
  <c r="E1560" i="23"/>
  <c r="E1561" i="23"/>
  <c r="E1562" i="23"/>
  <c r="E1563" i="23"/>
  <c r="E1564" i="23"/>
  <c r="E1565" i="23"/>
  <c r="E1566" i="23"/>
  <c r="E1567" i="23"/>
  <c r="E1568" i="23"/>
  <c r="E1569" i="23"/>
  <c r="E1570" i="23"/>
  <c r="E1571" i="23"/>
  <c r="E1572" i="23"/>
  <c r="E1573" i="23"/>
  <c r="E1574" i="23"/>
  <c r="E1575" i="23"/>
  <c r="E1576" i="23"/>
  <c r="E1577" i="23"/>
  <c r="E1578" i="23"/>
  <c r="E1579" i="23"/>
  <c r="E1580" i="23"/>
  <c r="E1581" i="23"/>
  <c r="E1582" i="23"/>
  <c r="E1583" i="23"/>
  <c r="E1584" i="23"/>
  <c r="E1585" i="23"/>
  <c r="E1586" i="23"/>
  <c r="E1587" i="23"/>
  <c r="E1588" i="23"/>
  <c r="E1589" i="23"/>
  <c r="E1590" i="23"/>
  <c r="E1591" i="23"/>
  <c r="E1592" i="23"/>
  <c r="E1593" i="23"/>
  <c r="E1594" i="23"/>
  <c r="E1595" i="23"/>
  <c r="E1596" i="23"/>
  <c r="E1597" i="23"/>
  <c r="E1598" i="23"/>
  <c r="E1599" i="23"/>
  <c r="E1600" i="23"/>
  <c r="E1601" i="23"/>
  <c r="E1602" i="23"/>
  <c r="E1603" i="23"/>
  <c r="E1604" i="23"/>
  <c r="E1605" i="23"/>
  <c r="E1606" i="23"/>
  <c r="E1607" i="23"/>
  <c r="E1608" i="23"/>
  <c r="E1609" i="23"/>
  <c r="E1610" i="23"/>
  <c r="E1611" i="23"/>
  <c r="E1612" i="23"/>
  <c r="E1613" i="23"/>
  <c r="E1614" i="23"/>
  <c r="E1615" i="23"/>
  <c r="E1616" i="23"/>
  <c r="E1617" i="23"/>
  <c r="E1618" i="23"/>
  <c r="E1619" i="23"/>
  <c r="E1620" i="23"/>
  <c r="E1621" i="23"/>
  <c r="E1622" i="23"/>
  <c r="E1623" i="23"/>
  <c r="E1624" i="23"/>
  <c r="E1625" i="23"/>
  <c r="E1626" i="23"/>
  <c r="E1627" i="23"/>
  <c r="E1628" i="23"/>
  <c r="E1629" i="23"/>
  <c r="E1630" i="23"/>
  <c r="E1631" i="23"/>
  <c r="E1632" i="23"/>
  <c r="E1633" i="23"/>
  <c r="E1634" i="23"/>
  <c r="E1635" i="23"/>
  <c r="E1636" i="23"/>
  <c r="E1637" i="23"/>
  <c r="E1638" i="23"/>
  <c r="E1639" i="23"/>
  <c r="E1640" i="23"/>
  <c r="E1641" i="23"/>
  <c r="E1642" i="23"/>
  <c r="E1643" i="23"/>
  <c r="E1644" i="23"/>
  <c r="E1645" i="23"/>
  <c r="E1646" i="23"/>
  <c r="E1647" i="23"/>
  <c r="E1648" i="23"/>
  <c r="E1649" i="23"/>
  <c r="E1650" i="23"/>
  <c r="E1651" i="23"/>
  <c r="E1652" i="23"/>
  <c r="E1653" i="23"/>
  <c r="E1654" i="23"/>
  <c r="E1655" i="23"/>
  <c r="E1656" i="23"/>
  <c r="E1657" i="23"/>
  <c r="E1658" i="23"/>
  <c r="E1659" i="23"/>
  <c r="E1660" i="23"/>
  <c r="E1661" i="23"/>
  <c r="E1662" i="23"/>
  <c r="E1663" i="23"/>
  <c r="E1664" i="23"/>
  <c r="E1665" i="23"/>
  <c r="E1666" i="23"/>
  <c r="E1667" i="23"/>
  <c r="E1668" i="23"/>
  <c r="E1669" i="23"/>
  <c r="E1670" i="23"/>
  <c r="E1671" i="23"/>
  <c r="E1672" i="23"/>
  <c r="E1673" i="23"/>
  <c r="E1674" i="23"/>
  <c r="E1675" i="23"/>
  <c r="E1676" i="23"/>
  <c r="E1677" i="23"/>
  <c r="E1678" i="23"/>
  <c r="E1679" i="23"/>
  <c r="E1680" i="23"/>
  <c r="E1681" i="23"/>
  <c r="E1682" i="23"/>
  <c r="E1683" i="23"/>
  <c r="E1684" i="23"/>
  <c r="E1685" i="23"/>
  <c r="E1686" i="23"/>
  <c r="E1687" i="23"/>
  <c r="E1688" i="23"/>
  <c r="E1689" i="23"/>
  <c r="E1690" i="23"/>
  <c r="E1691" i="23"/>
  <c r="E1692" i="23"/>
  <c r="E1693" i="23"/>
  <c r="E1694" i="23"/>
  <c r="E1695" i="23"/>
  <c r="E1696" i="23"/>
  <c r="E1697" i="23"/>
  <c r="E1698" i="23"/>
  <c r="E1699" i="23"/>
  <c r="E1700" i="23"/>
  <c r="E1701" i="23"/>
  <c r="E1702" i="23"/>
  <c r="E1703" i="23"/>
  <c r="E1704" i="23"/>
  <c r="E1705" i="23"/>
  <c r="E1706" i="23"/>
  <c r="E1707" i="23"/>
  <c r="E1708" i="23"/>
  <c r="E1709" i="23"/>
  <c r="E1710" i="23"/>
  <c r="E1711" i="23"/>
  <c r="E1712" i="23"/>
  <c r="E1713" i="23"/>
  <c r="E1714" i="23"/>
  <c r="E1715" i="23"/>
  <c r="E1716" i="23"/>
  <c r="E1717" i="23"/>
  <c r="E1718" i="23"/>
  <c r="E1719" i="23"/>
  <c r="E1720" i="23"/>
  <c r="E1721" i="23"/>
  <c r="E1722" i="23"/>
  <c r="E1723" i="23"/>
  <c r="E1724" i="23"/>
  <c r="E1725" i="23"/>
  <c r="E1726" i="23"/>
  <c r="E1727" i="23"/>
  <c r="E1728" i="23"/>
  <c r="E1729" i="23"/>
  <c r="E1730" i="23"/>
  <c r="E1731" i="23"/>
  <c r="E1732" i="23"/>
  <c r="E1733" i="23"/>
  <c r="E1734" i="23"/>
  <c r="E1735" i="23"/>
  <c r="E1736" i="23"/>
  <c r="E1737" i="23"/>
  <c r="E1738" i="23"/>
  <c r="E1739" i="23"/>
  <c r="E1740" i="23"/>
  <c r="E1741" i="23"/>
  <c r="E1742" i="23"/>
  <c r="E1743" i="23"/>
  <c r="E1744" i="23"/>
  <c r="E1745" i="23"/>
  <c r="E1746" i="23"/>
  <c r="E1747" i="23"/>
  <c r="E1748" i="23"/>
  <c r="E1749" i="23"/>
  <c r="E1750" i="23"/>
  <c r="E1751" i="23"/>
  <c r="E1752" i="23"/>
  <c r="E1753" i="23"/>
  <c r="E1754" i="23"/>
  <c r="E1755" i="23"/>
  <c r="E1756" i="23"/>
  <c r="E1757" i="23"/>
  <c r="E1758" i="23"/>
  <c r="E1759" i="23"/>
  <c r="E1760" i="23"/>
  <c r="E1761" i="23"/>
  <c r="E1762" i="23"/>
  <c r="E1763" i="23"/>
  <c r="E1764" i="23"/>
  <c r="E1765" i="23"/>
  <c r="E1766" i="23"/>
  <c r="E1767" i="23"/>
  <c r="E1768" i="23"/>
  <c r="E1769" i="23"/>
  <c r="E1770" i="23"/>
  <c r="E1771" i="23"/>
  <c r="E1772" i="23"/>
  <c r="E1773" i="23"/>
  <c r="E1774" i="23"/>
  <c r="E1775" i="23"/>
  <c r="E1776" i="23"/>
  <c r="E1777" i="23"/>
  <c r="E1778" i="23"/>
  <c r="E1779" i="23"/>
  <c r="E1780" i="23"/>
  <c r="E1781" i="23"/>
  <c r="E1782" i="23"/>
  <c r="E1783" i="23"/>
  <c r="E1784" i="23"/>
  <c r="E1785" i="23"/>
  <c r="E1786" i="23"/>
  <c r="E1787" i="23"/>
  <c r="E1788" i="23"/>
  <c r="E1789" i="23"/>
  <c r="E1790" i="23"/>
  <c r="E1791" i="23"/>
  <c r="E1792" i="23"/>
  <c r="E1793" i="23"/>
  <c r="E1794" i="23"/>
  <c r="E1795" i="23"/>
  <c r="E1796" i="23"/>
  <c r="E1797" i="23"/>
  <c r="E1798" i="23"/>
  <c r="E1799" i="23"/>
  <c r="E1800" i="23"/>
  <c r="E1801" i="23"/>
  <c r="E1802" i="23"/>
  <c r="E1803" i="23"/>
  <c r="E1804" i="23"/>
  <c r="E1805" i="23"/>
  <c r="E1806" i="23"/>
  <c r="E1807" i="23"/>
  <c r="E1808" i="23"/>
  <c r="E1809" i="23"/>
  <c r="E1810" i="23"/>
  <c r="E1811" i="23"/>
  <c r="E1812" i="23"/>
  <c r="E1813" i="23"/>
  <c r="E1814" i="23"/>
  <c r="E1815" i="23"/>
  <c r="E1816" i="23"/>
  <c r="E1817" i="23"/>
  <c r="E1818" i="23"/>
  <c r="E1819" i="23"/>
  <c r="E1820" i="23"/>
  <c r="E1821" i="23"/>
  <c r="E1822" i="23"/>
  <c r="E1823" i="23"/>
  <c r="E1824" i="23"/>
  <c r="E1825" i="23"/>
  <c r="E1826" i="23"/>
  <c r="E1827" i="23"/>
  <c r="E1828" i="23"/>
  <c r="E1829" i="23"/>
  <c r="E1830" i="23"/>
  <c r="E1831" i="23"/>
  <c r="E1832" i="23"/>
  <c r="E1833" i="23"/>
  <c r="E1834" i="23"/>
  <c r="E1835" i="23"/>
  <c r="E1836" i="23"/>
  <c r="E1837" i="23"/>
  <c r="E1838" i="23"/>
  <c r="E1839" i="23"/>
  <c r="E1840" i="23"/>
  <c r="E1841" i="23"/>
  <c r="E1842" i="23"/>
  <c r="E1843" i="23"/>
  <c r="E1844" i="23"/>
  <c r="E1845" i="23"/>
  <c r="E1846" i="23"/>
  <c r="E1847" i="23"/>
  <c r="E1848" i="23"/>
  <c r="E1849" i="23"/>
  <c r="E1850" i="23"/>
  <c r="E1851" i="23"/>
  <c r="E1852" i="23"/>
  <c r="E1853" i="23"/>
  <c r="E1854" i="23"/>
  <c r="E1855" i="23"/>
  <c r="E1856" i="23"/>
  <c r="E1857" i="23"/>
  <c r="E1858" i="23"/>
  <c r="E1859" i="23"/>
  <c r="E1860" i="23"/>
  <c r="E1861" i="23"/>
  <c r="E1862" i="23"/>
  <c r="E1863" i="23"/>
  <c r="E1864" i="23"/>
  <c r="E1865" i="23"/>
  <c r="E1866" i="23"/>
  <c r="E1867" i="23"/>
  <c r="E1868" i="23"/>
  <c r="E1869" i="23"/>
  <c r="E1870" i="23"/>
  <c r="E1871" i="23"/>
  <c r="E1872" i="23"/>
  <c r="E1873" i="23"/>
  <c r="E1874" i="23"/>
  <c r="E1875" i="23"/>
  <c r="E1876" i="23"/>
  <c r="E1877" i="23"/>
  <c r="E1878" i="23"/>
  <c r="E1879" i="23"/>
  <c r="E1880" i="23"/>
  <c r="E1881" i="23"/>
  <c r="E1882" i="23"/>
  <c r="E1883" i="23"/>
  <c r="E1884" i="23"/>
  <c r="E1885" i="23"/>
  <c r="E1886" i="23"/>
  <c r="E1887" i="23"/>
  <c r="E1888" i="23"/>
  <c r="E1889" i="23"/>
  <c r="E1890" i="23"/>
  <c r="E1891" i="23"/>
  <c r="E1892" i="23"/>
  <c r="E1893" i="23"/>
  <c r="E1894" i="23"/>
  <c r="E1895" i="23"/>
  <c r="E1896" i="23"/>
  <c r="E1897" i="23"/>
  <c r="E1898" i="23"/>
  <c r="E1899" i="23"/>
  <c r="E1900" i="23"/>
  <c r="E1901" i="23"/>
  <c r="E1902" i="23"/>
  <c r="E1903" i="23"/>
  <c r="E1904" i="23"/>
  <c r="E1905" i="23"/>
  <c r="E1906" i="23"/>
  <c r="E1907" i="23"/>
  <c r="E1908" i="23"/>
  <c r="E1909" i="23"/>
  <c r="E1910" i="23"/>
  <c r="E1911" i="23"/>
  <c r="E1912" i="23"/>
  <c r="E1913" i="23"/>
  <c r="E1914" i="23"/>
  <c r="E1915" i="23"/>
  <c r="E1916" i="23"/>
  <c r="E1917" i="23"/>
  <c r="E1918" i="23"/>
  <c r="E1919" i="23"/>
  <c r="E1920" i="23"/>
  <c r="E1921" i="23"/>
  <c r="E1922" i="23"/>
  <c r="E1923" i="23"/>
  <c r="E1924" i="23"/>
  <c r="E1925" i="23"/>
  <c r="E1926" i="23"/>
  <c r="E1927" i="23"/>
  <c r="E1928" i="23"/>
  <c r="E1929" i="23"/>
  <c r="E1930" i="23"/>
  <c r="E1931" i="23"/>
  <c r="E1932" i="23"/>
  <c r="E1933" i="23"/>
  <c r="E1934" i="23"/>
  <c r="E1935" i="23"/>
  <c r="E1936" i="23"/>
  <c r="E1937" i="23"/>
  <c r="E1938" i="23"/>
  <c r="E1939" i="23"/>
  <c r="E1940" i="23"/>
  <c r="E1941" i="23"/>
  <c r="E1942" i="23"/>
  <c r="E1943" i="23"/>
  <c r="E1944" i="23"/>
  <c r="E1945" i="23"/>
  <c r="E1946" i="23"/>
  <c r="E1947" i="23"/>
  <c r="E1948" i="23"/>
  <c r="E1949" i="23"/>
  <c r="E1950" i="23"/>
  <c r="E1951" i="23"/>
  <c r="E1952" i="23"/>
  <c r="E1953" i="23"/>
  <c r="E1954" i="23"/>
  <c r="E1955" i="23"/>
  <c r="E1956" i="23"/>
  <c r="E1957" i="23"/>
  <c r="E1958" i="23"/>
  <c r="E1959" i="23"/>
  <c r="E1960" i="23"/>
  <c r="E1961" i="23"/>
  <c r="E1962" i="23"/>
  <c r="E1963" i="23"/>
  <c r="E1964" i="23"/>
  <c r="E1965" i="23"/>
  <c r="E1966" i="23"/>
  <c r="E1967" i="23"/>
  <c r="E1968" i="23"/>
  <c r="E1969" i="23"/>
  <c r="E1970" i="23"/>
  <c r="E1971" i="23"/>
  <c r="E1972" i="23"/>
  <c r="E1973" i="23"/>
  <c r="E1974" i="23"/>
  <c r="E1975" i="23"/>
  <c r="E1976" i="23"/>
  <c r="E1977" i="23"/>
  <c r="E1978" i="23"/>
  <c r="E1979" i="23"/>
  <c r="E1980" i="23"/>
  <c r="E1981" i="23"/>
  <c r="E1982" i="23"/>
  <c r="E1983" i="23"/>
  <c r="E1984" i="23"/>
  <c r="E1985" i="23"/>
  <c r="E1986" i="23"/>
  <c r="E1987" i="23"/>
  <c r="E1988" i="23"/>
  <c r="E1989" i="23"/>
  <c r="E1990" i="23"/>
  <c r="E1991" i="23"/>
  <c r="E1992" i="23"/>
  <c r="E1993" i="23"/>
  <c r="E1994" i="23"/>
  <c r="E1995" i="23"/>
  <c r="E1996" i="23"/>
  <c r="E1997" i="23"/>
  <c r="E1998" i="23"/>
  <c r="E1999" i="23"/>
  <c r="E2000" i="23"/>
  <c r="E2001" i="23"/>
  <c r="E2002" i="23"/>
  <c r="E2003" i="23"/>
  <c r="E2004" i="23"/>
  <c r="E2005" i="23"/>
  <c r="E2006" i="23"/>
  <c r="E2007" i="23"/>
  <c r="E2008" i="23"/>
  <c r="E2009" i="23"/>
  <c r="E2010" i="23"/>
  <c r="E2011" i="23"/>
  <c r="E2012" i="23"/>
  <c r="E2013" i="23"/>
  <c r="E2014" i="23"/>
  <c r="E2015" i="23"/>
  <c r="E2016" i="23"/>
  <c r="E2017" i="23"/>
  <c r="E2018" i="23"/>
  <c r="E2019" i="23"/>
  <c r="E2020" i="23"/>
  <c r="E2021" i="23"/>
  <c r="E2022" i="23"/>
  <c r="E2023" i="23"/>
  <c r="E2024" i="23"/>
  <c r="E2025" i="23"/>
  <c r="E2026" i="23"/>
  <c r="E2027" i="23"/>
  <c r="E2028" i="23"/>
  <c r="E2029" i="23"/>
  <c r="E2030" i="23"/>
  <c r="E2031" i="23"/>
  <c r="E2032" i="23"/>
  <c r="E2033" i="23"/>
  <c r="E2034" i="23"/>
  <c r="E2035" i="23"/>
  <c r="E2036" i="23"/>
  <c r="E2037" i="23"/>
  <c r="E2038" i="23"/>
  <c r="E2039" i="23"/>
  <c r="E2040" i="23"/>
  <c r="E2041" i="23"/>
  <c r="E2042" i="23"/>
  <c r="E2043" i="23"/>
  <c r="E2044" i="23"/>
  <c r="E2045" i="23"/>
  <c r="E2046" i="23"/>
  <c r="E2047" i="23"/>
  <c r="E2048" i="23"/>
  <c r="E2049" i="23"/>
  <c r="E2050" i="23"/>
  <c r="E2051" i="23"/>
  <c r="E2052" i="23"/>
  <c r="E2053" i="23"/>
  <c r="E2054" i="23"/>
  <c r="E2055" i="23"/>
  <c r="E2056" i="23"/>
  <c r="E2057" i="23"/>
  <c r="E2058" i="23"/>
  <c r="E2059" i="23"/>
  <c r="E2060" i="23"/>
  <c r="E2061" i="23"/>
  <c r="E2062" i="23"/>
  <c r="E2063" i="23"/>
  <c r="E2064" i="23"/>
  <c r="E2065" i="23"/>
  <c r="E2066" i="23"/>
  <c r="E2067" i="23"/>
  <c r="E2068" i="23"/>
  <c r="E2069" i="23"/>
  <c r="E2070" i="23"/>
  <c r="E2071" i="23"/>
  <c r="E2072" i="23"/>
  <c r="E2073" i="23"/>
  <c r="E2074" i="23"/>
  <c r="E2075" i="23"/>
  <c r="E2076" i="23"/>
  <c r="E2077" i="23"/>
  <c r="E2078" i="23"/>
  <c r="E2079" i="23"/>
  <c r="E2080" i="23"/>
  <c r="E2081" i="23"/>
  <c r="E2082" i="23"/>
  <c r="E2083" i="23"/>
  <c r="E2084" i="23"/>
  <c r="E2085" i="23"/>
  <c r="E2086" i="23"/>
  <c r="E2087" i="23"/>
  <c r="E2088" i="23"/>
  <c r="E2089" i="23"/>
  <c r="E2090" i="23"/>
  <c r="E2091" i="23"/>
  <c r="E2092" i="23"/>
  <c r="E2093" i="23"/>
  <c r="E2094" i="23"/>
  <c r="E2095" i="23"/>
  <c r="E2096" i="23"/>
  <c r="E2097" i="23"/>
  <c r="E2098" i="23"/>
  <c r="E2099" i="23"/>
  <c r="E2100" i="23"/>
  <c r="E2101" i="23"/>
  <c r="E2102" i="23"/>
  <c r="E2103" i="23"/>
  <c r="E2104" i="23"/>
  <c r="E2105" i="23"/>
  <c r="E2106" i="23"/>
  <c r="E2107" i="23"/>
  <c r="E2108" i="23"/>
  <c r="E2109" i="23"/>
  <c r="E2110" i="23"/>
  <c r="E2111" i="23"/>
  <c r="E2112" i="23"/>
  <c r="E2113" i="23"/>
  <c r="E2114" i="23"/>
  <c r="E2115" i="23"/>
  <c r="E2116" i="23"/>
  <c r="E2117" i="23"/>
  <c r="E2118" i="23"/>
  <c r="E2119" i="23"/>
  <c r="E2120" i="23"/>
  <c r="E2121" i="23"/>
  <c r="E2122" i="23"/>
  <c r="E2123" i="23"/>
  <c r="E2124" i="23"/>
  <c r="E2125" i="23"/>
  <c r="E2126" i="23"/>
  <c r="E2127" i="23"/>
  <c r="E2128" i="23"/>
  <c r="E2129" i="23"/>
  <c r="E2130" i="23"/>
  <c r="E2131" i="23"/>
  <c r="E2132" i="23"/>
  <c r="E2133" i="23"/>
  <c r="E2134" i="23"/>
  <c r="E2135" i="23"/>
  <c r="E2136" i="23"/>
  <c r="E2137" i="23"/>
  <c r="E2138" i="23"/>
  <c r="E2139" i="23"/>
  <c r="E2140" i="23"/>
  <c r="E2141" i="23"/>
  <c r="E2142" i="23"/>
  <c r="E2143" i="23"/>
  <c r="E2144" i="23"/>
  <c r="E2145" i="23"/>
  <c r="E2146" i="23"/>
  <c r="E2147" i="23"/>
  <c r="E2148" i="23"/>
  <c r="E2149" i="23"/>
  <c r="E2150" i="23"/>
  <c r="E2151" i="23"/>
  <c r="E2152" i="23"/>
  <c r="E2153" i="23"/>
  <c r="E2154" i="23"/>
  <c r="E2155" i="23"/>
  <c r="E2156" i="23"/>
  <c r="E2157" i="23"/>
  <c r="E2158" i="23"/>
  <c r="E2159" i="23"/>
  <c r="E2160" i="23"/>
  <c r="E2161" i="23"/>
  <c r="E2162" i="23"/>
  <c r="E2163" i="23"/>
  <c r="E2164" i="23"/>
  <c r="E2165" i="23"/>
  <c r="E2166" i="23"/>
  <c r="E2167" i="23"/>
  <c r="E2168" i="23"/>
  <c r="E2169" i="23"/>
  <c r="E2170" i="23"/>
  <c r="E2171" i="23"/>
  <c r="E2172" i="23"/>
  <c r="E2173" i="23"/>
  <c r="E2174" i="23"/>
  <c r="E2175" i="23"/>
  <c r="E2176" i="23"/>
  <c r="E2177" i="23"/>
  <c r="E2178" i="23"/>
  <c r="E2179" i="23"/>
  <c r="E2180" i="23"/>
  <c r="E2181" i="23"/>
  <c r="E2182" i="23"/>
  <c r="E2183" i="23"/>
  <c r="E2184" i="23"/>
  <c r="E2185" i="23"/>
  <c r="E2186" i="23"/>
  <c r="E2187" i="23"/>
  <c r="E2188" i="23"/>
  <c r="E2189" i="23"/>
  <c r="E2190" i="23"/>
  <c r="E2191" i="23"/>
  <c r="E2192" i="23"/>
  <c r="E2193" i="23"/>
  <c r="E2194" i="23"/>
  <c r="E2195" i="23"/>
  <c r="E2196" i="23"/>
  <c r="E2197" i="23"/>
  <c r="E2198" i="23"/>
  <c r="E2199" i="23"/>
  <c r="E2200" i="23"/>
  <c r="E2201" i="23"/>
  <c r="E2202" i="23"/>
  <c r="E2203" i="23"/>
  <c r="E2204" i="23"/>
  <c r="E2205" i="23"/>
  <c r="E2206" i="23"/>
  <c r="E2207" i="23"/>
  <c r="E2208" i="23"/>
  <c r="E2209" i="23"/>
  <c r="E2210" i="23"/>
  <c r="E2211" i="23"/>
  <c r="E2212" i="23"/>
  <c r="E2213" i="23"/>
  <c r="E2214" i="23"/>
  <c r="E2215" i="23"/>
  <c r="E2216" i="23"/>
  <c r="E2217" i="23"/>
  <c r="E2218" i="23"/>
  <c r="E2219" i="23"/>
  <c r="E2220" i="23"/>
  <c r="E2221" i="23"/>
  <c r="E2222" i="23"/>
  <c r="E2223" i="23"/>
  <c r="E2224" i="23"/>
  <c r="E2225" i="23"/>
  <c r="E2226" i="23"/>
  <c r="E2227" i="23"/>
  <c r="E2228" i="23"/>
  <c r="E2229" i="23"/>
  <c r="E2230" i="23"/>
  <c r="E2231" i="23"/>
  <c r="E2232" i="23"/>
  <c r="E2233" i="23"/>
  <c r="E2234" i="23"/>
  <c r="E2235" i="23"/>
  <c r="E2236" i="23"/>
  <c r="E2237" i="23"/>
  <c r="E2238" i="23"/>
  <c r="E2239" i="23"/>
  <c r="E2240" i="23"/>
  <c r="E2241" i="23"/>
  <c r="E2242" i="23"/>
  <c r="E2243" i="23"/>
  <c r="E2244" i="23"/>
  <c r="E2245" i="23"/>
  <c r="E2246" i="23"/>
  <c r="E2247" i="23"/>
  <c r="E2248" i="23"/>
  <c r="E2249" i="23"/>
  <c r="E2250" i="23"/>
  <c r="E2251" i="23"/>
  <c r="E2252" i="23"/>
  <c r="E2253" i="23"/>
  <c r="E2254" i="23"/>
  <c r="E2255" i="23"/>
  <c r="E2256" i="23"/>
  <c r="E2257" i="23"/>
  <c r="E2258" i="23"/>
  <c r="E2259" i="23"/>
  <c r="E2260" i="23"/>
  <c r="E2261" i="23"/>
  <c r="E2262" i="23"/>
  <c r="E2263" i="23"/>
  <c r="E2264" i="23"/>
  <c r="E2265" i="23"/>
  <c r="E2266" i="23"/>
  <c r="E2267" i="23"/>
  <c r="E2268" i="23"/>
  <c r="E2269" i="23"/>
  <c r="E2270" i="23"/>
  <c r="E2271" i="23"/>
  <c r="E2272" i="23"/>
  <c r="E2273" i="23"/>
  <c r="E2274" i="23"/>
  <c r="E2275" i="23"/>
  <c r="E2276" i="23"/>
  <c r="E2277" i="23"/>
  <c r="E2278" i="23"/>
  <c r="E2279" i="23"/>
  <c r="E2280" i="23"/>
  <c r="E2281" i="23"/>
  <c r="E2282" i="23"/>
  <c r="E2283" i="23"/>
  <c r="E2284" i="23"/>
  <c r="E2285" i="23"/>
  <c r="E2286" i="23"/>
  <c r="E2287" i="23"/>
  <c r="E2288" i="23"/>
  <c r="E2289" i="23"/>
  <c r="E2290" i="23"/>
  <c r="E2291" i="23"/>
  <c r="E2292" i="23"/>
  <c r="E2293" i="23"/>
  <c r="E2294" i="23"/>
  <c r="E2295" i="23"/>
  <c r="E2296" i="23"/>
  <c r="E2297" i="23"/>
  <c r="E2298" i="23"/>
  <c r="E2299" i="23"/>
  <c r="E2300" i="23"/>
  <c r="E2301" i="23"/>
  <c r="E2302" i="23"/>
  <c r="E2303" i="23"/>
  <c r="E2304" i="23"/>
  <c r="E2305" i="23"/>
  <c r="E2306" i="23"/>
  <c r="E2307" i="23"/>
  <c r="E2308" i="23"/>
  <c r="E2309" i="23"/>
  <c r="E2310" i="23"/>
  <c r="E2311" i="23"/>
  <c r="E2312" i="23"/>
  <c r="E2313" i="23"/>
  <c r="E2314" i="23"/>
  <c r="E2315" i="23"/>
  <c r="E2316" i="23"/>
  <c r="E2317" i="23"/>
  <c r="E2318" i="23"/>
  <c r="E2319" i="23"/>
  <c r="E2320" i="23"/>
  <c r="E2321" i="23"/>
  <c r="E2322" i="23"/>
  <c r="E2323" i="23"/>
  <c r="E2324" i="23"/>
  <c r="E2325" i="23"/>
  <c r="E2326" i="23"/>
  <c r="E2327" i="23"/>
  <c r="E2328" i="23"/>
  <c r="E2329" i="23"/>
  <c r="E2330" i="23"/>
  <c r="E2331" i="23"/>
  <c r="E2332" i="23"/>
  <c r="E2333" i="23"/>
  <c r="E2334" i="23"/>
  <c r="E2335" i="23"/>
  <c r="E2336" i="23"/>
  <c r="E2337" i="23"/>
  <c r="E2338" i="23"/>
  <c r="E2339" i="23"/>
  <c r="E2340" i="23"/>
  <c r="E2341" i="23"/>
  <c r="E2342" i="23"/>
  <c r="E2343" i="23"/>
  <c r="E2344" i="23"/>
  <c r="E2345" i="23"/>
  <c r="E2346" i="23"/>
  <c r="E2347" i="23"/>
  <c r="E2348" i="23"/>
  <c r="E2349" i="23"/>
  <c r="E2350" i="23"/>
  <c r="E2351" i="23"/>
  <c r="E2352" i="23"/>
  <c r="E2353" i="23"/>
  <c r="E2354" i="23"/>
  <c r="E2355" i="23"/>
  <c r="E2356" i="23"/>
  <c r="E2357" i="23"/>
  <c r="E2358" i="23"/>
  <c r="E2359" i="23"/>
  <c r="E2360" i="23"/>
  <c r="E2361" i="23"/>
  <c r="E2362" i="23"/>
  <c r="E2363" i="23"/>
  <c r="E2364" i="23"/>
  <c r="E2365" i="23"/>
  <c r="E2366" i="23"/>
  <c r="E2367" i="23"/>
  <c r="E2368" i="23"/>
  <c r="E2369" i="23"/>
  <c r="E2370" i="23"/>
  <c r="E2371" i="23"/>
  <c r="E2372" i="23"/>
  <c r="E2373" i="23"/>
  <c r="E2374" i="23"/>
  <c r="E2375" i="23"/>
  <c r="E2376" i="23"/>
  <c r="E2377" i="23"/>
  <c r="E2378" i="23"/>
  <c r="E2379" i="23"/>
  <c r="E2380" i="23"/>
  <c r="E2381" i="23"/>
  <c r="E2382" i="23"/>
  <c r="E2383" i="23"/>
  <c r="E2384" i="23"/>
  <c r="E2385" i="23"/>
  <c r="E2386" i="23"/>
  <c r="E2387" i="23"/>
  <c r="E2388" i="23"/>
  <c r="E2389" i="23"/>
  <c r="E2390" i="23"/>
  <c r="E2392" i="23"/>
  <c r="E2393" i="23"/>
  <c r="E2394" i="23"/>
  <c r="E2395" i="23"/>
  <c r="E2396" i="23"/>
  <c r="E2397" i="23"/>
  <c r="E2398" i="23"/>
  <c r="E2399" i="23"/>
  <c r="E2400" i="23"/>
  <c r="E2401" i="23"/>
  <c r="E2402" i="23"/>
  <c r="E2403" i="23"/>
  <c r="E2404" i="23"/>
  <c r="E2405" i="23"/>
  <c r="E2406" i="23"/>
  <c r="E2407" i="23"/>
  <c r="E2408" i="23"/>
  <c r="E2409" i="23"/>
  <c r="E2410" i="23"/>
  <c r="E2411" i="23"/>
  <c r="E2412" i="23"/>
  <c r="E2413" i="23"/>
  <c r="E2414" i="23"/>
  <c r="E2415" i="23"/>
  <c r="E2416" i="23"/>
  <c r="E2417" i="23"/>
  <c r="E2418" i="23"/>
  <c r="E2419" i="23"/>
  <c r="E2420" i="23"/>
  <c r="E2421" i="23"/>
  <c r="E2422" i="23"/>
  <c r="E2423" i="23"/>
  <c r="E2424" i="23"/>
  <c r="E2425" i="23"/>
  <c r="E2426" i="23"/>
  <c r="E2427" i="23"/>
  <c r="E2428" i="23"/>
  <c r="E2429" i="23"/>
  <c r="E2430" i="23"/>
  <c r="E2431" i="23"/>
  <c r="E2432" i="23"/>
  <c r="E2433" i="23"/>
  <c r="E2434" i="23"/>
  <c r="E2435" i="23"/>
  <c r="E2436" i="23"/>
  <c r="E2437" i="23"/>
  <c r="E2438" i="23"/>
  <c r="E2439" i="23"/>
  <c r="E2440" i="23"/>
  <c r="E2441" i="23"/>
  <c r="E2442" i="23"/>
  <c r="E2443" i="23"/>
  <c r="E2444" i="23"/>
  <c r="E2445" i="23"/>
  <c r="E2446" i="23"/>
  <c r="E2447" i="23"/>
  <c r="E2448" i="23"/>
  <c r="E2449" i="23"/>
  <c r="E2450" i="23"/>
  <c r="E2451" i="23"/>
  <c r="E2452" i="23"/>
  <c r="E2453" i="23"/>
  <c r="E2454" i="23"/>
  <c r="E2455" i="23"/>
  <c r="E2456" i="23"/>
  <c r="E2457" i="23"/>
  <c r="E2458" i="23"/>
  <c r="E2459" i="23"/>
  <c r="E2460" i="23"/>
  <c r="E2461" i="23"/>
  <c r="E2462" i="23"/>
  <c r="E2463" i="23"/>
  <c r="E2464" i="23"/>
  <c r="E2465" i="23"/>
  <c r="E2466" i="23"/>
  <c r="E2467" i="23"/>
  <c r="E2468" i="23"/>
  <c r="E2469" i="23"/>
  <c r="E2470" i="23"/>
  <c r="E2471" i="23"/>
  <c r="E2472" i="23"/>
  <c r="E2473" i="23"/>
  <c r="E2474" i="23"/>
  <c r="E2475" i="23"/>
  <c r="E2476" i="23"/>
  <c r="E2477" i="23"/>
  <c r="E2478" i="23"/>
  <c r="E2479" i="23"/>
  <c r="E2480" i="23"/>
  <c r="E2481" i="23"/>
  <c r="E2482" i="23"/>
  <c r="E2483" i="23"/>
  <c r="E2484" i="23"/>
  <c r="E2485" i="23"/>
  <c r="E2486" i="23"/>
  <c r="E2487" i="23"/>
  <c r="E2488" i="23"/>
  <c r="E2489" i="23"/>
  <c r="E2490" i="23"/>
  <c r="E2491" i="23"/>
  <c r="E2492" i="23"/>
  <c r="E2493" i="23"/>
  <c r="E2494" i="23"/>
  <c r="E2495" i="23"/>
  <c r="E2496" i="23"/>
  <c r="E2497" i="23"/>
  <c r="E2498" i="23"/>
  <c r="E2499" i="23"/>
  <c r="E2500" i="23"/>
  <c r="E2501" i="23"/>
  <c r="E2502" i="23"/>
  <c r="E2503" i="23"/>
  <c r="E2504" i="23"/>
  <c r="E2505" i="23"/>
  <c r="E2506" i="23"/>
  <c r="E2507" i="23"/>
  <c r="E2508" i="23"/>
  <c r="E2509" i="23"/>
  <c r="E2510" i="23"/>
  <c r="E2511" i="23"/>
  <c r="E2512" i="23"/>
  <c r="E2513" i="23"/>
  <c r="E2514" i="23"/>
  <c r="E2515" i="23"/>
  <c r="E2516" i="23"/>
  <c r="E2517" i="23"/>
  <c r="E2518" i="23"/>
  <c r="E2519" i="23"/>
  <c r="E2520" i="23"/>
  <c r="E2521" i="23"/>
  <c r="E2522" i="23"/>
  <c r="E2523" i="23"/>
  <c r="E2524" i="23"/>
  <c r="E2525" i="23"/>
  <c r="E2526" i="23"/>
  <c r="E2527" i="23"/>
  <c r="E2528" i="23"/>
  <c r="E2529" i="23"/>
  <c r="E2530" i="23"/>
  <c r="E2531" i="23"/>
  <c r="E2532" i="23"/>
  <c r="E2533" i="23"/>
  <c r="E2534" i="23"/>
  <c r="E2535" i="23"/>
  <c r="E2536" i="23"/>
  <c r="E2537" i="23"/>
  <c r="E2538" i="23"/>
  <c r="E2539" i="23"/>
  <c r="E2540" i="23"/>
  <c r="E2541" i="23"/>
  <c r="E2542" i="23"/>
  <c r="E2543" i="23"/>
  <c r="E2544" i="23"/>
  <c r="E2545" i="23"/>
  <c r="E2546" i="23"/>
  <c r="E2547" i="23"/>
  <c r="E2548" i="23"/>
  <c r="E2549" i="23"/>
  <c r="E2550" i="23"/>
  <c r="E2551" i="23"/>
  <c r="E2552" i="23"/>
  <c r="E2553" i="23"/>
  <c r="E2554" i="23"/>
  <c r="E2555" i="23"/>
  <c r="E2556" i="23"/>
  <c r="E2557" i="23"/>
  <c r="E2558" i="23"/>
  <c r="E2559" i="23"/>
  <c r="E2560" i="23"/>
  <c r="E2561" i="23"/>
  <c r="E2562" i="23"/>
  <c r="E2563" i="23"/>
  <c r="E2564" i="23"/>
  <c r="E2565" i="23"/>
  <c r="E2566" i="23"/>
  <c r="E2567" i="23"/>
  <c r="E2568" i="23"/>
  <c r="E2569" i="23"/>
  <c r="E2570" i="23"/>
  <c r="E2571" i="23"/>
  <c r="E2572" i="23"/>
  <c r="E2573" i="23"/>
  <c r="E2574" i="23"/>
  <c r="E2575" i="23"/>
  <c r="E2576" i="23"/>
  <c r="E2577" i="23"/>
  <c r="E2578" i="23"/>
  <c r="E2579" i="23"/>
  <c r="E2580" i="23"/>
  <c r="E2581" i="23"/>
  <c r="E2582" i="23"/>
  <c r="E2583" i="23"/>
  <c r="E2584" i="23"/>
  <c r="E2585" i="23"/>
  <c r="E2586" i="23"/>
  <c r="E2587" i="23"/>
  <c r="E2588" i="23"/>
  <c r="E2589" i="23"/>
  <c r="E2590" i="23"/>
  <c r="E2591" i="23"/>
  <c r="E2592" i="23"/>
  <c r="E2593" i="23"/>
  <c r="E2594" i="23"/>
  <c r="E2595" i="23"/>
  <c r="E2596" i="23"/>
  <c r="E2597" i="23"/>
  <c r="E2598" i="23"/>
  <c r="E2599" i="23"/>
  <c r="E2600" i="23"/>
  <c r="E2601" i="23"/>
  <c r="E2602" i="23"/>
  <c r="E2603" i="23"/>
  <c r="E2604" i="23"/>
  <c r="E2605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G2516" i="23"/>
  <c r="G2517" i="23"/>
  <c r="G2518" i="23"/>
  <c r="G2519" i="23"/>
  <c r="G2520" i="23"/>
  <c r="G2521" i="23"/>
  <c r="G2522" i="23"/>
  <c r="G2523" i="23"/>
  <c r="G2524" i="23"/>
  <c r="G2525" i="23"/>
  <c r="G2526" i="23"/>
  <c r="G2527" i="23"/>
  <c r="G2528" i="23"/>
  <c r="G2529" i="23"/>
  <c r="G2530" i="23"/>
  <c r="G2531" i="23"/>
  <c r="G2532" i="23"/>
  <c r="G2533" i="23"/>
  <c r="G2534" i="23"/>
  <c r="G2535" i="23"/>
  <c r="G2536" i="23"/>
  <c r="G2537" i="23"/>
  <c r="G2538" i="23"/>
  <c r="G2539" i="23"/>
  <c r="G2540" i="23"/>
  <c r="G2541" i="23"/>
  <c r="G2542" i="23"/>
  <c r="G2543" i="23"/>
  <c r="G2544" i="23"/>
  <c r="G2545" i="23"/>
  <c r="G2546" i="23"/>
  <c r="G2547" i="23"/>
  <c r="G2548" i="23"/>
  <c r="G2549" i="23"/>
  <c r="G2550" i="23"/>
  <c r="G2551" i="23"/>
  <c r="G2552" i="23"/>
  <c r="G2553" i="23"/>
  <c r="G2554" i="23"/>
  <c r="G2555" i="23"/>
  <c r="G2556" i="23"/>
  <c r="G2557" i="23"/>
  <c r="G2558" i="23"/>
  <c r="G2559" i="23"/>
  <c r="G2560" i="23"/>
  <c r="G2561" i="23"/>
  <c r="G2562" i="23"/>
  <c r="G2563" i="23"/>
  <c r="G2564" i="23"/>
  <c r="G2565" i="23"/>
  <c r="G2566" i="23"/>
  <c r="G2567" i="23"/>
  <c r="G2568" i="23"/>
  <c r="G2569" i="23"/>
  <c r="G2570" i="23"/>
  <c r="G2571" i="23"/>
  <c r="G2572" i="23"/>
  <c r="G2573" i="23"/>
  <c r="G2574" i="23"/>
  <c r="G2575" i="23"/>
  <c r="G2576" i="23"/>
  <c r="G2577" i="23"/>
  <c r="G2578" i="23"/>
  <c r="G2579" i="23"/>
  <c r="G2580" i="23"/>
  <c r="G2581" i="23"/>
  <c r="G2582" i="23"/>
  <c r="G2583" i="23"/>
  <c r="G2584" i="23"/>
  <c r="G2585" i="23"/>
  <c r="G2586" i="23"/>
  <c r="G2587" i="23"/>
  <c r="G2588" i="23"/>
  <c r="G2589" i="23"/>
  <c r="G2590" i="23"/>
  <c r="G2591" i="23"/>
  <c r="G2592" i="23"/>
  <c r="G2593" i="23"/>
  <c r="G2594" i="23"/>
  <c r="G2595" i="23"/>
  <c r="G2596" i="23"/>
  <c r="G2597" i="23"/>
  <c r="G2598" i="23"/>
  <c r="G2599" i="23"/>
  <c r="G2600" i="23"/>
  <c r="G2601" i="23"/>
  <c r="G2602" i="23"/>
  <c r="G2603" i="23"/>
  <c r="G2604" i="23"/>
  <c r="G2605" i="23"/>
  <c r="G2" i="23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2" i="4"/>
  <c r="H1999" i="19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5" i="4"/>
  <c r="E2186" i="4"/>
  <c r="E2187" i="4"/>
  <c r="E2188" i="4"/>
  <c r="E2189" i="4"/>
  <c r="E2190" i="4"/>
  <c r="E2191" i="4"/>
  <c r="E2192" i="4"/>
  <c r="E2193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5" i="4"/>
  <c r="E2366" i="4"/>
  <c r="E2367" i="4"/>
  <c r="E2368" i="4"/>
  <c r="E2369" i="4"/>
  <c r="E2370" i="4"/>
  <c r="E2371" i="4"/>
  <c r="E2372" i="4"/>
  <c r="E2373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2409" i="19"/>
  <c r="E2410" i="19"/>
  <c r="E2411" i="19"/>
  <c r="E2412" i="19"/>
  <c r="E2413" i="19"/>
  <c r="E2414" i="19"/>
  <c r="E2415" i="19"/>
  <c r="E2416" i="19"/>
  <c r="E2417" i="19"/>
  <c r="E2418" i="19"/>
  <c r="E2419" i="19"/>
  <c r="E2420" i="19"/>
  <c r="E2421" i="19"/>
  <c r="E2422" i="19"/>
  <c r="E2423" i="19"/>
  <c r="E2424" i="19"/>
  <c r="E2425" i="19"/>
  <c r="E2426" i="19"/>
  <c r="E2427" i="19"/>
  <c r="E2428" i="19"/>
  <c r="E2429" i="19"/>
  <c r="E2430" i="19"/>
  <c r="E2431" i="19"/>
  <c r="E2432" i="19"/>
  <c r="E2433" i="19"/>
  <c r="E2434" i="19"/>
  <c r="E2435" i="19"/>
  <c r="E2436" i="19"/>
  <c r="E2437" i="19"/>
  <c r="E2438" i="19"/>
  <c r="E2439" i="19"/>
  <c r="E2440" i="19"/>
  <c r="E2441" i="19"/>
  <c r="E2442" i="19"/>
  <c r="E2443" i="19"/>
  <c r="E2444" i="19"/>
  <c r="E2445" i="19"/>
  <c r="E2446" i="19"/>
  <c r="E2447" i="19"/>
  <c r="E2448" i="19"/>
  <c r="E2449" i="19"/>
  <c r="E2450" i="19"/>
  <c r="E2451" i="19"/>
  <c r="E2452" i="19"/>
  <c r="E2453" i="19"/>
  <c r="E2454" i="19"/>
  <c r="E2455" i="19"/>
  <c r="E2456" i="19"/>
  <c r="E2457" i="19"/>
  <c r="E2458" i="19"/>
  <c r="E2459" i="19"/>
  <c r="E2460" i="19"/>
  <c r="E2461" i="19"/>
  <c r="E2462" i="19"/>
  <c r="E2463" i="19"/>
  <c r="E2464" i="19"/>
  <c r="E2465" i="19"/>
  <c r="E2466" i="19"/>
  <c r="E2467" i="19"/>
  <c r="E2468" i="19"/>
  <c r="E2469" i="19"/>
  <c r="E2470" i="19"/>
  <c r="E2471" i="19"/>
  <c r="E2472" i="19"/>
  <c r="E2473" i="19"/>
  <c r="E2474" i="19"/>
  <c r="E2475" i="19"/>
  <c r="E2476" i="19"/>
  <c r="E2477" i="19"/>
  <c r="E2478" i="19"/>
  <c r="E2479" i="19"/>
  <c r="E2480" i="19"/>
  <c r="E2481" i="19"/>
  <c r="E2482" i="19"/>
  <c r="E2483" i="19"/>
  <c r="E2484" i="19"/>
  <c r="E2485" i="19"/>
  <c r="E2486" i="19"/>
  <c r="E2487" i="19"/>
  <c r="E2488" i="19"/>
  <c r="E2489" i="19"/>
  <c r="E2490" i="19"/>
  <c r="E2491" i="19"/>
  <c r="E2492" i="19"/>
  <c r="E2493" i="19"/>
  <c r="E2494" i="19"/>
  <c r="E2495" i="19"/>
  <c r="E2496" i="19"/>
  <c r="E2497" i="19"/>
  <c r="E2498" i="19"/>
  <c r="E2499" i="19"/>
  <c r="E2500" i="19"/>
  <c r="E2501" i="19"/>
  <c r="E2502" i="19"/>
  <c r="E2503" i="19"/>
  <c r="E2504" i="19"/>
  <c r="E2505" i="19"/>
  <c r="E2506" i="19"/>
  <c r="E2507" i="19"/>
  <c r="E2508" i="19"/>
  <c r="E2509" i="19"/>
  <c r="E2510" i="19"/>
  <c r="E2511" i="19"/>
  <c r="E2512" i="19"/>
  <c r="E2513" i="19"/>
  <c r="E2514" i="19"/>
  <c r="E2515" i="19"/>
  <c r="E2516" i="19"/>
  <c r="E2517" i="19"/>
  <c r="E2518" i="19"/>
  <c r="E2519" i="19"/>
  <c r="E2520" i="19"/>
  <c r="E2521" i="19"/>
  <c r="E2522" i="19"/>
  <c r="E2523" i="19"/>
  <c r="E2524" i="19"/>
  <c r="E2525" i="19"/>
  <c r="E2526" i="19"/>
  <c r="E2527" i="19"/>
  <c r="E2528" i="19"/>
  <c r="E2529" i="19"/>
  <c r="E2530" i="19"/>
  <c r="E2531" i="19"/>
  <c r="E2532" i="19"/>
  <c r="E2533" i="19"/>
  <c r="E2534" i="19"/>
  <c r="E2535" i="19"/>
  <c r="E2536" i="19"/>
  <c r="E2537" i="19"/>
  <c r="E2538" i="19"/>
  <c r="E2057" i="19"/>
  <c r="E2058" i="19"/>
  <c r="E2059" i="19"/>
  <c r="E2060" i="19"/>
  <c r="E2061" i="19"/>
  <c r="E2062" i="19"/>
  <c r="E2063" i="19"/>
  <c r="E2064" i="19"/>
  <c r="E2065" i="19"/>
  <c r="E2066" i="19"/>
  <c r="E2067" i="19"/>
  <c r="E2068" i="19"/>
  <c r="E2069" i="19"/>
  <c r="E2070" i="19"/>
  <c r="E2071" i="19"/>
  <c r="E2072" i="19"/>
  <c r="E2073" i="19"/>
  <c r="E2074" i="19"/>
  <c r="E2075" i="19"/>
  <c r="E2076" i="19"/>
  <c r="E2077" i="19"/>
  <c r="E2078" i="19"/>
  <c r="E2079" i="19"/>
  <c r="E2080" i="19"/>
  <c r="E2081" i="19"/>
  <c r="E2082" i="19"/>
  <c r="E2083" i="19"/>
  <c r="E2084" i="19"/>
  <c r="E2085" i="19"/>
  <c r="E2086" i="19"/>
  <c r="E2087" i="19"/>
  <c r="E2088" i="19"/>
  <c r="E2089" i="19"/>
  <c r="E2090" i="19"/>
  <c r="E2091" i="19"/>
  <c r="E2092" i="19"/>
  <c r="E2093" i="19"/>
  <c r="E2094" i="19"/>
  <c r="E2095" i="19"/>
  <c r="E2096" i="19"/>
  <c r="E2097" i="19"/>
  <c r="E2098" i="19"/>
  <c r="E2099" i="19"/>
  <c r="E2100" i="19"/>
  <c r="E2101" i="19"/>
  <c r="E2102" i="19"/>
  <c r="E2103" i="19"/>
  <c r="E2104" i="19"/>
  <c r="E2105" i="19"/>
  <c r="E2106" i="19"/>
  <c r="E2107" i="19"/>
  <c r="E2108" i="19"/>
  <c r="E2109" i="19"/>
  <c r="E2110" i="19"/>
  <c r="E2111" i="19"/>
  <c r="E2112" i="19"/>
  <c r="E2113" i="19"/>
  <c r="E2114" i="19"/>
  <c r="E2115" i="19"/>
  <c r="E2116" i="19"/>
  <c r="E2117" i="19"/>
  <c r="E2118" i="19"/>
  <c r="E2119" i="19"/>
  <c r="E2120" i="19"/>
  <c r="E2121" i="19"/>
  <c r="E2122" i="19"/>
  <c r="E2123" i="19"/>
  <c r="E2124" i="19"/>
  <c r="E2125" i="19"/>
  <c r="E2126" i="19"/>
  <c r="E2127" i="19"/>
  <c r="E2128" i="19"/>
  <c r="E2129" i="19"/>
  <c r="E2130" i="19"/>
  <c r="E2131" i="19"/>
  <c r="E2132" i="19"/>
  <c r="E2133" i="19"/>
  <c r="E2134" i="19"/>
  <c r="E2135" i="19"/>
  <c r="E2136" i="19"/>
  <c r="E2137" i="19"/>
  <c r="E2138" i="19"/>
  <c r="E2139" i="19"/>
  <c r="E2140" i="19"/>
  <c r="E2141" i="19"/>
  <c r="E2142" i="19"/>
  <c r="E2143" i="19"/>
  <c r="E2144" i="19"/>
  <c r="E2145" i="19"/>
  <c r="E2146" i="19"/>
  <c r="E2147" i="19"/>
  <c r="E2148" i="19"/>
  <c r="E2149" i="19"/>
  <c r="E2150" i="19"/>
  <c r="E2151" i="19"/>
  <c r="E2152" i="19"/>
  <c r="E2153" i="19"/>
  <c r="E2154" i="19"/>
  <c r="E2155" i="19"/>
  <c r="E2156" i="19"/>
  <c r="E2157" i="19"/>
  <c r="E2158" i="19"/>
  <c r="E2159" i="19"/>
  <c r="E2160" i="19"/>
  <c r="E2161" i="19"/>
  <c r="E2162" i="19"/>
  <c r="E2163" i="19"/>
  <c r="E2164" i="19"/>
  <c r="E2165" i="19"/>
  <c r="E2166" i="19"/>
  <c r="E2167" i="19"/>
  <c r="E2168" i="19"/>
  <c r="E2169" i="19"/>
  <c r="E2170" i="19"/>
  <c r="E2171" i="19"/>
  <c r="E2172" i="19"/>
  <c r="E2173" i="19"/>
  <c r="E2174" i="19"/>
  <c r="E2175" i="19"/>
  <c r="E2176" i="19"/>
  <c r="E2177" i="19"/>
  <c r="E2178" i="19"/>
  <c r="E2179" i="19"/>
  <c r="E2180" i="19"/>
  <c r="E2181" i="19"/>
  <c r="E2182" i="19"/>
  <c r="E2183" i="19"/>
  <c r="E2184" i="19"/>
  <c r="E2185" i="19"/>
  <c r="E2186" i="19"/>
  <c r="E2187" i="19"/>
  <c r="E2188" i="19"/>
  <c r="E2189" i="19"/>
  <c r="E2190" i="19"/>
  <c r="E2191" i="19"/>
  <c r="E2192" i="19"/>
  <c r="E2193" i="19"/>
  <c r="E2194" i="19"/>
  <c r="E2195" i="19"/>
  <c r="E2196" i="19"/>
  <c r="E2197" i="19"/>
  <c r="E2198" i="19"/>
  <c r="E2199" i="19"/>
  <c r="E2200" i="19"/>
  <c r="E2201" i="19"/>
  <c r="E2202" i="19"/>
  <c r="E2203" i="19"/>
  <c r="E2204" i="19"/>
  <c r="E2205" i="19"/>
  <c r="E2206" i="19"/>
  <c r="E2207" i="19"/>
  <c r="E2208" i="19"/>
  <c r="E2209" i="19"/>
  <c r="E2210" i="19"/>
  <c r="E2211" i="19"/>
  <c r="E2212" i="19"/>
  <c r="E2213" i="19"/>
  <c r="E2214" i="19"/>
  <c r="E2215" i="19"/>
  <c r="E2216" i="19"/>
  <c r="E2217" i="19"/>
  <c r="E2218" i="19"/>
  <c r="E2219" i="19"/>
  <c r="E2220" i="19"/>
  <c r="E2221" i="19"/>
  <c r="E2222" i="19"/>
  <c r="E2223" i="19"/>
  <c r="E2224" i="19"/>
  <c r="E2225" i="19"/>
  <c r="E2226" i="19"/>
  <c r="E2227" i="19"/>
  <c r="E2228" i="19"/>
  <c r="E2229" i="19"/>
  <c r="E2230" i="19"/>
  <c r="E2231" i="19"/>
  <c r="E2232" i="19"/>
  <c r="E2233" i="19"/>
  <c r="E2234" i="19"/>
  <c r="E2235" i="19"/>
  <c r="E2236" i="19"/>
  <c r="E2237" i="19"/>
  <c r="E2238" i="19"/>
  <c r="E2239" i="19"/>
  <c r="E2240" i="19"/>
  <c r="E2241" i="19"/>
  <c r="E2242" i="19"/>
  <c r="E2243" i="19"/>
  <c r="E2244" i="19"/>
  <c r="E2245" i="19"/>
  <c r="E2246" i="19"/>
  <c r="E2247" i="19"/>
  <c r="E2248" i="19"/>
  <c r="E2249" i="19"/>
  <c r="E2250" i="19"/>
  <c r="E2251" i="19"/>
  <c r="E2252" i="19"/>
  <c r="E2253" i="19"/>
  <c r="E2254" i="19"/>
  <c r="E2255" i="19"/>
  <c r="E2256" i="19"/>
  <c r="E2257" i="19"/>
  <c r="E2258" i="19"/>
  <c r="E2259" i="19"/>
  <c r="E2260" i="19"/>
  <c r="E2261" i="19"/>
  <c r="E2262" i="19"/>
  <c r="E2263" i="19"/>
  <c r="E2264" i="19"/>
  <c r="E2265" i="19"/>
  <c r="E2266" i="19"/>
  <c r="E2267" i="19"/>
  <c r="E2268" i="19"/>
  <c r="E2269" i="19"/>
  <c r="E2270" i="19"/>
  <c r="E2271" i="19"/>
  <c r="E2272" i="19"/>
  <c r="E2273" i="19"/>
  <c r="E2274" i="19"/>
  <c r="E2275" i="19"/>
  <c r="E2276" i="19"/>
  <c r="E2277" i="19"/>
  <c r="E2278" i="19"/>
  <c r="E2279" i="19"/>
  <c r="E2280" i="19"/>
  <c r="E2281" i="19"/>
  <c r="E2282" i="19"/>
  <c r="E2283" i="19"/>
  <c r="E2284" i="19"/>
  <c r="E2285" i="19"/>
  <c r="E2286" i="19"/>
  <c r="E2287" i="19"/>
  <c r="E2288" i="19"/>
  <c r="E2289" i="19"/>
  <c r="E2290" i="19"/>
  <c r="E2291" i="19"/>
  <c r="E2292" i="19"/>
  <c r="E2293" i="19"/>
  <c r="E2294" i="19"/>
  <c r="E2295" i="19"/>
  <c r="E2296" i="19"/>
  <c r="E2297" i="19"/>
  <c r="E2298" i="19"/>
  <c r="E2299" i="19"/>
  <c r="E2300" i="19"/>
  <c r="E2301" i="19"/>
  <c r="E2302" i="19"/>
  <c r="E2303" i="19"/>
  <c r="E2304" i="19"/>
  <c r="E2305" i="19"/>
  <c r="E2306" i="19"/>
  <c r="E2307" i="19"/>
  <c r="E2308" i="19"/>
  <c r="E2309" i="19"/>
  <c r="E2310" i="19"/>
  <c r="E2311" i="19"/>
  <c r="E2312" i="19"/>
  <c r="E2313" i="19"/>
  <c r="E2314" i="19"/>
  <c r="E2315" i="19"/>
  <c r="E2316" i="19"/>
  <c r="E2317" i="19"/>
  <c r="E2318" i="19"/>
  <c r="E2319" i="19"/>
  <c r="E2320" i="19"/>
  <c r="E2321" i="19"/>
  <c r="E2322" i="19"/>
  <c r="E2323" i="19"/>
  <c r="E2324" i="19"/>
  <c r="E2325" i="19"/>
  <c r="E2326" i="19"/>
  <c r="E2327" i="19"/>
  <c r="E2328" i="19"/>
  <c r="E2329" i="19"/>
  <c r="E2330" i="19"/>
  <c r="E2331" i="19"/>
  <c r="E2332" i="19"/>
  <c r="E2333" i="19"/>
  <c r="E2334" i="19"/>
  <c r="E2335" i="19"/>
  <c r="E2336" i="19"/>
  <c r="E2337" i="19"/>
  <c r="E2338" i="19"/>
  <c r="E2339" i="19"/>
  <c r="E2340" i="19"/>
  <c r="E2341" i="19"/>
  <c r="E2342" i="19"/>
  <c r="E2343" i="19"/>
  <c r="E2344" i="19"/>
  <c r="E2345" i="19"/>
  <c r="E2346" i="19"/>
  <c r="E2347" i="19"/>
  <c r="E2348" i="19"/>
  <c r="E2349" i="19"/>
  <c r="E2350" i="19"/>
  <c r="E2351" i="19"/>
  <c r="E2352" i="19"/>
  <c r="E2353" i="19"/>
  <c r="E2354" i="19"/>
  <c r="E2355" i="19"/>
  <c r="E2356" i="19"/>
  <c r="E2357" i="19"/>
  <c r="E2358" i="19"/>
  <c r="E2359" i="19"/>
  <c r="E2360" i="19"/>
  <c r="E2361" i="19"/>
  <c r="E2362" i="19"/>
  <c r="E2363" i="19"/>
  <c r="E2364" i="19"/>
  <c r="E2365" i="19"/>
  <c r="E2366" i="19"/>
  <c r="E2367" i="19"/>
  <c r="E2368" i="19"/>
  <c r="E2369" i="19"/>
  <c r="E2370" i="19"/>
  <c r="E2371" i="19"/>
  <c r="E2372" i="19"/>
  <c r="E2373" i="19"/>
  <c r="E2374" i="19"/>
  <c r="E2375" i="19"/>
  <c r="E2376" i="19"/>
  <c r="E2377" i="19"/>
  <c r="E2378" i="19"/>
  <c r="E2379" i="19"/>
  <c r="E2380" i="19"/>
  <c r="E2381" i="19"/>
  <c r="E2382" i="19"/>
  <c r="E2383" i="19"/>
  <c r="E2384" i="19"/>
  <c r="E2385" i="19"/>
  <c r="E2386" i="19"/>
  <c r="E2387" i="19"/>
  <c r="E2388" i="19"/>
  <c r="E2389" i="19"/>
  <c r="E2390" i="19"/>
  <c r="E2391" i="19"/>
  <c r="E2392" i="19"/>
  <c r="E2393" i="19"/>
  <c r="E2394" i="19"/>
  <c r="E2395" i="19"/>
  <c r="E2396" i="19"/>
  <c r="E2397" i="19"/>
  <c r="E2398" i="19"/>
  <c r="E2399" i="19"/>
  <c r="E2400" i="19"/>
  <c r="E2401" i="19"/>
  <c r="E2402" i="19"/>
  <c r="E2403" i="19"/>
  <c r="E2404" i="19"/>
  <c r="E2405" i="19"/>
  <c r="E2406" i="19"/>
  <c r="E2407" i="19"/>
  <c r="E2408" i="19"/>
  <c r="E2053" i="19"/>
  <c r="E2052" i="19"/>
  <c r="E2048" i="19"/>
  <c r="E2047" i="19"/>
  <c r="E2046" i="19"/>
  <c r="E2045" i="19"/>
  <c r="E2044" i="19"/>
  <c r="E2039" i="19"/>
  <c r="E2038" i="19"/>
  <c r="E2037" i="19"/>
  <c r="E2030" i="19"/>
  <c r="E2029" i="19"/>
  <c r="E2025" i="19"/>
  <c r="E2024" i="19"/>
  <c r="E2021" i="19"/>
  <c r="E2020" i="19"/>
  <c r="E2019" i="19"/>
  <c r="E2018" i="19"/>
  <c r="E2017" i="19"/>
  <c r="E2016" i="19"/>
  <c r="E2011" i="19"/>
  <c r="E2010" i="19"/>
  <c r="E2002" i="19"/>
  <c r="E2001" i="19"/>
  <c r="E2000" i="19"/>
  <c r="E1999" i="19"/>
  <c r="E1998" i="19"/>
  <c r="E1997" i="19"/>
  <c r="E1996" i="19"/>
  <c r="E1988" i="19"/>
  <c r="E1987" i="19"/>
  <c r="E1986" i="19"/>
  <c r="E1985" i="19"/>
  <c r="E1984" i="19"/>
  <c r="E1983" i="19"/>
  <c r="E1982" i="19"/>
  <c r="E1974" i="19"/>
  <c r="E1973" i="19"/>
  <c r="E1972" i="19"/>
  <c r="E1971" i="19"/>
  <c r="E1970" i="19"/>
  <c r="E1969" i="19"/>
  <c r="E1968" i="19"/>
  <c r="E1963" i="19"/>
  <c r="E1964" i="19"/>
  <c r="E1965" i="19"/>
  <c r="E1966" i="19"/>
  <c r="E1967" i="19"/>
  <c r="E1975" i="19"/>
  <c r="E1976" i="19"/>
  <c r="E1977" i="19"/>
  <c r="E1978" i="19"/>
  <c r="E1979" i="19"/>
  <c r="E1980" i="19"/>
  <c r="E1981" i="19"/>
  <c r="E1989" i="19"/>
  <c r="E1990" i="19"/>
  <c r="E1991" i="19"/>
  <c r="E1992" i="19"/>
  <c r="E1993" i="19"/>
  <c r="E1994" i="19"/>
  <c r="E1995" i="19"/>
  <c r="E2003" i="19"/>
  <c r="E2004" i="19"/>
  <c r="E2005" i="19"/>
  <c r="E2006" i="19"/>
  <c r="E2007" i="19"/>
  <c r="E2008" i="19"/>
  <c r="E2009" i="19"/>
  <c r="E2012" i="19"/>
  <c r="E2013" i="19"/>
  <c r="E2014" i="19"/>
  <c r="E2015" i="19"/>
  <c r="E2022" i="19"/>
  <c r="E2023" i="19"/>
  <c r="E2026" i="19"/>
  <c r="E2027" i="19"/>
  <c r="E2028" i="19"/>
  <c r="E2031" i="19"/>
  <c r="E2032" i="19"/>
  <c r="E2033" i="19"/>
  <c r="E2034" i="19"/>
  <c r="E2035" i="19"/>
  <c r="E2036" i="19"/>
  <c r="E2040" i="19"/>
  <c r="E2041" i="19"/>
  <c r="E2042" i="19"/>
  <c r="E2043" i="19"/>
  <c r="E2049" i="19"/>
  <c r="E2050" i="19"/>
  <c r="E2051" i="19"/>
  <c r="E2054" i="19"/>
  <c r="E2055" i="19"/>
  <c r="E2056" i="19"/>
  <c r="E210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" i="4"/>
  <c r="E2" i="19" l="1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533" i="19"/>
  <c r="E534" i="19"/>
  <c r="E535" i="19"/>
  <c r="E536" i="19"/>
  <c r="E537" i="19"/>
  <c r="E538" i="19"/>
  <c r="E539" i="19"/>
  <c r="E540" i="19"/>
  <c r="E541" i="19"/>
  <c r="E542" i="19"/>
  <c r="E543" i="19"/>
  <c r="E544" i="19"/>
  <c r="E545" i="19"/>
  <c r="E546" i="19"/>
  <c r="E547" i="19"/>
  <c r="E548" i="19"/>
  <c r="E549" i="19"/>
  <c r="E550" i="19"/>
  <c r="E551" i="19"/>
  <c r="E552" i="19"/>
  <c r="E553" i="19"/>
  <c r="E554" i="19"/>
  <c r="E555" i="19"/>
  <c r="E556" i="19"/>
  <c r="E557" i="19"/>
  <c r="E558" i="19"/>
  <c r="E559" i="19"/>
  <c r="E560" i="19"/>
  <c r="E561" i="19"/>
  <c r="E562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77" i="19"/>
  <c r="E578" i="19"/>
  <c r="E579" i="19"/>
  <c r="E580" i="19"/>
  <c r="E581" i="19"/>
  <c r="E582" i="19"/>
  <c r="E583" i="19"/>
  <c r="E584" i="19"/>
  <c r="E585" i="19"/>
  <c r="E586" i="19"/>
  <c r="E587" i="19"/>
  <c r="E588" i="19"/>
  <c r="E589" i="19"/>
  <c r="E590" i="19"/>
  <c r="E591" i="19"/>
  <c r="E592" i="19"/>
  <c r="E593" i="19"/>
  <c r="E594" i="19"/>
  <c r="E595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35" i="19"/>
  <c r="E636" i="19"/>
  <c r="E637" i="19"/>
  <c r="E638" i="19"/>
  <c r="E639" i="19"/>
  <c r="E640" i="19"/>
  <c r="E641" i="19"/>
  <c r="E642" i="19"/>
  <c r="E643" i="19"/>
  <c r="E644" i="19"/>
  <c r="E645" i="19"/>
  <c r="E646" i="19"/>
  <c r="E647" i="19"/>
  <c r="E648" i="19"/>
  <c r="E649" i="19"/>
  <c r="E650" i="19"/>
  <c r="E651" i="19"/>
  <c r="E652" i="19"/>
  <c r="E653" i="19"/>
  <c r="E654" i="19"/>
  <c r="E655" i="19"/>
  <c r="E656" i="19"/>
  <c r="E657" i="19"/>
  <c r="E658" i="19"/>
  <c r="E659" i="19"/>
  <c r="E660" i="19"/>
  <c r="E661" i="19"/>
  <c r="E662" i="19"/>
  <c r="E663" i="19"/>
  <c r="E664" i="19"/>
  <c r="E665" i="19"/>
  <c r="E666" i="19"/>
  <c r="E667" i="19"/>
  <c r="E668" i="19"/>
  <c r="E669" i="19"/>
  <c r="E670" i="19"/>
  <c r="E671" i="19"/>
  <c r="E672" i="19"/>
  <c r="E673" i="19"/>
  <c r="E674" i="19"/>
  <c r="E675" i="19"/>
  <c r="E676" i="19"/>
  <c r="E677" i="19"/>
  <c r="E678" i="19"/>
  <c r="E679" i="19"/>
  <c r="E680" i="19"/>
  <c r="E681" i="19"/>
  <c r="E682" i="19"/>
  <c r="E683" i="19"/>
  <c r="E684" i="19"/>
  <c r="E685" i="19"/>
  <c r="E686" i="19"/>
  <c r="E687" i="19"/>
  <c r="E688" i="19"/>
  <c r="E689" i="19"/>
  <c r="E690" i="19"/>
  <c r="E691" i="19"/>
  <c r="E692" i="19"/>
  <c r="E693" i="19"/>
  <c r="E694" i="19"/>
  <c r="E695" i="19"/>
  <c r="E696" i="19"/>
  <c r="E697" i="19"/>
  <c r="E698" i="19"/>
  <c r="E699" i="19"/>
  <c r="E700" i="19"/>
  <c r="E701" i="19"/>
  <c r="E702" i="19"/>
  <c r="E703" i="19"/>
  <c r="E704" i="19"/>
  <c r="E705" i="19"/>
  <c r="E706" i="19"/>
  <c r="E707" i="19"/>
  <c r="E708" i="19"/>
  <c r="E709" i="19"/>
  <c r="E710" i="19"/>
  <c r="E711" i="19"/>
  <c r="E712" i="19"/>
  <c r="E713" i="19"/>
  <c r="E714" i="19"/>
  <c r="E715" i="19"/>
  <c r="E716" i="19"/>
  <c r="E717" i="19"/>
  <c r="E718" i="19"/>
  <c r="E719" i="19"/>
  <c r="E720" i="19"/>
  <c r="E721" i="19"/>
  <c r="E722" i="19"/>
  <c r="E723" i="19"/>
  <c r="E724" i="19"/>
  <c r="E725" i="19"/>
  <c r="E726" i="19"/>
  <c r="E727" i="19"/>
  <c r="E728" i="19"/>
  <c r="E729" i="19"/>
  <c r="E730" i="19"/>
  <c r="E731" i="19"/>
  <c r="E732" i="19"/>
  <c r="E733" i="19"/>
  <c r="E734" i="19"/>
  <c r="E735" i="19"/>
  <c r="E736" i="19"/>
  <c r="E737" i="19"/>
  <c r="E738" i="19"/>
  <c r="E739" i="19"/>
  <c r="E740" i="19"/>
  <c r="E741" i="19"/>
  <c r="E742" i="19"/>
  <c r="E743" i="19"/>
  <c r="E744" i="19"/>
  <c r="E745" i="19"/>
  <c r="E746" i="19"/>
  <c r="E747" i="19"/>
  <c r="E748" i="19"/>
  <c r="E749" i="19"/>
  <c r="E750" i="19"/>
  <c r="E751" i="19"/>
  <c r="E752" i="19"/>
  <c r="E753" i="19"/>
  <c r="E754" i="19"/>
  <c r="E755" i="19"/>
  <c r="E756" i="19"/>
  <c r="E757" i="19"/>
  <c r="E758" i="19"/>
  <c r="E759" i="19"/>
  <c r="E760" i="19"/>
  <c r="E761" i="19"/>
  <c r="E762" i="19"/>
  <c r="E763" i="19"/>
  <c r="E764" i="19"/>
  <c r="E765" i="19"/>
  <c r="E766" i="19"/>
  <c r="E767" i="19"/>
  <c r="E768" i="19"/>
  <c r="E769" i="19"/>
  <c r="E770" i="19"/>
  <c r="E771" i="19"/>
  <c r="E772" i="19"/>
  <c r="E773" i="19"/>
  <c r="E774" i="19"/>
  <c r="E775" i="19"/>
  <c r="E776" i="19"/>
  <c r="E777" i="19"/>
  <c r="E778" i="19"/>
  <c r="E779" i="19"/>
  <c r="E780" i="19"/>
  <c r="E781" i="19"/>
  <c r="E782" i="19"/>
  <c r="E783" i="19"/>
  <c r="E784" i="19"/>
  <c r="E785" i="19"/>
  <c r="E786" i="19"/>
  <c r="E787" i="19"/>
  <c r="E788" i="19"/>
  <c r="E789" i="19"/>
  <c r="E790" i="19"/>
  <c r="E791" i="19"/>
  <c r="E792" i="19"/>
  <c r="E793" i="19"/>
  <c r="E794" i="19"/>
  <c r="E795" i="19"/>
  <c r="E796" i="19"/>
  <c r="E797" i="19"/>
  <c r="E798" i="19"/>
  <c r="E799" i="19"/>
  <c r="E800" i="19"/>
  <c r="E801" i="19"/>
  <c r="E802" i="19"/>
  <c r="E803" i="19"/>
  <c r="E804" i="19"/>
  <c r="E805" i="19"/>
  <c r="E806" i="19"/>
  <c r="E807" i="19"/>
  <c r="E808" i="19"/>
  <c r="E809" i="19"/>
  <c r="E810" i="19"/>
  <c r="E811" i="19"/>
  <c r="E812" i="19"/>
  <c r="E813" i="19"/>
  <c r="E814" i="19"/>
  <c r="E81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3" i="19"/>
  <c r="E834" i="19"/>
  <c r="E835" i="19"/>
  <c r="E836" i="19"/>
  <c r="E837" i="19"/>
  <c r="E838" i="19"/>
  <c r="E839" i="19"/>
  <c r="E840" i="19"/>
  <c r="E841" i="19"/>
  <c r="E842" i="19"/>
  <c r="E843" i="19"/>
  <c r="E844" i="19"/>
  <c r="E845" i="19"/>
  <c r="E846" i="19"/>
  <c r="E847" i="19"/>
  <c r="E848" i="19"/>
  <c r="E849" i="19"/>
  <c r="E850" i="19"/>
  <c r="E851" i="19"/>
  <c r="E852" i="19"/>
  <c r="E853" i="19"/>
  <c r="E854" i="19"/>
  <c r="E855" i="19"/>
  <c r="E856" i="19"/>
  <c r="E857" i="19"/>
  <c r="E858" i="19"/>
  <c r="E859" i="19"/>
  <c r="E860" i="19"/>
  <c r="E861" i="19"/>
  <c r="E862" i="19"/>
  <c r="E863" i="19"/>
  <c r="E864" i="19"/>
  <c r="E865" i="19"/>
  <c r="E866" i="19"/>
  <c r="E867" i="19"/>
  <c r="E868" i="19"/>
  <c r="E869" i="19"/>
  <c r="E870" i="19"/>
  <c r="E871" i="19"/>
  <c r="E872" i="19"/>
  <c r="E873" i="19"/>
  <c r="E874" i="19"/>
  <c r="E875" i="19"/>
  <c r="E876" i="19"/>
  <c r="E877" i="19"/>
  <c r="E878" i="19"/>
  <c r="E879" i="19"/>
  <c r="E880" i="19"/>
  <c r="E881" i="19"/>
  <c r="E882" i="19"/>
  <c r="E883" i="19"/>
  <c r="E884" i="19"/>
  <c r="E885" i="19"/>
  <c r="E886" i="19"/>
  <c r="E887" i="19"/>
  <c r="E888" i="19"/>
  <c r="E889" i="19"/>
  <c r="E890" i="19"/>
  <c r="E891" i="19"/>
  <c r="E892" i="19"/>
  <c r="E893" i="19"/>
  <c r="E894" i="19"/>
  <c r="E895" i="19"/>
  <c r="E896" i="19"/>
  <c r="E897" i="19"/>
  <c r="E898" i="19"/>
  <c r="E899" i="19"/>
  <c r="E900" i="19"/>
  <c r="E901" i="19"/>
  <c r="E902" i="19"/>
  <c r="E903" i="19"/>
  <c r="E904" i="19"/>
  <c r="E905" i="19"/>
  <c r="E906" i="19"/>
  <c r="E907" i="19"/>
  <c r="E908" i="19"/>
  <c r="E909" i="19"/>
  <c r="E910" i="19"/>
  <c r="E911" i="19"/>
  <c r="E912" i="19"/>
  <c r="E913" i="19"/>
  <c r="E914" i="19"/>
  <c r="E915" i="19"/>
  <c r="E916" i="19"/>
  <c r="E917" i="19"/>
  <c r="E918" i="19"/>
  <c r="E919" i="19"/>
  <c r="E920" i="19"/>
  <c r="E921" i="19"/>
  <c r="E922" i="19"/>
  <c r="E923" i="19"/>
  <c r="E924" i="19"/>
  <c r="E925" i="19"/>
  <c r="E926" i="19"/>
  <c r="E927" i="19"/>
  <c r="E928" i="19"/>
  <c r="E929" i="19"/>
  <c r="E930" i="19"/>
  <c r="E931" i="19"/>
  <c r="E932" i="19"/>
  <c r="E933" i="19"/>
  <c r="E934" i="19"/>
  <c r="E935" i="19"/>
  <c r="E936" i="19"/>
  <c r="E937" i="19"/>
  <c r="E938" i="19"/>
  <c r="E939" i="19"/>
  <c r="E940" i="19"/>
  <c r="E941" i="19"/>
  <c r="E942" i="19"/>
  <c r="E943" i="19"/>
  <c r="E944" i="19"/>
  <c r="E945" i="19"/>
  <c r="E946" i="19"/>
  <c r="E947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71" i="19"/>
  <c r="E972" i="19"/>
  <c r="E973" i="19"/>
  <c r="E974" i="19"/>
  <c r="E975" i="19"/>
  <c r="E976" i="19"/>
  <c r="E977" i="19"/>
  <c r="E978" i="19"/>
  <c r="E979" i="19"/>
  <c r="E980" i="19"/>
  <c r="E981" i="19"/>
  <c r="E982" i="19"/>
  <c r="E983" i="19"/>
  <c r="E984" i="19"/>
  <c r="E985" i="19"/>
  <c r="E986" i="19"/>
  <c r="E987" i="19"/>
  <c r="E988" i="19"/>
  <c r="E989" i="19"/>
  <c r="E990" i="19"/>
  <c r="E991" i="19"/>
  <c r="E992" i="19"/>
  <c r="E993" i="19"/>
  <c r="E994" i="19"/>
  <c r="E995" i="19"/>
  <c r="E996" i="19"/>
  <c r="E997" i="19"/>
  <c r="E998" i="19"/>
  <c r="E999" i="19"/>
  <c r="E1000" i="19"/>
  <c r="E1001" i="19"/>
  <c r="E1002" i="19"/>
  <c r="E1003" i="19"/>
  <c r="E1004" i="19"/>
  <c r="E1005" i="19"/>
  <c r="E1006" i="19"/>
  <c r="E1007" i="19"/>
  <c r="E1008" i="19"/>
  <c r="E1009" i="19"/>
  <c r="E1010" i="19"/>
  <c r="E1011" i="19"/>
  <c r="E1012" i="19"/>
  <c r="E1013" i="19"/>
  <c r="E1014" i="19"/>
  <c r="E1015" i="19"/>
  <c r="E1016" i="19"/>
  <c r="E1017" i="19"/>
  <c r="E1018" i="19"/>
  <c r="E1019" i="19"/>
  <c r="E1020" i="19"/>
  <c r="E1021" i="19"/>
  <c r="E1022" i="19"/>
  <c r="E1023" i="19"/>
  <c r="E1024" i="19"/>
  <c r="E1025" i="19"/>
  <c r="E1026" i="19"/>
  <c r="E1027" i="19"/>
  <c r="E1028" i="19"/>
  <c r="E1029" i="19"/>
  <c r="E1030" i="19"/>
  <c r="E1031" i="19"/>
  <c r="E1032" i="19"/>
  <c r="E1033" i="19"/>
  <c r="E1034" i="19"/>
  <c r="E1035" i="19"/>
  <c r="E1036" i="19"/>
  <c r="E1037" i="19"/>
  <c r="E1038" i="19"/>
  <c r="E1039" i="19"/>
  <c r="E1040" i="19"/>
  <c r="E1041" i="19"/>
  <c r="E1042" i="19"/>
  <c r="E1043" i="19"/>
  <c r="E1044" i="19"/>
  <c r="E1045" i="19"/>
  <c r="E1046" i="19"/>
  <c r="E1047" i="19"/>
  <c r="E1048" i="19"/>
  <c r="E1049" i="19"/>
  <c r="E1050" i="19"/>
  <c r="E1051" i="19"/>
  <c r="E1052" i="19"/>
  <c r="E1053" i="19"/>
  <c r="E1054" i="19"/>
  <c r="E1055" i="19"/>
  <c r="E1056" i="19"/>
  <c r="E1057" i="19"/>
  <c r="E1058" i="19"/>
  <c r="E1059" i="19"/>
  <c r="E1060" i="19"/>
  <c r="E1061" i="19"/>
  <c r="E1062" i="19"/>
  <c r="E1063" i="19"/>
  <c r="E1064" i="19"/>
  <c r="E1065" i="19"/>
  <c r="E1066" i="19"/>
  <c r="E1067" i="19"/>
  <c r="E1068" i="19"/>
  <c r="E1069" i="19"/>
  <c r="E1070" i="19"/>
  <c r="E1071" i="19"/>
  <c r="E1072" i="19"/>
  <c r="E1073" i="19"/>
  <c r="E1074" i="19"/>
  <c r="E1075" i="19"/>
  <c r="E1076" i="19"/>
  <c r="E1077" i="19"/>
  <c r="E1078" i="19"/>
  <c r="E1079" i="19"/>
  <c r="E1080" i="19"/>
  <c r="E1081" i="19"/>
  <c r="E1082" i="19"/>
  <c r="E1083" i="19"/>
  <c r="E1084" i="19"/>
  <c r="E1085" i="19"/>
  <c r="E1086" i="19"/>
  <c r="E1087" i="19"/>
  <c r="E1088" i="19"/>
  <c r="E1089" i="19"/>
  <c r="E1090" i="19"/>
  <c r="E1091" i="19"/>
  <c r="E1092" i="19"/>
  <c r="E1093" i="19"/>
  <c r="E1094" i="19"/>
  <c r="E1095" i="19"/>
  <c r="E1096" i="19"/>
  <c r="E1097" i="19"/>
  <c r="E1098" i="19"/>
  <c r="E1099" i="19"/>
  <c r="E1100" i="19"/>
  <c r="E1101" i="19"/>
  <c r="E1102" i="19"/>
  <c r="E1103" i="19"/>
  <c r="E1104" i="19"/>
  <c r="E1105" i="19"/>
  <c r="E1106" i="19"/>
  <c r="E1107" i="19"/>
  <c r="E1108" i="19"/>
  <c r="E1109" i="19"/>
  <c r="E1110" i="19"/>
  <c r="E1111" i="19"/>
  <c r="E1112" i="19"/>
  <c r="E1113" i="19"/>
  <c r="E1114" i="19"/>
  <c r="E1115" i="19"/>
  <c r="E1116" i="19"/>
  <c r="E1117" i="19"/>
  <c r="E1118" i="19"/>
  <c r="E1119" i="19"/>
  <c r="E1120" i="19"/>
  <c r="E1121" i="19"/>
  <c r="E1122" i="19"/>
  <c r="E1123" i="19"/>
  <c r="E1124" i="19"/>
  <c r="E1125" i="19"/>
  <c r="E1126" i="19"/>
  <c r="E1127" i="19"/>
  <c r="E1128" i="19"/>
  <c r="E1129" i="19"/>
  <c r="E1130" i="19"/>
  <c r="E1131" i="19"/>
  <c r="E1132" i="19"/>
  <c r="E1133" i="19"/>
  <c r="E1134" i="19"/>
  <c r="E1135" i="19"/>
  <c r="E1136" i="19"/>
  <c r="E1137" i="19"/>
  <c r="E1138" i="19"/>
  <c r="E1139" i="19"/>
  <c r="E1140" i="19"/>
  <c r="E1141" i="19"/>
  <c r="E1142" i="19"/>
  <c r="E1143" i="19"/>
  <c r="E1144" i="19"/>
  <c r="E1145" i="19"/>
  <c r="E1146" i="19"/>
  <c r="E1147" i="19"/>
  <c r="E1148" i="19"/>
  <c r="E1149" i="19"/>
  <c r="E1150" i="19"/>
  <c r="E1151" i="19"/>
  <c r="E1152" i="19"/>
  <c r="E1153" i="19"/>
  <c r="E1154" i="19"/>
  <c r="E1155" i="19"/>
  <c r="E1156" i="19"/>
  <c r="E1157" i="19"/>
  <c r="E1158" i="19"/>
  <c r="E1159" i="19"/>
  <c r="E1160" i="19"/>
  <c r="E1161" i="19"/>
  <c r="E1162" i="19"/>
  <c r="E1163" i="19"/>
  <c r="E1164" i="19"/>
  <c r="E1165" i="19"/>
  <c r="E1166" i="19"/>
  <c r="E1167" i="19"/>
  <c r="E1168" i="19"/>
  <c r="E1169" i="19"/>
  <c r="E1170" i="19"/>
  <c r="E1171" i="19"/>
  <c r="E1172" i="19"/>
  <c r="E1173" i="19"/>
  <c r="E1174" i="19"/>
  <c r="E1175" i="19"/>
  <c r="E1176" i="19"/>
  <c r="E1177" i="19"/>
  <c r="E1178" i="19"/>
  <c r="E1179" i="19"/>
  <c r="E1180" i="19"/>
  <c r="E1181" i="19"/>
  <c r="E1182" i="19"/>
  <c r="E1183" i="19"/>
  <c r="E1184" i="19"/>
  <c r="E1185" i="19"/>
  <c r="E1186" i="19"/>
  <c r="E1187" i="19"/>
  <c r="E1188" i="19"/>
  <c r="E1189" i="19"/>
  <c r="E1190" i="19"/>
  <c r="E1191" i="19"/>
  <c r="E1192" i="19"/>
  <c r="E1193" i="19"/>
  <c r="E1194" i="19"/>
  <c r="E1195" i="19"/>
  <c r="E1196" i="19"/>
  <c r="E1197" i="19"/>
  <c r="E1198" i="19"/>
  <c r="E1199" i="19"/>
  <c r="E1200" i="19"/>
  <c r="E1201" i="19"/>
  <c r="E1202" i="19"/>
  <c r="E1203" i="19"/>
  <c r="E1204" i="19"/>
  <c r="E1205" i="19"/>
  <c r="E1206" i="19"/>
  <c r="E1207" i="19"/>
  <c r="E1208" i="19"/>
  <c r="E1209" i="19"/>
  <c r="E1210" i="19"/>
  <c r="E1211" i="19"/>
  <c r="E1212" i="19"/>
  <c r="E1213" i="19"/>
  <c r="E1214" i="19"/>
  <c r="E1215" i="19"/>
  <c r="E1216" i="19"/>
  <c r="E1217" i="19"/>
  <c r="E1218" i="19"/>
  <c r="E1219" i="19"/>
  <c r="E1220" i="19"/>
  <c r="E1221" i="19"/>
  <c r="E1222" i="19"/>
  <c r="E1223" i="19"/>
  <c r="E1224" i="19"/>
  <c r="E1225" i="19"/>
  <c r="E1226" i="19"/>
  <c r="E1227" i="19"/>
  <c r="E1228" i="19"/>
  <c r="E1229" i="19"/>
  <c r="E1230" i="19"/>
  <c r="E1231" i="19"/>
  <c r="E1232" i="19"/>
  <c r="E1233" i="19"/>
  <c r="E1234" i="19"/>
  <c r="E1235" i="19"/>
  <c r="E1236" i="19"/>
  <c r="E1237" i="19"/>
  <c r="E1238" i="19"/>
  <c r="E1239" i="19"/>
  <c r="E1240" i="19"/>
  <c r="E1241" i="19"/>
  <c r="E1242" i="19"/>
  <c r="E1243" i="19"/>
  <c r="E1244" i="19"/>
  <c r="E1245" i="19"/>
  <c r="E1246" i="19"/>
  <c r="E1247" i="19"/>
  <c r="E1248" i="19"/>
  <c r="E1249" i="19"/>
  <c r="E1250" i="19"/>
  <c r="E1251" i="19"/>
  <c r="E1252" i="19"/>
  <c r="E1253" i="19"/>
  <c r="E1254" i="19"/>
  <c r="E1255" i="19"/>
  <c r="E1256" i="19"/>
  <c r="E1257" i="19"/>
  <c r="E1258" i="19"/>
  <c r="E1259" i="19"/>
  <c r="E1260" i="19"/>
  <c r="E1261" i="19"/>
  <c r="E1262" i="19"/>
  <c r="E1263" i="19"/>
  <c r="E1264" i="19"/>
  <c r="E1265" i="19"/>
  <c r="E1266" i="19"/>
  <c r="E1267" i="19"/>
  <c r="E1268" i="19"/>
  <c r="E1269" i="19"/>
  <c r="E1270" i="19"/>
  <c r="E1271" i="19"/>
  <c r="E1272" i="19"/>
  <c r="E1273" i="19"/>
  <c r="E1274" i="19"/>
  <c r="E1275" i="19"/>
  <c r="E1276" i="19"/>
  <c r="E1277" i="19"/>
  <c r="E1278" i="19"/>
  <c r="E1279" i="19"/>
  <c r="E1280" i="19"/>
  <c r="E1281" i="19"/>
  <c r="E1282" i="19"/>
  <c r="E1283" i="19"/>
  <c r="E1284" i="19"/>
  <c r="E1285" i="19"/>
  <c r="E1286" i="19"/>
  <c r="E1287" i="19"/>
  <c r="E1288" i="19"/>
  <c r="E1289" i="19"/>
  <c r="E1290" i="19"/>
  <c r="E1291" i="19"/>
  <c r="E1292" i="19"/>
  <c r="E1293" i="19"/>
  <c r="E1294" i="19"/>
  <c r="E1295" i="19"/>
  <c r="E1296" i="19"/>
  <c r="E1297" i="19"/>
  <c r="E1298" i="19"/>
  <c r="E1299" i="19"/>
  <c r="E1300" i="19"/>
  <c r="E1301" i="19"/>
  <c r="E1302" i="19"/>
  <c r="E1303" i="19"/>
  <c r="E1304" i="19"/>
  <c r="E1305" i="19"/>
  <c r="E1306" i="19"/>
  <c r="E1307" i="19"/>
  <c r="E1308" i="19"/>
  <c r="E1309" i="19"/>
  <c r="E1310" i="19"/>
  <c r="E1311" i="19"/>
  <c r="E1312" i="19"/>
  <c r="E1313" i="19"/>
  <c r="E1314" i="19"/>
  <c r="E1315" i="19"/>
  <c r="E1316" i="19"/>
  <c r="E1317" i="19"/>
  <c r="E1318" i="19"/>
  <c r="E1319" i="19"/>
  <c r="E1320" i="19"/>
  <c r="E1321" i="19"/>
  <c r="E1322" i="19"/>
  <c r="E1323" i="19"/>
  <c r="E1324" i="19"/>
  <c r="E1325" i="19"/>
  <c r="E1326" i="19"/>
  <c r="E1327" i="19"/>
  <c r="E1328" i="19"/>
  <c r="E1329" i="19"/>
  <c r="E1330" i="19"/>
  <c r="E1331" i="19"/>
  <c r="E1332" i="19"/>
  <c r="E1333" i="19"/>
  <c r="E1334" i="19"/>
  <c r="E1335" i="19"/>
  <c r="E1336" i="19"/>
  <c r="E1337" i="19"/>
  <c r="E1338" i="19"/>
  <c r="E1339" i="19"/>
  <c r="E1340" i="19"/>
  <c r="E1341" i="19"/>
  <c r="E1342" i="19"/>
  <c r="E1343" i="19"/>
  <c r="E1344" i="19"/>
  <c r="E1345" i="19"/>
  <c r="E1346" i="19"/>
  <c r="E1347" i="19"/>
  <c r="E1348" i="19"/>
  <c r="E1349" i="19"/>
  <c r="E1350" i="19"/>
  <c r="E1351" i="19"/>
  <c r="E1352" i="19"/>
  <c r="E1353" i="19"/>
  <c r="E1354" i="19"/>
  <c r="E1355" i="19"/>
  <c r="E1356" i="19"/>
  <c r="E1357" i="19"/>
  <c r="E1358" i="19"/>
  <c r="E1359" i="19"/>
  <c r="E1360" i="19"/>
  <c r="E1361" i="19"/>
  <c r="E1362" i="19"/>
  <c r="E1363" i="19"/>
  <c r="E1364" i="19"/>
  <c r="E1365" i="19"/>
  <c r="E1366" i="19"/>
  <c r="E1367" i="19"/>
  <c r="E1368" i="19"/>
  <c r="E1369" i="19"/>
  <c r="E1370" i="19"/>
  <c r="E1371" i="19"/>
  <c r="E1372" i="19"/>
  <c r="E1373" i="19"/>
  <c r="E1374" i="19"/>
  <c r="E1375" i="19"/>
  <c r="E1376" i="19"/>
  <c r="E1377" i="19"/>
  <c r="E1378" i="19"/>
  <c r="E1379" i="19"/>
  <c r="E1380" i="19"/>
  <c r="E1381" i="19"/>
  <c r="E1382" i="19"/>
  <c r="E1383" i="19"/>
  <c r="E1384" i="19"/>
  <c r="E1385" i="19"/>
  <c r="E1386" i="19"/>
  <c r="E1387" i="19"/>
  <c r="E1388" i="19"/>
  <c r="E1389" i="19"/>
  <c r="E1390" i="19"/>
  <c r="E1391" i="19"/>
  <c r="E1392" i="19"/>
  <c r="E1393" i="19"/>
  <c r="E1394" i="19"/>
  <c r="E1395" i="19"/>
  <c r="E1396" i="19"/>
  <c r="E1397" i="19"/>
  <c r="E1398" i="19"/>
  <c r="E1399" i="19"/>
  <c r="E1400" i="19"/>
  <c r="E1401" i="19"/>
  <c r="E1402" i="19"/>
  <c r="E1403" i="19"/>
  <c r="E1404" i="19"/>
  <c r="E1405" i="19"/>
  <c r="E1406" i="19"/>
  <c r="E1407" i="19"/>
  <c r="E1408" i="19"/>
  <c r="E1409" i="19"/>
  <c r="E1410" i="19"/>
  <c r="E1411" i="19"/>
  <c r="E1412" i="19"/>
  <c r="E1413" i="19"/>
  <c r="E1414" i="19"/>
  <c r="E1415" i="19"/>
  <c r="E1416" i="19"/>
  <c r="E1417" i="19"/>
  <c r="E1418" i="19"/>
  <c r="E1419" i="19"/>
  <c r="E1420" i="19"/>
  <c r="E1421" i="19"/>
  <c r="E1422" i="19"/>
  <c r="E1423" i="19"/>
  <c r="E1424" i="19"/>
  <c r="E1425" i="19"/>
  <c r="E1426" i="19"/>
  <c r="E1427" i="19"/>
  <c r="E1428" i="19"/>
  <c r="E1429" i="19"/>
  <c r="E1430" i="19"/>
  <c r="E1431" i="19"/>
  <c r="E1432" i="19"/>
  <c r="E1433" i="19"/>
  <c r="E1434" i="19"/>
  <c r="E1435" i="19"/>
  <c r="E1436" i="19"/>
  <c r="E1437" i="19"/>
  <c r="E1438" i="19"/>
  <c r="E1439" i="19"/>
  <c r="E1440" i="19"/>
  <c r="E1441" i="19"/>
  <c r="E1442" i="19"/>
  <c r="E1443" i="19"/>
  <c r="E1444" i="19"/>
  <c r="E1445" i="19"/>
  <c r="E1446" i="19"/>
  <c r="E1447" i="19"/>
  <c r="E1448" i="19"/>
  <c r="E1449" i="19"/>
  <c r="E1450" i="19"/>
  <c r="E1451" i="19"/>
  <c r="E1452" i="19"/>
  <c r="E1453" i="19"/>
  <c r="E1454" i="19"/>
  <c r="E1455" i="19"/>
  <c r="E1456" i="19"/>
  <c r="E1457" i="19"/>
  <c r="E1458" i="19"/>
  <c r="E1459" i="19"/>
  <c r="E1460" i="19"/>
  <c r="E1461" i="19"/>
  <c r="E1462" i="19"/>
  <c r="E1463" i="19"/>
  <c r="E1464" i="19"/>
  <c r="E1465" i="19"/>
  <c r="E1466" i="19"/>
  <c r="E1467" i="19"/>
  <c r="E1468" i="19"/>
  <c r="E1469" i="19"/>
  <c r="E1470" i="19"/>
  <c r="E1471" i="19"/>
  <c r="E1472" i="19"/>
  <c r="E1473" i="19"/>
  <c r="E1474" i="19"/>
  <c r="E1475" i="19"/>
  <c r="E1476" i="19"/>
  <c r="E1477" i="19"/>
  <c r="E1478" i="19"/>
  <c r="E1479" i="19"/>
  <c r="E1480" i="19"/>
  <c r="E1481" i="19"/>
  <c r="E1482" i="19"/>
  <c r="E1483" i="19"/>
  <c r="E1484" i="19"/>
  <c r="E1485" i="19"/>
  <c r="E1486" i="19"/>
  <c r="E1487" i="19"/>
  <c r="E1488" i="19"/>
  <c r="E1489" i="19"/>
  <c r="E1490" i="19"/>
  <c r="E1491" i="19"/>
  <c r="E1492" i="19"/>
  <c r="E1493" i="19"/>
  <c r="E1494" i="19"/>
  <c r="E1495" i="19"/>
  <c r="E1496" i="19"/>
  <c r="E1497" i="19"/>
  <c r="E1498" i="19"/>
  <c r="E1499" i="19"/>
  <c r="E1500" i="19"/>
  <c r="E1501" i="19"/>
  <c r="E1502" i="19"/>
  <c r="E1503" i="19"/>
  <c r="E1504" i="19"/>
  <c r="E1505" i="19"/>
  <c r="E1506" i="19"/>
  <c r="E1507" i="19"/>
  <c r="E1508" i="19"/>
  <c r="E1509" i="19"/>
  <c r="E1510" i="19"/>
  <c r="E1511" i="19"/>
  <c r="E1512" i="19"/>
  <c r="E1513" i="19"/>
  <c r="E1514" i="19"/>
  <c r="E1515" i="19"/>
  <c r="E1516" i="19"/>
  <c r="E1517" i="19"/>
  <c r="E1518" i="19"/>
  <c r="E1519" i="19"/>
  <c r="E1520" i="19"/>
  <c r="E1521" i="19"/>
  <c r="E1522" i="19"/>
  <c r="E1523" i="19"/>
  <c r="E1524" i="19"/>
  <c r="E1525" i="19"/>
  <c r="E1526" i="19"/>
  <c r="E1527" i="19"/>
  <c r="E1528" i="19"/>
  <c r="E1529" i="19"/>
  <c r="E1530" i="19"/>
  <c r="E1531" i="19"/>
  <c r="E1532" i="19"/>
  <c r="E1533" i="19"/>
  <c r="E1534" i="19"/>
  <c r="E1535" i="19"/>
  <c r="E1536" i="19"/>
  <c r="E1537" i="19"/>
  <c r="E1538" i="19"/>
  <c r="E1539" i="19"/>
  <c r="E1540" i="19"/>
  <c r="E1541" i="19"/>
  <c r="E1542" i="19"/>
  <c r="E1543" i="19"/>
  <c r="E1544" i="19"/>
  <c r="E1545" i="19"/>
  <c r="E1546" i="19"/>
  <c r="E1547" i="19"/>
  <c r="E1548" i="19"/>
  <c r="E1549" i="19"/>
  <c r="E1550" i="19"/>
  <c r="E1551" i="19"/>
  <c r="E1552" i="19"/>
  <c r="E1553" i="19"/>
  <c r="E1554" i="19"/>
  <c r="E1555" i="19"/>
  <c r="E1556" i="19"/>
  <c r="E1557" i="19"/>
  <c r="E1558" i="19"/>
  <c r="E1559" i="19"/>
  <c r="E1560" i="19"/>
  <c r="E1561" i="19"/>
  <c r="E1562" i="19"/>
  <c r="E1563" i="19"/>
  <c r="E1564" i="19"/>
  <c r="E1565" i="19"/>
  <c r="E1566" i="19"/>
  <c r="E1567" i="19"/>
  <c r="E1568" i="19"/>
  <c r="E1569" i="19"/>
  <c r="E1570" i="19"/>
  <c r="E1571" i="19"/>
  <c r="E1572" i="19"/>
  <c r="E1573" i="19"/>
  <c r="E1574" i="19"/>
  <c r="E1575" i="19"/>
  <c r="E1576" i="19"/>
  <c r="E1577" i="19"/>
  <c r="E1578" i="19"/>
  <c r="E1579" i="19"/>
  <c r="E1580" i="19"/>
  <c r="E1581" i="19"/>
  <c r="E1582" i="19"/>
  <c r="E1583" i="19"/>
  <c r="E1584" i="19"/>
  <c r="E1585" i="19"/>
  <c r="E1586" i="19"/>
  <c r="E1587" i="19"/>
  <c r="E1588" i="19"/>
  <c r="E1589" i="19"/>
  <c r="E1590" i="19"/>
  <c r="E1591" i="19"/>
  <c r="E1592" i="19"/>
  <c r="E1593" i="19"/>
  <c r="E1594" i="19"/>
  <c r="E1595" i="19"/>
  <c r="E1596" i="19"/>
  <c r="E1597" i="19"/>
  <c r="E1598" i="19"/>
  <c r="E1599" i="19"/>
  <c r="E1600" i="19"/>
  <c r="E1601" i="19"/>
  <c r="E1602" i="19"/>
  <c r="E1603" i="19"/>
  <c r="E1604" i="19"/>
  <c r="E1605" i="19"/>
  <c r="E1606" i="19"/>
  <c r="E1607" i="19"/>
  <c r="E1608" i="19"/>
  <c r="E1609" i="19"/>
  <c r="E1610" i="19"/>
  <c r="E1611" i="19"/>
  <c r="E1612" i="19"/>
  <c r="E1613" i="19"/>
  <c r="E1614" i="19"/>
  <c r="E1615" i="19"/>
  <c r="E1616" i="19"/>
  <c r="E1617" i="19"/>
  <c r="E1618" i="19"/>
  <c r="E1619" i="19"/>
  <c r="E1620" i="19"/>
  <c r="E1621" i="19"/>
  <c r="E1622" i="19"/>
  <c r="E1623" i="19"/>
  <c r="E1624" i="19"/>
  <c r="E1625" i="19"/>
  <c r="E1626" i="19"/>
  <c r="E1627" i="19"/>
  <c r="E1628" i="19"/>
  <c r="E1629" i="19"/>
  <c r="E1630" i="19"/>
  <c r="E1631" i="19"/>
  <c r="E1632" i="19"/>
  <c r="E1633" i="19"/>
  <c r="E1634" i="19"/>
  <c r="E1635" i="19"/>
  <c r="E1636" i="19"/>
  <c r="E1637" i="19"/>
  <c r="E1638" i="19"/>
  <c r="E1639" i="19"/>
  <c r="E1640" i="19"/>
  <c r="E1641" i="19"/>
  <c r="E1642" i="19"/>
  <c r="E1643" i="19"/>
  <c r="E1644" i="19"/>
  <c r="E1645" i="19"/>
  <c r="E1646" i="19"/>
  <c r="E1647" i="19"/>
  <c r="E1648" i="19"/>
  <c r="E1649" i="19"/>
  <c r="E1650" i="19"/>
  <c r="E1651" i="19"/>
  <c r="E1652" i="19"/>
  <c r="E1653" i="19"/>
  <c r="E1654" i="19"/>
  <c r="E1655" i="19"/>
  <c r="E1656" i="19"/>
  <c r="E1657" i="19"/>
  <c r="E1658" i="19"/>
  <c r="E1659" i="19"/>
  <c r="E1660" i="19"/>
  <c r="E1661" i="19"/>
  <c r="E1662" i="19"/>
  <c r="E1663" i="19"/>
  <c r="E1664" i="19"/>
  <c r="E1665" i="19"/>
  <c r="E1666" i="19"/>
  <c r="E1667" i="19"/>
  <c r="E1668" i="19"/>
  <c r="E1669" i="19"/>
  <c r="E1670" i="19"/>
  <c r="E1671" i="19"/>
  <c r="E1672" i="19"/>
  <c r="E1673" i="19"/>
  <c r="E1674" i="19"/>
  <c r="E1675" i="19"/>
  <c r="E1676" i="19"/>
  <c r="E1677" i="19"/>
  <c r="E1678" i="19"/>
  <c r="E1679" i="19"/>
  <c r="E1680" i="19"/>
  <c r="E1681" i="19"/>
  <c r="E1682" i="19"/>
  <c r="E1683" i="19"/>
  <c r="E1684" i="19"/>
  <c r="E1685" i="19"/>
  <c r="E1686" i="19"/>
  <c r="E1687" i="19"/>
  <c r="E1688" i="19"/>
  <c r="E1689" i="19"/>
  <c r="E1690" i="19"/>
  <c r="E1691" i="19"/>
  <c r="E1692" i="19"/>
  <c r="E1693" i="19"/>
  <c r="E1694" i="19"/>
  <c r="E1695" i="19"/>
  <c r="E1696" i="19"/>
  <c r="E1697" i="19"/>
  <c r="E1698" i="19"/>
  <c r="E1699" i="19"/>
  <c r="E1700" i="19"/>
  <c r="E1701" i="19"/>
  <c r="E1702" i="19"/>
  <c r="E1703" i="19"/>
  <c r="E1704" i="19"/>
  <c r="E1705" i="19"/>
  <c r="E1706" i="19"/>
  <c r="E1707" i="19"/>
  <c r="E1708" i="19"/>
  <c r="E1709" i="19"/>
  <c r="E1710" i="19"/>
  <c r="E1711" i="19"/>
  <c r="E1712" i="19"/>
  <c r="E1713" i="19"/>
  <c r="E1714" i="19"/>
  <c r="E1715" i="19"/>
  <c r="E1716" i="19"/>
  <c r="E1717" i="19"/>
  <c r="E1718" i="19"/>
  <c r="E1719" i="19"/>
  <c r="E1720" i="19"/>
  <c r="E1721" i="19"/>
  <c r="E1722" i="19"/>
  <c r="E1723" i="19"/>
  <c r="E1724" i="19"/>
  <c r="E1725" i="19"/>
  <c r="E1726" i="19"/>
  <c r="E1727" i="19"/>
  <c r="E1728" i="19"/>
  <c r="E1729" i="19"/>
  <c r="E1730" i="19"/>
  <c r="E1731" i="19"/>
  <c r="E1732" i="19"/>
  <c r="E1733" i="19"/>
  <c r="E1734" i="19"/>
  <c r="E1735" i="19"/>
  <c r="E1736" i="19"/>
  <c r="E1737" i="19"/>
  <c r="E1738" i="19"/>
  <c r="E1739" i="19"/>
  <c r="E1740" i="19"/>
  <c r="E1741" i="19"/>
  <c r="E1742" i="19"/>
  <c r="E1743" i="19"/>
  <c r="E1744" i="19"/>
  <c r="E1745" i="19"/>
  <c r="E1746" i="19"/>
  <c r="E1747" i="19"/>
  <c r="E1748" i="19"/>
  <c r="E1749" i="19"/>
  <c r="E1750" i="19"/>
  <c r="E1751" i="19"/>
  <c r="E1752" i="19"/>
  <c r="E1753" i="19"/>
  <c r="E1754" i="19"/>
  <c r="E1755" i="19"/>
  <c r="E1756" i="19"/>
  <c r="E1757" i="19"/>
  <c r="E1758" i="19"/>
  <c r="E1759" i="19"/>
  <c r="E1760" i="19"/>
  <c r="E1761" i="19"/>
  <c r="E1762" i="19"/>
  <c r="E1763" i="19"/>
  <c r="E1764" i="19"/>
  <c r="E1765" i="19"/>
  <c r="E1766" i="19"/>
  <c r="E1767" i="19"/>
  <c r="E1768" i="19"/>
  <c r="E1769" i="19"/>
  <c r="E1770" i="19"/>
  <c r="E1771" i="19"/>
  <c r="E1772" i="19"/>
  <c r="E1773" i="19"/>
  <c r="E1774" i="19"/>
  <c r="E1775" i="19"/>
  <c r="E1776" i="19"/>
  <c r="E1777" i="19"/>
  <c r="E1778" i="19"/>
  <c r="E1779" i="19"/>
  <c r="E1780" i="19"/>
  <c r="E1781" i="19"/>
  <c r="E1782" i="19"/>
  <c r="E1783" i="19"/>
  <c r="E1784" i="19"/>
  <c r="E1785" i="19"/>
  <c r="E1786" i="19"/>
  <c r="E1787" i="19"/>
  <c r="E1788" i="19"/>
  <c r="E1789" i="19"/>
  <c r="E1790" i="19"/>
  <c r="E1791" i="19"/>
  <c r="E1792" i="19"/>
  <c r="E1793" i="19"/>
  <c r="E1794" i="19"/>
  <c r="E1795" i="19"/>
  <c r="E1796" i="19"/>
  <c r="E1797" i="19"/>
  <c r="E1798" i="19"/>
  <c r="E1799" i="19"/>
  <c r="E1800" i="19"/>
  <c r="E1801" i="19"/>
  <c r="E1802" i="19"/>
  <c r="E1803" i="19"/>
  <c r="E1804" i="19"/>
  <c r="E1805" i="19"/>
  <c r="E1806" i="19"/>
  <c r="E1807" i="19"/>
  <c r="E1808" i="19"/>
  <c r="E1809" i="19"/>
  <c r="E1810" i="19"/>
  <c r="E1811" i="19"/>
  <c r="E1812" i="19"/>
  <c r="E1813" i="19"/>
  <c r="E1814" i="19"/>
  <c r="E1815" i="19"/>
  <c r="E1816" i="19"/>
  <c r="E1817" i="19"/>
  <c r="E1818" i="19"/>
  <c r="E1819" i="19"/>
  <c r="E1820" i="19"/>
  <c r="E1821" i="19"/>
  <c r="E1822" i="19"/>
  <c r="E1823" i="19"/>
  <c r="E1824" i="19"/>
  <c r="E1825" i="19"/>
  <c r="E1826" i="19"/>
  <c r="E1827" i="19"/>
  <c r="E1828" i="19"/>
  <c r="E1829" i="19"/>
  <c r="E1830" i="19"/>
  <c r="E1831" i="19"/>
  <c r="E1832" i="19"/>
  <c r="E1833" i="19"/>
  <c r="E1834" i="19"/>
  <c r="E1835" i="19"/>
  <c r="E1836" i="19"/>
  <c r="E1837" i="19"/>
  <c r="E1838" i="19"/>
  <c r="E1839" i="19"/>
  <c r="E1840" i="19"/>
  <c r="E1841" i="19"/>
  <c r="E1842" i="19"/>
  <c r="E1843" i="19"/>
  <c r="E1844" i="19"/>
  <c r="E1845" i="19"/>
  <c r="E1846" i="19"/>
  <c r="E1847" i="19"/>
  <c r="E1848" i="19"/>
  <c r="E1849" i="19"/>
  <c r="E1850" i="19"/>
  <c r="E1851" i="19"/>
  <c r="E1852" i="19"/>
  <c r="E1853" i="19"/>
  <c r="E1854" i="19"/>
  <c r="E1855" i="19"/>
  <c r="E1856" i="19"/>
  <c r="E1857" i="19"/>
  <c r="E1858" i="19"/>
  <c r="E1859" i="19"/>
  <c r="E1860" i="19"/>
  <c r="E1861" i="19"/>
  <c r="E1862" i="19"/>
  <c r="E1863" i="19"/>
  <c r="E1864" i="19"/>
  <c r="E1865" i="19"/>
  <c r="E1866" i="19"/>
  <c r="E1867" i="19"/>
  <c r="E1868" i="19"/>
  <c r="E1869" i="19"/>
  <c r="E1870" i="19"/>
  <c r="E1871" i="19"/>
  <c r="E1872" i="19"/>
  <c r="E1873" i="19"/>
  <c r="E1874" i="19"/>
  <c r="E1875" i="19"/>
  <c r="E1876" i="19"/>
  <c r="E1877" i="19"/>
  <c r="E1878" i="19"/>
  <c r="E1879" i="19"/>
  <c r="E1880" i="19"/>
  <c r="E1881" i="19"/>
  <c r="E1882" i="19"/>
  <c r="E1883" i="19"/>
  <c r="E1884" i="19"/>
  <c r="E1885" i="19"/>
  <c r="E1886" i="19"/>
  <c r="E1887" i="19"/>
  <c r="E1888" i="19"/>
  <c r="E1889" i="19"/>
  <c r="E1890" i="19"/>
  <c r="E1891" i="19"/>
  <c r="E1892" i="19"/>
  <c r="E1893" i="19"/>
  <c r="E1894" i="19"/>
  <c r="E1895" i="19"/>
  <c r="E1896" i="19"/>
  <c r="E1897" i="19"/>
  <c r="E1898" i="19"/>
  <c r="E1899" i="19"/>
  <c r="E1900" i="19"/>
  <c r="E1901" i="19"/>
  <c r="E1902" i="19"/>
  <c r="E1903" i="19"/>
  <c r="E1904" i="19"/>
  <c r="E1905" i="19"/>
  <c r="E1906" i="19"/>
  <c r="E1907" i="19"/>
  <c r="E1908" i="19"/>
  <c r="E1909" i="19"/>
  <c r="E1910" i="19"/>
  <c r="E1911" i="19"/>
  <c r="E1912" i="19"/>
  <c r="E1913" i="19"/>
  <c r="E1914" i="19"/>
  <c r="E1915" i="19"/>
  <c r="E1916" i="19"/>
  <c r="E1917" i="19"/>
  <c r="E1918" i="19"/>
  <c r="E1919" i="19"/>
  <c r="E1920" i="19"/>
  <c r="E1921" i="19"/>
  <c r="E1922" i="19"/>
  <c r="E1923" i="19"/>
  <c r="E1924" i="19"/>
  <c r="E1925" i="19"/>
  <c r="E1926" i="19"/>
  <c r="E1927" i="19"/>
  <c r="E1928" i="19"/>
  <c r="E1929" i="19"/>
  <c r="E1930" i="19"/>
  <c r="E1931" i="19"/>
  <c r="E1932" i="19"/>
  <c r="E1933" i="19"/>
  <c r="E1934" i="19"/>
  <c r="E1935" i="19"/>
  <c r="E1936" i="19"/>
  <c r="E1937" i="19"/>
  <c r="E1938" i="19"/>
  <c r="E1939" i="19"/>
  <c r="E1940" i="19"/>
  <c r="E1941" i="19"/>
  <c r="E1942" i="19"/>
  <c r="E1943" i="19"/>
  <c r="E1944" i="19"/>
  <c r="E1945" i="19"/>
  <c r="E1946" i="19"/>
  <c r="E1947" i="19"/>
  <c r="E1948" i="19"/>
  <c r="E1949" i="19"/>
  <c r="E1950" i="19"/>
  <c r="E1951" i="19"/>
  <c r="E1952" i="19"/>
  <c r="E1953" i="19"/>
  <c r="E1954" i="19"/>
  <c r="E1955" i="19"/>
  <c r="E1956" i="19"/>
  <c r="E1957" i="19"/>
  <c r="E1958" i="19"/>
  <c r="E1959" i="19"/>
  <c r="E1960" i="19"/>
  <c r="E1961" i="19"/>
  <c r="E196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592368-53B2-4530-B60B-A831E2E4A719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AE5752A3-514D-419D-A944-D6FDB15AB6BA}" keepAlive="1" name="Consulta - Orçado" type="5" refreshedVersion="0" deleted="1" background="1" saveData="1">
    <dbPr connection="" command=""/>
  </connection>
  <connection id="3" xr16:uid="{27CC20FC-2677-47EF-AA2A-8263FA81A1FA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D6C5C050-9D33-47E2-8DBB-D440B03D579E}" keepAlive="1" name="Consulta - Projeção - Ton  Movimentação" description="Conexão com a consulta 'Projeção - Ton  Movimentação' na pasta de trabalho." type="5" refreshedVersion="8" background="1" saveData="1">
    <dbPr connection="Provider=Microsoft.Mashup.OleDb.1;Data Source=$Workbook$;Location=&quot;Projeção - Ton  Movimentação&quot;;Extended Properties=&quot;&quot;" command="SELECT * FROM [Projeção - Ton  Movimentação]"/>
  </connection>
  <connection id="5" xr16:uid="{A1D1FFF7-5EDB-4B6E-833D-7E2D3B5616C8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6" xr16:uid="{F20B3E95-22EA-49A5-B021-942FA9EB0E83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<sst xmlns="http://schemas.openxmlformats.org/spreadsheetml/2006/main" count="29365" uniqueCount="302">
  <si>
    <t>Produtos</t>
  </si>
  <si>
    <t>Grupo</t>
  </si>
  <si>
    <t>Densidade M³</t>
  </si>
  <si>
    <t>Grupo dados</t>
  </si>
  <si>
    <t>Aquecidos</t>
  </si>
  <si>
    <t>Biocombustíveis</t>
  </si>
  <si>
    <t>Derivados</t>
  </si>
  <si>
    <t>Metanol</t>
  </si>
  <si>
    <t>Óleo Vegetal</t>
  </si>
  <si>
    <t>Outros</t>
  </si>
  <si>
    <t>ÁCIDO GRAXO</t>
  </si>
  <si>
    <t>BIODIESEL DE SEBO</t>
  </si>
  <si>
    <t>ALCOOL ETILICO ANIDRO</t>
  </si>
  <si>
    <t>AROMATICO PESADO</t>
  </si>
  <si>
    <t>ALCOOL METILICO</t>
  </si>
  <si>
    <t>BYPASS</t>
  </si>
  <si>
    <t>ALIMET</t>
  </si>
  <si>
    <t>ACOSTAGEM</t>
  </si>
  <si>
    <t>Acostagem</t>
  </si>
  <si>
    <t>ESTEARINA DE PALMA RBD</t>
  </si>
  <si>
    <t>ALCOOL ETILICO HIDRATADO</t>
  </si>
  <si>
    <t>DERIVADOS</t>
  </si>
  <si>
    <t>METANOL</t>
  </si>
  <si>
    <t>OLEO DE ALGODAO</t>
  </si>
  <si>
    <t>DESAFIO</t>
  </si>
  <si>
    <t>ESTEARINA DE PALMISTE</t>
  </si>
  <si>
    <t>BIODIESEL</t>
  </si>
  <si>
    <t>DERIVADOS DE PETRÓLEO</t>
  </si>
  <si>
    <t>METHANOL</t>
  </si>
  <si>
    <t>OLEO DE GIRASSOL</t>
  </si>
  <si>
    <t>DIETILENO GLICOL</t>
  </si>
  <si>
    <t>ÁGUARRAS MINERAL</t>
  </si>
  <si>
    <t>MELAÇO DE CANA</t>
  </si>
  <si>
    <t>ETANOL</t>
  </si>
  <si>
    <t>DIESEL</t>
  </si>
  <si>
    <t>ÓLEO DE GIRASSOL</t>
  </si>
  <si>
    <t>DIETILENO GLICOL (DEG)</t>
  </si>
  <si>
    <t>OLEINA DE PALMA</t>
  </si>
  <si>
    <t>DIESEL S10</t>
  </si>
  <si>
    <t>OLEO DE MILHO</t>
  </si>
  <si>
    <t>FERTILIZANTE LIQUIDO</t>
  </si>
  <si>
    <t>OLEO DE PALMA</t>
  </si>
  <si>
    <t>DIESEL S500</t>
  </si>
  <si>
    <t>OLEO DE MILHO BRUTO DEGOM</t>
  </si>
  <si>
    <t>FERTILIZANTE LIQUIDO (UAN</t>
  </si>
  <si>
    <t>Soda Caustica</t>
  </si>
  <si>
    <t>ÓLEO DE PALMA</t>
  </si>
  <si>
    <t>FERRO</t>
  </si>
  <si>
    <t>OLEO DE SOJA BRUTO</t>
  </si>
  <si>
    <t>GLICERINA</t>
  </si>
  <si>
    <t>OLEO DE PALMA BRUTO</t>
  </si>
  <si>
    <t>GASOLINA</t>
  </si>
  <si>
    <t>OLEO DE SOJA BRUTO DEGOMA</t>
  </si>
  <si>
    <t>LISINA</t>
  </si>
  <si>
    <t>OLEO DE PALMISTE</t>
  </si>
  <si>
    <t>MTBE</t>
  </si>
  <si>
    <t>OLEO DE SOJA REFINADO</t>
  </si>
  <si>
    <t>METILATO DE SÓDIO</t>
  </si>
  <si>
    <t>ÓLEO DE PALMISTE</t>
  </si>
  <si>
    <t>NAFTA</t>
  </si>
  <si>
    <t>OLEO DE CANOLA</t>
  </si>
  <si>
    <t>METILATO DE SODIO 30%</t>
  </si>
  <si>
    <t>OLEO DE PALMISTE BRUTO</t>
  </si>
  <si>
    <t>NAFTA BAIXA OCTANAGEM</t>
  </si>
  <si>
    <t>ÓLEO DE SOJA REFINADO</t>
  </si>
  <si>
    <t>METILTIO</t>
  </si>
  <si>
    <t>OLEOS AQUECIDOS</t>
  </si>
  <si>
    <t>OLEO DIESEL S10</t>
  </si>
  <si>
    <t>METILTIO BUTANOICO ACIDO</t>
  </si>
  <si>
    <t>PALMA</t>
  </si>
  <si>
    <t>OLEO DIESEL S500</t>
  </si>
  <si>
    <t>OLEFINAS</t>
  </si>
  <si>
    <t>PALMA BRUTA</t>
  </si>
  <si>
    <t>REFORMADO PESADO</t>
  </si>
  <si>
    <t>OUTROS</t>
  </si>
  <si>
    <t>PALMA REFINADA</t>
  </si>
  <si>
    <t>XILENO MISTO</t>
  </si>
  <si>
    <t>RHODIMET GRANEL</t>
  </si>
  <si>
    <t>PALMA/PALMISTE</t>
  </si>
  <si>
    <t>SODA CAUSTICA</t>
  </si>
  <si>
    <t>PALMA/PALMISTE/ESTEARINA</t>
  </si>
  <si>
    <t>SODA CAUSTICA DIAFRAGMA</t>
  </si>
  <si>
    <t>PALMISTE</t>
  </si>
  <si>
    <t>SODA CAUSTICA LIQMEMBRANA</t>
  </si>
  <si>
    <t>SEBO BOVINO</t>
  </si>
  <si>
    <t>TEREBINTINA</t>
  </si>
  <si>
    <t>ESTEARINA PALMA/PALMISTE</t>
  </si>
  <si>
    <t>FENOL</t>
  </si>
  <si>
    <t xml:space="preserve">G A V   </t>
  </si>
  <si>
    <t>ÁLCOOL ETIL. DESNAT.</t>
  </si>
  <si>
    <t>GORDURA ANIMAL</t>
  </si>
  <si>
    <t>GORDURA SUÍNA</t>
  </si>
  <si>
    <t>HEXANO COML.</t>
  </si>
  <si>
    <t>LECITINA DE SOJA</t>
  </si>
  <si>
    <t>METILTIO BUTANOICO/Lisina</t>
  </si>
  <si>
    <t>ÓLEO CONDENSADO</t>
  </si>
  <si>
    <t>OLEFINA</t>
  </si>
  <si>
    <t>ÓLEINA DE PALMA/PALMISTE</t>
  </si>
  <si>
    <t>ÓLEO DE CANOLA</t>
  </si>
  <si>
    <t>ÓLEO DE TUNGUE</t>
  </si>
  <si>
    <t>ÓLEO DIESEL</t>
  </si>
  <si>
    <t>Q A V -  1</t>
  </si>
  <si>
    <t>RODHIMET/ALIMET/LISINA</t>
  </si>
  <si>
    <t>TALL OIL</t>
  </si>
  <si>
    <t>PRODUTO</t>
  </si>
  <si>
    <t>ÓLEO DE SOJA</t>
  </si>
  <si>
    <t>ÓLEO DE ALGODÃO</t>
  </si>
  <si>
    <t>ÓLEO DE MILHO</t>
  </si>
  <si>
    <t xml:space="preserve">ÓLEO DE PALMA </t>
  </si>
  <si>
    <t>OLEINA DE PALMA/PALMISTE</t>
  </si>
  <si>
    <t>ÁLCOOL ETIL. HIDRATADO</t>
  </si>
  <si>
    <t>ÁLCOOL ETIL. ANIDRO</t>
  </si>
  <si>
    <t>TEREBENTINA</t>
  </si>
  <si>
    <t>METILATO SÓDIO</t>
  </si>
  <si>
    <t>RHODIMET/ALIMET/LISINA</t>
  </si>
  <si>
    <t>SODA CÁUSTICA</t>
  </si>
  <si>
    <t>Óleo de Soja</t>
  </si>
  <si>
    <t>Óleo Veg.</t>
  </si>
  <si>
    <t>Biodiesel</t>
  </si>
  <si>
    <t>Álcool</t>
  </si>
  <si>
    <t>DIESEL/GASOLINA</t>
  </si>
  <si>
    <t>ÁLCOOL</t>
  </si>
  <si>
    <t>ÓLEO VEGETAL</t>
  </si>
  <si>
    <t>AQUECIDOS</t>
  </si>
  <si>
    <t>METILATO</t>
  </si>
  <si>
    <t>ANO</t>
  </si>
  <si>
    <t>MÊS</t>
  </si>
  <si>
    <t>GRUPO DE PRODUTOS</t>
  </si>
  <si>
    <t xml:space="preserve">Janeiro </t>
  </si>
  <si>
    <t>Rótulos de Coluna</t>
  </si>
  <si>
    <t>Total Geral</t>
  </si>
  <si>
    <t>Rótulos de Linha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</si>
  <si>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</si>
  <si>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</si>
  <si>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</si>
  <si>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</si>
  <si>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</si>
  <si>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</si>
  <si>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</si>
  <si>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</si>
  <si>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</si>
  <si>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</si>
  <si>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</si>
  <si>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</si>
  <si>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(Tudo)</t>
  </si>
  <si>
    <t xml:space="preserve">PRODUTO </t>
  </si>
  <si>
    <t xml:space="preserve">EXERCÍCIO </t>
  </si>
  <si>
    <t xml:space="preserve">VEGETAIS </t>
  </si>
  <si>
    <t>ÁLCOOIS</t>
  </si>
  <si>
    <t>COMBUSTÍVEIS</t>
  </si>
  <si>
    <t>QUÍMICOS</t>
  </si>
  <si>
    <t xml:space="preserve"> T  O T A L  (KGS)</t>
  </si>
  <si>
    <t>%</t>
  </si>
  <si>
    <t>ACUMULADO</t>
  </si>
  <si>
    <t>Cliente</t>
  </si>
  <si>
    <t>Adisseo</t>
  </si>
  <si>
    <t>Bunge</t>
  </si>
  <si>
    <t>ADM</t>
  </si>
  <si>
    <t>Ipiranga</t>
  </si>
  <si>
    <t>Raizen</t>
  </si>
  <si>
    <t>Vibra</t>
  </si>
  <si>
    <t>Sul Plata</t>
  </si>
  <si>
    <t>JBS</t>
  </si>
  <si>
    <t>Tricon</t>
  </si>
  <si>
    <t>Braskem</t>
  </si>
  <si>
    <t>BRF</t>
  </si>
  <si>
    <t>Cargill</t>
  </si>
  <si>
    <t>Pool</t>
  </si>
  <si>
    <t>Pool Excedente</t>
  </si>
  <si>
    <t>Methanex</t>
  </si>
  <si>
    <t>Mitsubishi</t>
  </si>
  <si>
    <t>Valenz</t>
  </si>
  <si>
    <t>Evonik</t>
  </si>
  <si>
    <t>YPF</t>
  </si>
  <si>
    <t>Celena</t>
  </si>
  <si>
    <t>AAK</t>
  </si>
  <si>
    <t>Agropalma</t>
  </si>
  <si>
    <t>Brenntag</t>
  </si>
  <si>
    <t>Olin</t>
  </si>
  <si>
    <t>BSBIOS</t>
  </si>
  <si>
    <t>Trichem</t>
  </si>
  <si>
    <t>Coamo</t>
  </si>
  <si>
    <t>Atem</t>
  </si>
  <si>
    <t>XILENO</t>
  </si>
  <si>
    <t>Ingredion</t>
  </si>
  <si>
    <t>Ciapetro</t>
  </si>
  <si>
    <t>OQ</t>
  </si>
  <si>
    <t>Tereos/Inpasa/Glencore/FS</t>
  </si>
  <si>
    <t>Ares</t>
  </si>
  <si>
    <t>ICOF</t>
  </si>
  <si>
    <t xml:space="preserve">Fevereiro </t>
  </si>
  <si>
    <t>GPC</t>
  </si>
  <si>
    <t>Inpasa</t>
  </si>
  <si>
    <t>Faturamento (R$)</t>
  </si>
  <si>
    <t>Soma de Faturamento (R$)</t>
  </si>
  <si>
    <t>Projesan</t>
  </si>
  <si>
    <t>SCC</t>
  </si>
  <si>
    <t>DRT</t>
  </si>
  <si>
    <t>Tereos/Inpasa/Glencore</t>
  </si>
  <si>
    <t>Adisseo Caminhão</t>
  </si>
  <si>
    <t>Greenergy</t>
  </si>
  <si>
    <t>Terrena</t>
  </si>
  <si>
    <t xml:space="preserve">FERTILIZANTE </t>
  </si>
  <si>
    <t>GTM</t>
  </si>
  <si>
    <t>Copape</t>
  </si>
  <si>
    <t>Fevererio</t>
  </si>
  <si>
    <t>BR</t>
  </si>
  <si>
    <t>Novus</t>
  </si>
  <si>
    <t>Hinove</t>
  </si>
  <si>
    <t>Movimentação(TON)</t>
  </si>
  <si>
    <t>maio</t>
  </si>
  <si>
    <t>junho</t>
  </si>
  <si>
    <t>julho</t>
  </si>
  <si>
    <t>agosto</t>
  </si>
  <si>
    <t>setembro</t>
  </si>
  <si>
    <t>outubro</t>
  </si>
  <si>
    <t>DadosExternos_1</t>
  </si>
  <si>
    <t>ID</t>
  </si>
  <si>
    <t>#</t>
  </si>
  <si>
    <t>CT</t>
  </si>
  <si>
    <t>Produto</t>
  </si>
  <si>
    <t>Column19</t>
  </si>
  <si>
    <t>Ano</t>
  </si>
  <si>
    <t>Atributo</t>
  </si>
  <si>
    <t>Valor</t>
  </si>
  <si>
    <t>CT-1</t>
  </si>
  <si>
    <t>janeiro</t>
  </si>
  <si>
    <t>fevereiro</t>
  </si>
  <si>
    <t>março</t>
  </si>
  <si>
    <t>abril</t>
  </si>
  <si>
    <t>novembro</t>
  </si>
  <si>
    <t>dezembro</t>
  </si>
  <si>
    <t>CT-2</t>
  </si>
  <si>
    <t>CT-3</t>
  </si>
  <si>
    <t>CT-4</t>
  </si>
  <si>
    <t>CT-4B</t>
  </si>
  <si>
    <t>Etanol Outros</t>
  </si>
  <si>
    <t>Forteza</t>
  </si>
  <si>
    <t>Prisma</t>
  </si>
  <si>
    <t>BSC</t>
  </si>
  <si>
    <t>FS</t>
  </si>
  <si>
    <t>Royal Fic</t>
  </si>
  <si>
    <t>Rodoil</t>
  </si>
  <si>
    <t>Art Petro</t>
  </si>
  <si>
    <t>Taurus</t>
  </si>
  <si>
    <t>Soda Cáustica</t>
  </si>
  <si>
    <t>Grupo de Cliente</t>
  </si>
  <si>
    <t>AAK DO BRASIL</t>
  </si>
  <si>
    <t>ADISSEO</t>
  </si>
  <si>
    <t>AGROPALMA</t>
  </si>
  <si>
    <t>ARES MERCHANTS PTE LIMITE</t>
  </si>
  <si>
    <t>ART PETRO</t>
  </si>
  <si>
    <t>ATEM</t>
  </si>
  <si>
    <t>BRASKEM</t>
  </si>
  <si>
    <t>BRENNTAG</t>
  </si>
  <si>
    <t>BSC QUIMICA</t>
  </si>
  <si>
    <t>BUNGE</t>
  </si>
  <si>
    <t>CARGILL</t>
  </si>
  <si>
    <t>CELENA</t>
  </si>
  <si>
    <t>CIAPETRO</t>
  </si>
  <si>
    <t>COAMO</t>
  </si>
  <si>
    <t>COPAPE</t>
  </si>
  <si>
    <t>ETANOL OUTROS</t>
  </si>
  <si>
    <t>EVONIK</t>
  </si>
  <si>
    <t>FORTEZA TRADING DMCC</t>
  </si>
  <si>
    <t>GREENENERGY</t>
  </si>
  <si>
    <t>HINOVE</t>
  </si>
  <si>
    <t>INGREDION</t>
  </si>
  <si>
    <t>INPASA</t>
  </si>
  <si>
    <t>IPIRANGA</t>
  </si>
  <si>
    <t>METHANEX</t>
  </si>
  <si>
    <t>MITSUBISHI</t>
  </si>
  <si>
    <t>NOVUS</t>
  </si>
  <si>
    <t>OLIN BLUE CUBE</t>
  </si>
  <si>
    <t>OQ TRADING</t>
  </si>
  <si>
    <t>POOL</t>
  </si>
  <si>
    <t>POOL EXCEDENTE</t>
  </si>
  <si>
    <t>PRISMA</t>
  </si>
  <si>
    <t>PROJESAN</t>
  </si>
  <si>
    <t>RAIZEN</t>
  </si>
  <si>
    <t>RODOOIL DISTRIBUIDORA</t>
  </si>
  <si>
    <t>ROYAL FIC</t>
  </si>
  <si>
    <t>SUL PLATA</t>
  </si>
  <si>
    <t>TAURUS</t>
  </si>
  <si>
    <t>TEREOS / INPASA / GLENCORE</t>
  </si>
  <si>
    <t>TEREOS / INPASA / GLENCORE / FS</t>
  </si>
  <si>
    <t>TERRENA</t>
  </si>
  <si>
    <t>TRICHEM</t>
  </si>
  <si>
    <t>TRICON ENERGY</t>
  </si>
  <si>
    <t>VALENZ</t>
  </si>
  <si>
    <t>VIBRA</t>
  </si>
  <si>
    <t>YPF SOCIEDAD ANONIMA</t>
  </si>
  <si>
    <t>Mês</t>
  </si>
  <si>
    <t>Vol_m3</t>
  </si>
  <si>
    <t>Adicione 0 Linha(s)</t>
  </si>
  <si>
    <t>TOTAL</t>
  </si>
  <si>
    <t>CT-4C</t>
  </si>
  <si>
    <t>GRUPO DE PRODUTO</t>
  </si>
  <si>
    <t>Grupo Cliente</t>
  </si>
  <si>
    <t>Movimentação(m³)</t>
  </si>
  <si>
    <t>VOL MOV</t>
  </si>
  <si>
    <t>OCUPA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</si>
</sst>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8"/>
      <name val="Arial"/>
    </font>
    <font>
      <b/>
      <sz val="7"/>
      <color rgb="FFFFFFFF"/>
      <name val="Montserrat Bold"/>
    </font>
    <font>
      <sz val="8"/>
      <color rgb="FF262626"/>
      <name val="Montserrat"/>
    </font>
    <font>
      <b/>
      <sz val="8"/>
      <color rgb="FF262626"/>
      <name val="Montserrat"/>
    </font>
    <font>
      <b/>
      <sz val="8"/>
      <color rgb="FF02204E"/>
      <name val="Montserrat"/>
    </font>
    <font>
      <b/>
      <sz val="10"/>
      <color rgb="FF02204E"/>
      <name val="Montserrat"/>
    </font>
    <font>
      <b/>
      <sz val="8"/>
      <color rgb="FFFFFFFF"/>
      <name val="Montserrat Bold"/>
    </font>
    <font>
      <b/>
      <sz val="9"/>
      <color rgb="FF02204E"/>
      <name val="Montserrat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Montserrat"/>
    </font>
    <font>
      <sz val="9"/>
      <name val="Montserrat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2204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DC50D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EEF2FF"/>
      </patternFill>
    </fill>
    <fill>
      <patternFill patternType="solid">
        <fgColor rgb="FF14204A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BFBFBF"/>
      </bottom>
      <diagonal/>
    </border>
    <border>
      <left style="medium">
        <color rgb="FFFFFFFF"/>
      </left>
      <right/>
      <top style="thick">
        <color rgb="FFFFFFFF"/>
      </top>
      <bottom style="medium">
        <color rgb="FFBFBFBF"/>
      </bottom>
      <diagonal/>
    </border>
    <border>
      <left/>
      <right/>
      <top style="thick">
        <color rgb="FFFFFFFF"/>
      </top>
      <bottom style="medium">
        <color rgb="FFBFBFBF"/>
      </bottom>
      <diagonal/>
    </border>
    <border>
      <left/>
      <right style="medium">
        <color rgb="FFFFFFFF"/>
      </right>
      <top style="thick">
        <color rgb="FFFFFFFF"/>
      </top>
      <bottom style="medium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BFBFBF"/>
      </top>
      <bottom style="medium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BFBFBF"/>
      </top>
      <bottom style="thick">
        <color rgb="FFFFFFFF"/>
      </bottom>
      <diagonal/>
    </border>
    <border>
      <left style="medium">
        <color rgb="FFFFFFF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left"/>
    </xf>
    <xf numFmtId="0" fontId="2" fillId="4" borderId="1" xfId="0" applyFont="1" applyFill="1" applyBorder="1"/>
    <xf numFmtId="0" fontId="0" fillId="0" borderId="1" xfId="0" applyBorder="1" applyAlignment="1">
      <alignment horizontal="center"/>
    </xf>
    <xf numFmtId="0" fontId="0" fillId="4" borderId="0" xfId="0" applyFill="1"/>
    <xf numFmtId="0" fontId="0" fillId="4" borderId="1" xfId="0" quotePrefix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5" borderId="1" xfId="0" quotePrefix="1" applyFill="1" applyBorder="1" applyAlignment="1">
      <alignment horizontal="left"/>
    </xf>
    <xf numFmtId="0" fontId="4" fillId="4" borderId="2" xfId="1" applyFont="1" applyFill="1" applyBorder="1"/>
    <xf numFmtId="0" fontId="4" fillId="4" borderId="1" xfId="1" applyFont="1" applyFill="1" applyBorder="1"/>
    <xf numFmtId="0" fontId="0" fillId="4" borderId="2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3"/>
    <xf numFmtId="0" fontId="3" fillId="6" borderId="0" xfId="3" applyFill="1"/>
    <xf numFmtId="0" fontId="3" fillId="7" borderId="3" xfId="4" applyFont="1" applyFill="1" applyBorder="1" applyAlignment="1">
      <alignment horizontal="left"/>
    </xf>
    <xf numFmtId="0" fontId="2" fillId="3" borderId="0" xfId="0" applyFont="1" applyFill="1"/>
    <xf numFmtId="0" fontId="5" fillId="4" borderId="0" xfId="0" applyFont="1" applyFill="1"/>
    <xf numFmtId="0" fontId="0" fillId="6" borderId="0" xfId="0" applyFill="1"/>
    <xf numFmtId="0" fontId="2" fillId="3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164" fontId="0" fillId="0" borderId="0" xfId="0" applyNumberFormat="1"/>
    <xf numFmtId="0" fontId="0" fillId="0" borderId="0" xfId="0" pivotButton="1"/>
    <xf numFmtId="164" fontId="0" fillId="0" borderId="0" xfId="0" pivotButton="1" applyNumberFormat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3" fontId="9" fillId="0" borderId="9" xfId="0" applyNumberFormat="1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3" fontId="10" fillId="9" borderId="9" xfId="0" applyNumberFormat="1" applyFont="1" applyFill="1" applyBorder="1" applyAlignment="1">
      <alignment horizontal="center" vertical="center" wrapText="1" readingOrder="1"/>
    </xf>
    <xf numFmtId="3" fontId="11" fillId="9" borderId="9" xfId="0" applyNumberFormat="1" applyFont="1" applyFill="1" applyBorder="1" applyAlignment="1">
      <alignment horizontal="center" vertical="center" wrapText="1" readingOrder="1"/>
    </xf>
    <xf numFmtId="3" fontId="11" fillId="10" borderId="9" xfId="0" applyNumberFormat="1" applyFont="1" applyFill="1" applyBorder="1" applyAlignment="1">
      <alignment horizontal="center" vertical="center" wrapText="1" readingOrder="1"/>
    </xf>
    <xf numFmtId="10" fontId="11" fillId="10" borderId="9" xfId="0" applyNumberFormat="1" applyFont="1" applyFill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left" vertical="center" wrapText="1" readingOrder="1"/>
    </xf>
    <xf numFmtId="0" fontId="10" fillId="9" borderId="9" xfId="0" applyFont="1" applyFill="1" applyBorder="1" applyAlignment="1">
      <alignment horizontal="left" vertical="center" wrapText="1" readingOrder="1"/>
    </xf>
    <xf numFmtId="0" fontId="11" fillId="9" borderId="9" xfId="0" applyFont="1" applyFill="1" applyBorder="1" applyAlignment="1">
      <alignment horizontal="left" vertical="center" wrapText="1" readingOrder="1"/>
    </xf>
    <xf numFmtId="0" fontId="11" fillId="10" borderId="9" xfId="0" applyFont="1" applyFill="1" applyBorder="1" applyAlignment="1">
      <alignment horizontal="center" vertical="center" wrapText="1" readingOrder="1"/>
    </xf>
    <xf numFmtId="0" fontId="12" fillId="11" borderId="10" xfId="0" applyFont="1" applyFill="1" applyBorder="1" applyAlignment="1">
      <alignment horizontal="center" vertical="center" wrapText="1" readingOrder="1"/>
    </xf>
    <xf numFmtId="3" fontId="12" fillId="11" borderId="10" xfId="0" applyNumberFormat="1" applyFont="1" applyFill="1" applyBorder="1" applyAlignment="1">
      <alignment horizontal="center" vertical="center" wrapText="1" readingOrder="1"/>
    </xf>
    <xf numFmtId="0" fontId="13" fillId="8" borderId="9" xfId="0" applyFont="1" applyFill="1" applyBorder="1" applyAlignment="1">
      <alignment horizontal="center" vertical="center" wrapText="1" readingOrder="1"/>
    </xf>
    <xf numFmtId="10" fontId="14" fillId="10" borderId="9" xfId="0" applyNumberFormat="1" applyFont="1" applyFill="1" applyBorder="1" applyAlignment="1">
      <alignment horizontal="center" vertical="center" wrapText="1" readingOrder="1"/>
    </xf>
    <xf numFmtId="3" fontId="14" fillId="10" borderId="9" xfId="0" applyNumberFormat="1" applyFont="1" applyFill="1" applyBorder="1" applyAlignment="1">
      <alignment horizontal="center" vertical="center" wrapText="1" readingOrder="1"/>
    </xf>
    <xf numFmtId="0" fontId="14" fillId="11" borderId="10" xfId="0" applyFont="1" applyFill="1" applyBorder="1" applyAlignment="1">
      <alignment horizontal="center" vertical="center" wrapText="1" readingOrder="1"/>
    </xf>
    <xf numFmtId="3" fontId="14" fillId="11" borderId="10" xfId="0" applyNumberFormat="1" applyFont="1" applyFill="1" applyBorder="1" applyAlignment="1">
      <alignment horizontal="center" vertical="center" wrapText="1" readingOrder="1"/>
    </xf>
    <xf numFmtId="0" fontId="2" fillId="4" borderId="13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44" fontId="0" fillId="4" borderId="0" xfId="5" applyFont="1" applyFill="1"/>
    <xf numFmtId="44" fontId="2" fillId="3" borderId="0" xfId="5" applyFont="1" applyFill="1"/>
    <xf numFmtId="44" fontId="0" fillId="0" borderId="0" xfId="5" applyFont="1"/>
    <xf numFmtId="0" fontId="15" fillId="12" borderId="0" xfId="0" applyFont="1" applyFill="1" applyAlignment="1">
      <alignment vertical="center"/>
    </xf>
    <xf numFmtId="44" fontId="0" fillId="0" borderId="0" xfId="0" applyNumberFormat="1"/>
    <xf numFmtId="0" fontId="16" fillId="12" borderId="0" xfId="0" applyFont="1" applyFill="1" applyAlignment="1">
      <alignment vertical="center"/>
    </xf>
    <xf numFmtId="0" fontId="0" fillId="13" borderId="14" xfId="0" applyFill="1" applyBorder="1"/>
    <xf numFmtId="0" fontId="0" fillId="0" borderId="14" xfId="0" applyBorder="1"/>
    <xf numFmtId="164" fontId="0" fillId="4" borderId="0" xfId="0" applyNumberFormat="1" applyFill="1"/>
    <xf numFmtId="7" fontId="0" fillId="4" borderId="0" xfId="5" applyNumberFormat="1" applyFont="1" applyFill="1"/>
    <xf numFmtId="43" fontId="0" fillId="0" borderId="0" xfId="6" applyFont="1"/>
    <xf numFmtId="8" fontId="0" fillId="0" borderId="0" xfId="0" applyNumberFormat="1"/>
    <xf numFmtId="0" fontId="17" fillId="14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44" fontId="2" fillId="3" borderId="0" xfId="5" applyFont="1" applyFill="1" applyAlignment="1">
      <alignment horizontal="left"/>
    </xf>
    <xf numFmtId="3" fontId="0" fillId="0" borderId="0" xfId="0" applyNumberFormat="1"/>
    <xf numFmtId="0" fontId="19" fillId="14" borderId="16" xfId="0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center"/>
    </xf>
    <xf numFmtId="0" fontId="18" fillId="16" borderId="16" xfId="0" applyFont="1" applyFill="1" applyBorder="1" applyAlignment="1">
      <alignment horizontal="left"/>
    </xf>
    <xf numFmtId="0" fontId="18" fillId="16" borderId="16" xfId="0" applyFont="1" applyFill="1" applyBorder="1"/>
    <xf numFmtId="3" fontId="18" fillId="16" borderId="16" xfId="0" applyNumberFormat="1" applyFont="1" applyFill="1" applyBorder="1" applyAlignment="1">
      <alignment horizontal="right"/>
    </xf>
    <xf numFmtId="0" fontId="18" fillId="0" borderId="16" xfId="0" applyFont="1" applyBorder="1" applyAlignment="1">
      <alignment horizontal="center"/>
    </xf>
    <xf numFmtId="0" fontId="18" fillId="0" borderId="16" xfId="0" applyFont="1" applyBorder="1" applyAlignment="1">
      <alignment horizontal="left"/>
    </xf>
    <xf numFmtId="0" fontId="18" fillId="0" borderId="16" xfId="0" applyFont="1" applyBorder="1"/>
    <xf numFmtId="3" fontId="18" fillId="0" borderId="16" xfId="0" applyNumberFormat="1" applyFont="1" applyBorder="1" applyAlignment="1">
      <alignment horizontal="right"/>
    </xf>
    <xf numFmtId="0" fontId="20" fillId="17" borderId="17" xfId="0" applyFont="1" applyFill="1" applyBorder="1" applyAlignment="1">
      <alignment horizontal="center" vertical="center" wrapText="1"/>
    </xf>
    <xf numFmtId="0" fontId="21" fillId="18" borderId="17" xfId="0" applyFont="1" applyFill="1" applyBorder="1" applyAlignment="1">
      <alignment horizontal="center"/>
    </xf>
    <xf numFmtId="0" fontId="21" fillId="18" borderId="17" xfId="0" applyFont="1" applyFill="1" applyBorder="1" applyAlignment="1">
      <alignment horizontal="left"/>
    </xf>
    <xf numFmtId="4" fontId="21" fillId="18" borderId="17" xfId="0" applyNumberFormat="1" applyFont="1" applyFill="1" applyBorder="1" applyAlignment="1">
      <alignment horizontal="right"/>
    </xf>
    <xf numFmtId="0" fontId="21" fillId="19" borderId="17" xfId="0" applyFont="1" applyFill="1" applyBorder="1" applyAlignment="1">
      <alignment horizontal="center"/>
    </xf>
    <xf numFmtId="0" fontId="21" fillId="19" borderId="17" xfId="0" applyFont="1" applyFill="1" applyBorder="1" applyAlignment="1">
      <alignment horizontal="left"/>
    </xf>
    <xf numFmtId="4" fontId="21" fillId="19" borderId="17" xfId="0" applyNumberFormat="1" applyFont="1" applyFill="1" applyBorder="1" applyAlignment="1">
      <alignment horizontal="right"/>
    </xf>
    <xf numFmtId="4" fontId="0" fillId="0" borderId="0" xfId="0" applyNumberFormat="1"/>
    <xf numFmtId="0" fontId="13" fillId="8" borderId="4" xfId="0" applyFont="1" applyFill="1" applyBorder="1" applyAlignment="1">
      <alignment horizontal="center" vertical="center" wrapText="1" readingOrder="1"/>
    </xf>
    <xf numFmtId="0" fontId="13" fillId="8" borderId="5" xfId="0" applyFont="1" applyFill="1" applyBorder="1" applyAlignment="1">
      <alignment horizontal="center" vertical="center" wrapText="1" readingOrder="1"/>
    </xf>
    <xf numFmtId="0" fontId="8" fillId="8" borderId="6" xfId="0" applyFont="1" applyFill="1" applyBorder="1" applyAlignment="1">
      <alignment horizontal="center" vertical="center" wrapText="1" readingOrder="1"/>
    </xf>
    <xf numFmtId="0" fontId="8" fillId="8" borderId="7" xfId="0" applyFont="1" applyFill="1" applyBorder="1" applyAlignment="1">
      <alignment horizontal="center" vertical="center" wrapText="1" readingOrder="1"/>
    </xf>
    <xf numFmtId="0" fontId="8" fillId="8" borderId="8" xfId="0" applyFont="1" applyFill="1" applyBorder="1" applyAlignment="1">
      <alignment horizontal="center" vertical="center" wrapText="1" readingOrder="1"/>
    </xf>
  </cellXfs>
  <cellStyles count="7">
    <cellStyle name="Moeda" xfId="5" builtinId="4"/>
    <cellStyle name="Normal" xfId="0" builtinId="0"/>
    <cellStyle name="Normal 13 3" xfId="4" xr:uid="{0AF51449-2680-4C6F-81C7-4630FF141037}"/>
    <cellStyle name="Normal 177" xfId="2" xr:uid="{84BC3CE7-4958-47A0-8039-F5E6852A3EA8}"/>
    <cellStyle name="Normal 2" xfId="1" xr:uid="{28D8D7C0-12C4-4DA1-A891-D437FD5E3133}"/>
    <cellStyle name="Normal 2 15" xfId="3" xr:uid="{E056BBC5-E0CA-4C44-88F7-9BEAF58EB6F9}"/>
    <cellStyle name="Vírgula" xfId="6" builtinId="3"/>
  </cellStyles>
  <dxfs count="45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164" formatCode="#,#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297180</xdr:colOff>
      <xdr:row>68</xdr:row>
      <xdr:rowOff>45720</xdr:rowOff>
    </xdr:from>
    <xdr:to>
      <xdr:col>6</xdr:col>
      <xdr:colOff>664581</xdr:colOff>
      <xdr:row>71</xdr:row>
      <xdr:rowOff>68509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A3734B-B39A-4EFF-92AC-E429C1520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12489180"/>
          <a:ext cx="2114286" cy="5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297180</xdr:colOff>
      <xdr:row>68</xdr:row>
      <xdr:rowOff>45720</xdr:rowOff>
    </xdr:from>
    <xdr:to>
      <xdr:col>6</xdr:col>
      <xdr:colOff>664581</xdr:colOff>
      <xdr:row>71</xdr:row>
      <xdr:rowOff>68509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E7EBE1-7292-4E4F-914D-7526F1AA7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12489180"/>
          <a:ext cx="2114286" cy="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0</xdr:row>
      <xdr:rowOff>0</xdr:rowOff>
    </xdr:from>
    <xdr:to>
      <xdr:col>5</xdr:col>
      <xdr:colOff>373542</xdr:colOff>
      <xdr:row>18</xdr:row>
      <xdr:rowOff>38389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AB6ECA-8D5C-4434-8C91-195C30210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0520" y="0"/>
          <a:ext cx="1867062" cy="3330229"/>
        </a:xfrm>
        <a:prstGeom prst="rect">
          <a:avLst/>
        </a:prstGeom>
      </xdr:spPr>
    </xdr:pic>
    <xdr:clientData/>
  </xdr:twoCellAnchor>
  <xdr:twoCellAnchor editAs="oneCell">
    <xdr:from>
      <xdr:col>3</xdr:col>
      <xdr:colOff>274320</xdr:colOff>
      <xdr:row>21</xdr:row>
      <xdr:rowOff>167640</xdr:rowOff>
    </xdr:from>
    <xdr:to>
      <xdr:col>15</xdr:col>
      <xdr:colOff>900941</xdr:colOff>
      <xdr:row>33</xdr:row>
      <xdr:rowOff>166042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F41476-700F-441C-8747-9621A3D1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0" y="4008120"/>
          <a:ext cx="12765281" cy="22005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TICO\Users\JosePaulo\My%20Documents\Or&#231;amento%202020\2019.11.28%20-%20Receita%20-%20Comercial%20-%20Rv.%20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ovos%20Neg&#243;cios\1-%20Intelig&#234;ncia%20de%20Mercado\Bases\Contabilidade\Or&#231;ado\2024\Consolidado_Mov.Mes%20a%20Mes%20por%20produto%20e%20grupo%20(or&#231;amento).xlsx" TargetMode="External"/><Relationship Id="rId1" Type="http://schemas.openxmlformats.org/officeDocument/2006/relationships/externalLinkPath" Target="2024/Consolidado_Mov.Mes%20a%20Mes%20por%20produto%20e%20grupo%20(or&#231;ament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ve.Faturamento"/>
      <sheetName val="drive.Faturamento.calc"/>
      <sheetName val="drive.Giro"/>
      <sheetName val="Faturamento"/>
      <sheetName val="Giro"/>
      <sheetName val="2º Giro"/>
      <sheetName val="drive.2º Giro"/>
      <sheetName val="Listas"/>
      <sheetName val="Contratos"/>
      <sheetName val="Preços"/>
      <sheetName val="Projeção - Vol. Ocupação"/>
      <sheetName val="Projeção - Ton. Movimentação"/>
      <sheetName val="drive.Projeção - Ton. Movimenta"/>
      <sheetName val="drive.Preços"/>
      <sheetName val="Projeção - Vol. Movimentação"/>
      <sheetName val="Projeção - Vol. Contratado"/>
      <sheetName val="drive.Projeção - Vol. Contrat"/>
      <sheetName val="drive.Projeção - Vol. Movimenta"/>
      <sheetName val="Projeção - Vol. Excedente"/>
      <sheetName val="drive.Projeção - Vol. Excedente"/>
      <sheetName val="$ Armazenagem"/>
      <sheetName val="drive.$ Armazenagem"/>
      <sheetName val="$ Armazenagem Excedente"/>
      <sheetName val="drive.$ Armazenagem Excedente"/>
      <sheetName val="$ 2º Giro"/>
      <sheetName val="drive.$ 2º Giro"/>
      <sheetName val="$ Movimentação"/>
      <sheetName val="drive.$ Movimentação"/>
      <sheetName val="$ Seguro"/>
      <sheetName val="drive.$ Seguro"/>
      <sheetName val="$ SOP"/>
      <sheetName val="drive.$ SOP"/>
      <sheetName val="2019.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Produtos CLASSIFICAÇÃO"/>
      <sheetName val="Banco de Dados - Mov"/>
      <sheetName val="TD - Produto"/>
      <sheetName val="TD - Grupo"/>
      <sheetName val="Planilha4"/>
      <sheetName val="Planilha5"/>
      <sheetName val="Diferença"/>
    </sheetNames>
    <sheetDataSet>
      <sheetData sheetId="0">
        <row r="103">
          <cell r="E103" t="str">
            <v>ALIMET</v>
          </cell>
          <cell r="F103" t="str">
            <v>Outros</v>
          </cell>
        </row>
        <row r="104">
          <cell r="E104" t="str">
            <v>AQUECIDOS</v>
          </cell>
          <cell r="F104" t="str">
            <v>Aquecidos</v>
          </cell>
        </row>
        <row r="105">
          <cell r="E105" t="str">
            <v>ÓLEO VEGETAL</v>
          </cell>
          <cell r="F105" t="str">
            <v>Óleo Vegetal</v>
          </cell>
        </row>
        <row r="106">
          <cell r="E106" t="str">
            <v>DIESEL/GASOLINA</v>
          </cell>
          <cell r="F106" t="str">
            <v>Derivados</v>
          </cell>
        </row>
        <row r="107">
          <cell r="E107" t="str">
            <v>SODA CÁUSTICA</v>
          </cell>
          <cell r="F107" t="str">
            <v>Soda Caustica</v>
          </cell>
        </row>
        <row r="108">
          <cell r="E108" t="str">
            <v>METANOL</v>
          </cell>
          <cell r="F108" t="str">
            <v>Metanol</v>
          </cell>
        </row>
        <row r="109">
          <cell r="E109" t="str">
            <v>METILATO</v>
          </cell>
          <cell r="F109" t="str">
            <v>Outros</v>
          </cell>
        </row>
        <row r="110">
          <cell r="E110" t="str">
            <v>BIODIESEL</v>
          </cell>
          <cell r="F110" t="str">
            <v>Biocombustíveis</v>
          </cell>
        </row>
        <row r="111">
          <cell r="E111" t="str">
            <v>DIETILENO GLICOL</v>
          </cell>
          <cell r="F111" t="str">
            <v>Outros</v>
          </cell>
        </row>
        <row r="112">
          <cell r="E112" t="str">
            <v>XILENO</v>
          </cell>
          <cell r="F112" t="str">
            <v>Outros</v>
          </cell>
        </row>
        <row r="113">
          <cell r="E113" t="str">
            <v>ÁLCOOL</v>
          </cell>
          <cell r="F113" t="str">
            <v>Biocombustíveis</v>
          </cell>
        </row>
        <row r="114">
          <cell r="E114" t="str">
            <v>ACOSTAGEM</v>
          </cell>
          <cell r="F114" t="str">
            <v>Acostagem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Vinicius Cunha dos Santos" refreshedDate="46077.710170138889" createdVersion="8" refreshedVersion="8" minRefreshableVersion="3" recordCount="3343" xr:uid="{3C185E5A-4DD8-4E7D-BF17-98A664516578}">
  <cacheSource type="worksheet">
    <worksheetSource ref="A1:F1048576" sheet="Banco de Dados - Fat."/>
  </cacheSource>
  <cacheFields count="6">
    <cacheField name="ANO" numFmtId="0">
      <sharedItems containsString="0" containsBlank="1" containsNumber="1" containsInteger="1" minValue="2019" maxValue="2025" count="8">
        <n v="2021"/>
        <n v="2022"/>
        <n v="2023"/>
        <n v="2024"/>
        <n v="2025"/>
        <m/>
        <n v="2019" u="1"/>
        <n v="2020" u="1"/>
      </sharedItems>
    </cacheField>
    <cacheField name="MÊS" numFmtId="0">
      <sharedItems containsBlank="1" count="16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s v="Fevererio"/>
        <s v="Fevereiro "/>
        <s v="Janeiro "/>
        <m/>
      </sharedItems>
    </cacheField>
    <cacheField name="Cliente" numFmtId="0">
      <sharedItems containsBlank="1"/>
    </cacheField>
    <cacheField name="PRODUTO" numFmtId="0">
      <sharedItems containsBlank="1" count="39">
        <s v="ALIMET"/>
        <s v="GLICERINA"/>
        <s v="DIESEL/GASOLINA"/>
        <s v="SODA CÁUSTICA"/>
        <s v="AQUECIDOS"/>
        <s v="ÓLEO VEGETAL"/>
        <s v="METANOL"/>
        <s v="FERTILIZANTE "/>
        <s v="METILATO"/>
        <s v="TEREBINTINA"/>
        <s v="ÁLCOOL"/>
        <s v="NAFTA"/>
        <s v="BIODIESEL"/>
        <s v="DIETILENO GLICOL"/>
        <s v="XILENO"/>
        <s v="ACOSTAGEM"/>
        <m/>
        <s v="ÓLEO DE SOJA" u="1"/>
        <s v="ÓLEO DE ALGODÃO" u="1"/>
        <s v="ÓLEO DE GIRASSOL" u="1"/>
        <s v="ÓLEO DE MILHO" u="1"/>
        <s v="ÓLEO DE CANOLA" u="1"/>
        <s v="ÓLEO DE PALMA " u="1"/>
        <s v="OLEINA DE PALMA/PALMISTE" u="1"/>
        <s v="ÓLEO DE PALMISTE" u="1"/>
        <s v="ESTEARINA PALMA/PALMISTE" u="1"/>
        <s v="SEBO BOVINO" u="1"/>
        <s v="ÁLCOOL ETIL. HIDRATADO" u="1"/>
        <s v="ÁLCOOL ETIL. ANIDRO" u="1"/>
        <s v="TEREBENTINA" u="1"/>
        <s v="ÓLEO DIESEL" u="1"/>
        <s v="GASOLINA" u="1"/>
        <s v="METILATO SÓDIO" u="1"/>
        <s v="OLEFINA" u="1"/>
        <s v="RHODIMET/ALIMET/LISINA" u="1"/>
        <s v="FERTILIZANTE LIQUIDO" u="1"/>
        <s v="GORDURA ANIMAL" u="1"/>
        <s v="GORDURA SUÍNA" u="1"/>
        <s v="ÓLEO CONDENSADO" u="1"/>
      </sharedItems>
    </cacheField>
    <cacheField name="GRUPO DE PRODUTOS" numFmtId="0">
      <sharedItems containsBlank="1" count="10">
        <s v="Outros"/>
        <e v="#N/A"/>
        <s v="Derivados"/>
        <s v="Soda Caustica"/>
        <s v="Aquecidos"/>
        <s v="Óleo Vegetal"/>
        <s v="Metanol"/>
        <s v="Biocombustíveis"/>
        <s v="Acostagem"/>
        <m/>
      </sharedItems>
    </cacheField>
    <cacheField name="Faturamento (R$)" numFmtId="44">
      <sharedItems containsString="0" containsBlank="1" containsNumber="1" minValue="0" maxValue="10568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3">
  <r>
    <x v="0"/>
    <x v="0"/>
    <s v="Adisseo"/>
    <x v="0"/>
    <x v="0"/>
    <n v="515772"/>
  </r>
  <r>
    <x v="0"/>
    <x v="0"/>
    <s v="Adisseo"/>
    <x v="0"/>
    <x v="0"/>
    <n v="0"/>
  </r>
  <r>
    <x v="0"/>
    <x v="0"/>
    <s v="Adisseo Caminhão"/>
    <x v="0"/>
    <x v="0"/>
    <n v="3316"/>
  </r>
  <r>
    <x v="0"/>
    <x v="0"/>
    <s v="ADM"/>
    <x v="1"/>
    <x v="1"/>
    <n v="76113"/>
  </r>
  <r>
    <x v="0"/>
    <x v="0"/>
    <s v="Ipiranga"/>
    <x v="2"/>
    <x v="2"/>
    <n v="6963862"/>
  </r>
  <r>
    <x v="0"/>
    <x v="0"/>
    <s v="BR"/>
    <x v="2"/>
    <x v="2"/>
    <n v="4188725"/>
  </r>
  <r>
    <x v="0"/>
    <x v="0"/>
    <s v="Greenergy"/>
    <x v="2"/>
    <x v="2"/>
    <n v="1765906"/>
  </r>
  <r>
    <x v="0"/>
    <x v="0"/>
    <s v="Sul Plata"/>
    <x v="2"/>
    <x v="2"/>
    <n v="3478569"/>
  </r>
  <r>
    <x v="0"/>
    <x v="0"/>
    <s v="Sul Plata"/>
    <x v="2"/>
    <x v="2"/>
    <n v="0"/>
  </r>
  <r>
    <x v="0"/>
    <x v="0"/>
    <s v="JBS"/>
    <x v="3"/>
    <x v="3"/>
    <n v="129223"/>
  </r>
  <r>
    <x v="0"/>
    <x v="0"/>
    <s v="Tricon"/>
    <x v="3"/>
    <x v="3"/>
    <n v="305822"/>
  </r>
  <r>
    <x v="0"/>
    <x v="0"/>
    <s v="Novus"/>
    <x v="0"/>
    <x v="0"/>
    <n v="203290"/>
  </r>
  <r>
    <x v="0"/>
    <x v="0"/>
    <s v="BRF"/>
    <x v="4"/>
    <x v="4"/>
    <n v="758790"/>
  </r>
  <r>
    <x v="0"/>
    <x v="0"/>
    <s v="JBS"/>
    <x v="4"/>
    <x v="4"/>
    <n v="172294"/>
  </r>
  <r>
    <x v="0"/>
    <x v="0"/>
    <s v="Cargill"/>
    <x v="4"/>
    <x v="4"/>
    <n v="448348"/>
  </r>
  <r>
    <x v="0"/>
    <x v="0"/>
    <s v="Pool"/>
    <x v="5"/>
    <x v="5"/>
    <n v="512741"/>
  </r>
  <r>
    <x v="0"/>
    <x v="0"/>
    <s v="Pool Excedente"/>
    <x v="5"/>
    <x v="5"/>
    <n v="63587"/>
  </r>
  <r>
    <x v="0"/>
    <x v="0"/>
    <s v="Methanex"/>
    <x v="6"/>
    <x v="6"/>
    <n v="5136871"/>
  </r>
  <r>
    <x v="0"/>
    <x v="0"/>
    <s v="Mitsubishi"/>
    <x v="6"/>
    <x v="6"/>
    <n v="3063505"/>
  </r>
  <r>
    <x v="0"/>
    <x v="0"/>
    <s v="SCC"/>
    <x v="6"/>
    <x v="6"/>
    <n v="4558035"/>
  </r>
  <r>
    <x v="0"/>
    <x v="0"/>
    <s v="SCC"/>
    <x v="6"/>
    <x v="6"/>
    <n v="0"/>
  </r>
  <r>
    <x v="0"/>
    <x v="0"/>
    <s v="Hinove"/>
    <x v="7"/>
    <x v="1"/>
    <n v="308366"/>
  </r>
  <r>
    <x v="0"/>
    <x v="0"/>
    <s v="Evonik"/>
    <x v="8"/>
    <x v="0"/>
    <n v="193830"/>
  </r>
  <r>
    <x v="0"/>
    <x v="0"/>
    <s v="YPF"/>
    <x v="6"/>
    <x v="6"/>
    <n v="502536"/>
  </r>
  <r>
    <x v="0"/>
    <x v="0"/>
    <s v="GTM"/>
    <x v="8"/>
    <x v="0"/>
    <n v="0"/>
  </r>
  <r>
    <x v="0"/>
    <x v="0"/>
    <s v="DRT"/>
    <x v="9"/>
    <x v="1"/>
    <n v="119000"/>
  </r>
  <r>
    <x v="0"/>
    <x v="0"/>
    <s v="Tereos/Inpasa/Glencore"/>
    <x v="10"/>
    <x v="7"/>
    <n v="0"/>
  </r>
  <r>
    <x v="0"/>
    <x v="0"/>
    <s v="Celena"/>
    <x v="4"/>
    <x v="4"/>
    <n v="267764"/>
  </r>
  <r>
    <x v="0"/>
    <x v="0"/>
    <s v="AAK"/>
    <x v="4"/>
    <x v="4"/>
    <n v="303588"/>
  </r>
  <r>
    <x v="0"/>
    <x v="0"/>
    <s v="Cargill"/>
    <x v="5"/>
    <x v="5"/>
    <n v="242252"/>
  </r>
  <r>
    <x v="0"/>
    <x v="0"/>
    <s v="Agropalma"/>
    <x v="4"/>
    <x v="4"/>
    <n v="304688"/>
  </r>
  <r>
    <x v="0"/>
    <x v="0"/>
    <s v="Copape"/>
    <x v="11"/>
    <x v="1"/>
    <n v="1442809"/>
  </r>
  <r>
    <x v="0"/>
    <x v="1"/>
    <s v="Adisseo"/>
    <x v="0"/>
    <x v="0"/>
    <n v="515772"/>
  </r>
  <r>
    <x v="0"/>
    <x v="1"/>
    <s v="Adisseo"/>
    <x v="0"/>
    <x v="0"/>
    <n v="0"/>
  </r>
  <r>
    <x v="0"/>
    <x v="1"/>
    <s v="Adisseo Caminhão"/>
    <x v="0"/>
    <x v="0"/>
    <n v="3316"/>
  </r>
  <r>
    <x v="0"/>
    <x v="1"/>
    <s v="ADM"/>
    <x v="1"/>
    <x v="1"/>
    <n v="76113"/>
  </r>
  <r>
    <x v="0"/>
    <x v="1"/>
    <s v="Ipiranga"/>
    <x v="2"/>
    <x v="2"/>
    <n v="6963862"/>
  </r>
  <r>
    <x v="0"/>
    <x v="1"/>
    <s v="BR"/>
    <x v="2"/>
    <x v="2"/>
    <n v="3673286"/>
  </r>
  <r>
    <x v="0"/>
    <x v="1"/>
    <s v="Greenergy"/>
    <x v="2"/>
    <x v="2"/>
    <n v="1765906"/>
  </r>
  <r>
    <x v="0"/>
    <x v="1"/>
    <s v="Sul Plata"/>
    <x v="2"/>
    <x v="2"/>
    <n v="2898808"/>
  </r>
  <r>
    <x v="0"/>
    <x v="1"/>
    <s v="Sul Plata"/>
    <x v="2"/>
    <x v="2"/>
    <n v="0"/>
  </r>
  <r>
    <x v="0"/>
    <x v="1"/>
    <s v="JBS"/>
    <x v="3"/>
    <x v="3"/>
    <n v="129223"/>
  </r>
  <r>
    <x v="0"/>
    <x v="1"/>
    <s v="Tricon"/>
    <x v="3"/>
    <x v="3"/>
    <n v="305822"/>
  </r>
  <r>
    <x v="0"/>
    <x v="1"/>
    <s v="Novus"/>
    <x v="0"/>
    <x v="0"/>
    <n v="194724"/>
  </r>
  <r>
    <x v="0"/>
    <x v="1"/>
    <s v="BRF"/>
    <x v="4"/>
    <x v="4"/>
    <n v="758790"/>
  </r>
  <r>
    <x v="0"/>
    <x v="1"/>
    <s v="JBS"/>
    <x v="4"/>
    <x v="4"/>
    <n v="172294"/>
  </r>
  <r>
    <x v="0"/>
    <x v="1"/>
    <s v="Cargill"/>
    <x v="4"/>
    <x v="4"/>
    <n v="448348"/>
  </r>
  <r>
    <x v="0"/>
    <x v="1"/>
    <s v="Pool"/>
    <x v="5"/>
    <x v="5"/>
    <n v="1101750"/>
  </r>
  <r>
    <x v="0"/>
    <x v="1"/>
    <s v="Pool Excedente"/>
    <x v="5"/>
    <x v="5"/>
    <n v="63587"/>
  </r>
  <r>
    <x v="0"/>
    <x v="1"/>
    <s v="Methanex"/>
    <x v="6"/>
    <x v="6"/>
    <n v="5136871"/>
  </r>
  <r>
    <x v="0"/>
    <x v="1"/>
    <s v="Mitsubishi"/>
    <x v="6"/>
    <x v="6"/>
    <n v="3063505"/>
  </r>
  <r>
    <x v="0"/>
    <x v="1"/>
    <s v="SCC"/>
    <x v="6"/>
    <x v="6"/>
    <n v="4558035"/>
  </r>
  <r>
    <x v="0"/>
    <x v="1"/>
    <s v="SCC"/>
    <x v="6"/>
    <x v="6"/>
    <n v="0"/>
  </r>
  <r>
    <x v="0"/>
    <x v="1"/>
    <s v="Hinove"/>
    <x v="7"/>
    <x v="1"/>
    <n v="308366"/>
  </r>
  <r>
    <x v="0"/>
    <x v="1"/>
    <s v="Evonik"/>
    <x v="8"/>
    <x v="0"/>
    <n v="193830"/>
  </r>
  <r>
    <x v="0"/>
    <x v="1"/>
    <s v="YPF"/>
    <x v="6"/>
    <x v="6"/>
    <n v="502536"/>
  </r>
  <r>
    <x v="0"/>
    <x v="1"/>
    <s v="GTM"/>
    <x v="8"/>
    <x v="0"/>
    <n v="128809"/>
  </r>
  <r>
    <x v="0"/>
    <x v="1"/>
    <s v="DRT"/>
    <x v="9"/>
    <x v="1"/>
    <n v="119000"/>
  </r>
  <r>
    <x v="0"/>
    <x v="1"/>
    <s v="Tereos/Inpasa/Glencore"/>
    <x v="10"/>
    <x v="7"/>
    <n v="0"/>
  </r>
  <r>
    <x v="0"/>
    <x v="1"/>
    <s v="Celena"/>
    <x v="4"/>
    <x v="4"/>
    <n v="267764"/>
  </r>
  <r>
    <x v="0"/>
    <x v="1"/>
    <s v="AAK"/>
    <x v="4"/>
    <x v="4"/>
    <n v="303588"/>
  </r>
  <r>
    <x v="0"/>
    <x v="1"/>
    <s v="Cargill"/>
    <x v="5"/>
    <x v="5"/>
    <n v="200808"/>
  </r>
  <r>
    <x v="0"/>
    <x v="1"/>
    <s v="Agropalma"/>
    <x v="4"/>
    <x v="4"/>
    <n v="304688"/>
  </r>
  <r>
    <x v="0"/>
    <x v="1"/>
    <s v="Copape"/>
    <x v="11"/>
    <x v="1"/>
    <n v="1442809"/>
  </r>
  <r>
    <x v="0"/>
    <x v="2"/>
    <s v="Adisseo"/>
    <x v="0"/>
    <x v="0"/>
    <n v="515772"/>
  </r>
  <r>
    <x v="0"/>
    <x v="2"/>
    <s v="Adisseo"/>
    <x v="0"/>
    <x v="0"/>
    <n v="0"/>
  </r>
  <r>
    <x v="0"/>
    <x v="2"/>
    <s v="Adisseo Caminhão"/>
    <x v="0"/>
    <x v="0"/>
    <n v="3316"/>
  </r>
  <r>
    <x v="0"/>
    <x v="2"/>
    <s v="ADM"/>
    <x v="1"/>
    <x v="1"/>
    <n v="76113"/>
  </r>
  <r>
    <x v="0"/>
    <x v="2"/>
    <s v="Ipiranga"/>
    <x v="2"/>
    <x v="2"/>
    <n v="6963862"/>
  </r>
  <r>
    <x v="0"/>
    <x v="2"/>
    <s v="BR"/>
    <x v="2"/>
    <x v="2"/>
    <n v="3673286"/>
  </r>
  <r>
    <x v="0"/>
    <x v="2"/>
    <s v="Greenergy"/>
    <x v="2"/>
    <x v="2"/>
    <n v="1765906"/>
  </r>
  <r>
    <x v="0"/>
    <x v="2"/>
    <s v="Sul Plata"/>
    <x v="2"/>
    <x v="2"/>
    <n v="2898808"/>
  </r>
  <r>
    <x v="0"/>
    <x v="2"/>
    <s v="Sul Plata"/>
    <x v="2"/>
    <x v="2"/>
    <n v="0"/>
  </r>
  <r>
    <x v="0"/>
    <x v="2"/>
    <s v="JBS"/>
    <x v="3"/>
    <x v="3"/>
    <n v="129223"/>
  </r>
  <r>
    <x v="0"/>
    <x v="2"/>
    <s v="Tricon"/>
    <x v="3"/>
    <x v="3"/>
    <n v="305822"/>
  </r>
  <r>
    <x v="0"/>
    <x v="2"/>
    <s v="Novus"/>
    <x v="0"/>
    <x v="0"/>
    <n v="194724"/>
  </r>
  <r>
    <x v="0"/>
    <x v="2"/>
    <s v="BRF"/>
    <x v="4"/>
    <x v="4"/>
    <n v="758790"/>
  </r>
  <r>
    <x v="0"/>
    <x v="2"/>
    <s v="JBS"/>
    <x v="4"/>
    <x v="4"/>
    <n v="172294"/>
  </r>
  <r>
    <x v="0"/>
    <x v="2"/>
    <s v="Cargill"/>
    <x v="4"/>
    <x v="4"/>
    <n v="448348"/>
  </r>
  <r>
    <x v="0"/>
    <x v="2"/>
    <s v="Pool"/>
    <x v="5"/>
    <x v="5"/>
    <n v="2389071"/>
  </r>
  <r>
    <x v="0"/>
    <x v="2"/>
    <s v="Pool Excedente"/>
    <x v="5"/>
    <x v="5"/>
    <n v="63587"/>
  </r>
  <r>
    <x v="0"/>
    <x v="2"/>
    <s v="Methanex"/>
    <x v="6"/>
    <x v="6"/>
    <n v="5136871"/>
  </r>
  <r>
    <x v="0"/>
    <x v="2"/>
    <s v="Mitsubishi"/>
    <x v="6"/>
    <x v="6"/>
    <n v="3063505"/>
  </r>
  <r>
    <x v="0"/>
    <x v="2"/>
    <s v="SCC"/>
    <x v="6"/>
    <x v="6"/>
    <n v="4558035"/>
  </r>
  <r>
    <x v="0"/>
    <x v="2"/>
    <s v="SCC"/>
    <x v="6"/>
    <x v="6"/>
    <n v="0"/>
  </r>
  <r>
    <x v="0"/>
    <x v="2"/>
    <s v="Hinove"/>
    <x v="7"/>
    <x v="1"/>
    <n v="332793"/>
  </r>
  <r>
    <x v="0"/>
    <x v="2"/>
    <s v="Evonik"/>
    <x v="8"/>
    <x v="0"/>
    <n v="193830"/>
  </r>
  <r>
    <x v="0"/>
    <x v="2"/>
    <s v="YPF"/>
    <x v="6"/>
    <x v="6"/>
    <n v="575140"/>
  </r>
  <r>
    <x v="0"/>
    <x v="2"/>
    <s v="GTM"/>
    <x v="8"/>
    <x v="0"/>
    <n v="118190"/>
  </r>
  <r>
    <x v="0"/>
    <x v="2"/>
    <s v="DRT"/>
    <x v="9"/>
    <x v="1"/>
    <n v="119000"/>
  </r>
  <r>
    <x v="0"/>
    <x v="2"/>
    <s v="Tereos/Inpasa/Glencore"/>
    <x v="10"/>
    <x v="7"/>
    <n v="0"/>
  </r>
  <r>
    <x v="0"/>
    <x v="2"/>
    <s v="Celena"/>
    <x v="4"/>
    <x v="4"/>
    <n v="267764"/>
  </r>
  <r>
    <x v="0"/>
    <x v="2"/>
    <s v="AAK"/>
    <x v="4"/>
    <x v="4"/>
    <n v="303588"/>
  </r>
  <r>
    <x v="0"/>
    <x v="2"/>
    <s v="Cargill"/>
    <x v="5"/>
    <x v="5"/>
    <n v="242252"/>
  </r>
  <r>
    <x v="0"/>
    <x v="2"/>
    <s v="Agropalma"/>
    <x v="4"/>
    <x v="4"/>
    <n v="304688"/>
  </r>
  <r>
    <x v="0"/>
    <x v="2"/>
    <s v="Copape"/>
    <x v="11"/>
    <x v="1"/>
    <n v="1442809"/>
  </r>
  <r>
    <x v="0"/>
    <x v="3"/>
    <s v="Adisseo"/>
    <x v="0"/>
    <x v="0"/>
    <n v="515772"/>
  </r>
  <r>
    <x v="0"/>
    <x v="3"/>
    <s v="Adisseo"/>
    <x v="0"/>
    <x v="0"/>
    <n v="132556"/>
  </r>
  <r>
    <x v="0"/>
    <x v="3"/>
    <s v="Adisseo Caminhão"/>
    <x v="0"/>
    <x v="0"/>
    <n v="3316"/>
  </r>
  <r>
    <x v="0"/>
    <x v="3"/>
    <s v="ADM"/>
    <x v="1"/>
    <x v="1"/>
    <n v="76113"/>
  </r>
  <r>
    <x v="0"/>
    <x v="3"/>
    <s v="Ipiranga"/>
    <x v="2"/>
    <x v="2"/>
    <n v="6963862"/>
  </r>
  <r>
    <x v="0"/>
    <x v="3"/>
    <s v="BR"/>
    <x v="2"/>
    <x v="2"/>
    <n v="3673286"/>
  </r>
  <r>
    <x v="0"/>
    <x v="3"/>
    <s v="Greenergy"/>
    <x v="2"/>
    <x v="2"/>
    <n v="1765906"/>
  </r>
  <r>
    <x v="0"/>
    <x v="3"/>
    <s v="Sul Plata"/>
    <x v="2"/>
    <x v="2"/>
    <n v="2898808"/>
  </r>
  <r>
    <x v="0"/>
    <x v="3"/>
    <s v="Sul Plata"/>
    <x v="2"/>
    <x v="2"/>
    <n v="0"/>
  </r>
  <r>
    <x v="0"/>
    <x v="3"/>
    <s v="JBS"/>
    <x v="3"/>
    <x v="3"/>
    <n v="129223"/>
  </r>
  <r>
    <x v="0"/>
    <x v="3"/>
    <s v="Tricon"/>
    <x v="3"/>
    <x v="3"/>
    <n v="305822"/>
  </r>
  <r>
    <x v="0"/>
    <x v="3"/>
    <s v="Novus"/>
    <x v="0"/>
    <x v="0"/>
    <n v="203290"/>
  </r>
  <r>
    <x v="0"/>
    <x v="3"/>
    <s v="BRF"/>
    <x v="4"/>
    <x v="4"/>
    <n v="758790"/>
  </r>
  <r>
    <x v="0"/>
    <x v="3"/>
    <s v="JBS"/>
    <x v="4"/>
    <x v="4"/>
    <n v="172294"/>
  </r>
  <r>
    <x v="0"/>
    <x v="3"/>
    <s v="Cargill"/>
    <x v="4"/>
    <x v="4"/>
    <n v="448348"/>
  </r>
  <r>
    <x v="0"/>
    <x v="3"/>
    <s v="Pool"/>
    <x v="5"/>
    <x v="5"/>
    <n v="4853771"/>
  </r>
  <r>
    <x v="0"/>
    <x v="3"/>
    <s v="Pool Excedente"/>
    <x v="5"/>
    <x v="5"/>
    <n v="63587"/>
  </r>
  <r>
    <x v="0"/>
    <x v="3"/>
    <s v="Methanex"/>
    <x v="6"/>
    <x v="6"/>
    <n v="5136871"/>
  </r>
  <r>
    <x v="0"/>
    <x v="3"/>
    <s v="Mitsubishi"/>
    <x v="6"/>
    <x v="6"/>
    <n v="3063505"/>
  </r>
  <r>
    <x v="0"/>
    <x v="3"/>
    <s v="SCC"/>
    <x v="6"/>
    <x v="6"/>
    <n v="4558035"/>
  </r>
  <r>
    <x v="0"/>
    <x v="3"/>
    <s v="SCC"/>
    <x v="6"/>
    <x v="6"/>
    <n v="0"/>
  </r>
  <r>
    <x v="0"/>
    <x v="3"/>
    <s v="Hinove"/>
    <x v="7"/>
    <x v="1"/>
    <n v="308366"/>
  </r>
  <r>
    <x v="0"/>
    <x v="3"/>
    <s v="Evonik"/>
    <x v="8"/>
    <x v="0"/>
    <n v="193830"/>
  </r>
  <r>
    <x v="0"/>
    <x v="3"/>
    <s v="YPF"/>
    <x v="6"/>
    <x v="6"/>
    <n v="502536"/>
  </r>
  <r>
    <x v="0"/>
    <x v="3"/>
    <s v="GTM"/>
    <x v="8"/>
    <x v="0"/>
    <n v="118190"/>
  </r>
  <r>
    <x v="0"/>
    <x v="3"/>
    <s v="DRT"/>
    <x v="9"/>
    <x v="1"/>
    <n v="119000"/>
  </r>
  <r>
    <x v="0"/>
    <x v="3"/>
    <s v="Tereos/Inpasa/Glencore"/>
    <x v="10"/>
    <x v="7"/>
    <n v="0"/>
  </r>
  <r>
    <x v="0"/>
    <x v="3"/>
    <s v="Celena"/>
    <x v="4"/>
    <x v="4"/>
    <n v="267764"/>
  </r>
  <r>
    <x v="0"/>
    <x v="3"/>
    <s v="AAK"/>
    <x v="4"/>
    <x v="4"/>
    <n v="303588"/>
  </r>
  <r>
    <x v="0"/>
    <x v="3"/>
    <s v="Cargill"/>
    <x v="5"/>
    <x v="5"/>
    <n v="200808"/>
  </r>
  <r>
    <x v="0"/>
    <x v="3"/>
    <s v="Agropalma"/>
    <x v="4"/>
    <x v="4"/>
    <n v="304688"/>
  </r>
  <r>
    <x v="0"/>
    <x v="3"/>
    <s v="Copape"/>
    <x v="11"/>
    <x v="1"/>
    <n v="1442809"/>
  </r>
  <r>
    <x v="0"/>
    <x v="4"/>
    <s v="Adisseo"/>
    <x v="0"/>
    <x v="0"/>
    <n v="515772"/>
  </r>
  <r>
    <x v="0"/>
    <x v="4"/>
    <s v="Adisseo"/>
    <x v="0"/>
    <x v="0"/>
    <n v="132556"/>
  </r>
  <r>
    <x v="0"/>
    <x v="4"/>
    <s v="Adisseo Caminhão"/>
    <x v="0"/>
    <x v="0"/>
    <n v="3316"/>
  </r>
  <r>
    <x v="0"/>
    <x v="4"/>
    <s v="ADM"/>
    <x v="1"/>
    <x v="1"/>
    <n v="76113"/>
  </r>
  <r>
    <x v="0"/>
    <x v="4"/>
    <s v="Ipiranga"/>
    <x v="2"/>
    <x v="2"/>
    <n v="6963862"/>
  </r>
  <r>
    <x v="0"/>
    <x v="4"/>
    <s v="BR"/>
    <x v="2"/>
    <x v="2"/>
    <n v="3673286"/>
  </r>
  <r>
    <x v="0"/>
    <x v="4"/>
    <s v="Greenergy"/>
    <x v="2"/>
    <x v="2"/>
    <n v="1765906"/>
  </r>
  <r>
    <x v="0"/>
    <x v="4"/>
    <s v="Sul Plata"/>
    <x v="2"/>
    <x v="2"/>
    <n v="2898808"/>
  </r>
  <r>
    <x v="0"/>
    <x v="4"/>
    <s v="Sul Plata"/>
    <x v="2"/>
    <x v="2"/>
    <n v="0"/>
  </r>
  <r>
    <x v="0"/>
    <x v="4"/>
    <s v="JBS"/>
    <x v="3"/>
    <x v="3"/>
    <n v="129223"/>
  </r>
  <r>
    <x v="0"/>
    <x v="4"/>
    <s v="Tricon"/>
    <x v="3"/>
    <x v="3"/>
    <n v="305822"/>
  </r>
  <r>
    <x v="0"/>
    <x v="4"/>
    <s v="Novus"/>
    <x v="0"/>
    <x v="0"/>
    <n v="194724"/>
  </r>
  <r>
    <x v="0"/>
    <x v="4"/>
    <s v="BRF"/>
    <x v="4"/>
    <x v="4"/>
    <n v="792025"/>
  </r>
  <r>
    <x v="0"/>
    <x v="4"/>
    <s v="JBS"/>
    <x v="4"/>
    <x v="4"/>
    <n v="172294"/>
  </r>
  <r>
    <x v="0"/>
    <x v="4"/>
    <s v="Cargill"/>
    <x v="4"/>
    <x v="4"/>
    <n v="448348"/>
  </r>
  <r>
    <x v="0"/>
    <x v="4"/>
    <s v="Pool"/>
    <x v="5"/>
    <x v="5"/>
    <n v="3358202"/>
  </r>
  <r>
    <x v="0"/>
    <x v="4"/>
    <s v="Pool Excedente"/>
    <x v="5"/>
    <x v="5"/>
    <n v="63587"/>
  </r>
  <r>
    <x v="0"/>
    <x v="4"/>
    <s v="Methanex"/>
    <x v="6"/>
    <x v="6"/>
    <n v="5136871"/>
  </r>
  <r>
    <x v="0"/>
    <x v="4"/>
    <s v="Mitsubishi"/>
    <x v="6"/>
    <x v="6"/>
    <n v="3063505"/>
  </r>
  <r>
    <x v="0"/>
    <x v="4"/>
    <s v="SCC"/>
    <x v="6"/>
    <x v="6"/>
    <n v="4558035"/>
  </r>
  <r>
    <x v="0"/>
    <x v="4"/>
    <s v="SCC"/>
    <x v="6"/>
    <x v="6"/>
    <n v="0"/>
  </r>
  <r>
    <x v="0"/>
    <x v="4"/>
    <s v="Hinove"/>
    <x v="7"/>
    <x v="1"/>
    <n v="308366"/>
  </r>
  <r>
    <x v="0"/>
    <x v="4"/>
    <s v="Evonik"/>
    <x v="8"/>
    <x v="0"/>
    <n v="193830"/>
  </r>
  <r>
    <x v="0"/>
    <x v="4"/>
    <s v="YPF"/>
    <x v="6"/>
    <x v="6"/>
    <n v="502536"/>
  </r>
  <r>
    <x v="0"/>
    <x v="4"/>
    <s v="GTM"/>
    <x v="8"/>
    <x v="0"/>
    <n v="128809"/>
  </r>
  <r>
    <x v="0"/>
    <x v="4"/>
    <s v="DRT"/>
    <x v="9"/>
    <x v="1"/>
    <n v="119000"/>
  </r>
  <r>
    <x v="0"/>
    <x v="4"/>
    <s v="Tereos/Inpasa/Glencore"/>
    <x v="10"/>
    <x v="7"/>
    <n v="0"/>
  </r>
  <r>
    <x v="0"/>
    <x v="4"/>
    <s v="Celena"/>
    <x v="4"/>
    <x v="4"/>
    <n v="267764"/>
  </r>
  <r>
    <x v="0"/>
    <x v="4"/>
    <s v="AAK"/>
    <x v="4"/>
    <x v="4"/>
    <n v="303588"/>
  </r>
  <r>
    <x v="0"/>
    <x v="4"/>
    <s v="Cargill"/>
    <x v="5"/>
    <x v="5"/>
    <n v="242252"/>
  </r>
  <r>
    <x v="0"/>
    <x v="4"/>
    <s v="Agropalma"/>
    <x v="4"/>
    <x v="4"/>
    <n v="304688"/>
  </r>
  <r>
    <x v="0"/>
    <x v="4"/>
    <s v="Copape"/>
    <x v="11"/>
    <x v="1"/>
    <n v="1442809"/>
  </r>
  <r>
    <x v="0"/>
    <x v="5"/>
    <s v="Adisseo"/>
    <x v="0"/>
    <x v="0"/>
    <n v="515772"/>
  </r>
  <r>
    <x v="0"/>
    <x v="5"/>
    <s v="Adisseo"/>
    <x v="0"/>
    <x v="0"/>
    <n v="132556"/>
  </r>
  <r>
    <x v="0"/>
    <x v="5"/>
    <s v="Adisseo Caminhão"/>
    <x v="0"/>
    <x v="0"/>
    <n v="3316"/>
  </r>
  <r>
    <x v="0"/>
    <x v="5"/>
    <s v="ADM"/>
    <x v="1"/>
    <x v="1"/>
    <n v="76113"/>
  </r>
  <r>
    <x v="0"/>
    <x v="5"/>
    <s v="Ipiranga"/>
    <x v="2"/>
    <x v="2"/>
    <n v="6963862"/>
  </r>
  <r>
    <x v="0"/>
    <x v="5"/>
    <s v="BR"/>
    <x v="2"/>
    <x v="2"/>
    <n v="3673286"/>
  </r>
  <r>
    <x v="0"/>
    <x v="5"/>
    <s v="Greenergy"/>
    <x v="2"/>
    <x v="2"/>
    <n v="1765906"/>
  </r>
  <r>
    <x v="0"/>
    <x v="5"/>
    <s v="Sul Plata"/>
    <x v="2"/>
    <x v="2"/>
    <n v="2898808"/>
  </r>
  <r>
    <x v="0"/>
    <x v="5"/>
    <s v="Sul Plata"/>
    <x v="2"/>
    <x v="2"/>
    <n v="0"/>
  </r>
  <r>
    <x v="0"/>
    <x v="5"/>
    <s v="JBS"/>
    <x v="3"/>
    <x v="3"/>
    <n v="129223"/>
  </r>
  <r>
    <x v="0"/>
    <x v="5"/>
    <s v="Tricon"/>
    <x v="3"/>
    <x v="3"/>
    <n v="305822"/>
  </r>
  <r>
    <x v="0"/>
    <x v="5"/>
    <s v="Novus"/>
    <x v="0"/>
    <x v="0"/>
    <n v="194724"/>
  </r>
  <r>
    <x v="0"/>
    <x v="5"/>
    <s v="BRF"/>
    <x v="4"/>
    <x v="4"/>
    <n v="792025"/>
  </r>
  <r>
    <x v="0"/>
    <x v="5"/>
    <s v="JBS"/>
    <x v="4"/>
    <x v="4"/>
    <n v="172294"/>
  </r>
  <r>
    <x v="0"/>
    <x v="5"/>
    <s v="Cargill"/>
    <x v="4"/>
    <x v="4"/>
    <n v="448348"/>
  </r>
  <r>
    <x v="0"/>
    <x v="5"/>
    <s v="Pool"/>
    <x v="5"/>
    <x v="5"/>
    <n v="5510191"/>
  </r>
  <r>
    <x v="0"/>
    <x v="5"/>
    <s v="Pool Excedente"/>
    <x v="5"/>
    <x v="5"/>
    <n v="63587"/>
  </r>
  <r>
    <x v="0"/>
    <x v="5"/>
    <s v="Methanex"/>
    <x v="6"/>
    <x v="6"/>
    <n v="5136871"/>
  </r>
  <r>
    <x v="0"/>
    <x v="5"/>
    <s v="Mitsubishi"/>
    <x v="6"/>
    <x v="6"/>
    <n v="3063505"/>
  </r>
  <r>
    <x v="0"/>
    <x v="5"/>
    <s v="SCC"/>
    <x v="6"/>
    <x v="6"/>
    <n v="4558035"/>
  </r>
  <r>
    <x v="0"/>
    <x v="5"/>
    <s v="SCC"/>
    <x v="6"/>
    <x v="6"/>
    <n v="302087"/>
  </r>
  <r>
    <x v="0"/>
    <x v="5"/>
    <s v="Hinove"/>
    <x v="7"/>
    <x v="1"/>
    <n v="332793"/>
  </r>
  <r>
    <x v="0"/>
    <x v="5"/>
    <s v="Evonik"/>
    <x v="8"/>
    <x v="0"/>
    <n v="193830"/>
  </r>
  <r>
    <x v="0"/>
    <x v="5"/>
    <s v="YPF"/>
    <x v="6"/>
    <x v="6"/>
    <n v="575140"/>
  </r>
  <r>
    <x v="0"/>
    <x v="5"/>
    <s v="GTM"/>
    <x v="8"/>
    <x v="0"/>
    <n v="118190"/>
  </r>
  <r>
    <x v="0"/>
    <x v="5"/>
    <s v="DRT"/>
    <x v="9"/>
    <x v="1"/>
    <n v="119000"/>
  </r>
  <r>
    <x v="0"/>
    <x v="5"/>
    <s v="Tereos/Inpasa/Glencore"/>
    <x v="10"/>
    <x v="7"/>
    <n v="0"/>
  </r>
  <r>
    <x v="0"/>
    <x v="5"/>
    <s v="Celena"/>
    <x v="4"/>
    <x v="4"/>
    <n v="267764"/>
  </r>
  <r>
    <x v="0"/>
    <x v="5"/>
    <s v="AAK"/>
    <x v="4"/>
    <x v="4"/>
    <n v="303588"/>
  </r>
  <r>
    <x v="0"/>
    <x v="5"/>
    <s v="Cargill"/>
    <x v="5"/>
    <x v="5"/>
    <n v="200808"/>
  </r>
  <r>
    <x v="0"/>
    <x v="5"/>
    <s v="Agropalma"/>
    <x v="4"/>
    <x v="4"/>
    <n v="304688"/>
  </r>
  <r>
    <x v="0"/>
    <x v="5"/>
    <s v="Copape"/>
    <x v="11"/>
    <x v="1"/>
    <n v="1442809"/>
  </r>
  <r>
    <x v="0"/>
    <x v="6"/>
    <s v="Adisseo"/>
    <x v="0"/>
    <x v="0"/>
    <n v="515772"/>
  </r>
  <r>
    <x v="0"/>
    <x v="6"/>
    <s v="Adisseo"/>
    <x v="0"/>
    <x v="0"/>
    <n v="132556"/>
  </r>
  <r>
    <x v="0"/>
    <x v="6"/>
    <s v="Adisseo Caminhão"/>
    <x v="0"/>
    <x v="0"/>
    <n v="3316"/>
  </r>
  <r>
    <x v="0"/>
    <x v="6"/>
    <s v="ADM"/>
    <x v="1"/>
    <x v="1"/>
    <n v="79358"/>
  </r>
  <r>
    <x v="0"/>
    <x v="6"/>
    <s v="Ipiranga"/>
    <x v="2"/>
    <x v="2"/>
    <n v="6963862"/>
  </r>
  <r>
    <x v="0"/>
    <x v="6"/>
    <s v="BR"/>
    <x v="2"/>
    <x v="2"/>
    <n v="3673286"/>
  </r>
  <r>
    <x v="0"/>
    <x v="6"/>
    <s v="Greenergy"/>
    <x v="2"/>
    <x v="2"/>
    <n v="1765906"/>
  </r>
  <r>
    <x v="0"/>
    <x v="6"/>
    <s v="Sul Plata"/>
    <x v="2"/>
    <x v="2"/>
    <n v="0"/>
  </r>
  <r>
    <x v="0"/>
    <x v="6"/>
    <s v="Sul Plata"/>
    <x v="2"/>
    <x v="2"/>
    <n v="1739285"/>
  </r>
  <r>
    <x v="0"/>
    <x v="6"/>
    <s v="JBS"/>
    <x v="3"/>
    <x v="3"/>
    <n v="129223"/>
  </r>
  <r>
    <x v="0"/>
    <x v="6"/>
    <s v="Tricon"/>
    <x v="3"/>
    <x v="3"/>
    <n v="305822"/>
  </r>
  <r>
    <x v="0"/>
    <x v="6"/>
    <s v="Novus"/>
    <x v="0"/>
    <x v="0"/>
    <n v="203290"/>
  </r>
  <r>
    <x v="0"/>
    <x v="6"/>
    <s v="BRF"/>
    <x v="4"/>
    <x v="4"/>
    <n v="792025"/>
  </r>
  <r>
    <x v="0"/>
    <x v="6"/>
    <s v="JBS"/>
    <x v="4"/>
    <x v="4"/>
    <n v="172294"/>
  </r>
  <r>
    <x v="0"/>
    <x v="6"/>
    <s v="Cargill"/>
    <x v="4"/>
    <x v="4"/>
    <n v="448348"/>
  </r>
  <r>
    <x v="0"/>
    <x v="6"/>
    <s v="Pool"/>
    <x v="5"/>
    <x v="5"/>
    <n v="7957155"/>
  </r>
  <r>
    <x v="0"/>
    <x v="6"/>
    <s v="Pool Excedente"/>
    <x v="5"/>
    <x v="5"/>
    <n v="63587"/>
  </r>
  <r>
    <x v="0"/>
    <x v="6"/>
    <s v="Methanex"/>
    <x v="6"/>
    <x v="6"/>
    <n v="5136871"/>
  </r>
  <r>
    <x v="0"/>
    <x v="6"/>
    <s v="Mitsubishi"/>
    <x v="6"/>
    <x v="6"/>
    <n v="3063505"/>
  </r>
  <r>
    <x v="0"/>
    <x v="6"/>
    <s v="SCC"/>
    <x v="6"/>
    <x v="6"/>
    <n v="4558035"/>
  </r>
  <r>
    <x v="0"/>
    <x v="6"/>
    <s v="SCC"/>
    <x v="6"/>
    <x v="6"/>
    <n v="302087"/>
  </r>
  <r>
    <x v="0"/>
    <x v="6"/>
    <s v="Hinove"/>
    <x v="7"/>
    <x v="1"/>
    <n v="308366"/>
  </r>
  <r>
    <x v="0"/>
    <x v="6"/>
    <s v="Evonik"/>
    <x v="8"/>
    <x v="0"/>
    <n v="193830"/>
  </r>
  <r>
    <x v="0"/>
    <x v="6"/>
    <s v="YPF"/>
    <x v="6"/>
    <x v="6"/>
    <n v="502536"/>
  </r>
  <r>
    <x v="0"/>
    <x v="6"/>
    <s v="GTM"/>
    <x v="8"/>
    <x v="0"/>
    <n v="118190"/>
  </r>
  <r>
    <x v="0"/>
    <x v="6"/>
    <s v="DRT"/>
    <x v="9"/>
    <x v="1"/>
    <n v="119000"/>
  </r>
  <r>
    <x v="0"/>
    <x v="6"/>
    <s v="Tereos/Inpasa/Glencore"/>
    <x v="10"/>
    <x v="7"/>
    <n v="0"/>
  </r>
  <r>
    <x v="0"/>
    <x v="6"/>
    <s v="Celena"/>
    <x v="4"/>
    <x v="4"/>
    <n v="267764"/>
  </r>
  <r>
    <x v="0"/>
    <x v="6"/>
    <s v="AAK"/>
    <x v="4"/>
    <x v="4"/>
    <n v="303588"/>
  </r>
  <r>
    <x v="0"/>
    <x v="6"/>
    <s v="Cargill"/>
    <x v="5"/>
    <x v="5"/>
    <n v="242252"/>
  </r>
  <r>
    <x v="0"/>
    <x v="6"/>
    <s v="Agropalma"/>
    <x v="4"/>
    <x v="4"/>
    <n v="304688"/>
  </r>
  <r>
    <x v="0"/>
    <x v="6"/>
    <s v="Copape"/>
    <x v="11"/>
    <x v="1"/>
    <n v="1442809"/>
  </r>
  <r>
    <x v="0"/>
    <x v="7"/>
    <s v="Adisseo"/>
    <x v="0"/>
    <x v="0"/>
    <n v="515772"/>
  </r>
  <r>
    <x v="0"/>
    <x v="7"/>
    <s v="Adisseo"/>
    <x v="0"/>
    <x v="0"/>
    <n v="132556"/>
  </r>
  <r>
    <x v="0"/>
    <x v="7"/>
    <s v="Adisseo Caminhão"/>
    <x v="0"/>
    <x v="0"/>
    <n v="3316"/>
  </r>
  <r>
    <x v="0"/>
    <x v="7"/>
    <s v="ADM"/>
    <x v="1"/>
    <x v="1"/>
    <n v="79358"/>
  </r>
  <r>
    <x v="0"/>
    <x v="7"/>
    <s v="Ipiranga"/>
    <x v="2"/>
    <x v="2"/>
    <n v="6963862"/>
  </r>
  <r>
    <x v="0"/>
    <x v="7"/>
    <s v="BR"/>
    <x v="2"/>
    <x v="2"/>
    <n v="3673286"/>
  </r>
  <r>
    <x v="0"/>
    <x v="7"/>
    <s v="Greenergy"/>
    <x v="2"/>
    <x v="2"/>
    <n v="1765906"/>
  </r>
  <r>
    <x v="0"/>
    <x v="7"/>
    <s v="Sul Plata"/>
    <x v="2"/>
    <x v="2"/>
    <n v="0"/>
  </r>
  <r>
    <x v="0"/>
    <x v="7"/>
    <s v="Sul Plata"/>
    <x v="2"/>
    <x v="2"/>
    <n v="1739285"/>
  </r>
  <r>
    <x v="0"/>
    <x v="7"/>
    <s v="JBS"/>
    <x v="3"/>
    <x v="3"/>
    <n v="129223"/>
  </r>
  <r>
    <x v="0"/>
    <x v="7"/>
    <s v="Tricon"/>
    <x v="3"/>
    <x v="3"/>
    <n v="305822"/>
  </r>
  <r>
    <x v="0"/>
    <x v="7"/>
    <s v="Novus"/>
    <x v="0"/>
    <x v="0"/>
    <n v="194724"/>
  </r>
  <r>
    <x v="0"/>
    <x v="7"/>
    <s v="BRF"/>
    <x v="4"/>
    <x v="4"/>
    <n v="792025"/>
  </r>
  <r>
    <x v="0"/>
    <x v="7"/>
    <s v="JBS"/>
    <x v="4"/>
    <x v="4"/>
    <n v="172294"/>
  </r>
  <r>
    <x v="0"/>
    <x v="7"/>
    <s v="Cargill"/>
    <x v="4"/>
    <x v="4"/>
    <n v="448348"/>
  </r>
  <r>
    <x v="0"/>
    <x v="7"/>
    <s v="Pool"/>
    <x v="5"/>
    <x v="5"/>
    <n v="1925815"/>
  </r>
  <r>
    <x v="0"/>
    <x v="7"/>
    <s v="Pool Excedente"/>
    <x v="5"/>
    <x v="5"/>
    <n v="63587"/>
  </r>
  <r>
    <x v="0"/>
    <x v="7"/>
    <s v="Methanex"/>
    <x v="6"/>
    <x v="6"/>
    <n v="5136871"/>
  </r>
  <r>
    <x v="0"/>
    <x v="7"/>
    <s v="Mitsubishi"/>
    <x v="6"/>
    <x v="6"/>
    <n v="3063505"/>
  </r>
  <r>
    <x v="0"/>
    <x v="7"/>
    <s v="SCC"/>
    <x v="6"/>
    <x v="6"/>
    <n v="4558035"/>
  </r>
  <r>
    <x v="0"/>
    <x v="7"/>
    <s v="SCC"/>
    <x v="6"/>
    <x v="6"/>
    <n v="302087"/>
  </r>
  <r>
    <x v="0"/>
    <x v="7"/>
    <s v="Hinove"/>
    <x v="7"/>
    <x v="1"/>
    <n v="308366"/>
  </r>
  <r>
    <x v="0"/>
    <x v="7"/>
    <s v="Evonik"/>
    <x v="8"/>
    <x v="0"/>
    <n v="193830"/>
  </r>
  <r>
    <x v="0"/>
    <x v="7"/>
    <s v="YPF"/>
    <x v="6"/>
    <x v="6"/>
    <n v="502536"/>
  </r>
  <r>
    <x v="0"/>
    <x v="7"/>
    <s v="GTM"/>
    <x v="8"/>
    <x v="0"/>
    <n v="118190"/>
  </r>
  <r>
    <x v="0"/>
    <x v="7"/>
    <s v="DRT"/>
    <x v="9"/>
    <x v="1"/>
    <n v="119000"/>
  </r>
  <r>
    <x v="0"/>
    <x v="7"/>
    <s v="Tereos/Inpasa/Glencore"/>
    <x v="10"/>
    <x v="7"/>
    <n v="700000"/>
  </r>
  <r>
    <x v="0"/>
    <x v="7"/>
    <s v="Celena"/>
    <x v="4"/>
    <x v="4"/>
    <n v="267764"/>
  </r>
  <r>
    <x v="0"/>
    <x v="7"/>
    <s v="AAK"/>
    <x v="4"/>
    <x v="4"/>
    <n v="303588"/>
  </r>
  <r>
    <x v="0"/>
    <x v="7"/>
    <s v="Cargill"/>
    <x v="5"/>
    <x v="5"/>
    <n v="200808"/>
  </r>
  <r>
    <x v="0"/>
    <x v="7"/>
    <s v="Agropalma"/>
    <x v="4"/>
    <x v="4"/>
    <n v="304688"/>
  </r>
  <r>
    <x v="0"/>
    <x v="7"/>
    <s v="Copape"/>
    <x v="11"/>
    <x v="1"/>
    <n v="1442809"/>
  </r>
  <r>
    <x v="0"/>
    <x v="8"/>
    <s v="Adisseo"/>
    <x v="0"/>
    <x v="0"/>
    <n v="515772"/>
  </r>
  <r>
    <x v="0"/>
    <x v="8"/>
    <s v="Adisseo"/>
    <x v="0"/>
    <x v="0"/>
    <n v="132556"/>
  </r>
  <r>
    <x v="0"/>
    <x v="8"/>
    <s v="Adisseo Caminhão"/>
    <x v="0"/>
    <x v="0"/>
    <n v="3316"/>
  </r>
  <r>
    <x v="0"/>
    <x v="8"/>
    <s v="ADM"/>
    <x v="1"/>
    <x v="1"/>
    <n v="79358"/>
  </r>
  <r>
    <x v="0"/>
    <x v="8"/>
    <s v="Ipiranga"/>
    <x v="2"/>
    <x v="2"/>
    <n v="6963862"/>
  </r>
  <r>
    <x v="0"/>
    <x v="8"/>
    <s v="BR"/>
    <x v="2"/>
    <x v="2"/>
    <n v="3673286"/>
  </r>
  <r>
    <x v="0"/>
    <x v="8"/>
    <s v="Greenergy"/>
    <x v="2"/>
    <x v="2"/>
    <n v="1765906"/>
  </r>
  <r>
    <x v="0"/>
    <x v="8"/>
    <s v="Sul Plata"/>
    <x v="2"/>
    <x v="2"/>
    <n v="0"/>
  </r>
  <r>
    <x v="0"/>
    <x v="8"/>
    <s v="Sul Plata"/>
    <x v="2"/>
    <x v="2"/>
    <n v="1739285"/>
  </r>
  <r>
    <x v="0"/>
    <x v="8"/>
    <s v="JBS"/>
    <x v="3"/>
    <x v="3"/>
    <n v="129223"/>
  </r>
  <r>
    <x v="0"/>
    <x v="8"/>
    <s v="Tricon"/>
    <x v="3"/>
    <x v="3"/>
    <n v="305822"/>
  </r>
  <r>
    <x v="0"/>
    <x v="8"/>
    <s v="Novus"/>
    <x v="0"/>
    <x v="0"/>
    <n v="194724"/>
  </r>
  <r>
    <x v="0"/>
    <x v="8"/>
    <s v="BRF"/>
    <x v="4"/>
    <x v="4"/>
    <n v="792025"/>
  </r>
  <r>
    <x v="0"/>
    <x v="8"/>
    <s v="JBS"/>
    <x v="4"/>
    <x v="4"/>
    <n v="172294"/>
  </r>
  <r>
    <x v="0"/>
    <x v="8"/>
    <s v="Cargill"/>
    <x v="4"/>
    <x v="4"/>
    <n v="448348"/>
  </r>
  <r>
    <x v="0"/>
    <x v="8"/>
    <s v="Pool"/>
    <x v="5"/>
    <x v="5"/>
    <n v="2276363"/>
  </r>
  <r>
    <x v="0"/>
    <x v="8"/>
    <s v="Pool Excedente"/>
    <x v="5"/>
    <x v="5"/>
    <n v="63587"/>
  </r>
  <r>
    <x v="0"/>
    <x v="8"/>
    <s v="Methanex"/>
    <x v="6"/>
    <x v="6"/>
    <n v="5136871"/>
  </r>
  <r>
    <x v="0"/>
    <x v="8"/>
    <s v="Mitsubishi"/>
    <x v="6"/>
    <x v="6"/>
    <n v="3063505"/>
  </r>
  <r>
    <x v="0"/>
    <x v="8"/>
    <s v="SCC"/>
    <x v="6"/>
    <x v="6"/>
    <n v="4558035"/>
  </r>
  <r>
    <x v="0"/>
    <x v="8"/>
    <s v="SCC"/>
    <x v="6"/>
    <x v="6"/>
    <n v="302087"/>
  </r>
  <r>
    <x v="0"/>
    <x v="8"/>
    <s v="Hinove"/>
    <x v="7"/>
    <x v="1"/>
    <n v="332793"/>
  </r>
  <r>
    <x v="0"/>
    <x v="8"/>
    <s v="Evonik"/>
    <x v="8"/>
    <x v="0"/>
    <n v="193830"/>
  </r>
  <r>
    <x v="0"/>
    <x v="8"/>
    <s v="YPF"/>
    <x v="6"/>
    <x v="6"/>
    <n v="575140"/>
  </r>
  <r>
    <x v="0"/>
    <x v="8"/>
    <s v="GTM"/>
    <x v="8"/>
    <x v="0"/>
    <n v="128809"/>
  </r>
  <r>
    <x v="0"/>
    <x v="8"/>
    <s v="DRT"/>
    <x v="9"/>
    <x v="1"/>
    <n v="119000"/>
  </r>
  <r>
    <x v="0"/>
    <x v="8"/>
    <s v="Tereos/Inpasa/Glencore"/>
    <x v="10"/>
    <x v="7"/>
    <n v="700000"/>
  </r>
  <r>
    <x v="0"/>
    <x v="8"/>
    <s v="Celena"/>
    <x v="4"/>
    <x v="4"/>
    <n v="267764"/>
  </r>
  <r>
    <x v="0"/>
    <x v="8"/>
    <s v="AAK"/>
    <x v="4"/>
    <x v="4"/>
    <n v="303588"/>
  </r>
  <r>
    <x v="0"/>
    <x v="8"/>
    <s v="Cargill"/>
    <x v="5"/>
    <x v="5"/>
    <n v="242252"/>
  </r>
  <r>
    <x v="0"/>
    <x v="8"/>
    <s v="Agropalma"/>
    <x v="4"/>
    <x v="4"/>
    <n v="304688"/>
  </r>
  <r>
    <x v="0"/>
    <x v="8"/>
    <s v="Copape"/>
    <x v="11"/>
    <x v="1"/>
    <n v="1442809"/>
  </r>
  <r>
    <x v="0"/>
    <x v="9"/>
    <s v="Adisseo"/>
    <x v="0"/>
    <x v="0"/>
    <n v="515772"/>
  </r>
  <r>
    <x v="0"/>
    <x v="9"/>
    <s v="Adisseo"/>
    <x v="0"/>
    <x v="0"/>
    <n v="132556"/>
  </r>
  <r>
    <x v="0"/>
    <x v="9"/>
    <s v="Adisseo Caminhão"/>
    <x v="0"/>
    <x v="0"/>
    <n v="3316"/>
  </r>
  <r>
    <x v="0"/>
    <x v="9"/>
    <s v="ADM"/>
    <x v="1"/>
    <x v="1"/>
    <n v="79358"/>
  </r>
  <r>
    <x v="0"/>
    <x v="9"/>
    <s v="Ipiranga"/>
    <x v="2"/>
    <x v="2"/>
    <n v="6963862"/>
  </r>
  <r>
    <x v="0"/>
    <x v="9"/>
    <s v="BR"/>
    <x v="2"/>
    <x v="2"/>
    <n v="3673286"/>
  </r>
  <r>
    <x v="0"/>
    <x v="9"/>
    <s v="Greenergy"/>
    <x v="2"/>
    <x v="2"/>
    <n v="1765906"/>
  </r>
  <r>
    <x v="0"/>
    <x v="9"/>
    <s v="Sul Plata"/>
    <x v="2"/>
    <x v="2"/>
    <n v="0"/>
  </r>
  <r>
    <x v="0"/>
    <x v="9"/>
    <s v="Sul Plata"/>
    <x v="2"/>
    <x v="2"/>
    <n v="1739285"/>
  </r>
  <r>
    <x v="0"/>
    <x v="9"/>
    <s v="JBS"/>
    <x v="3"/>
    <x v="3"/>
    <n v="134883"/>
  </r>
  <r>
    <x v="0"/>
    <x v="9"/>
    <s v="Tricon"/>
    <x v="3"/>
    <x v="3"/>
    <n v="305822"/>
  </r>
  <r>
    <x v="0"/>
    <x v="9"/>
    <s v="Novus"/>
    <x v="0"/>
    <x v="0"/>
    <n v="203290"/>
  </r>
  <r>
    <x v="0"/>
    <x v="9"/>
    <s v="BRF"/>
    <x v="4"/>
    <x v="4"/>
    <n v="792025"/>
  </r>
  <r>
    <x v="0"/>
    <x v="9"/>
    <s v="JBS"/>
    <x v="4"/>
    <x v="4"/>
    <n v="179840"/>
  </r>
  <r>
    <x v="0"/>
    <x v="9"/>
    <s v="Cargill"/>
    <x v="4"/>
    <x v="4"/>
    <n v="448348"/>
  </r>
  <r>
    <x v="0"/>
    <x v="9"/>
    <s v="Pool"/>
    <x v="5"/>
    <x v="5"/>
    <n v="900261"/>
  </r>
  <r>
    <x v="0"/>
    <x v="9"/>
    <s v="Pool Excedente"/>
    <x v="5"/>
    <x v="5"/>
    <n v="63587"/>
  </r>
  <r>
    <x v="0"/>
    <x v="9"/>
    <s v="Methanex"/>
    <x v="6"/>
    <x v="6"/>
    <n v="5136871"/>
  </r>
  <r>
    <x v="0"/>
    <x v="9"/>
    <s v="Mitsubishi"/>
    <x v="6"/>
    <x v="6"/>
    <n v="3063505"/>
  </r>
  <r>
    <x v="0"/>
    <x v="9"/>
    <s v="SCC"/>
    <x v="6"/>
    <x v="6"/>
    <n v="4558035"/>
  </r>
  <r>
    <x v="0"/>
    <x v="9"/>
    <s v="SCC"/>
    <x v="6"/>
    <x v="6"/>
    <n v="302087"/>
  </r>
  <r>
    <x v="0"/>
    <x v="9"/>
    <s v="Hinove"/>
    <x v="7"/>
    <x v="1"/>
    <n v="308366"/>
  </r>
  <r>
    <x v="0"/>
    <x v="9"/>
    <s v="Evonik"/>
    <x v="8"/>
    <x v="0"/>
    <n v="193830"/>
  </r>
  <r>
    <x v="0"/>
    <x v="9"/>
    <s v="YPF"/>
    <x v="6"/>
    <x v="6"/>
    <n v="502536"/>
  </r>
  <r>
    <x v="0"/>
    <x v="9"/>
    <s v="GTM"/>
    <x v="8"/>
    <x v="0"/>
    <n v="118190"/>
  </r>
  <r>
    <x v="0"/>
    <x v="9"/>
    <s v="DRT"/>
    <x v="9"/>
    <x v="1"/>
    <n v="119000"/>
  </r>
  <r>
    <x v="0"/>
    <x v="9"/>
    <s v="Tereos/Inpasa/Glencore"/>
    <x v="10"/>
    <x v="7"/>
    <n v="700000"/>
  </r>
  <r>
    <x v="0"/>
    <x v="9"/>
    <s v="Celena"/>
    <x v="4"/>
    <x v="4"/>
    <n v="267764"/>
  </r>
  <r>
    <x v="0"/>
    <x v="9"/>
    <s v="AAK"/>
    <x v="4"/>
    <x v="4"/>
    <n v="303588"/>
  </r>
  <r>
    <x v="0"/>
    <x v="9"/>
    <s v="Cargill"/>
    <x v="5"/>
    <x v="5"/>
    <n v="200808"/>
  </r>
  <r>
    <x v="0"/>
    <x v="9"/>
    <s v="Agropalma"/>
    <x v="4"/>
    <x v="4"/>
    <n v="304688"/>
  </r>
  <r>
    <x v="0"/>
    <x v="9"/>
    <s v="Copape"/>
    <x v="11"/>
    <x v="1"/>
    <n v="1442809"/>
  </r>
  <r>
    <x v="0"/>
    <x v="10"/>
    <s v="Adisseo"/>
    <x v="0"/>
    <x v="0"/>
    <n v="515772"/>
  </r>
  <r>
    <x v="0"/>
    <x v="10"/>
    <s v="Adisseo"/>
    <x v="0"/>
    <x v="0"/>
    <n v="132556"/>
  </r>
  <r>
    <x v="0"/>
    <x v="10"/>
    <s v="Adisseo Caminhão"/>
    <x v="0"/>
    <x v="0"/>
    <n v="3316"/>
  </r>
  <r>
    <x v="0"/>
    <x v="10"/>
    <s v="ADM"/>
    <x v="1"/>
    <x v="1"/>
    <n v="79358"/>
  </r>
  <r>
    <x v="0"/>
    <x v="10"/>
    <s v="Ipiranga"/>
    <x v="2"/>
    <x v="2"/>
    <n v="6963862"/>
  </r>
  <r>
    <x v="0"/>
    <x v="10"/>
    <s v="BR"/>
    <x v="2"/>
    <x v="2"/>
    <n v="3673286"/>
  </r>
  <r>
    <x v="0"/>
    <x v="10"/>
    <s v="Greenergy"/>
    <x v="2"/>
    <x v="2"/>
    <n v="1765906"/>
  </r>
  <r>
    <x v="0"/>
    <x v="10"/>
    <s v="Sul Plata"/>
    <x v="2"/>
    <x v="2"/>
    <n v="0"/>
  </r>
  <r>
    <x v="0"/>
    <x v="10"/>
    <s v="Sul Plata"/>
    <x v="2"/>
    <x v="2"/>
    <n v="1739285"/>
  </r>
  <r>
    <x v="0"/>
    <x v="10"/>
    <s v="JBS"/>
    <x v="3"/>
    <x v="3"/>
    <n v="134883"/>
  </r>
  <r>
    <x v="0"/>
    <x v="10"/>
    <s v="Tricon"/>
    <x v="3"/>
    <x v="3"/>
    <n v="305822"/>
  </r>
  <r>
    <x v="0"/>
    <x v="10"/>
    <s v="Novus"/>
    <x v="0"/>
    <x v="0"/>
    <n v="194724"/>
  </r>
  <r>
    <x v="0"/>
    <x v="10"/>
    <s v="BRF"/>
    <x v="4"/>
    <x v="4"/>
    <n v="792025"/>
  </r>
  <r>
    <x v="0"/>
    <x v="10"/>
    <s v="JBS"/>
    <x v="4"/>
    <x v="4"/>
    <n v="179840"/>
  </r>
  <r>
    <x v="0"/>
    <x v="10"/>
    <s v="Cargill"/>
    <x v="4"/>
    <x v="4"/>
    <n v="448348"/>
  </r>
  <r>
    <x v="0"/>
    <x v="10"/>
    <s v="Pool"/>
    <x v="5"/>
    <x v="5"/>
    <n v="512741"/>
  </r>
  <r>
    <x v="0"/>
    <x v="10"/>
    <s v="Pool Excedente"/>
    <x v="5"/>
    <x v="5"/>
    <n v="63587"/>
  </r>
  <r>
    <x v="0"/>
    <x v="10"/>
    <s v="Methanex"/>
    <x v="6"/>
    <x v="6"/>
    <n v="5136871"/>
  </r>
  <r>
    <x v="0"/>
    <x v="10"/>
    <s v="Mitsubishi"/>
    <x v="6"/>
    <x v="6"/>
    <n v="3063505"/>
  </r>
  <r>
    <x v="0"/>
    <x v="10"/>
    <s v="SCC"/>
    <x v="6"/>
    <x v="6"/>
    <n v="4558035"/>
  </r>
  <r>
    <x v="0"/>
    <x v="10"/>
    <s v="SCC"/>
    <x v="6"/>
    <x v="6"/>
    <n v="302087"/>
  </r>
  <r>
    <x v="0"/>
    <x v="10"/>
    <s v="Hinove"/>
    <x v="7"/>
    <x v="1"/>
    <n v="308366"/>
  </r>
  <r>
    <x v="0"/>
    <x v="10"/>
    <s v="Evonik"/>
    <x v="8"/>
    <x v="0"/>
    <n v="193830"/>
  </r>
  <r>
    <x v="0"/>
    <x v="10"/>
    <s v="YPF"/>
    <x v="6"/>
    <x v="6"/>
    <n v="502536"/>
  </r>
  <r>
    <x v="0"/>
    <x v="10"/>
    <s v="GTM"/>
    <x v="8"/>
    <x v="0"/>
    <n v="118190"/>
  </r>
  <r>
    <x v="0"/>
    <x v="10"/>
    <s v="DRT"/>
    <x v="9"/>
    <x v="1"/>
    <n v="119000"/>
  </r>
  <r>
    <x v="0"/>
    <x v="10"/>
    <s v="Tereos/Inpasa/Glencore"/>
    <x v="10"/>
    <x v="7"/>
    <n v="0"/>
  </r>
  <r>
    <x v="0"/>
    <x v="10"/>
    <s v="Celena"/>
    <x v="4"/>
    <x v="4"/>
    <n v="267764"/>
  </r>
  <r>
    <x v="0"/>
    <x v="10"/>
    <s v="AAK"/>
    <x v="4"/>
    <x v="4"/>
    <n v="303588"/>
  </r>
  <r>
    <x v="0"/>
    <x v="10"/>
    <s v="Cargill"/>
    <x v="5"/>
    <x v="5"/>
    <n v="242252"/>
  </r>
  <r>
    <x v="0"/>
    <x v="10"/>
    <s v="Agropalma"/>
    <x v="4"/>
    <x v="4"/>
    <n v="304688"/>
  </r>
  <r>
    <x v="0"/>
    <x v="10"/>
    <s v="Copape"/>
    <x v="11"/>
    <x v="1"/>
    <n v="1442809"/>
  </r>
  <r>
    <x v="0"/>
    <x v="11"/>
    <s v="Adisseo"/>
    <x v="0"/>
    <x v="0"/>
    <n v="515772"/>
  </r>
  <r>
    <x v="0"/>
    <x v="11"/>
    <s v="Adisseo"/>
    <x v="0"/>
    <x v="0"/>
    <n v="132556"/>
  </r>
  <r>
    <x v="0"/>
    <x v="11"/>
    <s v="Adisseo Caminhão"/>
    <x v="0"/>
    <x v="0"/>
    <n v="3316"/>
  </r>
  <r>
    <x v="0"/>
    <x v="11"/>
    <s v="ADM"/>
    <x v="1"/>
    <x v="1"/>
    <n v="79358"/>
  </r>
  <r>
    <x v="0"/>
    <x v="11"/>
    <s v="Ipiranga"/>
    <x v="2"/>
    <x v="2"/>
    <n v="6963862"/>
  </r>
  <r>
    <x v="0"/>
    <x v="11"/>
    <s v="BR"/>
    <x v="2"/>
    <x v="2"/>
    <n v="3673286"/>
  </r>
  <r>
    <x v="0"/>
    <x v="11"/>
    <s v="Greenergy"/>
    <x v="2"/>
    <x v="2"/>
    <n v="1765906"/>
  </r>
  <r>
    <x v="0"/>
    <x v="11"/>
    <s v="Sul Plata"/>
    <x v="2"/>
    <x v="2"/>
    <n v="0"/>
  </r>
  <r>
    <x v="0"/>
    <x v="11"/>
    <s v="Sul Plata"/>
    <x v="2"/>
    <x v="2"/>
    <n v="1739285"/>
  </r>
  <r>
    <x v="0"/>
    <x v="11"/>
    <s v="JBS"/>
    <x v="3"/>
    <x v="3"/>
    <n v="134883"/>
  </r>
  <r>
    <x v="0"/>
    <x v="11"/>
    <s v="Tricon"/>
    <x v="3"/>
    <x v="3"/>
    <n v="305822"/>
  </r>
  <r>
    <x v="0"/>
    <x v="11"/>
    <s v="Novus"/>
    <x v="0"/>
    <x v="0"/>
    <n v="203290"/>
  </r>
  <r>
    <x v="0"/>
    <x v="11"/>
    <s v="BRF"/>
    <x v="4"/>
    <x v="4"/>
    <n v="792025"/>
  </r>
  <r>
    <x v="0"/>
    <x v="11"/>
    <s v="JBS"/>
    <x v="4"/>
    <x v="4"/>
    <n v="179840"/>
  </r>
  <r>
    <x v="0"/>
    <x v="11"/>
    <s v="Cargill"/>
    <x v="4"/>
    <x v="4"/>
    <n v="448348"/>
  </r>
  <r>
    <x v="0"/>
    <x v="11"/>
    <s v="Pool"/>
    <x v="5"/>
    <x v="5"/>
    <n v="512741"/>
  </r>
  <r>
    <x v="0"/>
    <x v="11"/>
    <s v="Pool Excedente"/>
    <x v="5"/>
    <x v="5"/>
    <n v="63587"/>
  </r>
  <r>
    <x v="0"/>
    <x v="11"/>
    <s v="Methanex"/>
    <x v="6"/>
    <x v="6"/>
    <n v="5136871"/>
  </r>
  <r>
    <x v="0"/>
    <x v="11"/>
    <s v="Mitsubishi"/>
    <x v="6"/>
    <x v="6"/>
    <n v="3063505"/>
  </r>
  <r>
    <x v="0"/>
    <x v="11"/>
    <s v="SCC"/>
    <x v="6"/>
    <x v="6"/>
    <n v="4558035"/>
  </r>
  <r>
    <x v="0"/>
    <x v="11"/>
    <s v="SCC"/>
    <x v="6"/>
    <x v="6"/>
    <n v="302087"/>
  </r>
  <r>
    <x v="0"/>
    <x v="11"/>
    <s v="Hinove"/>
    <x v="7"/>
    <x v="1"/>
    <n v="308366"/>
  </r>
  <r>
    <x v="0"/>
    <x v="11"/>
    <s v="Evonik"/>
    <x v="8"/>
    <x v="0"/>
    <n v="193830"/>
  </r>
  <r>
    <x v="0"/>
    <x v="11"/>
    <s v="YPF"/>
    <x v="6"/>
    <x v="6"/>
    <n v="575140"/>
  </r>
  <r>
    <x v="0"/>
    <x v="11"/>
    <s v="GTM"/>
    <x v="8"/>
    <x v="0"/>
    <n v="128809"/>
  </r>
  <r>
    <x v="0"/>
    <x v="11"/>
    <s v="DRT"/>
    <x v="9"/>
    <x v="1"/>
    <n v="119000"/>
  </r>
  <r>
    <x v="0"/>
    <x v="11"/>
    <s v="Tereos/Inpasa/Glencore"/>
    <x v="10"/>
    <x v="7"/>
    <n v="0"/>
  </r>
  <r>
    <x v="0"/>
    <x v="11"/>
    <s v="Celena"/>
    <x v="4"/>
    <x v="4"/>
    <n v="267764"/>
  </r>
  <r>
    <x v="0"/>
    <x v="11"/>
    <s v="AAK"/>
    <x v="4"/>
    <x v="4"/>
    <n v="303588"/>
  </r>
  <r>
    <x v="0"/>
    <x v="11"/>
    <s v="Cargill"/>
    <x v="5"/>
    <x v="5"/>
    <n v="200808"/>
  </r>
  <r>
    <x v="0"/>
    <x v="11"/>
    <s v="Agropalma"/>
    <x v="4"/>
    <x v="4"/>
    <n v="304688"/>
  </r>
  <r>
    <x v="0"/>
    <x v="11"/>
    <s v="Copape"/>
    <x v="11"/>
    <x v="1"/>
    <n v="1442809"/>
  </r>
  <r>
    <x v="1"/>
    <x v="0"/>
    <s v="Adisseo"/>
    <x v="0"/>
    <x v="0"/>
    <n v="716278"/>
  </r>
  <r>
    <x v="1"/>
    <x v="0"/>
    <s v="Bunge"/>
    <x v="4"/>
    <x v="4"/>
    <n v="316411"/>
  </r>
  <r>
    <x v="1"/>
    <x v="0"/>
    <s v="Adisseo Caminhão"/>
    <x v="0"/>
    <x v="0"/>
    <n v="3580"/>
  </r>
  <r>
    <x v="1"/>
    <x v="0"/>
    <s v="ADM"/>
    <x v="5"/>
    <x v="5"/>
    <n v="103392"/>
  </r>
  <r>
    <x v="1"/>
    <x v="0"/>
    <s v="Ipiranga"/>
    <x v="2"/>
    <x v="2"/>
    <n v="5509666"/>
  </r>
  <r>
    <x v="1"/>
    <x v="0"/>
    <s v="Raizen"/>
    <x v="2"/>
    <x v="2"/>
    <n v="2451242"/>
  </r>
  <r>
    <x v="1"/>
    <x v="0"/>
    <s v="Greenergy"/>
    <x v="2"/>
    <x v="2"/>
    <n v="1004795"/>
  </r>
  <r>
    <x v="1"/>
    <x v="0"/>
    <s v="Sul Plata"/>
    <x v="2"/>
    <x v="2"/>
    <n v="2053242"/>
  </r>
  <r>
    <x v="1"/>
    <x v="0"/>
    <s v="Projesan"/>
    <x v="3"/>
    <x v="3"/>
    <n v="81453"/>
  </r>
  <r>
    <x v="1"/>
    <x v="0"/>
    <s v="JBS"/>
    <x v="3"/>
    <x v="3"/>
    <n v="144366"/>
  </r>
  <r>
    <x v="1"/>
    <x v="0"/>
    <s v="Tricon"/>
    <x v="3"/>
    <x v="3"/>
    <n v="531095"/>
  </r>
  <r>
    <x v="1"/>
    <x v="0"/>
    <s v="Braskem"/>
    <x v="3"/>
    <x v="3"/>
    <n v="300314"/>
  </r>
  <r>
    <x v="1"/>
    <x v="0"/>
    <s v="BRF"/>
    <x v="4"/>
    <x v="4"/>
    <n v="839921"/>
  </r>
  <r>
    <x v="1"/>
    <x v="0"/>
    <s v="JBS"/>
    <x v="4"/>
    <x v="4"/>
    <n v="320414"/>
  </r>
  <r>
    <x v="1"/>
    <x v="0"/>
    <s v="Cargill"/>
    <x v="4"/>
    <x v="4"/>
    <n v="497038"/>
  </r>
  <r>
    <x v="1"/>
    <x v="0"/>
    <s v="Pool"/>
    <x v="5"/>
    <x v="5"/>
    <n v="2618652"/>
  </r>
  <r>
    <x v="1"/>
    <x v="0"/>
    <s v="Pool Excedente"/>
    <x v="5"/>
    <x v="5"/>
    <n v="98005"/>
  </r>
  <r>
    <x v="1"/>
    <x v="0"/>
    <s v="Methanex"/>
    <x v="6"/>
    <x v="6"/>
    <n v="5845875"/>
  </r>
  <r>
    <x v="1"/>
    <x v="0"/>
    <s v="Mitsubishi"/>
    <x v="6"/>
    <x v="6"/>
    <n v="3497206"/>
  </r>
  <r>
    <x v="1"/>
    <x v="0"/>
    <s v="SCC"/>
    <x v="6"/>
    <x v="6"/>
    <n v="5636979"/>
  </r>
  <r>
    <x v="1"/>
    <x v="0"/>
    <s v="SCC"/>
    <x v="6"/>
    <x v="6"/>
    <n v="0"/>
  </r>
  <r>
    <x v="1"/>
    <x v="0"/>
    <s v="Terrena"/>
    <x v="7"/>
    <x v="1"/>
    <n v="369684"/>
  </r>
  <r>
    <x v="1"/>
    <x v="0"/>
    <s v="Evonik"/>
    <x v="8"/>
    <x v="0"/>
    <n v="222688"/>
  </r>
  <r>
    <x v="1"/>
    <x v="0"/>
    <s v="YPF"/>
    <x v="6"/>
    <x v="6"/>
    <n v="588985"/>
  </r>
  <r>
    <x v="1"/>
    <x v="0"/>
    <s v="GTM"/>
    <x v="8"/>
    <x v="0"/>
    <n v="106241"/>
  </r>
  <r>
    <x v="1"/>
    <x v="0"/>
    <s v="DRT"/>
    <x v="9"/>
    <x v="1"/>
    <n v="119000"/>
  </r>
  <r>
    <x v="1"/>
    <x v="0"/>
    <s v="Tereos/Inpasa/Glencore"/>
    <x v="10"/>
    <x v="7"/>
    <n v="0"/>
  </r>
  <r>
    <x v="1"/>
    <x v="0"/>
    <s v="Celena"/>
    <x v="4"/>
    <x v="4"/>
    <n v="677215"/>
  </r>
  <r>
    <x v="1"/>
    <x v="0"/>
    <s v="AAK"/>
    <x v="4"/>
    <x v="4"/>
    <n v="440802"/>
  </r>
  <r>
    <x v="1"/>
    <x v="0"/>
    <s v="Cargill"/>
    <x v="5"/>
    <x v="5"/>
    <n v="267726"/>
  </r>
  <r>
    <x v="1"/>
    <x v="0"/>
    <s v="Agropalma"/>
    <x v="4"/>
    <x v="4"/>
    <n v="336129"/>
  </r>
  <r>
    <x v="1"/>
    <x v="0"/>
    <s v="Copape"/>
    <x v="11"/>
    <x v="1"/>
    <n v="559643"/>
  </r>
  <r>
    <x v="1"/>
    <x v="0"/>
    <s v="Brenntag"/>
    <x v="3"/>
    <x v="3"/>
    <n v="321373"/>
  </r>
  <r>
    <x v="1"/>
    <x v="0"/>
    <s v="Olin"/>
    <x v="3"/>
    <x v="3"/>
    <n v="0"/>
  </r>
  <r>
    <x v="1"/>
    <x v="12"/>
    <s v="Adisseo"/>
    <x v="0"/>
    <x v="0"/>
    <n v="716278"/>
  </r>
  <r>
    <x v="1"/>
    <x v="12"/>
    <s v="Bunge"/>
    <x v="4"/>
    <x v="4"/>
    <n v="316411"/>
  </r>
  <r>
    <x v="1"/>
    <x v="12"/>
    <s v="Adisseo Caminhão"/>
    <x v="0"/>
    <x v="0"/>
    <n v="3580"/>
  </r>
  <r>
    <x v="1"/>
    <x v="12"/>
    <s v="ADM"/>
    <x v="5"/>
    <x v="5"/>
    <n v="103392"/>
  </r>
  <r>
    <x v="1"/>
    <x v="12"/>
    <s v="Ipiranga"/>
    <x v="2"/>
    <x v="2"/>
    <n v="5884397"/>
  </r>
  <r>
    <x v="1"/>
    <x v="12"/>
    <s v="Raizen"/>
    <x v="2"/>
    <x v="2"/>
    <n v="2879842"/>
  </r>
  <r>
    <x v="1"/>
    <x v="12"/>
    <s v="Greenergy"/>
    <x v="2"/>
    <x v="2"/>
    <n v="1004795"/>
  </r>
  <r>
    <x v="1"/>
    <x v="12"/>
    <s v="Sul Plata"/>
    <x v="2"/>
    <x v="2"/>
    <n v="2053242"/>
  </r>
  <r>
    <x v="1"/>
    <x v="12"/>
    <s v="Projesan"/>
    <x v="3"/>
    <x v="3"/>
    <n v="70663"/>
  </r>
  <r>
    <x v="1"/>
    <x v="12"/>
    <s v="JBS"/>
    <x v="3"/>
    <x v="3"/>
    <n v="144366"/>
  </r>
  <r>
    <x v="1"/>
    <x v="12"/>
    <s v="Tricon"/>
    <x v="3"/>
    <x v="3"/>
    <n v="531095"/>
  </r>
  <r>
    <x v="1"/>
    <x v="12"/>
    <s v="Braskem"/>
    <x v="3"/>
    <x v="3"/>
    <n v="274629"/>
  </r>
  <r>
    <x v="1"/>
    <x v="12"/>
    <s v="BRF"/>
    <x v="4"/>
    <x v="4"/>
    <n v="839921"/>
  </r>
  <r>
    <x v="1"/>
    <x v="12"/>
    <s v="JBS"/>
    <x v="4"/>
    <x v="4"/>
    <n v="320414"/>
  </r>
  <r>
    <x v="1"/>
    <x v="12"/>
    <s v="Cargill"/>
    <x v="4"/>
    <x v="4"/>
    <n v="497038"/>
  </r>
  <r>
    <x v="1"/>
    <x v="12"/>
    <s v="Pool"/>
    <x v="5"/>
    <x v="5"/>
    <n v="3666113"/>
  </r>
  <r>
    <x v="1"/>
    <x v="12"/>
    <s v="Pool Excedente"/>
    <x v="5"/>
    <x v="5"/>
    <n v="98005"/>
  </r>
  <r>
    <x v="1"/>
    <x v="12"/>
    <s v="Methanex"/>
    <x v="6"/>
    <x v="6"/>
    <n v="5845875"/>
  </r>
  <r>
    <x v="1"/>
    <x v="12"/>
    <s v="Mitsubishi"/>
    <x v="6"/>
    <x v="6"/>
    <n v="3497206"/>
  </r>
  <r>
    <x v="1"/>
    <x v="12"/>
    <s v="SCC"/>
    <x v="6"/>
    <x v="6"/>
    <n v="5636979"/>
  </r>
  <r>
    <x v="1"/>
    <x v="12"/>
    <s v="SCC"/>
    <x v="6"/>
    <x v="6"/>
    <n v="0"/>
  </r>
  <r>
    <x v="1"/>
    <x v="12"/>
    <s v="Terrena"/>
    <x v="7"/>
    <x v="1"/>
    <n v="369684"/>
  </r>
  <r>
    <x v="1"/>
    <x v="12"/>
    <s v="Evonik"/>
    <x v="8"/>
    <x v="0"/>
    <n v="222688"/>
  </r>
  <r>
    <x v="1"/>
    <x v="12"/>
    <s v="YPF"/>
    <x v="6"/>
    <x v="6"/>
    <n v="588985"/>
  </r>
  <r>
    <x v="1"/>
    <x v="12"/>
    <s v="GTM"/>
    <x v="8"/>
    <x v="0"/>
    <n v="147795"/>
  </r>
  <r>
    <x v="1"/>
    <x v="12"/>
    <s v="DRT"/>
    <x v="9"/>
    <x v="1"/>
    <n v="119000"/>
  </r>
  <r>
    <x v="1"/>
    <x v="12"/>
    <s v="Tereos/Inpasa/Glencore"/>
    <x v="10"/>
    <x v="7"/>
    <n v="0"/>
  </r>
  <r>
    <x v="1"/>
    <x v="12"/>
    <s v="Celena"/>
    <x v="4"/>
    <x v="4"/>
    <n v="677215"/>
  </r>
  <r>
    <x v="1"/>
    <x v="12"/>
    <s v="AAK"/>
    <x v="4"/>
    <x v="4"/>
    <n v="440802"/>
  </r>
  <r>
    <x v="1"/>
    <x v="12"/>
    <s v="Cargill"/>
    <x v="5"/>
    <x v="5"/>
    <n v="221530"/>
  </r>
  <r>
    <x v="1"/>
    <x v="12"/>
    <s v="Agropalma"/>
    <x v="4"/>
    <x v="4"/>
    <n v="336129"/>
  </r>
  <r>
    <x v="1"/>
    <x v="12"/>
    <s v="Copape"/>
    <x v="11"/>
    <x v="1"/>
    <n v="559643"/>
  </r>
  <r>
    <x v="1"/>
    <x v="12"/>
    <s v="Brenntag"/>
    <x v="3"/>
    <x v="3"/>
    <n v="321373"/>
  </r>
  <r>
    <x v="1"/>
    <x v="12"/>
    <s v="Olin"/>
    <x v="3"/>
    <x v="3"/>
    <n v="858863"/>
  </r>
  <r>
    <x v="1"/>
    <x v="2"/>
    <s v="Adisseo"/>
    <x v="0"/>
    <x v="0"/>
    <n v="716278"/>
  </r>
  <r>
    <x v="1"/>
    <x v="2"/>
    <s v="Bunge"/>
    <x v="4"/>
    <x v="4"/>
    <n v="316411"/>
  </r>
  <r>
    <x v="1"/>
    <x v="2"/>
    <s v="Adisseo Caminhão"/>
    <x v="0"/>
    <x v="0"/>
    <n v="3580"/>
  </r>
  <r>
    <x v="1"/>
    <x v="2"/>
    <s v="ADM"/>
    <x v="5"/>
    <x v="5"/>
    <n v="103392"/>
  </r>
  <r>
    <x v="1"/>
    <x v="2"/>
    <s v="Ipiranga"/>
    <x v="2"/>
    <x v="2"/>
    <n v="5509666"/>
  </r>
  <r>
    <x v="1"/>
    <x v="2"/>
    <s v="Raizen"/>
    <x v="2"/>
    <x v="2"/>
    <n v="2451242"/>
  </r>
  <r>
    <x v="1"/>
    <x v="2"/>
    <s v="Greenergy"/>
    <x v="2"/>
    <x v="2"/>
    <n v="1004795"/>
  </r>
  <r>
    <x v="1"/>
    <x v="2"/>
    <s v="Sul Plata"/>
    <x v="2"/>
    <x v="2"/>
    <n v="2428323"/>
  </r>
  <r>
    <x v="1"/>
    <x v="2"/>
    <s v="Projesan"/>
    <x v="3"/>
    <x v="3"/>
    <n v="81453"/>
  </r>
  <r>
    <x v="1"/>
    <x v="2"/>
    <s v="JBS"/>
    <x v="3"/>
    <x v="3"/>
    <n v="144366"/>
  </r>
  <r>
    <x v="1"/>
    <x v="2"/>
    <s v="Tricon"/>
    <x v="3"/>
    <x v="3"/>
    <n v="531095"/>
  </r>
  <r>
    <x v="1"/>
    <x v="2"/>
    <s v="Braskem"/>
    <x v="3"/>
    <x v="3"/>
    <n v="300314"/>
  </r>
  <r>
    <x v="1"/>
    <x v="2"/>
    <s v="BRF"/>
    <x v="4"/>
    <x v="4"/>
    <n v="839921"/>
  </r>
  <r>
    <x v="1"/>
    <x v="2"/>
    <s v="JBS"/>
    <x v="4"/>
    <x v="4"/>
    <n v="320414"/>
  </r>
  <r>
    <x v="1"/>
    <x v="2"/>
    <s v="Cargill"/>
    <x v="4"/>
    <x v="4"/>
    <n v="497038"/>
  </r>
  <r>
    <x v="1"/>
    <x v="2"/>
    <s v="Pool"/>
    <x v="5"/>
    <x v="5"/>
    <n v="4713574"/>
  </r>
  <r>
    <x v="1"/>
    <x v="2"/>
    <s v="Pool Excedente"/>
    <x v="5"/>
    <x v="5"/>
    <n v="98005"/>
  </r>
  <r>
    <x v="1"/>
    <x v="2"/>
    <s v="Methanex"/>
    <x v="6"/>
    <x v="6"/>
    <n v="5845875"/>
  </r>
  <r>
    <x v="1"/>
    <x v="2"/>
    <s v="Mitsubishi"/>
    <x v="6"/>
    <x v="6"/>
    <n v="3497206"/>
  </r>
  <r>
    <x v="1"/>
    <x v="2"/>
    <s v="SCC"/>
    <x v="6"/>
    <x v="6"/>
    <n v="5636979"/>
  </r>
  <r>
    <x v="1"/>
    <x v="2"/>
    <s v="SCC"/>
    <x v="6"/>
    <x v="6"/>
    <n v="0"/>
  </r>
  <r>
    <x v="1"/>
    <x v="2"/>
    <s v="Terrena"/>
    <x v="7"/>
    <x v="1"/>
    <n v="396976"/>
  </r>
  <r>
    <x v="1"/>
    <x v="2"/>
    <s v="Evonik"/>
    <x v="8"/>
    <x v="0"/>
    <n v="222688"/>
  </r>
  <r>
    <x v="1"/>
    <x v="2"/>
    <s v="YPF"/>
    <x v="6"/>
    <x v="6"/>
    <n v="668745"/>
  </r>
  <r>
    <x v="1"/>
    <x v="2"/>
    <s v="GTM"/>
    <x v="8"/>
    <x v="0"/>
    <n v="135958"/>
  </r>
  <r>
    <x v="1"/>
    <x v="2"/>
    <s v="DRT"/>
    <x v="9"/>
    <x v="1"/>
    <n v="119000"/>
  </r>
  <r>
    <x v="1"/>
    <x v="2"/>
    <s v="Tereos/Inpasa/Glencore"/>
    <x v="10"/>
    <x v="7"/>
    <n v="0"/>
  </r>
  <r>
    <x v="1"/>
    <x v="2"/>
    <s v="Celena"/>
    <x v="4"/>
    <x v="4"/>
    <n v="677215"/>
  </r>
  <r>
    <x v="1"/>
    <x v="2"/>
    <s v="AAK"/>
    <x v="4"/>
    <x v="4"/>
    <n v="440802"/>
  </r>
  <r>
    <x v="1"/>
    <x v="2"/>
    <s v="Cargill"/>
    <x v="5"/>
    <x v="5"/>
    <n v="267726"/>
  </r>
  <r>
    <x v="1"/>
    <x v="2"/>
    <s v="Agropalma"/>
    <x v="4"/>
    <x v="4"/>
    <n v="336129"/>
  </r>
  <r>
    <x v="1"/>
    <x v="2"/>
    <s v="Copape"/>
    <x v="11"/>
    <x v="1"/>
    <n v="559643"/>
  </r>
  <r>
    <x v="1"/>
    <x v="2"/>
    <s v="Brenntag"/>
    <x v="3"/>
    <x v="3"/>
    <n v="321373"/>
  </r>
  <r>
    <x v="1"/>
    <x v="2"/>
    <s v="Olin"/>
    <x v="3"/>
    <x v="3"/>
    <n v="858863"/>
  </r>
  <r>
    <x v="1"/>
    <x v="3"/>
    <s v="Adisseo"/>
    <x v="0"/>
    <x v="0"/>
    <n v="716278"/>
  </r>
  <r>
    <x v="1"/>
    <x v="3"/>
    <s v="Bunge"/>
    <x v="4"/>
    <x v="4"/>
    <n v="316411"/>
  </r>
  <r>
    <x v="1"/>
    <x v="3"/>
    <s v="Adisseo Caminhão"/>
    <x v="0"/>
    <x v="0"/>
    <n v="3580"/>
  </r>
  <r>
    <x v="1"/>
    <x v="3"/>
    <s v="ADM"/>
    <x v="5"/>
    <x v="5"/>
    <n v="103392"/>
  </r>
  <r>
    <x v="1"/>
    <x v="3"/>
    <s v="Ipiranga"/>
    <x v="2"/>
    <x v="2"/>
    <n v="5884397"/>
  </r>
  <r>
    <x v="1"/>
    <x v="3"/>
    <s v="Raizen"/>
    <x v="2"/>
    <x v="2"/>
    <n v="2879842"/>
  </r>
  <r>
    <x v="1"/>
    <x v="3"/>
    <s v="Greenergy"/>
    <x v="2"/>
    <x v="2"/>
    <n v="1004795"/>
  </r>
  <r>
    <x v="1"/>
    <x v="3"/>
    <s v="Sul Plata"/>
    <x v="2"/>
    <x v="2"/>
    <n v="2053242"/>
  </r>
  <r>
    <x v="1"/>
    <x v="3"/>
    <s v="Projesan"/>
    <x v="3"/>
    <x v="3"/>
    <n v="70663"/>
  </r>
  <r>
    <x v="1"/>
    <x v="3"/>
    <s v="JBS"/>
    <x v="3"/>
    <x v="3"/>
    <n v="144366"/>
  </r>
  <r>
    <x v="1"/>
    <x v="3"/>
    <s v="Tricon"/>
    <x v="3"/>
    <x v="3"/>
    <n v="531095"/>
  </r>
  <r>
    <x v="1"/>
    <x v="3"/>
    <s v="Braskem"/>
    <x v="3"/>
    <x v="3"/>
    <n v="274629"/>
  </r>
  <r>
    <x v="1"/>
    <x v="3"/>
    <s v="BRF"/>
    <x v="4"/>
    <x v="4"/>
    <n v="839921"/>
  </r>
  <r>
    <x v="1"/>
    <x v="3"/>
    <s v="JBS"/>
    <x v="4"/>
    <x v="4"/>
    <n v="320414"/>
  </r>
  <r>
    <x v="1"/>
    <x v="3"/>
    <s v="Cargill"/>
    <x v="4"/>
    <x v="4"/>
    <n v="497038"/>
  </r>
  <r>
    <x v="1"/>
    <x v="3"/>
    <s v="Pool"/>
    <x v="5"/>
    <x v="5"/>
    <n v="6284766"/>
  </r>
  <r>
    <x v="1"/>
    <x v="3"/>
    <s v="Pool Excedente"/>
    <x v="5"/>
    <x v="5"/>
    <n v="98005"/>
  </r>
  <r>
    <x v="1"/>
    <x v="3"/>
    <s v="Methanex"/>
    <x v="6"/>
    <x v="6"/>
    <n v="5845875"/>
  </r>
  <r>
    <x v="1"/>
    <x v="3"/>
    <s v="Mitsubishi"/>
    <x v="6"/>
    <x v="6"/>
    <n v="3497206"/>
  </r>
  <r>
    <x v="1"/>
    <x v="3"/>
    <s v="SCC"/>
    <x v="6"/>
    <x v="6"/>
    <n v="5636979"/>
  </r>
  <r>
    <x v="1"/>
    <x v="3"/>
    <s v="SCC"/>
    <x v="6"/>
    <x v="6"/>
    <n v="0"/>
  </r>
  <r>
    <x v="1"/>
    <x v="3"/>
    <s v="Terrena"/>
    <x v="7"/>
    <x v="1"/>
    <n v="369684"/>
  </r>
  <r>
    <x v="1"/>
    <x v="3"/>
    <s v="Evonik"/>
    <x v="8"/>
    <x v="0"/>
    <n v="222688"/>
  </r>
  <r>
    <x v="1"/>
    <x v="3"/>
    <s v="YPF"/>
    <x v="6"/>
    <x v="6"/>
    <n v="588985"/>
  </r>
  <r>
    <x v="1"/>
    <x v="3"/>
    <s v="GTM"/>
    <x v="8"/>
    <x v="0"/>
    <n v="135958"/>
  </r>
  <r>
    <x v="1"/>
    <x v="3"/>
    <s v="DRT"/>
    <x v="9"/>
    <x v="1"/>
    <n v="119000"/>
  </r>
  <r>
    <x v="1"/>
    <x v="3"/>
    <s v="Tereos/Inpasa/Glencore"/>
    <x v="10"/>
    <x v="7"/>
    <n v="0"/>
  </r>
  <r>
    <x v="1"/>
    <x v="3"/>
    <s v="Celena"/>
    <x v="4"/>
    <x v="4"/>
    <n v="677215"/>
  </r>
  <r>
    <x v="1"/>
    <x v="3"/>
    <s v="AAK"/>
    <x v="4"/>
    <x v="4"/>
    <n v="440802"/>
  </r>
  <r>
    <x v="1"/>
    <x v="3"/>
    <s v="Cargill"/>
    <x v="5"/>
    <x v="5"/>
    <n v="221530"/>
  </r>
  <r>
    <x v="1"/>
    <x v="3"/>
    <s v="Agropalma"/>
    <x v="4"/>
    <x v="4"/>
    <n v="336129"/>
  </r>
  <r>
    <x v="1"/>
    <x v="3"/>
    <s v="Copape"/>
    <x v="11"/>
    <x v="1"/>
    <n v="0"/>
  </r>
  <r>
    <x v="1"/>
    <x v="3"/>
    <s v="Brenntag"/>
    <x v="3"/>
    <x v="3"/>
    <n v="321373"/>
  </r>
  <r>
    <x v="1"/>
    <x v="3"/>
    <s v="Olin"/>
    <x v="3"/>
    <x v="3"/>
    <n v="858863"/>
  </r>
  <r>
    <x v="1"/>
    <x v="4"/>
    <s v="Adisseo"/>
    <x v="0"/>
    <x v="0"/>
    <n v="716278"/>
  </r>
  <r>
    <x v="1"/>
    <x v="4"/>
    <s v="Bunge"/>
    <x v="4"/>
    <x v="4"/>
    <n v="316411"/>
  </r>
  <r>
    <x v="1"/>
    <x v="4"/>
    <s v="Adisseo Caminhão"/>
    <x v="0"/>
    <x v="0"/>
    <n v="3580"/>
  </r>
  <r>
    <x v="1"/>
    <x v="4"/>
    <s v="ADM"/>
    <x v="5"/>
    <x v="5"/>
    <n v="103392"/>
  </r>
  <r>
    <x v="1"/>
    <x v="4"/>
    <s v="Ipiranga"/>
    <x v="2"/>
    <x v="2"/>
    <n v="5509666"/>
  </r>
  <r>
    <x v="1"/>
    <x v="4"/>
    <s v="Raizen"/>
    <x v="2"/>
    <x v="2"/>
    <n v="2451242"/>
  </r>
  <r>
    <x v="1"/>
    <x v="4"/>
    <s v="Greenergy"/>
    <x v="2"/>
    <x v="2"/>
    <n v="1004795"/>
  </r>
  <r>
    <x v="1"/>
    <x v="4"/>
    <s v="Sul Plata"/>
    <x v="2"/>
    <x v="2"/>
    <n v="2053242"/>
  </r>
  <r>
    <x v="1"/>
    <x v="4"/>
    <s v="Projesan"/>
    <x v="3"/>
    <x v="3"/>
    <n v="81453"/>
  </r>
  <r>
    <x v="1"/>
    <x v="4"/>
    <s v="JBS"/>
    <x v="3"/>
    <x v="3"/>
    <n v="144366"/>
  </r>
  <r>
    <x v="1"/>
    <x v="4"/>
    <s v="Tricon"/>
    <x v="3"/>
    <x v="3"/>
    <n v="531095"/>
  </r>
  <r>
    <x v="1"/>
    <x v="4"/>
    <s v="Braskem"/>
    <x v="3"/>
    <x v="3"/>
    <n v="300314"/>
  </r>
  <r>
    <x v="1"/>
    <x v="4"/>
    <s v="BRF"/>
    <x v="4"/>
    <x v="4"/>
    <n v="916942"/>
  </r>
  <r>
    <x v="1"/>
    <x v="4"/>
    <s v="JBS"/>
    <x v="4"/>
    <x v="4"/>
    <n v="320414"/>
  </r>
  <r>
    <x v="1"/>
    <x v="4"/>
    <s v="Cargill"/>
    <x v="4"/>
    <x v="4"/>
    <n v="497038"/>
  </r>
  <r>
    <x v="1"/>
    <x v="4"/>
    <s v="Pool"/>
    <x v="5"/>
    <x v="5"/>
    <n v="6284766"/>
  </r>
  <r>
    <x v="1"/>
    <x v="4"/>
    <s v="Pool Excedente"/>
    <x v="5"/>
    <x v="5"/>
    <n v="98005"/>
  </r>
  <r>
    <x v="1"/>
    <x v="4"/>
    <s v="Methanex"/>
    <x v="6"/>
    <x v="6"/>
    <n v="5845875"/>
  </r>
  <r>
    <x v="1"/>
    <x v="4"/>
    <s v="Mitsubishi"/>
    <x v="6"/>
    <x v="6"/>
    <n v="3497206"/>
  </r>
  <r>
    <x v="1"/>
    <x v="4"/>
    <s v="SCC"/>
    <x v="6"/>
    <x v="6"/>
    <n v="5636979"/>
  </r>
  <r>
    <x v="1"/>
    <x v="4"/>
    <s v="SCC"/>
    <x v="6"/>
    <x v="6"/>
    <n v="0"/>
  </r>
  <r>
    <x v="1"/>
    <x v="4"/>
    <s v="Terrena"/>
    <x v="7"/>
    <x v="1"/>
    <n v="369684"/>
  </r>
  <r>
    <x v="1"/>
    <x v="4"/>
    <s v="Evonik"/>
    <x v="8"/>
    <x v="0"/>
    <n v="222688"/>
  </r>
  <r>
    <x v="1"/>
    <x v="4"/>
    <s v="YPF"/>
    <x v="6"/>
    <x v="6"/>
    <n v="588985"/>
  </r>
  <r>
    <x v="1"/>
    <x v="4"/>
    <s v="GTM"/>
    <x v="8"/>
    <x v="0"/>
    <n v="147795"/>
  </r>
  <r>
    <x v="1"/>
    <x v="4"/>
    <s v="DRT"/>
    <x v="9"/>
    <x v="1"/>
    <n v="119000"/>
  </r>
  <r>
    <x v="1"/>
    <x v="4"/>
    <s v="Tereos/Inpasa/Glencore"/>
    <x v="10"/>
    <x v="7"/>
    <n v="0"/>
  </r>
  <r>
    <x v="1"/>
    <x v="4"/>
    <s v="Celena"/>
    <x v="4"/>
    <x v="4"/>
    <n v="677215"/>
  </r>
  <r>
    <x v="1"/>
    <x v="4"/>
    <s v="AAK"/>
    <x v="4"/>
    <x v="4"/>
    <n v="440802"/>
  </r>
  <r>
    <x v="1"/>
    <x v="4"/>
    <s v="Cargill"/>
    <x v="5"/>
    <x v="5"/>
    <n v="267726"/>
  </r>
  <r>
    <x v="1"/>
    <x v="4"/>
    <s v="Agropalma"/>
    <x v="4"/>
    <x v="4"/>
    <n v="336129"/>
  </r>
  <r>
    <x v="1"/>
    <x v="4"/>
    <s v="Copape"/>
    <x v="11"/>
    <x v="1"/>
    <n v="0"/>
  </r>
  <r>
    <x v="1"/>
    <x v="4"/>
    <s v="Brenntag"/>
    <x v="3"/>
    <x v="3"/>
    <n v="321373"/>
  </r>
  <r>
    <x v="1"/>
    <x v="4"/>
    <s v="Olin"/>
    <x v="3"/>
    <x v="3"/>
    <n v="858863"/>
  </r>
  <r>
    <x v="1"/>
    <x v="5"/>
    <s v="Adisseo"/>
    <x v="0"/>
    <x v="0"/>
    <n v="716278"/>
  </r>
  <r>
    <x v="1"/>
    <x v="5"/>
    <s v="Bunge"/>
    <x v="4"/>
    <x v="4"/>
    <n v="316411"/>
  </r>
  <r>
    <x v="1"/>
    <x v="5"/>
    <s v="Adisseo Caminhão"/>
    <x v="0"/>
    <x v="0"/>
    <n v="3580"/>
  </r>
  <r>
    <x v="1"/>
    <x v="5"/>
    <s v="ADM"/>
    <x v="5"/>
    <x v="5"/>
    <n v="103392"/>
  </r>
  <r>
    <x v="1"/>
    <x v="5"/>
    <s v="Ipiranga"/>
    <x v="2"/>
    <x v="2"/>
    <n v="5884397"/>
  </r>
  <r>
    <x v="1"/>
    <x v="5"/>
    <s v="Raizen"/>
    <x v="2"/>
    <x v="2"/>
    <n v="2879842"/>
  </r>
  <r>
    <x v="1"/>
    <x v="5"/>
    <s v="Greenergy"/>
    <x v="2"/>
    <x v="2"/>
    <n v="1004795"/>
  </r>
  <r>
    <x v="1"/>
    <x v="5"/>
    <s v="Sul Plata"/>
    <x v="2"/>
    <x v="2"/>
    <n v="2428323"/>
  </r>
  <r>
    <x v="1"/>
    <x v="5"/>
    <s v="Projesan"/>
    <x v="3"/>
    <x v="3"/>
    <n v="70663"/>
  </r>
  <r>
    <x v="1"/>
    <x v="5"/>
    <s v="JBS"/>
    <x v="3"/>
    <x v="3"/>
    <n v="144366"/>
  </r>
  <r>
    <x v="1"/>
    <x v="5"/>
    <s v="Tricon"/>
    <x v="3"/>
    <x v="3"/>
    <n v="531095"/>
  </r>
  <r>
    <x v="1"/>
    <x v="5"/>
    <s v="Braskem"/>
    <x v="3"/>
    <x v="3"/>
    <n v="299813"/>
  </r>
  <r>
    <x v="1"/>
    <x v="5"/>
    <s v="BRF"/>
    <x v="4"/>
    <x v="4"/>
    <n v="916942"/>
  </r>
  <r>
    <x v="1"/>
    <x v="5"/>
    <s v="JBS"/>
    <x v="4"/>
    <x v="4"/>
    <n v="320414"/>
  </r>
  <r>
    <x v="1"/>
    <x v="5"/>
    <s v="Cargill"/>
    <x v="4"/>
    <x v="4"/>
    <n v="497038"/>
  </r>
  <r>
    <x v="1"/>
    <x v="5"/>
    <s v="Pool"/>
    <x v="5"/>
    <x v="5"/>
    <n v="6284766"/>
  </r>
  <r>
    <x v="1"/>
    <x v="5"/>
    <s v="Pool Excedente"/>
    <x v="5"/>
    <x v="5"/>
    <n v="98005"/>
  </r>
  <r>
    <x v="1"/>
    <x v="5"/>
    <s v="Methanex"/>
    <x v="6"/>
    <x v="6"/>
    <n v="5845875"/>
  </r>
  <r>
    <x v="1"/>
    <x v="5"/>
    <s v="Mitsubishi"/>
    <x v="6"/>
    <x v="6"/>
    <n v="3497206"/>
  </r>
  <r>
    <x v="1"/>
    <x v="5"/>
    <s v="SCC"/>
    <x v="6"/>
    <x v="6"/>
    <n v="5636979"/>
  </r>
  <r>
    <x v="1"/>
    <x v="5"/>
    <s v="SCC"/>
    <x v="6"/>
    <x v="6"/>
    <n v="347917"/>
  </r>
  <r>
    <x v="1"/>
    <x v="5"/>
    <s v="Terrena"/>
    <x v="7"/>
    <x v="1"/>
    <n v="396976"/>
  </r>
  <r>
    <x v="1"/>
    <x v="5"/>
    <s v="Evonik"/>
    <x v="8"/>
    <x v="0"/>
    <n v="222688"/>
  </r>
  <r>
    <x v="1"/>
    <x v="5"/>
    <s v="YPF"/>
    <x v="6"/>
    <x v="6"/>
    <n v="668745"/>
  </r>
  <r>
    <x v="1"/>
    <x v="5"/>
    <s v="GTM"/>
    <x v="8"/>
    <x v="0"/>
    <n v="135958"/>
  </r>
  <r>
    <x v="1"/>
    <x v="5"/>
    <s v="DRT"/>
    <x v="9"/>
    <x v="1"/>
    <n v="119000"/>
  </r>
  <r>
    <x v="1"/>
    <x v="5"/>
    <s v="Tereos/Inpasa/Glencore"/>
    <x v="10"/>
    <x v="7"/>
    <n v="700000"/>
  </r>
  <r>
    <x v="1"/>
    <x v="5"/>
    <s v="Celena"/>
    <x v="4"/>
    <x v="4"/>
    <n v="677215"/>
  </r>
  <r>
    <x v="1"/>
    <x v="5"/>
    <s v="AAK"/>
    <x v="4"/>
    <x v="4"/>
    <n v="440802"/>
  </r>
  <r>
    <x v="1"/>
    <x v="5"/>
    <s v="Cargill"/>
    <x v="5"/>
    <x v="5"/>
    <n v="221530"/>
  </r>
  <r>
    <x v="1"/>
    <x v="5"/>
    <s v="Agropalma"/>
    <x v="4"/>
    <x v="4"/>
    <n v="336129"/>
  </r>
  <r>
    <x v="1"/>
    <x v="5"/>
    <s v="Copape"/>
    <x v="11"/>
    <x v="1"/>
    <n v="0"/>
  </r>
  <r>
    <x v="1"/>
    <x v="5"/>
    <s v="Brenntag"/>
    <x v="3"/>
    <x v="3"/>
    <n v="321373"/>
  </r>
  <r>
    <x v="1"/>
    <x v="5"/>
    <s v="Olin"/>
    <x v="3"/>
    <x v="3"/>
    <n v="858863"/>
  </r>
  <r>
    <x v="1"/>
    <x v="6"/>
    <s v="Adisseo"/>
    <x v="0"/>
    <x v="0"/>
    <n v="716278"/>
  </r>
  <r>
    <x v="1"/>
    <x v="6"/>
    <s v="Bunge"/>
    <x v="4"/>
    <x v="4"/>
    <n v="316411"/>
  </r>
  <r>
    <x v="1"/>
    <x v="6"/>
    <s v="Adisseo Caminhão"/>
    <x v="0"/>
    <x v="0"/>
    <n v="3580"/>
  </r>
  <r>
    <x v="1"/>
    <x v="6"/>
    <s v="ADM"/>
    <x v="5"/>
    <x v="5"/>
    <n v="112688"/>
  </r>
  <r>
    <x v="1"/>
    <x v="6"/>
    <s v="Ipiranga"/>
    <x v="2"/>
    <x v="2"/>
    <n v="5509666"/>
  </r>
  <r>
    <x v="1"/>
    <x v="6"/>
    <s v="Raizen"/>
    <x v="2"/>
    <x v="2"/>
    <n v="2451242"/>
  </r>
  <r>
    <x v="1"/>
    <x v="6"/>
    <s v="Greenergy"/>
    <x v="2"/>
    <x v="2"/>
    <n v="1004795"/>
  </r>
  <r>
    <x v="1"/>
    <x v="6"/>
    <s v="Sul Plata"/>
    <x v="2"/>
    <x v="2"/>
    <n v="2053242"/>
  </r>
  <r>
    <x v="1"/>
    <x v="6"/>
    <s v="Projesan"/>
    <x v="3"/>
    <x v="3"/>
    <n v="81453"/>
  </r>
  <r>
    <x v="1"/>
    <x v="6"/>
    <s v="JBS"/>
    <x v="3"/>
    <x v="3"/>
    <n v="144366"/>
  </r>
  <r>
    <x v="1"/>
    <x v="6"/>
    <s v="Tricon"/>
    <x v="3"/>
    <x v="3"/>
    <n v="531095"/>
  </r>
  <r>
    <x v="1"/>
    <x v="6"/>
    <s v="Braskem"/>
    <x v="3"/>
    <x v="3"/>
    <n v="327852"/>
  </r>
  <r>
    <x v="1"/>
    <x v="6"/>
    <s v="BRF"/>
    <x v="4"/>
    <x v="4"/>
    <n v="916942"/>
  </r>
  <r>
    <x v="1"/>
    <x v="6"/>
    <s v="JBS"/>
    <x v="4"/>
    <x v="4"/>
    <n v="320414"/>
  </r>
  <r>
    <x v="1"/>
    <x v="6"/>
    <s v="Cargill"/>
    <x v="4"/>
    <x v="4"/>
    <n v="497038"/>
  </r>
  <r>
    <x v="1"/>
    <x v="6"/>
    <s v="Pool"/>
    <x v="5"/>
    <x v="5"/>
    <n v="6284766"/>
  </r>
  <r>
    <x v="1"/>
    <x v="6"/>
    <s v="Pool Excedente"/>
    <x v="5"/>
    <x v="5"/>
    <n v="98005"/>
  </r>
  <r>
    <x v="1"/>
    <x v="6"/>
    <s v="Methanex"/>
    <x v="6"/>
    <x v="6"/>
    <n v="5845875"/>
  </r>
  <r>
    <x v="1"/>
    <x v="6"/>
    <s v="Mitsubishi"/>
    <x v="6"/>
    <x v="6"/>
    <n v="3497206"/>
  </r>
  <r>
    <x v="1"/>
    <x v="6"/>
    <s v="SCC"/>
    <x v="6"/>
    <x v="6"/>
    <n v="5636979"/>
  </r>
  <r>
    <x v="1"/>
    <x v="6"/>
    <s v="SCC"/>
    <x v="6"/>
    <x v="6"/>
    <n v="347917"/>
  </r>
  <r>
    <x v="1"/>
    <x v="6"/>
    <s v="Terrena"/>
    <x v="7"/>
    <x v="1"/>
    <n v="369684"/>
  </r>
  <r>
    <x v="1"/>
    <x v="6"/>
    <s v="Evonik"/>
    <x v="8"/>
    <x v="0"/>
    <n v="222688"/>
  </r>
  <r>
    <x v="1"/>
    <x v="6"/>
    <s v="YPF"/>
    <x v="6"/>
    <x v="6"/>
    <n v="588985"/>
  </r>
  <r>
    <x v="1"/>
    <x v="6"/>
    <s v="GTM"/>
    <x v="8"/>
    <x v="0"/>
    <n v="135958"/>
  </r>
  <r>
    <x v="1"/>
    <x v="6"/>
    <s v="DRT"/>
    <x v="9"/>
    <x v="1"/>
    <n v="119000"/>
  </r>
  <r>
    <x v="1"/>
    <x v="6"/>
    <s v="Tereos/Inpasa/Glencore"/>
    <x v="10"/>
    <x v="7"/>
    <n v="700000"/>
  </r>
  <r>
    <x v="1"/>
    <x v="6"/>
    <s v="Celena"/>
    <x v="4"/>
    <x v="4"/>
    <n v="677215"/>
  </r>
  <r>
    <x v="1"/>
    <x v="6"/>
    <s v="AAK"/>
    <x v="4"/>
    <x v="4"/>
    <n v="440802"/>
  </r>
  <r>
    <x v="1"/>
    <x v="6"/>
    <s v="Cargill"/>
    <x v="5"/>
    <x v="5"/>
    <n v="267726"/>
  </r>
  <r>
    <x v="1"/>
    <x v="6"/>
    <s v="Agropalma"/>
    <x v="4"/>
    <x v="4"/>
    <n v="336129"/>
  </r>
  <r>
    <x v="1"/>
    <x v="6"/>
    <s v="Copape"/>
    <x v="11"/>
    <x v="1"/>
    <n v="0"/>
  </r>
  <r>
    <x v="1"/>
    <x v="6"/>
    <s v="Brenntag"/>
    <x v="3"/>
    <x v="3"/>
    <n v="321373"/>
  </r>
  <r>
    <x v="1"/>
    <x v="6"/>
    <s v="Olin"/>
    <x v="3"/>
    <x v="3"/>
    <n v="858863"/>
  </r>
  <r>
    <x v="1"/>
    <x v="7"/>
    <s v="Adisseo"/>
    <x v="0"/>
    <x v="0"/>
    <n v="716278"/>
  </r>
  <r>
    <x v="1"/>
    <x v="7"/>
    <s v="Bunge"/>
    <x v="4"/>
    <x v="4"/>
    <n v="316411"/>
  </r>
  <r>
    <x v="1"/>
    <x v="7"/>
    <s v="Adisseo Caminhão"/>
    <x v="0"/>
    <x v="0"/>
    <n v="3580"/>
  </r>
  <r>
    <x v="1"/>
    <x v="7"/>
    <s v="ADM"/>
    <x v="5"/>
    <x v="5"/>
    <n v="112688"/>
  </r>
  <r>
    <x v="1"/>
    <x v="7"/>
    <s v="Ipiranga"/>
    <x v="2"/>
    <x v="2"/>
    <n v="5884397"/>
  </r>
  <r>
    <x v="1"/>
    <x v="7"/>
    <s v="Raizen"/>
    <x v="2"/>
    <x v="2"/>
    <n v="2879842"/>
  </r>
  <r>
    <x v="1"/>
    <x v="7"/>
    <s v="Greenergy"/>
    <x v="2"/>
    <x v="2"/>
    <n v="1004795"/>
  </r>
  <r>
    <x v="1"/>
    <x v="7"/>
    <s v="Sul Plata"/>
    <x v="2"/>
    <x v="2"/>
    <n v="2053242"/>
  </r>
  <r>
    <x v="1"/>
    <x v="7"/>
    <s v="Projesan"/>
    <x v="3"/>
    <x v="3"/>
    <n v="70663"/>
  </r>
  <r>
    <x v="1"/>
    <x v="7"/>
    <s v="JBS"/>
    <x v="3"/>
    <x v="3"/>
    <n v="144366"/>
  </r>
  <r>
    <x v="1"/>
    <x v="7"/>
    <s v="Tricon"/>
    <x v="3"/>
    <x v="3"/>
    <n v="531095"/>
  </r>
  <r>
    <x v="1"/>
    <x v="7"/>
    <s v="Braskem"/>
    <x v="3"/>
    <x v="3"/>
    <n v="299813"/>
  </r>
  <r>
    <x v="1"/>
    <x v="7"/>
    <s v="BRF"/>
    <x v="4"/>
    <x v="4"/>
    <n v="916942"/>
  </r>
  <r>
    <x v="1"/>
    <x v="7"/>
    <s v="JBS"/>
    <x v="4"/>
    <x v="4"/>
    <n v="320414"/>
  </r>
  <r>
    <x v="1"/>
    <x v="7"/>
    <s v="Cargill"/>
    <x v="4"/>
    <x v="4"/>
    <n v="497038"/>
  </r>
  <r>
    <x v="1"/>
    <x v="7"/>
    <s v="Pool"/>
    <x v="5"/>
    <x v="5"/>
    <n v="5761035"/>
  </r>
  <r>
    <x v="1"/>
    <x v="7"/>
    <s v="Pool Excedente"/>
    <x v="5"/>
    <x v="5"/>
    <n v="98005"/>
  </r>
  <r>
    <x v="1"/>
    <x v="7"/>
    <s v="Methanex"/>
    <x v="6"/>
    <x v="6"/>
    <n v="5845875"/>
  </r>
  <r>
    <x v="1"/>
    <x v="7"/>
    <s v="Mitsubishi"/>
    <x v="6"/>
    <x v="6"/>
    <n v="3497206"/>
  </r>
  <r>
    <x v="1"/>
    <x v="7"/>
    <s v="SCC"/>
    <x v="6"/>
    <x v="6"/>
    <n v="5636979"/>
  </r>
  <r>
    <x v="1"/>
    <x v="7"/>
    <s v="SCC"/>
    <x v="6"/>
    <x v="6"/>
    <n v="347917"/>
  </r>
  <r>
    <x v="1"/>
    <x v="7"/>
    <s v="Terrena"/>
    <x v="7"/>
    <x v="1"/>
    <n v="369684"/>
  </r>
  <r>
    <x v="1"/>
    <x v="7"/>
    <s v="Evonik"/>
    <x v="8"/>
    <x v="0"/>
    <n v="222688"/>
  </r>
  <r>
    <x v="1"/>
    <x v="7"/>
    <s v="YPF"/>
    <x v="6"/>
    <x v="6"/>
    <n v="588985"/>
  </r>
  <r>
    <x v="1"/>
    <x v="7"/>
    <s v="GTM"/>
    <x v="8"/>
    <x v="0"/>
    <n v="135958"/>
  </r>
  <r>
    <x v="1"/>
    <x v="7"/>
    <s v="DRT"/>
    <x v="9"/>
    <x v="1"/>
    <n v="119000"/>
  </r>
  <r>
    <x v="1"/>
    <x v="7"/>
    <s v="Tereos/Inpasa/Glencore"/>
    <x v="10"/>
    <x v="7"/>
    <n v="700000"/>
  </r>
  <r>
    <x v="1"/>
    <x v="7"/>
    <s v="Celena"/>
    <x v="4"/>
    <x v="4"/>
    <n v="677215"/>
  </r>
  <r>
    <x v="1"/>
    <x v="7"/>
    <s v="AAK"/>
    <x v="4"/>
    <x v="4"/>
    <n v="440802"/>
  </r>
  <r>
    <x v="1"/>
    <x v="7"/>
    <s v="Cargill"/>
    <x v="5"/>
    <x v="5"/>
    <n v="221530"/>
  </r>
  <r>
    <x v="1"/>
    <x v="7"/>
    <s v="Agropalma"/>
    <x v="4"/>
    <x v="4"/>
    <n v="336129"/>
  </r>
  <r>
    <x v="1"/>
    <x v="7"/>
    <s v="Copape"/>
    <x v="11"/>
    <x v="1"/>
    <n v="0"/>
  </r>
  <r>
    <x v="1"/>
    <x v="7"/>
    <s v="Brenntag"/>
    <x v="3"/>
    <x v="3"/>
    <n v="321373"/>
  </r>
  <r>
    <x v="1"/>
    <x v="7"/>
    <s v="Olin"/>
    <x v="3"/>
    <x v="3"/>
    <n v="858863"/>
  </r>
  <r>
    <x v="1"/>
    <x v="8"/>
    <s v="Adisseo"/>
    <x v="0"/>
    <x v="0"/>
    <n v="716278"/>
  </r>
  <r>
    <x v="1"/>
    <x v="8"/>
    <s v="Bunge"/>
    <x v="4"/>
    <x v="4"/>
    <n v="345426"/>
  </r>
  <r>
    <x v="1"/>
    <x v="8"/>
    <s v="Adisseo Caminhão"/>
    <x v="0"/>
    <x v="0"/>
    <n v="3580"/>
  </r>
  <r>
    <x v="1"/>
    <x v="8"/>
    <s v="ADM"/>
    <x v="5"/>
    <x v="5"/>
    <n v="112688"/>
  </r>
  <r>
    <x v="1"/>
    <x v="8"/>
    <s v="Ipiranga"/>
    <x v="2"/>
    <x v="2"/>
    <n v="5509666"/>
  </r>
  <r>
    <x v="1"/>
    <x v="8"/>
    <s v="Raizen"/>
    <x v="2"/>
    <x v="2"/>
    <n v="2451242"/>
  </r>
  <r>
    <x v="1"/>
    <x v="8"/>
    <s v="Greenergy"/>
    <x v="2"/>
    <x v="2"/>
    <n v="1004795"/>
  </r>
  <r>
    <x v="1"/>
    <x v="8"/>
    <s v="Sul Plata"/>
    <x v="2"/>
    <x v="2"/>
    <n v="2428323"/>
  </r>
  <r>
    <x v="1"/>
    <x v="8"/>
    <s v="Projesan"/>
    <x v="3"/>
    <x v="3"/>
    <n v="81453"/>
  </r>
  <r>
    <x v="1"/>
    <x v="8"/>
    <s v="JBS"/>
    <x v="3"/>
    <x v="3"/>
    <n v="144366"/>
  </r>
  <r>
    <x v="1"/>
    <x v="8"/>
    <s v="Tricon"/>
    <x v="3"/>
    <x v="3"/>
    <n v="531095"/>
  </r>
  <r>
    <x v="1"/>
    <x v="8"/>
    <s v="Braskem"/>
    <x v="3"/>
    <x v="3"/>
    <n v="327852"/>
  </r>
  <r>
    <x v="1"/>
    <x v="8"/>
    <s v="BRF"/>
    <x v="4"/>
    <x v="4"/>
    <n v="916942"/>
  </r>
  <r>
    <x v="1"/>
    <x v="8"/>
    <s v="JBS"/>
    <x v="4"/>
    <x v="4"/>
    <n v="320414"/>
  </r>
  <r>
    <x v="1"/>
    <x v="8"/>
    <s v="Cargill"/>
    <x v="4"/>
    <x v="4"/>
    <n v="497038"/>
  </r>
  <r>
    <x v="1"/>
    <x v="8"/>
    <s v="Pool"/>
    <x v="5"/>
    <x v="5"/>
    <n v="3666113"/>
  </r>
  <r>
    <x v="1"/>
    <x v="8"/>
    <s v="Pool Excedente"/>
    <x v="5"/>
    <x v="5"/>
    <n v="98005"/>
  </r>
  <r>
    <x v="1"/>
    <x v="8"/>
    <s v="Methanex"/>
    <x v="6"/>
    <x v="6"/>
    <n v="5845875"/>
  </r>
  <r>
    <x v="1"/>
    <x v="8"/>
    <s v="Mitsubishi"/>
    <x v="6"/>
    <x v="6"/>
    <n v="3497206"/>
  </r>
  <r>
    <x v="1"/>
    <x v="8"/>
    <s v="SCC"/>
    <x v="6"/>
    <x v="6"/>
    <n v="5636979"/>
  </r>
  <r>
    <x v="1"/>
    <x v="8"/>
    <s v="SCC"/>
    <x v="6"/>
    <x v="6"/>
    <n v="347917"/>
  </r>
  <r>
    <x v="1"/>
    <x v="8"/>
    <s v="Terrena"/>
    <x v="7"/>
    <x v="1"/>
    <n v="396976"/>
  </r>
  <r>
    <x v="1"/>
    <x v="8"/>
    <s v="Evonik"/>
    <x v="8"/>
    <x v="0"/>
    <n v="222688"/>
  </r>
  <r>
    <x v="1"/>
    <x v="8"/>
    <s v="YPF"/>
    <x v="6"/>
    <x v="6"/>
    <n v="668745"/>
  </r>
  <r>
    <x v="1"/>
    <x v="8"/>
    <s v="GTM"/>
    <x v="8"/>
    <x v="0"/>
    <n v="147795"/>
  </r>
  <r>
    <x v="1"/>
    <x v="8"/>
    <s v="DRT"/>
    <x v="9"/>
    <x v="1"/>
    <n v="119000"/>
  </r>
  <r>
    <x v="1"/>
    <x v="8"/>
    <s v="Tereos/Inpasa/Glencore"/>
    <x v="10"/>
    <x v="7"/>
    <n v="700000"/>
  </r>
  <r>
    <x v="1"/>
    <x v="8"/>
    <s v="Celena"/>
    <x v="4"/>
    <x v="4"/>
    <n v="677215"/>
  </r>
  <r>
    <x v="1"/>
    <x v="8"/>
    <s v="AAK"/>
    <x v="4"/>
    <x v="4"/>
    <n v="440802"/>
  </r>
  <r>
    <x v="1"/>
    <x v="8"/>
    <s v="Cargill"/>
    <x v="5"/>
    <x v="5"/>
    <n v="267726"/>
  </r>
  <r>
    <x v="1"/>
    <x v="8"/>
    <s v="Agropalma"/>
    <x v="4"/>
    <x v="4"/>
    <n v="336129"/>
  </r>
  <r>
    <x v="1"/>
    <x v="8"/>
    <s v="Copape"/>
    <x v="11"/>
    <x v="1"/>
    <n v="0"/>
  </r>
  <r>
    <x v="1"/>
    <x v="8"/>
    <s v="Brenntag"/>
    <x v="3"/>
    <x v="3"/>
    <n v="321373"/>
  </r>
  <r>
    <x v="1"/>
    <x v="8"/>
    <s v="Olin"/>
    <x v="3"/>
    <x v="3"/>
    <n v="858863"/>
  </r>
  <r>
    <x v="1"/>
    <x v="9"/>
    <s v="Adisseo"/>
    <x v="0"/>
    <x v="0"/>
    <n v="716278"/>
  </r>
  <r>
    <x v="1"/>
    <x v="9"/>
    <s v="Bunge"/>
    <x v="4"/>
    <x v="4"/>
    <n v="345426"/>
  </r>
  <r>
    <x v="1"/>
    <x v="9"/>
    <s v="Adisseo Caminhão"/>
    <x v="0"/>
    <x v="0"/>
    <n v="3580"/>
  </r>
  <r>
    <x v="1"/>
    <x v="9"/>
    <s v="ADM"/>
    <x v="5"/>
    <x v="5"/>
    <n v="112688"/>
  </r>
  <r>
    <x v="1"/>
    <x v="9"/>
    <s v="Ipiranga"/>
    <x v="2"/>
    <x v="2"/>
    <n v="5884397"/>
  </r>
  <r>
    <x v="1"/>
    <x v="9"/>
    <s v="Raizen"/>
    <x v="2"/>
    <x v="2"/>
    <n v="2879842"/>
  </r>
  <r>
    <x v="1"/>
    <x v="9"/>
    <s v="Greenergy"/>
    <x v="2"/>
    <x v="2"/>
    <n v="1004795"/>
  </r>
  <r>
    <x v="1"/>
    <x v="9"/>
    <s v="Sul Plata"/>
    <x v="2"/>
    <x v="2"/>
    <n v="2053242"/>
  </r>
  <r>
    <x v="1"/>
    <x v="9"/>
    <s v="Projesan"/>
    <x v="3"/>
    <x v="3"/>
    <n v="77143"/>
  </r>
  <r>
    <x v="1"/>
    <x v="9"/>
    <s v="JBS"/>
    <x v="3"/>
    <x v="3"/>
    <n v="157605"/>
  </r>
  <r>
    <x v="1"/>
    <x v="9"/>
    <s v="Tricon"/>
    <x v="3"/>
    <x v="3"/>
    <n v="531095"/>
  </r>
  <r>
    <x v="1"/>
    <x v="9"/>
    <s v="Braskem"/>
    <x v="3"/>
    <x v="3"/>
    <n v="299813"/>
  </r>
  <r>
    <x v="1"/>
    <x v="9"/>
    <s v="BRF"/>
    <x v="4"/>
    <x v="4"/>
    <n v="916942"/>
  </r>
  <r>
    <x v="1"/>
    <x v="9"/>
    <s v="JBS"/>
    <x v="4"/>
    <x v="4"/>
    <n v="349796"/>
  </r>
  <r>
    <x v="1"/>
    <x v="9"/>
    <s v="Cargill"/>
    <x v="4"/>
    <x v="4"/>
    <n v="497038"/>
  </r>
  <r>
    <x v="1"/>
    <x v="9"/>
    <s v="Pool"/>
    <x v="5"/>
    <x v="5"/>
    <n v="3666113"/>
  </r>
  <r>
    <x v="1"/>
    <x v="9"/>
    <s v="Pool Excedente"/>
    <x v="5"/>
    <x v="5"/>
    <n v="98005"/>
  </r>
  <r>
    <x v="1"/>
    <x v="9"/>
    <s v="Methanex"/>
    <x v="6"/>
    <x v="6"/>
    <n v="5845875"/>
  </r>
  <r>
    <x v="1"/>
    <x v="9"/>
    <s v="Mitsubishi"/>
    <x v="6"/>
    <x v="6"/>
    <n v="3497206"/>
  </r>
  <r>
    <x v="1"/>
    <x v="9"/>
    <s v="SCC"/>
    <x v="6"/>
    <x v="6"/>
    <n v="5636979"/>
  </r>
  <r>
    <x v="1"/>
    <x v="9"/>
    <s v="SCC"/>
    <x v="6"/>
    <x v="6"/>
    <n v="347917"/>
  </r>
  <r>
    <x v="1"/>
    <x v="9"/>
    <s v="Terrena"/>
    <x v="7"/>
    <x v="1"/>
    <n v="369684"/>
  </r>
  <r>
    <x v="1"/>
    <x v="9"/>
    <s v="Evonik"/>
    <x v="8"/>
    <x v="0"/>
    <n v="222688"/>
  </r>
  <r>
    <x v="1"/>
    <x v="9"/>
    <s v="YPF"/>
    <x v="6"/>
    <x v="6"/>
    <n v="588985"/>
  </r>
  <r>
    <x v="1"/>
    <x v="9"/>
    <s v="GTM"/>
    <x v="8"/>
    <x v="0"/>
    <n v="135958"/>
  </r>
  <r>
    <x v="1"/>
    <x v="9"/>
    <s v="DRT"/>
    <x v="9"/>
    <x v="1"/>
    <n v="119000"/>
  </r>
  <r>
    <x v="1"/>
    <x v="9"/>
    <s v="Tereos/Inpasa/Glencore"/>
    <x v="10"/>
    <x v="7"/>
    <n v="700000"/>
  </r>
  <r>
    <x v="1"/>
    <x v="9"/>
    <s v="Celena"/>
    <x v="4"/>
    <x v="4"/>
    <n v="677215"/>
  </r>
  <r>
    <x v="1"/>
    <x v="9"/>
    <s v="AAK"/>
    <x v="4"/>
    <x v="4"/>
    <n v="440802"/>
  </r>
  <r>
    <x v="1"/>
    <x v="9"/>
    <s v="Cargill"/>
    <x v="5"/>
    <x v="5"/>
    <n v="221530"/>
  </r>
  <r>
    <x v="1"/>
    <x v="9"/>
    <s v="Agropalma"/>
    <x v="4"/>
    <x v="4"/>
    <n v="336129"/>
  </r>
  <r>
    <x v="1"/>
    <x v="9"/>
    <s v="Copape"/>
    <x v="11"/>
    <x v="1"/>
    <n v="0"/>
  </r>
  <r>
    <x v="1"/>
    <x v="9"/>
    <s v="Brenntag"/>
    <x v="3"/>
    <x v="3"/>
    <n v="321373"/>
  </r>
  <r>
    <x v="1"/>
    <x v="9"/>
    <s v="Olin"/>
    <x v="3"/>
    <x v="3"/>
    <n v="858863"/>
  </r>
  <r>
    <x v="1"/>
    <x v="10"/>
    <s v="Adisseo"/>
    <x v="0"/>
    <x v="0"/>
    <n v="716278"/>
  </r>
  <r>
    <x v="1"/>
    <x v="10"/>
    <s v="Bunge"/>
    <x v="4"/>
    <x v="4"/>
    <n v="345426"/>
  </r>
  <r>
    <x v="1"/>
    <x v="10"/>
    <s v="Adisseo Caminhão"/>
    <x v="0"/>
    <x v="0"/>
    <n v="3580"/>
  </r>
  <r>
    <x v="1"/>
    <x v="10"/>
    <s v="ADM"/>
    <x v="5"/>
    <x v="5"/>
    <n v="112688"/>
  </r>
  <r>
    <x v="1"/>
    <x v="10"/>
    <s v="Ipiranga"/>
    <x v="2"/>
    <x v="2"/>
    <n v="5509666"/>
  </r>
  <r>
    <x v="1"/>
    <x v="10"/>
    <s v="Raizen"/>
    <x v="2"/>
    <x v="2"/>
    <n v="2451242"/>
  </r>
  <r>
    <x v="1"/>
    <x v="10"/>
    <s v="Greenergy"/>
    <x v="2"/>
    <x v="2"/>
    <n v="1004795"/>
  </r>
  <r>
    <x v="1"/>
    <x v="10"/>
    <s v="Sul Plata"/>
    <x v="2"/>
    <x v="2"/>
    <n v="2053242"/>
  </r>
  <r>
    <x v="1"/>
    <x v="10"/>
    <s v="Projesan"/>
    <x v="3"/>
    <x v="3"/>
    <n v="88922"/>
  </r>
  <r>
    <x v="1"/>
    <x v="10"/>
    <s v="JBS"/>
    <x v="3"/>
    <x v="3"/>
    <n v="157605"/>
  </r>
  <r>
    <x v="1"/>
    <x v="10"/>
    <s v="Tricon"/>
    <x v="3"/>
    <x v="3"/>
    <n v="531095"/>
  </r>
  <r>
    <x v="1"/>
    <x v="10"/>
    <s v="Braskem"/>
    <x v="3"/>
    <x v="3"/>
    <n v="327852"/>
  </r>
  <r>
    <x v="1"/>
    <x v="10"/>
    <s v="BRF"/>
    <x v="4"/>
    <x v="4"/>
    <n v="916942"/>
  </r>
  <r>
    <x v="1"/>
    <x v="10"/>
    <s v="JBS"/>
    <x v="4"/>
    <x v="4"/>
    <n v="349796"/>
  </r>
  <r>
    <x v="1"/>
    <x v="10"/>
    <s v="Cargill"/>
    <x v="4"/>
    <x v="4"/>
    <n v="497038"/>
  </r>
  <r>
    <x v="1"/>
    <x v="10"/>
    <s v="Pool"/>
    <x v="5"/>
    <x v="5"/>
    <n v="3666113"/>
  </r>
  <r>
    <x v="1"/>
    <x v="10"/>
    <s v="Pool Excedente"/>
    <x v="5"/>
    <x v="5"/>
    <n v="98005"/>
  </r>
  <r>
    <x v="1"/>
    <x v="10"/>
    <s v="Methanex"/>
    <x v="6"/>
    <x v="6"/>
    <n v="5845875"/>
  </r>
  <r>
    <x v="1"/>
    <x v="10"/>
    <s v="Mitsubishi"/>
    <x v="6"/>
    <x v="6"/>
    <n v="3497206"/>
  </r>
  <r>
    <x v="1"/>
    <x v="10"/>
    <s v="SCC"/>
    <x v="6"/>
    <x v="6"/>
    <n v="5636979"/>
  </r>
  <r>
    <x v="1"/>
    <x v="10"/>
    <s v="SCC"/>
    <x v="6"/>
    <x v="6"/>
    <n v="347917"/>
  </r>
  <r>
    <x v="1"/>
    <x v="10"/>
    <s v="Terrena"/>
    <x v="7"/>
    <x v="1"/>
    <n v="369684"/>
  </r>
  <r>
    <x v="1"/>
    <x v="10"/>
    <s v="Evonik"/>
    <x v="8"/>
    <x v="0"/>
    <n v="222688"/>
  </r>
  <r>
    <x v="1"/>
    <x v="10"/>
    <s v="YPF"/>
    <x v="6"/>
    <x v="6"/>
    <n v="588985"/>
  </r>
  <r>
    <x v="1"/>
    <x v="10"/>
    <s v="GTM"/>
    <x v="8"/>
    <x v="0"/>
    <n v="135958"/>
  </r>
  <r>
    <x v="1"/>
    <x v="10"/>
    <s v="DRT"/>
    <x v="9"/>
    <x v="1"/>
    <n v="119000"/>
  </r>
  <r>
    <x v="1"/>
    <x v="10"/>
    <s v="Tereos/Inpasa/Glencore"/>
    <x v="10"/>
    <x v="7"/>
    <n v="0"/>
  </r>
  <r>
    <x v="1"/>
    <x v="10"/>
    <s v="Celena"/>
    <x v="4"/>
    <x v="4"/>
    <n v="677215"/>
  </r>
  <r>
    <x v="1"/>
    <x v="10"/>
    <s v="AAK"/>
    <x v="4"/>
    <x v="4"/>
    <n v="440802"/>
  </r>
  <r>
    <x v="1"/>
    <x v="10"/>
    <s v="Cargill"/>
    <x v="5"/>
    <x v="5"/>
    <n v="267726"/>
  </r>
  <r>
    <x v="1"/>
    <x v="10"/>
    <s v="Agropalma"/>
    <x v="4"/>
    <x v="4"/>
    <n v="336129"/>
  </r>
  <r>
    <x v="1"/>
    <x v="10"/>
    <s v="Copape"/>
    <x v="11"/>
    <x v="1"/>
    <n v="0"/>
  </r>
  <r>
    <x v="1"/>
    <x v="10"/>
    <s v="Brenntag"/>
    <x v="3"/>
    <x v="3"/>
    <n v="321373"/>
  </r>
  <r>
    <x v="1"/>
    <x v="10"/>
    <s v="Olin"/>
    <x v="3"/>
    <x v="3"/>
    <n v="858863"/>
  </r>
  <r>
    <x v="1"/>
    <x v="11"/>
    <s v="Adisseo"/>
    <x v="0"/>
    <x v="0"/>
    <n v="716278"/>
  </r>
  <r>
    <x v="1"/>
    <x v="11"/>
    <s v="Bunge"/>
    <x v="4"/>
    <x v="4"/>
    <n v="345426"/>
  </r>
  <r>
    <x v="1"/>
    <x v="11"/>
    <s v="Adisseo Caminhão"/>
    <x v="0"/>
    <x v="0"/>
    <n v="3580"/>
  </r>
  <r>
    <x v="1"/>
    <x v="11"/>
    <s v="ADM"/>
    <x v="5"/>
    <x v="5"/>
    <n v="112688"/>
  </r>
  <r>
    <x v="1"/>
    <x v="11"/>
    <s v="Ipiranga"/>
    <x v="2"/>
    <x v="2"/>
    <n v="5509666"/>
  </r>
  <r>
    <x v="1"/>
    <x v="11"/>
    <s v="Raizen"/>
    <x v="2"/>
    <x v="2"/>
    <n v="2451242"/>
  </r>
  <r>
    <x v="1"/>
    <x v="11"/>
    <s v="Greenergy"/>
    <x v="2"/>
    <x v="2"/>
    <n v="1004795"/>
  </r>
  <r>
    <x v="1"/>
    <x v="11"/>
    <s v="Sul Plata"/>
    <x v="2"/>
    <x v="2"/>
    <n v="2053242"/>
  </r>
  <r>
    <x v="1"/>
    <x v="11"/>
    <s v="Projesan"/>
    <x v="3"/>
    <x v="3"/>
    <n v="77143"/>
  </r>
  <r>
    <x v="1"/>
    <x v="11"/>
    <s v="JBS"/>
    <x v="3"/>
    <x v="3"/>
    <n v="157605"/>
  </r>
  <r>
    <x v="1"/>
    <x v="11"/>
    <s v="Tricon"/>
    <x v="3"/>
    <x v="3"/>
    <n v="531095"/>
  </r>
  <r>
    <x v="1"/>
    <x v="11"/>
    <s v="Braskem"/>
    <x v="3"/>
    <x v="3"/>
    <n v="299813"/>
  </r>
  <r>
    <x v="1"/>
    <x v="11"/>
    <s v="BRF"/>
    <x v="4"/>
    <x v="4"/>
    <n v="916942"/>
  </r>
  <r>
    <x v="1"/>
    <x v="11"/>
    <s v="JBS"/>
    <x v="4"/>
    <x v="4"/>
    <n v="349796"/>
  </r>
  <r>
    <x v="1"/>
    <x v="11"/>
    <s v="Cargill"/>
    <x v="4"/>
    <x v="4"/>
    <n v="497038"/>
  </r>
  <r>
    <x v="1"/>
    <x v="11"/>
    <s v="Pool"/>
    <x v="5"/>
    <x v="5"/>
    <n v="3666113"/>
  </r>
  <r>
    <x v="1"/>
    <x v="11"/>
    <s v="Pool Excedente"/>
    <x v="5"/>
    <x v="5"/>
    <n v="98005"/>
  </r>
  <r>
    <x v="1"/>
    <x v="11"/>
    <s v="Methanex"/>
    <x v="6"/>
    <x v="6"/>
    <n v="5845875"/>
  </r>
  <r>
    <x v="1"/>
    <x v="11"/>
    <s v="Mitsubishi"/>
    <x v="6"/>
    <x v="6"/>
    <n v="3497206"/>
  </r>
  <r>
    <x v="1"/>
    <x v="11"/>
    <s v="SCC"/>
    <x v="6"/>
    <x v="6"/>
    <n v="5636979"/>
  </r>
  <r>
    <x v="1"/>
    <x v="11"/>
    <s v="SCC"/>
    <x v="6"/>
    <x v="6"/>
    <n v="347917"/>
  </r>
  <r>
    <x v="1"/>
    <x v="11"/>
    <s v="Terrena"/>
    <x v="7"/>
    <x v="1"/>
    <n v="369684"/>
  </r>
  <r>
    <x v="1"/>
    <x v="11"/>
    <s v="Evonik"/>
    <x v="8"/>
    <x v="0"/>
    <n v="222688"/>
  </r>
  <r>
    <x v="1"/>
    <x v="11"/>
    <s v="YPF"/>
    <x v="6"/>
    <x v="6"/>
    <n v="668745"/>
  </r>
  <r>
    <x v="1"/>
    <x v="11"/>
    <s v="GTM"/>
    <x v="8"/>
    <x v="0"/>
    <n v="147795"/>
  </r>
  <r>
    <x v="1"/>
    <x v="11"/>
    <s v="DRT"/>
    <x v="9"/>
    <x v="1"/>
    <n v="119000"/>
  </r>
  <r>
    <x v="1"/>
    <x v="11"/>
    <s v="Tereos/Inpasa/Glencore"/>
    <x v="10"/>
    <x v="7"/>
    <n v="0"/>
  </r>
  <r>
    <x v="1"/>
    <x v="11"/>
    <s v="Celena"/>
    <x v="4"/>
    <x v="4"/>
    <n v="677215"/>
  </r>
  <r>
    <x v="1"/>
    <x v="11"/>
    <s v="AAK"/>
    <x v="4"/>
    <x v="4"/>
    <n v="440802"/>
  </r>
  <r>
    <x v="1"/>
    <x v="11"/>
    <s v="Cargill"/>
    <x v="5"/>
    <x v="5"/>
    <n v="221530"/>
  </r>
  <r>
    <x v="1"/>
    <x v="11"/>
    <s v="Agropalma"/>
    <x v="4"/>
    <x v="4"/>
    <n v="336129"/>
  </r>
  <r>
    <x v="1"/>
    <x v="11"/>
    <s v="Copape"/>
    <x v="11"/>
    <x v="1"/>
    <n v="0"/>
  </r>
  <r>
    <x v="1"/>
    <x v="11"/>
    <s v="Brenntag"/>
    <x v="3"/>
    <x v="3"/>
    <n v="321373"/>
  </r>
  <r>
    <x v="1"/>
    <x v="11"/>
    <s v="Olin"/>
    <x v="3"/>
    <x v="3"/>
    <n v="858863"/>
  </r>
  <r>
    <x v="2"/>
    <x v="0"/>
    <s v="Adisseo"/>
    <x v="0"/>
    <x v="0"/>
    <n v="764605"/>
  </r>
  <r>
    <x v="2"/>
    <x v="0"/>
    <s v="Bunge"/>
    <x v="4"/>
    <x v="4"/>
    <n v="339303"/>
  </r>
  <r>
    <x v="2"/>
    <x v="0"/>
    <s v="ADM"/>
    <x v="5"/>
    <x v="5"/>
    <n v="162891"/>
  </r>
  <r>
    <x v="2"/>
    <x v="0"/>
    <s v="Ipiranga"/>
    <x v="2"/>
    <x v="2"/>
    <n v="6086965"/>
  </r>
  <r>
    <x v="2"/>
    <x v="0"/>
    <s v="Raizen"/>
    <x v="2"/>
    <x v="2"/>
    <n v="4164996"/>
  </r>
  <r>
    <x v="2"/>
    <x v="0"/>
    <s v="Vibra"/>
    <x v="2"/>
    <x v="2"/>
    <n v="1750502"/>
  </r>
  <r>
    <x v="2"/>
    <x v="0"/>
    <s v="Sul Plata"/>
    <x v="2"/>
    <x v="2"/>
    <n v="2379391"/>
  </r>
  <r>
    <x v="2"/>
    <x v="0"/>
    <s v="Projesan"/>
    <x v="3"/>
    <x v="3"/>
    <n v="81453"/>
  </r>
  <r>
    <x v="2"/>
    <x v="0"/>
    <s v="JBS"/>
    <x v="3"/>
    <x v="3"/>
    <n v="144366"/>
  </r>
  <r>
    <x v="2"/>
    <x v="0"/>
    <s v="Tricon"/>
    <x v="3"/>
    <x v="3"/>
    <n v="623815"/>
  </r>
  <r>
    <x v="2"/>
    <x v="0"/>
    <s v="Braskem"/>
    <x v="3"/>
    <x v="3"/>
    <n v="227731"/>
  </r>
  <r>
    <x v="2"/>
    <x v="0"/>
    <s v="BRF"/>
    <x v="4"/>
    <x v="4"/>
    <n v="896000"/>
  </r>
  <r>
    <x v="2"/>
    <x v="0"/>
    <s v="JBS"/>
    <x v="4"/>
    <x v="4"/>
    <n v="462720"/>
  </r>
  <r>
    <x v="2"/>
    <x v="0"/>
    <s v="Cargill"/>
    <x v="4"/>
    <x v="4"/>
    <n v="359896"/>
  </r>
  <r>
    <x v="2"/>
    <x v="0"/>
    <s v="Pool"/>
    <x v="5"/>
    <x v="5"/>
    <n v="3616955"/>
  </r>
  <r>
    <x v="2"/>
    <x v="0"/>
    <s v="Pool Excedente"/>
    <x v="5"/>
    <x v="5"/>
    <n v="147702"/>
  </r>
  <r>
    <x v="2"/>
    <x v="0"/>
    <s v="Methanex"/>
    <x v="6"/>
    <x v="6"/>
    <n v="5364738"/>
  </r>
  <r>
    <x v="2"/>
    <x v="0"/>
    <s v="Mitsubishi"/>
    <x v="6"/>
    <x v="6"/>
    <n v="3200617"/>
  </r>
  <r>
    <x v="2"/>
    <x v="0"/>
    <s v="SCC"/>
    <x v="6"/>
    <x v="6"/>
    <n v="5503073"/>
  </r>
  <r>
    <x v="2"/>
    <x v="0"/>
    <s v="Evonik"/>
    <x v="8"/>
    <x v="0"/>
    <n v="297306"/>
  </r>
  <r>
    <x v="2"/>
    <x v="0"/>
    <s v="YPF"/>
    <x v="6"/>
    <x v="6"/>
    <n v="515367"/>
  </r>
  <r>
    <x v="2"/>
    <x v="0"/>
    <s v="DRT"/>
    <x v="9"/>
    <x v="1"/>
    <n v="125795"/>
  </r>
  <r>
    <x v="2"/>
    <x v="0"/>
    <s v="Tereos/Inpasa/Glencore"/>
    <x v="10"/>
    <x v="7"/>
    <n v="0"/>
  </r>
  <r>
    <x v="2"/>
    <x v="0"/>
    <s v="Celena"/>
    <x v="4"/>
    <x v="4"/>
    <n v="795585"/>
  </r>
  <r>
    <x v="2"/>
    <x v="0"/>
    <s v="AAK"/>
    <x v="4"/>
    <x v="4"/>
    <n v="446949"/>
  </r>
  <r>
    <x v="2"/>
    <x v="0"/>
    <s v="Cargill"/>
    <x v="5"/>
    <x v="5"/>
    <n v="278952"/>
  </r>
  <r>
    <x v="2"/>
    <x v="0"/>
    <s v="Agropalma"/>
    <x v="4"/>
    <x v="4"/>
    <n v="268238"/>
  </r>
  <r>
    <x v="2"/>
    <x v="0"/>
    <s v="Brenntag"/>
    <x v="3"/>
    <x v="3"/>
    <n v="318237"/>
  </r>
  <r>
    <x v="2"/>
    <x v="0"/>
    <s v="Olin"/>
    <x v="3"/>
    <x v="3"/>
    <n v="1501777"/>
  </r>
  <r>
    <x v="2"/>
    <x v="0"/>
    <s v="BSBIOS"/>
    <x v="12"/>
    <x v="7"/>
    <n v="325050"/>
  </r>
  <r>
    <x v="2"/>
    <x v="0"/>
    <s v="Trichem"/>
    <x v="13"/>
    <x v="0"/>
    <n v="187972"/>
  </r>
  <r>
    <x v="2"/>
    <x v="0"/>
    <s v="Coamo"/>
    <x v="4"/>
    <x v="4"/>
    <n v="249297"/>
  </r>
  <r>
    <x v="2"/>
    <x v="0"/>
    <s v="Atem"/>
    <x v="2"/>
    <x v="2"/>
    <n v="676544"/>
  </r>
  <r>
    <x v="2"/>
    <x v="1"/>
    <s v="Adisseo"/>
    <x v="0"/>
    <x v="0"/>
    <n v="764605"/>
  </r>
  <r>
    <x v="2"/>
    <x v="1"/>
    <s v="Bunge"/>
    <x v="4"/>
    <x v="4"/>
    <n v="339303"/>
  </r>
  <r>
    <x v="2"/>
    <x v="1"/>
    <s v="ADM"/>
    <x v="5"/>
    <x v="5"/>
    <n v="162891"/>
  </r>
  <r>
    <x v="2"/>
    <x v="1"/>
    <s v="Ipiranga"/>
    <x v="2"/>
    <x v="2"/>
    <n v="6086965"/>
  </r>
  <r>
    <x v="2"/>
    <x v="1"/>
    <s v="Raizen"/>
    <x v="2"/>
    <x v="2"/>
    <n v="4164996"/>
  </r>
  <r>
    <x v="2"/>
    <x v="1"/>
    <s v="Vibra"/>
    <x v="2"/>
    <x v="2"/>
    <n v="1750502"/>
  </r>
  <r>
    <x v="2"/>
    <x v="1"/>
    <s v="Sul Plata"/>
    <x v="2"/>
    <x v="2"/>
    <n v="2379391"/>
  </r>
  <r>
    <x v="2"/>
    <x v="1"/>
    <s v="Projesan"/>
    <x v="3"/>
    <x v="3"/>
    <n v="70663"/>
  </r>
  <r>
    <x v="2"/>
    <x v="1"/>
    <s v="JBS"/>
    <x v="3"/>
    <x v="3"/>
    <n v="144366"/>
  </r>
  <r>
    <x v="2"/>
    <x v="1"/>
    <s v="Tricon"/>
    <x v="3"/>
    <x v="3"/>
    <n v="623815"/>
  </r>
  <r>
    <x v="2"/>
    <x v="1"/>
    <s v="Braskem"/>
    <x v="3"/>
    <x v="3"/>
    <n v="227731"/>
  </r>
  <r>
    <x v="2"/>
    <x v="1"/>
    <s v="BRF"/>
    <x v="4"/>
    <x v="4"/>
    <n v="896000"/>
  </r>
  <r>
    <x v="2"/>
    <x v="1"/>
    <s v="JBS"/>
    <x v="4"/>
    <x v="4"/>
    <n v="462720"/>
  </r>
  <r>
    <x v="2"/>
    <x v="1"/>
    <s v="Cargill"/>
    <x v="4"/>
    <x v="4"/>
    <n v="359896"/>
  </r>
  <r>
    <x v="2"/>
    <x v="1"/>
    <s v="Pool"/>
    <x v="5"/>
    <x v="5"/>
    <n v="5142487"/>
  </r>
  <r>
    <x v="2"/>
    <x v="1"/>
    <s v="Pool Excedente"/>
    <x v="5"/>
    <x v="5"/>
    <n v="147702"/>
  </r>
  <r>
    <x v="2"/>
    <x v="1"/>
    <s v="Methanex"/>
    <x v="6"/>
    <x v="6"/>
    <n v="5364738"/>
  </r>
  <r>
    <x v="2"/>
    <x v="1"/>
    <s v="Mitsubishi"/>
    <x v="6"/>
    <x v="6"/>
    <n v="3200617"/>
  </r>
  <r>
    <x v="2"/>
    <x v="1"/>
    <s v="SCC"/>
    <x v="6"/>
    <x v="6"/>
    <n v="5503073"/>
  </r>
  <r>
    <x v="2"/>
    <x v="1"/>
    <s v="Evonik"/>
    <x v="8"/>
    <x v="0"/>
    <n v="297306"/>
  </r>
  <r>
    <x v="2"/>
    <x v="1"/>
    <s v="YPF"/>
    <x v="6"/>
    <x v="6"/>
    <n v="515367"/>
  </r>
  <r>
    <x v="2"/>
    <x v="1"/>
    <s v="DRT"/>
    <x v="9"/>
    <x v="1"/>
    <n v="125795"/>
  </r>
  <r>
    <x v="2"/>
    <x v="1"/>
    <s v="Tereos/Inpasa/Glencore"/>
    <x v="10"/>
    <x v="7"/>
    <n v="0"/>
  </r>
  <r>
    <x v="2"/>
    <x v="1"/>
    <s v="Celena"/>
    <x v="4"/>
    <x v="4"/>
    <n v="795585"/>
  </r>
  <r>
    <x v="2"/>
    <x v="1"/>
    <s v="AAK"/>
    <x v="4"/>
    <x v="4"/>
    <n v="446949"/>
  </r>
  <r>
    <x v="2"/>
    <x v="1"/>
    <s v="Cargill"/>
    <x v="5"/>
    <x v="5"/>
    <n v="278952"/>
  </r>
  <r>
    <x v="2"/>
    <x v="1"/>
    <s v="Agropalma"/>
    <x v="4"/>
    <x v="4"/>
    <n v="268238"/>
  </r>
  <r>
    <x v="2"/>
    <x v="1"/>
    <s v="Brenntag"/>
    <x v="3"/>
    <x v="3"/>
    <n v="318237"/>
  </r>
  <r>
    <x v="2"/>
    <x v="1"/>
    <s v="Olin"/>
    <x v="3"/>
    <x v="3"/>
    <n v="1501777"/>
  </r>
  <r>
    <x v="2"/>
    <x v="1"/>
    <s v="BSBIOS"/>
    <x v="12"/>
    <x v="7"/>
    <n v="325050"/>
  </r>
  <r>
    <x v="2"/>
    <x v="1"/>
    <s v="Trichem"/>
    <x v="13"/>
    <x v="0"/>
    <n v="215867"/>
  </r>
  <r>
    <x v="2"/>
    <x v="1"/>
    <s v="Coamo"/>
    <x v="4"/>
    <x v="4"/>
    <n v="249297"/>
  </r>
  <r>
    <x v="2"/>
    <x v="1"/>
    <s v="Atem"/>
    <x v="2"/>
    <x v="2"/>
    <n v="676544"/>
  </r>
  <r>
    <x v="2"/>
    <x v="2"/>
    <s v="Adisseo"/>
    <x v="0"/>
    <x v="0"/>
    <n v="764605"/>
  </r>
  <r>
    <x v="2"/>
    <x v="2"/>
    <s v="Bunge"/>
    <x v="4"/>
    <x v="4"/>
    <n v="339303"/>
  </r>
  <r>
    <x v="2"/>
    <x v="2"/>
    <s v="ADM"/>
    <x v="5"/>
    <x v="5"/>
    <n v="162891"/>
  </r>
  <r>
    <x v="2"/>
    <x v="2"/>
    <s v="Ipiranga"/>
    <x v="2"/>
    <x v="2"/>
    <n v="6086965"/>
  </r>
  <r>
    <x v="2"/>
    <x v="2"/>
    <s v="Raizen"/>
    <x v="2"/>
    <x v="2"/>
    <n v="4164996"/>
  </r>
  <r>
    <x v="2"/>
    <x v="2"/>
    <s v="Vibra"/>
    <x v="2"/>
    <x v="2"/>
    <n v="1750502"/>
  </r>
  <r>
    <x v="2"/>
    <x v="2"/>
    <s v="Sul Plata"/>
    <x v="2"/>
    <x v="2"/>
    <n v="2379391"/>
  </r>
  <r>
    <x v="2"/>
    <x v="2"/>
    <s v="Projesan"/>
    <x v="3"/>
    <x v="3"/>
    <n v="81453"/>
  </r>
  <r>
    <x v="2"/>
    <x v="2"/>
    <s v="JBS"/>
    <x v="3"/>
    <x v="3"/>
    <n v="144366"/>
  </r>
  <r>
    <x v="2"/>
    <x v="2"/>
    <s v="Tricon"/>
    <x v="3"/>
    <x v="3"/>
    <n v="623815"/>
  </r>
  <r>
    <x v="2"/>
    <x v="2"/>
    <s v="Braskem"/>
    <x v="3"/>
    <x v="3"/>
    <n v="227731"/>
  </r>
  <r>
    <x v="2"/>
    <x v="2"/>
    <s v="BRF"/>
    <x v="4"/>
    <x v="4"/>
    <n v="896000"/>
  </r>
  <r>
    <x v="2"/>
    <x v="2"/>
    <s v="JBS"/>
    <x v="4"/>
    <x v="4"/>
    <n v="462720"/>
  </r>
  <r>
    <x v="2"/>
    <x v="2"/>
    <s v="Cargill"/>
    <x v="4"/>
    <x v="4"/>
    <n v="359896"/>
  </r>
  <r>
    <x v="2"/>
    <x v="2"/>
    <s v="Pool"/>
    <x v="5"/>
    <x v="5"/>
    <n v="7623189"/>
  </r>
  <r>
    <x v="2"/>
    <x v="2"/>
    <s v="Pool Excedente"/>
    <x v="5"/>
    <x v="5"/>
    <n v="147702"/>
  </r>
  <r>
    <x v="2"/>
    <x v="2"/>
    <s v="Methanex"/>
    <x v="6"/>
    <x v="6"/>
    <n v="5364738"/>
  </r>
  <r>
    <x v="2"/>
    <x v="2"/>
    <s v="Mitsubishi"/>
    <x v="6"/>
    <x v="6"/>
    <n v="3200617"/>
  </r>
  <r>
    <x v="2"/>
    <x v="2"/>
    <s v="SCC"/>
    <x v="6"/>
    <x v="6"/>
    <n v="5503073"/>
  </r>
  <r>
    <x v="2"/>
    <x v="2"/>
    <s v="Evonik"/>
    <x v="8"/>
    <x v="0"/>
    <n v="297306"/>
  </r>
  <r>
    <x v="2"/>
    <x v="2"/>
    <s v="YPF"/>
    <x v="6"/>
    <x v="6"/>
    <n v="586711"/>
  </r>
  <r>
    <x v="2"/>
    <x v="2"/>
    <s v="DRT"/>
    <x v="9"/>
    <x v="1"/>
    <n v="125795"/>
  </r>
  <r>
    <x v="2"/>
    <x v="2"/>
    <s v="Tereos/Inpasa/Glencore"/>
    <x v="10"/>
    <x v="7"/>
    <n v="0"/>
  </r>
  <r>
    <x v="2"/>
    <x v="2"/>
    <s v="Celena"/>
    <x v="4"/>
    <x v="4"/>
    <n v="795585"/>
  </r>
  <r>
    <x v="2"/>
    <x v="2"/>
    <s v="AAK"/>
    <x v="4"/>
    <x v="4"/>
    <n v="446949"/>
  </r>
  <r>
    <x v="2"/>
    <x v="2"/>
    <s v="Cargill"/>
    <x v="5"/>
    <x v="5"/>
    <n v="308495"/>
  </r>
  <r>
    <x v="2"/>
    <x v="2"/>
    <s v="Agropalma"/>
    <x v="4"/>
    <x v="4"/>
    <n v="268238"/>
  </r>
  <r>
    <x v="2"/>
    <x v="2"/>
    <s v="Brenntag"/>
    <x v="3"/>
    <x v="3"/>
    <n v="318237"/>
  </r>
  <r>
    <x v="2"/>
    <x v="2"/>
    <s v="Olin"/>
    <x v="3"/>
    <x v="3"/>
    <n v="1501777"/>
  </r>
  <r>
    <x v="2"/>
    <x v="2"/>
    <s v="BSBIOS"/>
    <x v="12"/>
    <x v="7"/>
    <n v="325050"/>
  </r>
  <r>
    <x v="2"/>
    <x v="2"/>
    <s v="Trichem"/>
    <x v="13"/>
    <x v="0"/>
    <n v="187972"/>
  </r>
  <r>
    <x v="2"/>
    <x v="2"/>
    <s v="Coamo"/>
    <x v="4"/>
    <x v="4"/>
    <n v="249297"/>
  </r>
  <r>
    <x v="2"/>
    <x v="2"/>
    <s v="Atem"/>
    <x v="2"/>
    <x v="2"/>
    <n v="676544"/>
  </r>
  <r>
    <x v="2"/>
    <x v="3"/>
    <s v="Adisseo"/>
    <x v="0"/>
    <x v="0"/>
    <n v="764605"/>
  </r>
  <r>
    <x v="2"/>
    <x v="3"/>
    <s v="Bunge"/>
    <x v="4"/>
    <x v="4"/>
    <n v="339303"/>
  </r>
  <r>
    <x v="2"/>
    <x v="3"/>
    <s v="ADM"/>
    <x v="5"/>
    <x v="5"/>
    <n v="162891"/>
  </r>
  <r>
    <x v="2"/>
    <x v="3"/>
    <s v="Ipiranga"/>
    <x v="2"/>
    <x v="2"/>
    <n v="6086965"/>
  </r>
  <r>
    <x v="2"/>
    <x v="3"/>
    <s v="Raizen"/>
    <x v="2"/>
    <x v="2"/>
    <n v="4164996"/>
  </r>
  <r>
    <x v="2"/>
    <x v="3"/>
    <s v="Vibra"/>
    <x v="2"/>
    <x v="2"/>
    <n v="1750502"/>
  </r>
  <r>
    <x v="2"/>
    <x v="3"/>
    <s v="Sul Plata"/>
    <x v="2"/>
    <x v="2"/>
    <n v="2379391"/>
  </r>
  <r>
    <x v="2"/>
    <x v="3"/>
    <s v="Projesan"/>
    <x v="3"/>
    <x v="3"/>
    <n v="70663"/>
  </r>
  <r>
    <x v="2"/>
    <x v="3"/>
    <s v="JBS"/>
    <x v="3"/>
    <x v="3"/>
    <n v="144366"/>
  </r>
  <r>
    <x v="2"/>
    <x v="3"/>
    <s v="Tricon"/>
    <x v="3"/>
    <x v="3"/>
    <n v="623815"/>
  </r>
  <r>
    <x v="2"/>
    <x v="3"/>
    <s v="Braskem"/>
    <x v="3"/>
    <x v="3"/>
    <n v="227731"/>
  </r>
  <r>
    <x v="2"/>
    <x v="3"/>
    <s v="BRF"/>
    <x v="4"/>
    <x v="4"/>
    <n v="896000"/>
  </r>
  <r>
    <x v="2"/>
    <x v="3"/>
    <s v="JBS"/>
    <x v="4"/>
    <x v="4"/>
    <n v="462720"/>
  </r>
  <r>
    <x v="2"/>
    <x v="3"/>
    <s v="Cargill"/>
    <x v="4"/>
    <x v="4"/>
    <n v="359896"/>
  </r>
  <r>
    <x v="2"/>
    <x v="3"/>
    <s v="Pool"/>
    <x v="5"/>
    <x v="5"/>
    <n v="7730893"/>
  </r>
  <r>
    <x v="2"/>
    <x v="3"/>
    <s v="Pool Excedente"/>
    <x v="5"/>
    <x v="5"/>
    <n v="147702"/>
  </r>
  <r>
    <x v="2"/>
    <x v="3"/>
    <s v="Methanex"/>
    <x v="6"/>
    <x v="6"/>
    <n v="5364738"/>
  </r>
  <r>
    <x v="2"/>
    <x v="3"/>
    <s v="Mitsubishi"/>
    <x v="6"/>
    <x v="6"/>
    <n v="3200617"/>
  </r>
  <r>
    <x v="2"/>
    <x v="3"/>
    <s v="SCC"/>
    <x v="6"/>
    <x v="6"/>
    <n v="5503073"/>
  </r>
  <r>
    <x v="2"/>
    <x v="3"/>
    <s v="Evonik"/>
    <x v="8"/>
    <x v="0"/>
    <n v="297306"/>
  </r>
  <r>
    <x v="2"/>
    <x v="3"/>
    <s v="YPF"/>
    <x v="6"/>
    <x v="6"/>
    <n v="515367"/>
  </r>
  <r>
    <x v="2"/>
    <x v="3"/>
    <s v="DRT"/>
    <x v="9"/>
    <x v="1"/>
    <n v="125795"/>
  </r>
  <r>
    <x v="2"/>
    <x v="3"/>
    <s v="Tereos/Inpasa/Glencore"/>
    <x v="10"/>
    <x v="7"/>
    <n v="0"/>
  </r>
  <r>
    <x v="2"/>
    <x v="3"/>
    <s v="Celena"/>
    <x v="4"/>
    <x v="4"/>
    <n v="795585"/>
  </r>
  <r>
    <x v="2"/>
    <x v="3"/>
    <s v="AAK"/>
    <x v="4"/>
    <x v="4"/>
    <n v="446949"/>
  </r>
  <r>
    <x v="2"/>
    <x v="3"/>
    <s v="Cargill"/>
    <x v="5"/>
    <x v="5"/>
    <n v="278952"/>
  </r>
  <r>
    <x v="2"/>
    <x v="3"/>
    <s v="Agropalma"/>
    <x v="4"/>
    <x v="4"/>
    <n v="268238"/>
  </r>
  <r>
    <x v="2"/>
    <x v="3"/>
    <s v="Brenntag"/>
    <x v="3"/>
    <x v="3"/>
    <n v="318237"/>
  </r>
  <r>
    <x v="2"/>
    <x v="3"/>
    <s v="Olin"/>
    <x v="3"/>
    <x v="3"/>
    <n v="1501777"/>
  </r>
  <r>
    <x v="2"/>
    <x v="3"/>
    <s v="BSBIOS"/>
    <x v="12"/>
    <x v="7"/>
    <n v="325050"/>
  </r>
  <r>
    <x v="2"/>
    <x v="3"/>
    <s v="Trichem"/>
    <x v="13"/>
    <x v="0"/>
    <n v="215867"/>
  </r>
  <r>
    <x v="2"/>
    <x v="3"/>
    <s v="Coamo"/>
    <x v="4"/>
    <x v="4"/>
    <n v="249297"/>
  </r>
  <r>
    <x v="2"/>
    <x v="3"/>
    <s v="Atem"/>
    <x v="2"/>
    <x v="2"/>
    <n v="676544"/>
  </r>
  <r>
    <x v="2"/>
    <x v="4"/>
    <s v="Adisseo"/>
    <x v="0"/>
    <x v="0"/>
    <n v="764605"/>
  </r>
  <r>
    <x v="2"/>
    <x v="4"/>
    <s v="Bunge"/>
    <x v="4"/>
    <x v="4"/>
    <n v="339303"/>
  </r>
  <r>
    <x v="2"/>
    <x v="4"/>
    <s v="ADM"/>
    <x v="5"/>
    <x v="5"/>
    <n v="162891"/>
  </r>
  <r>
    <x v="2"/>
    <x v="4"/>
    <s v="Ipiranga"/>
    <x v="2"/>
    <x v="2"/>
    <n v="6086965"/>
  </r>
  <r>
    <x v="2"/>
    <x v="4"/>
    <s v="Raizen"/>
    <x v="2"/>
    <x v="2"/>
    <n v="4164996"/>
  </r>
  <r>
    <x v="2"/>
    <x v="4"/>
    <s v="Vibra"/>
    <x v="2"/>
    <x v="2"/>
    <n v="1750502"/>
  </r>
  <r>
    <x v="2"/>
    <x v="4"/>
    <s v="Sul Plata"/>
    <x v="2"/>
    <x v="2"/>
    <n v="2379391"/>
  </r>
  <r>
    <x v="2"/>
    <x v="4"/>
    <s v="Projesan"/>
    <x v="3"/>
    <x v="3"/>
    <n v="81453"/>
  </r>
  <r>
    <x v="2"/>
    <x v="4"/>
    <s v="JBS"/>
    <x v="3"/>
    <x v="3"/>
    <n v="144366"/>
  </r>
  <r>
    <x v="2"/>
    <x v="4"/>
    <s v="Tricon"/>
    <x v="3"/>
    <x v="3"/>
    <n v="623815"/>
  </r>
  <r>
    <x v="2"/>
    <x v="4"/>
    <s v="Braskem"/>
    <x v="3"/>
    <x v="3"/>
    <n v="227731"/>
  </r>
  <r>
    <x v="2"/>
    <x v="4"/>
    <s v="BRF"/>
    <x v="4"/>
    <x v="4"/>
    <n v="947162"/>
  </r>
  <r>
    <x v="2"/>
    <x v="4"/>
    <s v="JBS"/>
    <x v="4"/>
    <x v="4"/>
    <n v="462720"/>
  </r>
  <r>
    <x v="2"/>
    <x v="4"/>
    <s v="Cargill"/>
    <x v="4"/>
    <x v="4"/>
    <n v="359896"/>
  </r>
  <r>
    <x v="2"/>
    <x v="4"/>
    <s v="Pool"/>
    <x v="5"/>
    <x v="5"/>
    <n v="10568225"/>
  </r>
  <r>
    <x v="2"/>
    <x v="4"/>
    <s v="Pool Excedente"/>
    <x v="5"/>
    <x v="5"/>
    <n v="147702"/>
  </r>
  <r>
    <x v="2"/>
    <x v="4"/>
    <s v="Methanex"/>
    <x v="6"/>
    <x v="6"/>
    <n v="5364738"/>
  </r>
  <r>
    <x v="2"/>
    <x v="4"/>
    <s v="Mitsubishi"/>
    <x v="6"/>
    <x v="6"/>
    <n v="3200617"/>
  </r>
  <r>
    <x v="2"/>
    <x v="4"/>
    <s v="SCC"/>
    <x v="6"/>
    <x v="6"/>
    <n v="5503073"/>
  </r>
  <r>
    <x v="2"/>
    <x v="4"/>
    <s v="Evonik"/>
    <x v="8"/>
    <x v="0"/>
    <n v="297306"/>
  </r>
  <r>
    <x v="2"/>
    <x v="4"/>
    <s v="YPF"/>
    <x v="6"/>
    <x v="6"/>
    <n v="515367"/>
  </r>
  <r>
    <x v="2"/>
    <x v="4"/>
    <s v="DRT"/>
    <x v="9"/>
    <x v="1"/>
    <n v="125795"/>
  </r>
  <r>
    <x v="2"/>
    <x v="4"/>
    <s v="Tereos/Inpasa/Glencore"/>
    <x v="10"/>
    <x v="7"/>
    <n v="750000"/>
  </r>
  <r>
    <x v="2"/>
    <x v="4"/>
    <s v="Celena"/>
    <x v="4"/>
    <x v="4"/>
    <n v="795585"/>
  </r>
  <r>
    <x v="2"/>
    <x v="4"/>
    <s v="AAK"/>
    <x v="4"/>
    <x v="4"/>
    <n v="446949"/>
  </r>
  <r>
    <x v="2"/>
    <x v="4"/>
    <s v="Cargill"/>
    <x v="5"/>
    <x v="5"/>
    <n v="278952"/>
  </r>
  <r>
    <x v="2"/>
    <x v="4"/>
    <s v="Agropalma"/>
    <x v="4"/>
    <x v="4"/>
    <n v="268238"/>
  </r>
  <r>
    <x v="2"/>
    <x v="4"/>
    <s v="Brenntag"/>
    <x v="3"/>
    <x v="3"/>
    <n v="318237"/>
  </r>
  <r>
    <x v="2"/>
    <x v="4"/>
    <s v="Olin"/>
    <x v="3"/>
    <x v="3"/>
    <n v="1501777"/>
  </r>
  <r>
    <x v="2"/>
    <x v="4"/>
    <s v="BSBIOS"/>
    <x v="12"/>
    <x v="7"/>
    <n v="325050"/>
  </r>
  <r>
    <x v="2"/>
    <x v="4"/>
    <s v="Trichem"/>
    <x v="13"/>
    <x v="0"/>
    <n v="187972"/>
  </r>
  <r>
    <x v="2"/>
    <x v="4"/>
    <s v="Coamo"/>
    <x v="4"/>
    <x v="4"/>
    <n v="249297"/>
  </r>
  <r>
    <x v="2"/>
    <x v="4"/>
    <s v="Atem"/>
    <x v="2"/>
    <x v="2"/>
    <n v="676544"/>
  </r>
  <r>
    <x v="2"/>
    <x v="5"/>
    <s v="Adisseo"/>
    <x v="0"/>
    <x v="0"/>
    <n v="764605"/>
  </r>
  <r>
    <x v="2"/>
    <x v="5"/>
    <s v="Bunge"/>
    <x v="4"/>
    <x v="4"/>
    <n v="339303"/>
  </r>
  <r>
    <x v="2"/>
    <x v="5"/>
    <s v="ADM"/>
    <x v="5"/>
    <x v="5"/>
    <n v="162891"/>
  </r>
  <r>
    <x v="2"/>
    <x v="5"/>
    <s v="Ipiranga"/>
    <x v="2"/>
    <x v="2"/>
    <n v="6086965"/>
  </r>
  <r>
    <x v="2"/>
    <x v="5"/>
    <s v="Raizen"/>
    <x v="2"/>
    <x v="2"/>
    <n v="4164996"/>
  </r>
  <r>
    <x v="2"/>
    <x v="5"/>
    <s v="Vibra"/>
    <x v="2"/>
    <x v="2"/>
    <n v="1750502"/>
  </r>
  <r>
    <x v="2"/>
    <x v="5"/>
    <s v="Sul Plata"/>
    <x v="2"/>
    <x v="2"/>
    <n v="2379391"/>
  </r>
  <r>
    <x v="2"/>
    <x v="5"/>
    <s v="Projesan"/>
    <x v="3"/>
    <x v="3"/>
    <n v="70663"/>
  </r>
  <r>
    <x v="2"/>
    <x v="5"/>
    <s v="JBS"/>
    <x v="3"/>
    <x v="3"/>
    <n v="144366"/>
  </r>
  <r>
    <x v="2"/>
    <x v="5"/>
    <s v="Tricon"/>
    <x v="3"/>
    <x v="3"/>
    <n v="623815"/>
  </r>
  <r>
    <x v="2"/>
    <x v="5"/>
    <s v="Braskem"/>
    <x v="3"/>
    <x v="3"/>
    <n v="240735"/>
  </r>
  <r>
    <x v="2"/>
    <x v="5"/>
    <s v="BRF"/>
    <x v="4"/>
    <x v="4"/>
    <n v="947162"/>
  </r>
  <r>
    <x v="2"/>
    <x v="5"/>
    <s v="JBS"/>
    <x v="4"/>
    <x v="4"/>
    <n v="462720"/>
  </r>
  <r>
    <x v="2"/>
    <x v="5"/>
    <s v="Cargill"/>
    <x v="4"/>
    <x v="4"/>
    <n v="359896"/>
  </r>
  <r>
    <x v="2"/>
    <x v="5"/>
    <s v="Pool"/>
    <x v="5"/>
    <x v="5"/>
    <n v="5854986"/>
  </r>
  <r>
    <x v="2"/>
    <x v="5"/>
    <s v="Pool Excedente"/>
    <x v="5"/>
    <x v="5"/>
    <n v="147702"/>
  </r>
  <r>
    <x v="2"/>
    <x v="5"/>
    <s v="Methanex"/>
    <x v="6"/>
    <x v="6"/>
    <n v="5364738"/>
  </r>
  <r>
    <x v="2"/>
    <x v="5"/>
    <s v="Mitsubishi"/>
    <x v="6"/>
    <x v="6"/>
    <n v="3200617"/>
  </r>
  <r>
    <x v="2"/>
    <x v="5"/>
    <s v="SCC"/>
    <x v="6"/>
    <x v="6"/>
    <n v="5503073"/>
  </r>
  <r>
    <x v="2"/>
    <x v="5"/>
    <s v="Evonik"/>
    <x v="8"/>
    <x v="0"/>
    <n v="297306"/>
  </r>
  <r>
    <x v="2"/>
    <x v="5"/>
    <s v="YPF"/>
    <x v="6"/>
    <x v="6"/>
    <n v="586711"/>
  </r>
  <r>
    <x v="2"/>
    <x v="5"/>
    <s v="DRT"/>
    <x v="9"/>
    <x v="1"/>
    <n v="125795"/>
  </r>
  <r>
    <x v="2"/>
    <x v="5"/>
    <s v="Tereos/Inpasa/Glencore"/>
    <x v="10"/>
    <x v="7"/>
    <n v="750000"/>
  </r>
  <r>
    <x v="2"/>
    <x v="5"/>
    <s v="Celena"/>
    <x v="4"/>
    <x v="4"/>
    <n v="795585"/>
  </r>
  <r>
    <x v="2"/>
    <x v="5"/>
    <s v="AAK"/>
    <x v="4"/>
    <x v="4"/>
    <n v="446949"/>
  </r>
  <r>
    <x v="2"/>
    <x v="5"/>
    <s v="Cargill"/>
    <x v="5"/>
    <x v="5"/>
    <n v="278952"/>
  </r>
  <r>
    <x v="2"/>
    <x v="5"/>
    <s v="Agropalma"/>
    <x v="4"/>
    <x v="4"/>
    <n v="268238"/>
  </r>
  <r>
    <x v="2"/>
    <x v="5"/>
    <s v="Brenntag"/>
    <x v="3"/>
    <x v="3"/>
    <n v="318237"/>
  </r>
  <r>
    <x v="2"/>
    <x v="5"/>
    <s v="Olin"/>
    <x v="3"/>
    <x v="3"/>
    <n v="1501777"/>
  </r>
  <r>
    <x v="2"/>
    <x v="5"/>
    <s v="BSBIOS"/>
    <x v="12"/>
    <x v="7"/>
    <n v="325050"/>
  </r>
  <r>
    <x v="2"/>
    <x v="5"/>
    <s v="Trichem"/>
    <x v="13"/>
    <x v="0"/>
    <n v="187972"/>
  </r>
  <r>
    <x v="2"/>
    <x v="5"/>
    <s v="Coamo"/>
    <x v="4"/>
    <x v="4"/>
    <n v="249297"/>
  </r>
  <r>
    <x v="2"/>
    <x v="5"/>
    <s v="Atem"/>
    <x v="2"/>
    <x v="2"/>
    <n v="676544"/>
  </r>
  <r>
    <x v="2"/>
    <x v="6"/>
    <s v="Adisseo"/>
    <x v="0"/>
    <x v="0"/>
    <n v="764605"/>
  </r>
  <r>
    <x v="2"/>
    <x v="6"/>
    <s v="Bunge"/>
    <x v="4"/>
    <x v="4"/>
    <n v="339303"/>
  </r>
  <r>
    <x v="2"/>
    <x v="6"/>
    <s v="ADM"/>
    <x v="5"/>
    <x v="5"/>
    <n v="162891"/>
  </r>
  <r>
    <x v="2"/>
    <x v="6"/>
    <s v="Ipiranga"/>
    <x v="2"/>
    <x v="2"/>
    <n v="6086965"/>
  </r>
  <r>
    <x v="2"/>
    <x v="6"/>
    <s v="Raizen"/>
    <x v="2"/>
    <x v="2"/>
    <n v="4164996"/>
  </r>
  <r>
    <x v="2"/>
    <x v="6"/>
    <s v="Vibra"/>
    <x v="2"/>
    <x v="2"/>
    <n v="1750502"/>
  </r>
  <r>
    <x v="2"/>
    <x v="6"/>
    <s v="Sul Plata"/>
    <x v="2"/>
    <x v="2"/>
    <n v="2379391"/>
  </r>
  <r>
    <x v="2"/>
    <x v="6"/>
    <s v="Projesan"/>
    <x v="3"/>
    <x v="3"/>
    <n v="81453"/>
  </r>
  <r>
    <x v="2"/>
    <x v="6"/>
    <s v="JBS"/>
    <x v="3"/>
    <x v="3"/>
    <n v="144366"/>
  </r>
  <r>
    <x v="2"/>
    <x v="6"/>
    <s v="Tricon"/>
    <x v="3"/>
    <x v="3"/>
    <n v="623815"/>
  </r>
  <r>
    <x v="2"/>
    <x v="6"/>
    <s v="Braskem"/>
    <x v="3"/>
    <x v="3"/>
    <n v="240735"/>
  </r>
  <r>
    <x v="2"/>
    <x v="6"/>
    <s v="BRF"/>
    <x v="4"/>
    <x v="4"/>
    <n v="947162"/>
  </r>
  <r>
    <x v="2"/>
    <x v="6"/>
    <s v="JBS"/>
    <x v="4"/>
    <x v="4"/>
    <n v="462720"/>
  </r>
  <r>
    <x v="2"/>
    <x v="6"/>
    <s v="Cargill"/>
    <x v="4"/>
    <x v="4"/>
    <n v="359896"/>
  </r>
  <r>
    <x v="2"/>
    <x v="6"/>
    <s v="Pool"/>
    <x v="5"/>
    <x v="5"/>
    <n v="5557841"/>
  </r>
  <r>
    <x v="2"/>
    <x v="6"/>
    <s v="Pool Excedente"/>
    <x v="5"/>
    <x v="5"/>
    <n v="147702"/>
  </r>
  <r>
    <x v="2"/>
    <x v="6"/>
    <s v="Methanex"/>
    <x v="6"/>
    <x v="6"/>
    <n v="5364738"/>
  </r>
  <r>
    <x v="2"/>
    <x v="6"/>
    <s v="Mitsubishi"/>
    <x v="6"/>
    <x v="6"/>
    <n v="3200617"/>
  </r>
  <r>
    <x v="2"/>
    <x v="6"/>
    <s v="SCC"/>
    <x v="6"/>
    <x v="6"/>
    <n v="5503073"/>
  </r>
  <r>
    <x v="2"/>
    <x v="6"/>
    <s v="Evonik"/>
    <x v="8"/>
    <x v="0"/>
    <n v="297306"/>
  </r>
  <r>
    <x v="2"/>
    <x v="6"/>
    <s v="YPF"/>
    <x v="6"/>
    <x v="6"/>
    <n v="515367"/>
  </r>
  <r>
    <x v="2"/>
    <x v="6"/>
    <s v="DRT"/>
    <x v="9"/>
    <x v="1"/>
    <n v="125795"/>
  </r>
  <r>
    <x v="2"/>
    <x v="6"/>
    <s v="Tereos/Inpasa/Glencore"/>
    <x v="10"/>
    <x v="7"/>
    <n v="750000"/>
  </r>
  <r>
    <x v="2"/>
    <x v="6"/>
    <s v="Celena"/>
    <x v="4"/>
    <x v="4"/>
    <n v="795585"/>
  </r>
  <r>
    <x v="2"/>
    <x v="6"/>
    <s v="AAK"/>
    <x v="4"/>
    <x v="4"/>
    <n v="446949"/>
  </r>
  <r>
    <x v="2"/>
    <x v="6"/>
    <s v="Cargill"/>
    <x v="5"/>
    <x v="5"/>
    <n v="278952"/>
  </r>
  <r>
    <x v="2"/>
    <x v="6"/>
    <s v="Agropalma"/>
    <x v="4"/>
    <x v="4"/>
    <n v="268238"/>
  </r>
  <r>
    <x v="2"/>
    <x v="6"/>
    <s v="Brenntag"/>
    <x v="3"/>
    <x v="3"/>
    <n v="318237"/>
  </r>
  <r>
    <x v="2"/>
    <x v="6"/>
    <s v="Olin"/>
    <x v="3"/>
    <x v="3"/>
    <n v="1501777"/>
  </r>
  <r>
    <x v="2"/>
    <x v="6"/>
    <s v="BSBIOS"/>
    <x v="12"/>
    <x v="7"/>
    <n v="325050"/>
  </r>
  <r>
    <x v="2"/>
    <x v="6"/>
    <s v="Trichem"/>
    <x v="13"/>
    <x v="0"/>
    <n v="215867"/>
  </r>
  <r>
    <x v="2"/>
    <x v="6"/>
    <s v="Coamo"/>
    <x v="4"/>
    <x v="4"/>
    <n v="249297"/>
  </r>
  <r>
    <x v="2"/>
    <x v="6"/>
    <s v="Atem"/>
    <x v="2"/>
    <x v="2"/>
    <n v="676544"/>
  </r>
  <r>
    <x v="2"/>
    <x v="7"/>
    <s v="Adisseo"/>
    <x v="0"/>
    <x v="0"/>
    <n v="764605"/>
  </r>
  <r>
    <x v="2"/>
    <x v="7"/>
    <s v="Bunge"/>
    <x v="4"/>
    <x v="4"/>
    <n v="339303"/>
  </r>
  <r>
    <x v="2"/>
    <x v="7"/>
    <s v="ADM"/>
    <x v="5"/>
    <x v="5"/>
    <n v="162891"/>
  </r>
  <r>
    <x v="2"/>
    <x v="7"/>
    <s v="Ipiranga"/>
    <x v="2"/>
    <x v="2"/>
    <n v="6086965"/>
  </r>
  <r>
    <x v="2"/>
    <x v="7"/>
    <s v="Raizen"/>
    <x v="2"/>
    <x v="2"/>
    <n v="4164996"/>
  </r>
  <r>
    <x v="2"/>
    <x v="7"/>
    <s v="Vibra"/>
    <x v="2"/>
    <x v="2"/>
    <n v="1750502"/>
  </r>
  <r>
    <x v="2"/>
    <x v="7"/>
    <s v="Sul Plata"/>
    <x v="2"/>
    <x v="2"/>
    <n v="2379391"/>
  </r>
  <r>
    <x v="2"/>
    <x v="7"/>
    <s v="Projesan"/>
    <x v="3"/>
    <x v="3"/>
    <n v="70663"/>
  </r>
  <r>
    <x v="2"/>
    <x v="7"/>
    <s v="JBS"/>
    <x v="3"/>
    <x v="3"/>
    <n v="144366"/>
  </r>
  <r>
    <x v="2"/>
    <x v="7"/>
    <s v="Tricon"/>
    <x v="3"/>
    <x v="3"/>
    <n v="623815"/>
  </r>
  <r>
    <x v="2"/>
    <x v="7"/>
    <s v="Braskem"/>
    <x v="3"/>
    <x v="3"/>
    <n v="240735"/>
  </r>
  <r>
    <x v="2"/>
    <x v="7"/>
    <s v="BRF"/>
    <x v="4"/>
    <x v="4"/>
    <n v="947162"/>
  </r>
  <r>
    <x v="2"/>
    <x v="7"/>
    <s v="JBS"/>
    <x v="4"/>
    <x v="4"/>
    <n v="462720"/>
  </r>
  <r>
    <x v="2"/>
    <x v="7"/>
    <s v="Cargill"/>
    <x v="4"/>
    <x v="4"/>
    <n v="359896"/>
  </r>
  <r>
    <x v="2"/>
    <x v="7"/>
    <s v="Pool"/>
    <x v="5"/>
    <x v="5"/>
    <n v="5321371"/>
  </r>
  <r>
    <x v="2"/>
    <x v="7"/>
    <s v="Pool Excedente"/>
    <x v="5"/>
    <x v="5"/>
    <n v="147702"/>
  </r>
  <r>
    <x v="2"/>
    <x v="7"/>
    <s v="Methanex"/>
    <x v="6"/>
    <x v="6"/>
    <n v="5364738"/>
  </r>
  <r>
    <x v="2"/>
    <x v="7"/>
    <s v="Mitsubishi"/>
    <x v="6"/>
    <x v="6"/>
    <n v="3200617"/>
  </r>
  <r>
    <x v="2"/>
    <x v="7"/>
    <s v="SCC"/>
    <x v="6"/>
    <x v="6"/>
    <n v="5503073"/>
  </r>
  <r>
    <x v="2"/>
    <x v="7"/>
    <s v="Evonik"/>
    <x v="8"/>
    <x v="0"/>
    <n v="297306"/>
  </r>
  <r>
    <x v="2"/>
    <x v="7"/>
    <s v="YPF"/>
    <x v="6"/>
    <x v="6"/>
    <n v="515367"/>
  </r>
  <r>
    <x v="2"/>
    <x v="7"/>
    <s v="DRT"/>
    <x v="9"/>
    <x v="1"/>
    <n v="125795"/>
  </r>
  <r>
    <x v="2"/>
    <x v="7"/>
    <s v="Tereos/Inpasa/Glencore"/>
    <x v="10"/>
    <x v="7"/>
    <n v="750000"/>
  </r>
  <r>
    <x v="2"/>
    <x v="7"/>
    <s v="Celena"/>
    <x v="4"/>
    <x v="4"/>
    <n v="795585"/>
  </r>
  <r>
    <x v="2"/>
    <x v="7"/>
    <s v="AAK"/>
    <x v="4"/>
    <x v="4"/>
    <n v="446949"/>
  </r>
  <r>
    <x v="2"/>
    <x v="7"/>
    <s v="Cargill"/>
    <x v="5"/>
    <x v="5"/>
    <n v="308495"/>
  </r>
  <r>
    <x v="2"/>
    <x v="7"/>
    <s v="Agropalma"/>
    <x v="4"/>
    <x v="4"/>
    <n v="268238"/>
  </r>
  <r>
    <x v="2"/>
    <x v="7"/>
    <s v="Brenntag"/>
    <x v="3"/>
    <x v="3"/>
    <n v="318237"/>
  </r>
  <r>
    <x v="2"/>
    <x v="7"/>
    <s v="Olin"/>
    <x v="3"/>
    <x v="3"/>
    <n v="1501777"/>
  </r>
  <r>
    <x v="2"/>
    <x v="7"/>
    <s v="BSBIOS"/>
    <x v="12"/>
    <x v="7"/>
    <n v="325050"/>
  </r>
  <r>
    <x v="2"/>
    <x v="7"/>
    <s v="Trichem"/>
    <x v="13"/>
    <x v="0"/>
    <n v="187972"/>
  </r>
  <r>
    <x v="2"/>
    <x v="7"/>
    <s v="Coamo"/>
    <x v="4"/>
    <x v="4"/>
    <n v="249297"/>
  </r>
  <r>
    <x v="2"/>
    <x v="7"/>
    <s v="Atem"/>
    <x v="2"/>
    <x v="2"/>
    <n v="676544"/>
  </r>
  <r>
    <x v="2"/>
    <x v="8"/>
    <s v="Adisseo"/>
    <x v="0"/>
    <x v="0"/>
    <n v="764605"/>
  </r>
  <r>
    <x v="2"/>
    <x v="8"/>
    <s v="Bunge"/>
    <x v="4"/>
    <x v="4"/>
    <n v="358677"/>
  </r>
  <r>
    <x v="2"/>
    <x v="8"/>
    <s v="ADM"/>
    <x v="5"/>
    <x v="5"/>
    <n v="162891"/>
  </r>
  <r>
    <x v="2"/>
    <x v="8"/>
    <s v="Ipiranga"/>
    <x v="2"/>
    <x v="2"/>
    <n v="6086965"/>
  </r>
  <r>
    <x v="2"/>
    <x v="8"/>
    <s v="Raizen"/>
    <x v="2"/>
    <x v="2"/>
    <n v="4164996"/>
  </r>
  <r>
    <x v="2"/>
    <x v="8"/>
    <s v="Vibra"/>
    <x v="2"/>
    <x v="2"/>
    <n v="1750502"/>
  </r>
  <r>
    <x v="2"/>
    <x v="8"/>
    <s v="Sul Plata"/>
    <x v="2"/>
    <x v="2"/>
    <n v="2379391"/>
  </r>
  <r>
    <x v="2"/>
    <x v="8"/>
    <s v="Projesan"/>
    <x v="3"/>
    <x v="3"/>
    <n v="81453"/>
  </r>
  <r>
    <x v="2"/>
    <x v="8"/>
    <s v="JBS"/>
    <x v="3"/>
    <x v="3"/>
    <n v="144366"/>
  </r>
  <r>
    <x v="2"/>
    <x v="8"/>
    <s v="Tricon"/>
    <x v="3"/>
    <x v="3"/>
    <n v="623815"/>
  </r>
  <r>
    <x v="2"/>
    <x v="8"/>
    <s v="Braskem"/>
    <x v="3"/>
    <x v="3"/>
    <n v="240735"/>
  </r>
  <r>
    <x v="2"/>
    <x v="8"/>
    <s v="BRF"/>
    <x v="4"/>
    <x v="4"/>
    <n v="947162"/>
  </r>
  <r>
    <x v="2"/>
    <x v="8"/>
    <s v="JBS"/>
    <x v="4"/>
    <x v="4"/>
    <n v="462720"/>
  </r>
  <r>
    <x v="2"/>
    <x v="8"/>
    <s v="Cargill"/>
    <x v="4"/>
    <x v="4"/>
    <n v="359896"/>
  </r>
  <r>
    <x v="2"/>
    <x v="8"/>
    <s v="Pool"/>
    <x v="5"/>
    <x v="5"/>
    <n v="5321371"/>
  </r>
  <r>
    <x v="2"/>
    <x v="8"/>
    <s v="Pool Excedente"/>
    <x v="5"/>
    <x v="5"/>
    <n v="147702"/>
  </r>
  <r>
    <x v="2"/>
    <x v="8"/>
    <s v="Methanex"/>
    <x v="6"/>
    <x v="6"/>
    <n v="5364738"/>
  </r>
  <r>
    <x v="2"/>
    <x v="8"/>
    <s v="Mitsubishi"/>
    <x v="6"/>
    <x v="6"/>
    <n v="3200617"/>
  </r>
  <r>
    <x v="2"/>
    <x v="8"/>
    <s v="SCC"/>
    <x v="6"/>
    <x v="6"/>
    <n v="5503073"/>
  </r>
  <r>
    <x v="2"/>
    <x v="8"/>
    <s v="Evonik"/>
    <x v="8"/>
    <x v="0"/>
    <n v="297306"/>
  </r>
  <r>
    <x v="2"/>
    <x v="8"/>
    <s v="YPF"/>
    <x v="6"/>
    <x v="6"/>
    <n v="586711"/>
  </r>
  <r>
    <x v="2"/>
    <x v="8"/>
    <s v="DRT"/>
    <x v="9"/>
    <x v="1"/>
    <n v="125795"/>
  </r>
  <r>
    <x v="2"/>
    <x v="8"/>
    <s v="Tereos/Inpasa/Glencore"/>
    <x v="10"/>
    <x v="7"/>
    <n v="750000"/>
  </r>
  <r>
    <x v="2"/>
    <x v="8"/>
    <s v="Celena"/>
    <x v="4"/>
    <x v="4"/>
    <n v="795585"/>
  </r>
  <r>
    <x v="2"/>
    <x v="8"/>
    <s v="AAK"/>
    <x v="4"/>
    <x v="4"/>
    <n v="446949"/>
  </r>
  <r>
    <x v="2"/>
    <x v="8"/>
    <s v="Cargill"/>
    <x v="5"/>
    <x v="5"/>
    <n v="278952"/>
  </r>
  <r>
    <x v="2"/>
    <x v="8"/>
    <s v="Agropalma"/>
    <x v="4"/>
    <x v="4"/>
    <n v="268238"/>
  </r>
  <r>
    <x v="2"/>
    <x v="8"/>
    <s v="Brenntag"/>
    <x v="3"/>
    <x v="3"/>
    <n v="318237"/>
  </r>
  <r>
    <x v="2"/>
    <x v="8"/>
    <s v="Olin"/>
    <x v="3"/>
    <x v="3"/>
    <n v="1501777"/>
  </r>
  <r>
    <x v="2"/>
    <x v="8"/>
    <s v="BSBIOS"/>
    <x v="12"/>
    <x v="7"/>
    <n v="325050"/>
  </r>
  <r>
    <x v="2"/>
    <x v="8"/>
    <s v="Trichem"/>
    <x v="13"/>
    <x v="0"/>
    <n v="187972"/>
  </r>
  <r>
    <x v="2"/>
    <x v="8"/>
    <s v="Coamo"/>
    <x v="4"/>
    <x v="4"/>
    <n v="249297"/>
  </r>
  <r>
    <x v="2"/>
    <x v="8"/>
    <s v="Atem"/>
    <x v="2"/>
    <x v="2"/>
    <n v="676544"/>
  </r>
  <r>
    <x v="2"/>
    <x v="9"/>
    <s v="Adisseo"/>
    <x v="0"/>
    <x v="0"/>
    <n v="764605"/>
  </r>
  <r>
    <x v="2"/>
    <x v="9"/>
    <s v="Bunge"/>
    <x v="4"/>
    <x v="4"/>
    <n v="358677"/>
  </r>
  <r>
    <x v="2"/>
    <x v="9"/>
    <s v="ADM"/>
    <x v="5"/>
    <x v="5"/>
    <n v="162891"/>
  </r>
  <r>
    <x v="2"/>
    <x v="9"/>
    <s v="Ipiranga"/>
    <x v="2"/>
    <x v="2"/>
    <n v="6086965"/>
  </r>
  <r>
    <x v="2"/>
    <x v="9"/>
    <s v="Raizen"/>
    <x v="2"/>
    <x v="2"/>
    <n v="4164996"/>
  </r>
  <r>
    <x v="2"/>
    <x v="9"/>
    <s v="Vibra"/>
    <x v="2"/>
    <x v="2"/>
    <n v="1750502"/>
  </r>
  <r>
    <x v="2"/>
    <x v="9"/>
    <s v="Sul Plata"/>
    <x v="2"/>
    <x v="2"/>
    <n v="2379391"/>
  </r>
  <r>
    <x v="2"/>
    <x v="9"/>
    <s v="Projesan"/>
    <x v="3"/>
    <x v="3"/>
    <n v="74698"/>
  </r>
  <r>
    <x v="2"/>
    <x v="9"/>
    <s v="JBS"/>
    <x v="3"/>
    <x v="3"/>
    <n v="152610"/>
  </r>
  <r>
    <x v="2"/>
    <x v="9"/>
    <s v="Tricon"/>
    <x v="3"/>
    <x v="3"/>
    <n v="623815"/>
  </r>
  <r>
    <x v="2"/>
    <x v="9"/>
    <s v="Braskem"/>
    <x v="3"/>
    <x v="3"/>
    <n v="240735"/>
  </r>
  <r>
    <x v="2"/>
    <x v="9"/>
    <s v="BRF"/>
    <x v="4"/>
    <x v="4"/>
    <n v="947162"/>
  </r>
  <r>
    <x v="2"/>
    <x v="9"/>
    <s v="JBS"/>
    <x v="4"/>
    <x v="4"/>
    <n v="489141"/>
  </r>
  <r>
    <x v="2"/>
    <x v="9"/>
    <s v="Cargill"/>
    <x v="4"/>
    <x v="4"/>
    <n v="359896"/>
  </r>
  <r>
    <x v="2"/>
    <x v="9"/>
    <s v="Pool"/>
    <x v="5"/>
    <x v="5"/>
    <n v="5321371"/>
  </r>
  <r>
    <x v="2"/>
    <x v="9"/>
    <s v="Pool Excedente"/>
    <x v="5"/>
    <x v="5"/>
    <n v="147702"/>
  </r>
  <r>
    <x v="2"/>
    <x v="9"/>
    <s v="Methanex"/>
    <x v="6"/>
    <x v="6"/>
    <n v="5364738"/>
  </r>
  <r>
    <x v="2"/>
    <x v="9"/>
    <s v="Mitsubishi"/>
    <x v="6"/>
    <x v="6"/>
    <n v="3200617"/>
  </r>
  <r>
    <x v="2"/>
    <x v="9"/>
    <s v="SCC"/>
    <x v="6"/>
    <x v="6"/>
    <n v="5503073"/>
  </r>
  <r>
    <x v="2"/>
    <x v="9"/>
    <s v="Evonik"/>
    <x v="8"/>
    <x v="0"/>
    <n v="297306"/>
  </r>
  <r>
    <x v="2"/>
    <x v="9"/>
    <s v="YPF"/>
    <x v="6"/>
    <x v="6"/>
    <n v="515367"/>
  </r>
  <r>
    <x v="2"/>
    <x v="9"/>
    <s v="DRT"/>
    <x v="9"/>
    <x v="1"/>
    <n v="125795"/>
  </r>
  <r>
    <x v="2"/>
    <x v="9"/>
    <s v="Tereos/Inpasa/Glencore"/>
    <x v="10"/>
    <x v="7"/>
    <n v="750000"/>
  </r>
  <r>
    <x v="2"/>
    <x v="9"/>
    <s v="Celena"/>
    <x v="4"/>
    <x v="4"/>
    <n v="795585"/>
  </r>
  <r>
    <x v="2"/>
    <x v="9"/>
    <s v="AAK"/>
    <x v="4"/>
    <x v="4"/>
    <n v="446949"/>
  </r>
  <r>
    <x v="2"/>
    <x v="9"/>
    <s v="Cargill"/>
    <x v="5"/>
    <x v="5"/>
    <n v="278952"/>
  </r>
  <r>
    <x v="2"/>
    <x v="9"/>
    <s v="Agropalma"/>
    <x v="4"/>
    <x v="4"/>
    <n v="268238"/>
  </r>
  <r>
    <x v="2"/>
    <x v="9"/>
    <s v="Brenntag"/>
    <x v="3"/>
    <x v="3"/>
    <n v="318237"/>
  </r>
  <r>
    <x v="2"/>
    <x v="9"/>
    <s v="Olin"/>
    <x v="3"/>
    <x v="3"/>
    <n v="1501777"/>
  </r>
  <r>
    <x v="2"/>
    <x v="9"/>
    <s v="BSBIOS"/>
    <x v="12"/>
    <x v="7"/>
    <n v="325050"/>
  </r>
  <r>
    <x v="2"/>
    <x v="9"/>
    <s v="Trichem"/>
    <x v="13"/>
    <x v="0"/>
    <n v="215867"/>
  </r>
  <r>
    <x v="2"/>
    <x v="9"/>
    <s v="Coamo"/>
    <x v="4"/>
    <x v="4"/>
    <n v="249297"/>
  </r>
  <r>
    <x v="2"/>
    <x v="9"/>
    <s v="Atem"/>
    <x v="2"/>
    <x v="2"/>
    <n v="676544"/>
  </r>
  <r>
    <x v="2"/>
    <x v="10"/>
    <s v="Adisseo"/>
    <x v="0"/>
    <x v="0"/>
    <n v="764605"/>
  </r>
  <r>
    <x v="2"/>
    <x v="10"/>
    <s v="Bunge"/>
    <x v="4"/>
    <x v="4"/>
    <n v="358677"/>
  </r>
  <r>
    <x v="2"/>
    <x v="10"/>
    <s v="ADM"/>
    <x v="5"/>
    <x v="5"/>
    <n v="162891"/>
  </r>
  <r>
    <x v="2"/>
    <x v="10"/>
    <s v="Ipiranga"/>
    <x v="2"/>
    <x v="2"/>
    <n v="6086965"/>
  </r>
  <r>
    <x v="2"/>
    <x v="10"/>
    <s v="Raizen"/>
    <x v="2"/>
    <x v="2"/>
    <n v="4164996"/>
  </r>
  <r>
    <x v="2"/>
    <x v="10"/>
    <s v="Vibra"/>
    <x v="2"/>
    <x v="2"/>
    <n v="1750502"/>
  </r>
  <r>
    <x v="2"/>
    <x v="10"/>
    <s v="Sul Plata"/>
    <x v="2"/>
    <x v="2"/>
    <n v="2379391"/>
  </r>
  <r>
    <x v="2"/>
    <x v="10"/>
    <s v="Projesan"/>
    <x v="3"/>
    <x v="3"/>
    <n v="86104"/>
  </r>
  <r>
    <x v="2"/>
    <x v="10"/>
    <s v="JBS"/>
    <x v="3"/>
    <x v="3"/>
    <n v="152610"/>
  </r>
  <r>
    <x v="2"/>
    <x v="10"/>
    <s v="Tricon"/>
    <x v="3"/>
    <x v="3"/>
    <n v="623815"/>
  </r>
  <r>
    <x v="2"/>
    <x v="10"/>
    <s v="Braskem"/>
    <x v="3"/>
    <x v="3"/>
    <n v="240735"/>
  </r>
  <r>
    <x v="2"/>
    <x v="10"/>
    <s v="BRF"/>
    <x v="4"/>
    <x v="4"/>
    <n v="947162"/>
  </r>
  <r>
    <x v="2"/>
    <x v="10"/>
    <s v="JBS"/>
    <x v="4"/>
    <x v="4"/>
    <n v="489141"/>
  </r>
  <r>
    <x v="2"/>
    <x v="10"/>
    <s v="Cargill"/>
    <x v="4"/>
    <x v="4"/>
    <n v="359896"/>
  </r>
  <r>
    <x v="2"/>
    <x v="10"/>
    <s v="Pool"/>
    <x v="5"/>
    <x v="5"/>
    <n v="4730107"/>
  </r>
  <r>
    <x v="2"/>
    <x v="10"/>
    <s v="Pool Excedente"/>
    <x v="5"/>
    <x v="5"/>
    <n v="147702"/>
  </r>
  <r>
    <x v="2"/>
    <x v="10"/>
    <s v="Methanex"/>
    <x v="6"/>
    <x v="6"/>
    <n v="5364738"/>
  </r>
  <r>
    <x v="2"/>
    <x v="10"/>
    <s v="Mitsubishi"/>
    <x v="6"/>
    <x v="6"/>
    <n v="3200617"/>
  </r>
  <r>
    <x v="2"/>
    <x v="10"/>
    <s v="SCC"/>
    <x v="6"/>
    <x v="6"/>
    <n v="5503073"/>
  </r>
  <r>
    <x v="2"/>
    <x v="10"/>
    <s v="Evonik"/>
    <x v="8"/>
    <x v="0"/>
    <n v="297306"/>
  </r>
  <r>
    <x v="2"/>
    <x v="10"/>
    <s v="YPF"/>
    <x v="6"/>
    <x v="6"/>
    <n v="515367"/>
  </r>
  <r>
    <x v="2"/>
    <x v="10"/>
    <s v="DRT"/>
    <x v="9"/>
    <x v="1"/>
    <n v="125795"/>
  </r>
  <r>
    <x v="2"/>
    <x v="10"/>
    <s v="Tereos/Inpasa/Glencore"/>
    <x v="10"/>
    <x v="7"/>
    <n v="0"/>
  </r>
  <r>
    <x v="2"/>
    <x v="10"/>
    <s v="Celena"/>
    <x v="4"/>
    <x v="4"/>
    <n v="795585"/>
  </r>
  <r>
    <x v="2"/>
    <x v="10"/>
    <s v="AAK"/>
    <x v="4"/>
    <x v="4"/>
    <n v="446949"/>
  </r>
  <r>
    <x v="2"/>
    <x v="10"/>
    <s v="Cargill"/>
    <x v="5"/>
    <x v="5"/>
    <n v="308495"/>
  </r>
  <r>
    <x v="2"/>
    <x v="10"/>
    <s v="Agropalma"/>
    <x v="4"/>
    <x v="4"/>
    <n v="268238"/>
  </r>
  <r>
    <x v="2"/>
    <x v="10"/>
    <s v="Brenntag"/>
    <x v="3"/>
    <x v="3"/>
    <n v="318237"/>
  </r>
  <r>
    <x v="2"/>
    <x v="10"/>
    <s v="Olin"/>
    <x v="3"/>
    <x v="3"/>
    <n v="1501777"/>
  </r>
  <r>
    <x v="2"/>
    <x v="10"/>
    <s v="BSBIOS"/>
    <x v="12"/>
    <x v="7"/>
    <n v="325050"/>
  </r>
  <r>
    <x v="2"/>
    <x v="10"/>
    <s v="Trichem"/>
    <x v="13"/>
    <x v="0"/>
    <n v="187972"/>
  </r>
  <r>
    <x v="2"/>
    <x v="10"/>
    <s v="Coamo"/>
    <x v="4"/>
    <x v="4"/>
    <n v="249297"/>
  </r>
  <r>
    <x v="2"/>
    <x v="10"/>
    <s v="Atem"/>
    <x v="2"/>
    <x v="2"/>
    <n v="676544"/>
  </r>
  <r>
    <x v="2"/>
    <x v="11"/>
    <s v="Adisseo"/>
    <x v="0"/>
    <x v="0"/>
    <n v="764605"/>
  </r>
  <r>
    <x v="2"/>
    <x v="11"/>
    <s v="Bunge"/>
    <x v="4"/>
    <x v="4"/>
    <n v="358677"/>
  </r>
  <r>
    <x v="2"/>
    <x v="11"/>
    <s v="ADM"/>
    <x v="5"/>
    <x v="5"/>
    <n v="162891"/>
  </r>
  <r>
    <x v="2"/>
    <x v="11"/>
    <s v="Ipiranga"/>
    <x v="2"/>
    <x v="2"/>
    <n v="6086965"/>
  </r>
  <r>
    <x v="2"/>
    <x v="11"/>
    <s v="Raizen"/>
    <x v="2"/>
    <x v="2"/>
    <n v="4164996"/>
  </r>
  <r>
    <x v="2"/>
    <x v="11"/>
    <s v="Vibra"/>
    <x v="2"/>
    <x v="2"/>
    <n v="1750502"/>
  </r>
  <r>
    <x v="2"/>
    <x v="11"/>
    <s v="Sul Plata"/>
    <x v="2"/>
    <x v="2"/>
    <n v="2379391"/>
  </r>
  <r>
    <x v="2"/>
    <x v="11"/>
    <s v="Projesan"/>
    <x v="3"/>
    <x v="3"/>
    <n v="74698"/>
  </r>
  <r>
    <x v="2"/>
    <x v="11"/>
    <s v="JBS"/>
    <x v="3"/>
    <x v="3"/>
    <n v="152610"/>
  </r>
  <r>
    <x v="2"/>
    <x v="11"/>
    <s v="Tricon"/>
    <x v="3"/>
    <x v="3"/>
    <n v="623815"/>
  </r>
  <r>
    <x v="2"/>
    <x v="11"/>
    <s v="Braskem"/>
    <x v="3"/>
    <x v="3"/>
    <n v="240735"/>
  </r>
  <r>
    <x v="2"/>
    <x v="11"/>
    <s v="BRF"/>
    <x v="4"/>
    <x v="4"/>
    <n v="947162"/>
  </r>
  <r>
    <x v="2"/>
    <x v="11"/>
    <s v="JBS"/>
    <x v="4"/>
    <x v="4"/>
    <n v="489141"/>
  </r>
  <r>
    <x v="2"/>
    <x v="11"/>
    <s v="Cargill"/>
    <x v="4"/>
    <x v="4"/>
    <n v="359896"/>
  </r>
  <r>
    <x v="2"/>
    <x v="11"/>
    <s v="Pool"/>
    <x v="5"/>
    <x v="5"/>
    <n v="4138844"/>
  </r>
  <r>
    <x v="2"/>
    <x v="11"/>
    <s v="Pool Excedente"/>
    <x v="5"/>
    <x v="5"/>
    <n v="147702"/>
  </r>
  <r>
    <x v="2"/>
    <x v="11"/>
    <s v="Methanex"/>
    <x v="6"/>
    <x v="6"/>
    <n v="5364738"/>
  </r>
  <r>
    <x v="2"/>
    <x v="11"/>
    <s v="Mitsubishi"/>
    <x v="6"/>
    <x v="6"/>
    <n v="3200617"/>
  </r>
  <r>
    <x v="2"/>
    <x v="11"/>
    <s v="SCC"/>
    <x v="6"/>
    <x v="6"/>
    <n v="5503073"/>
  </r>
  <r>
    <x v="2"/>
    <x v="11"/>
    <s v="Evonik"/>
    <x v="8"/>
    <x v="0"/>
    <n v="297306"/>
  </r>
  <r>
    <x v="2"/>
    <x v="11"/>
    <s v="YPF"/>
    <x v="6"/>
    <x v="6"/>
    <n v="515367"/>
  </r>
  <r>
    <x v="2"/>
    <x v="11"/>
    <s v="DRT"/>
    <x v="9"/>
    <x v="1"/>
    <n v="125795"/>
  </r>
  <r>
    <x v="2"/>
    <x v="11"/>
    <s v="Tereos/Inpasa/Glencore"/>
    <x v="10"/>
    <x v="7"/>
    <n v="0"/>
  </r>
  <r>
    <x v="2"/>
    <x v="11"/>
    <s v="Celena"/>
    <x v="4"/>
    <x v="4"/>
    <n v="795585"/>
  </r>
  <r>
    <x v="2"/>
    <x v="11"/>
    <s v="AAK"/>
    <x v="4"/>
    <x v="4"/>
    <n v="446949"/>
  </r>
  <r>
    <x v="2"/>
    <x v="11"/>
    <s v="Cargill"/>
    <x v="5"/>
    <x v="5"/>
    <n v="278952"/>
  </r>
  <r>
    <x v="2"/>
    <x v="11"/>
    <s v="Agropalma"/>
    <x v="4"/>
    <x v="4"/>
    <n v="268238"/>
  </r>
  <r>
    <x v="2"/>
    <x v="11"/>
    <s v="Brenntag"/>
    <x v="3"/>
    <x v="3"/>
    <n v="318237"/>
  </r>
  <r>
    <x v="2"/>
    <x v="11"/>
    <s v="Olin"/>
    <x v="3"/>
    <x v="3"/>
    <n v="1501777"/>
  </r>
  <r>
    <x v="2"/>
    <x v="11"/>
    <s v="BSBIOS"/>
    <x v="12"/>
    <x v="7"/>
    <n v="325050"/>
  </r>
  <r>
    <x v="2"/>
    <x v="11"/>
    <s v="Trichem"/>
    <x v="13"/>
    <x v="0"/>
    <n v="187972"/>
  </r>
  <r>
    <x v="2"/>
    <x v="11"/>
    <s v="Coamo"/>
    <x v="4"/>
    <x v="4"/>
    <n v="249297"/>
  </r>
  <r>
    <x v="2"/>
    <x v="11"/>
    <s v="Atem"/>
    <x v="2"/>
    <x v="2"/>
    <n v="676544"/>
  </r>
  <r>
    <x v="3"/>
    <x v="0"/>
    <s v="Adisseo"/>
    <x v="0"/>
    <x v="0"/>
    <n v="886810"/>
  </r>
  <r>
    <x v="3"/>
    <x v="0"/>
    <s v="Bunge"/>
    <x v="4"/>
    <x v="4"/>
    <n v="377129"/>
  </r>
  <r>
    <x v="3"/>
    <x v="0"/>
    <s v="ADM"/>
    <x v="5"/>
    <x v="5"/>
    <n v="187113"/>
  </r>
  <r>
    <x v="3"/>
    <x v="0"/>
    <s v="Ipiranga"/>
    <x v="2"/>
    <x v="2"/>
    <n v="7226175"/>
  </r>
  <r>
    <x v="3"/>
    <x v="0"/>
    <s v="Raizen"/>
    <x v="2"/>
    <x v="2"/>
    <n v="2968315"/>
  </r>
  <r>
    <x v="3"/>
    <x v="0"/>
    <s v="Vibra"/>
    <x v="2"/>
    <x v="2"/>
    <n v="1811877"/>
  </r>
  <r>
    <x v="3"/>
    <x v="0"/>
    <s v="Sul Plata"/>
    <x v="2"/>
    <x v="2"/>
    <n v="3650396"/>
  </r>
  <r>
    <x v="3"/>
    <x v="0"/>
    <s v="JBS"/>
    <x v="3"/>
    <x v="3"/>
    <n v="179417"/>
  </r>
  <r>
    <x v="3"/>
    <x v="0"/>
    <s v="Tricon"/>
    <x v="3"/>
    <x v="3"/>
    <n v="396611"/>
  </r>
  <r>
    <x v="3"/>
    <x v="0"/>
    <s v="Braskem"/>
    <x v="3"/>
    <x v="3"/>
    <n v="273415"/>
  </r>
  <r>
    <x v="3"/>
    <x v="0"/>
    <s v="BRF"/>
    <x v="4"/>
    <x v="4"/>
    <n v="944286"/>
  </r>
  <r>
    <x v="3"/>
    <x v="0"/>
    <s v="JBS"/>
    <x v="4"/>
    <x v="4"/>
    <n v="355713"/>
  </r>
  <r>
    <x v="3"/>
    <x v="0"/>
    <s v="Cargill"/>
    <x v="4"/>
    <x v="4"/>
    <n v="521117"/>
  </r>
  <r>
    <x v="3"/>
    <x v="0"/>
    <s v="Pool"/>
    <x v="5"/>
    <x v="5"/>
    <n v="5368174"/>
  </r>
  <r>
    <x v="3"/>
    <x v="0"/>
    <s v="Pool Excedente"/>
    <x v="5"/>
    <x v="5"/>
    <n v="0"/>
  </r>
  <r>
    <x v="3"/>
    <x v="0"/>
    <s v="Methanex"/>
    <x v="6"/>
    <x v="6"/>
    <n v="5852002"/>
  </r>
  <r>
    <x v="3"/>
    <x v="0"/>
    <s v="Mitsubishi"/>
    <x v="6"/>
    <x v="6"/>
    <n v="3046681"/>
  </r>
  <r>
    <x v="3"/>
    <x v="0"/>
    <s v="Valenz"/>
    <x v="6"/>
    <x v="6"/>
    <n v="5179714"/>
  </r>
  <r>
    <x v="3"/>
    <x v="0"/>
    <s v="Evonik"/>
    <x v="8"/>
    <x v="0"/>
    <n v="406450"/>
  </r>
  <r>
    <x v="3"/>
    <x v="0"/>
    <s v="YPF"/>
    <x v="6"/>
    <x v="6"/>
    <n v="490592"/>
  </r>
  <r>
    <x v="3"/>
    <x v="0"/>
    <s v="Celena"/>
    <x v="4"/>
    <x v="4"/>
    <n v="315191"/>
  </r>
  <r>
    <x v="3"/>
    <x v="0"/>
    <s v="AAK"/>
    <x v="4"/>
    <x v="4"/>
    <n v="582352"/>
  </r>
  <r>
    <x v="3"/>
    <x v="0"/>
    <s v="Cargill"/>
    <x v="5"/>
    <x v="5"/>
    <n v="234062"/>
  </r>
  <r>
    <x v="3"/>
    <x v="0"/>
    <s v="Agropalma"/>
    <x v="4"/>
    <x v="4"/>
    <n v="360148"/>
  </r>
  <r>
    <x v="3"/>
    <x v="0"/>
    <s v="Brenntag"/>
    <x v="3"/>
    <x v="3"/>
    <n v="426494"/>
  </r>
  <r>
    <x v="3"/>
    <x v="0"/>
    <s v="Olin"/>
    <x v="3"/>
    <x v="3"/>
    <n v="1456764"/>
  </r>
  <r>
    <x v="3"/>
    <x v="0"/>
    <s v="BSBIOS"/>
    <x v="12"/>
    <x v="7"/>
    <n v="467791"/>
  </r>
  <r>
    <x v="3"/>
    <x v="0"/>
    <s v="Trichem"/>
    <x v="13"/>
    <x v="0"/>
    <n v="192330"/>
  </r>
  <r>
    <x v="3"/>
    <x v="0"/>
    <s v="Coamo"/>
    <x v="4"/>
    <x v="4"/>
    <n v="186529"/>
  </r>
  <r>
    <x v="3"/>
    <x v="0"/>
    <s v="Atem"/>
    <x v="2"/>
    <x v="2"/>
    <n v="708585"/>
  </r>
  <r>
    <x v="3"/>
    <x v="0"/>
    <s v="Celena"/>
    <x v="4"/>
    <x v="4"/>
    <n v="1607710"/>
  </r>
  <r>
    <x v="3"/>
    <x v="0"/>
    <s v="YPF"/>
    <x v="14"/>
    <x v="0"/>
    <n v="159474"/>
  </r>
  <r>
    <x v="3"/>
    <x v="0"/>
    <s v="Ingredion"/>
    <x v="5"/>
    <x v="5"/>
    <n v="246808"/>
  </r>
  <r>
    <x v="3"/>
    <x v="0"/>
    <s v="Ciapetro"/>
    <x v="2"/>
    <x v="2"/>
    <n v="1214701"/>
  </r>
  <r>
    <x v="3"/>
    <x v="0"/>
    <s v="OQ"/>
    <x v="6"/>
    <x v="6"/>
    <n v="351392"/>
  </r>
  <r>
    <x v="3"/>
    <x v="0"/>
    <s v="Tereos/Inpasa/Glencore/FS"/>
    <x v="10"/>
    <x v="7"/>
    <n v="850000"/>
  </r>
  <r>
    <x v="3"/>
    <x v="0"/>
    <s v="Ares"/>
    <x v="4"/>
    <x v="4"/>
    <n v="535273"/>
  </r>
  <r>
    <x v="3"/>
    <x v="0"/>
    <s v="Acostagem"/>
    <x v="15"/>
    <x v="8"/>
    <n v="449459.81999999995"/>
  </r>
  <r>
    <x v="3"/>
    <x v="0"/>
    <s v="ICOF"/>
    <x v="4"/>
    <x v="4"/>
    <n v="503774"/>
  </r>
  <r>
    <x v="3"/>
    <x v="13"/>
    <s v="Adisseo"/>
    <x v="0"/>
    <x v="0"/>
    <n v="886810"/>
  </r>
  <r>
    <x v="3"/>
    <x v="13"/>
    <s v="Bunge"/>
    <x v="4"/>
    <x v="4"/>
    <n v="377129"/>
  </r>
  <r>
    <x v="3"/>
    <x v="13"/>
    <s v="ADM"/>
    <x v="5"/>
    <x v="5"/>
    <n v="187113"/>
  </r>
  <r>
    <x v="3"/>
    <x v="13"/>
    <s v="Ipiranga"/>
    <x v="2"/>
    <x v="2"/>
    <n v="7226175"/>
  </r>
  <r>
    <x v="3"/>
    <x v="13"/>
    <s v="Raizen"/>
    <x v="2"/>
    <x v="2"/>
    <n v="2968315"/>
  </r>
  <r>
    <x v="3"/>
    <x v="13"/>
    <s v="Vibra"/>
    <x v="2"/>
    <x v="2"/>
    <n v="1811877"/>
  </r>
  <r>
    <x v="3"/>
    <x v="13"/>
    <s v="Sul Plata"/>
    <x v="2"/>
    <x v="2"/>
    <n v="3650396"/>
  </r>
  <r>
    <x v="3"/>
    <x v="13"/>
    <s v="JBS"/>
    <x v="3"/>
    <x v="3"/>
    <n v="179417"/>
  </r>
  <r>
    <x v="3"/>
    <x v="13"/>
    <s v="Tricon"/>
    <x v="3"/>
    <x v="3"/>
    <n v="396611"/>
  </r>
  <r>
    <x v="3"/>
    <x v="13"/>
    <s v="Braskem"/>
    <x v="3"/>
    <x v="3"/>
    <n v="273415"/>
  </r>
  <r>
    <x v="3"/>
    <x v="13"/>
    <s v="BRF"/>
    <x v="4"/>
    <x v="4"/>
    <n v="944286"/>
  </r>
  <r>
    <x v="3"/>
    <x v="13"/>
    <s v="JBS"/>
    <x v="4"/>
    <x v="4"/>
    <n v="355713"/>
  </r>
  <r>
    <x v="3"/>
    <x v="13"/>
    <s v="Cargill"/>
    <x v="4"/>
    <x v="4"/>
    <n v="521117"/>
  </r>
  <r>
    <x v="3"/>
    <x v="13"/>
    <s v="Pool"/>
    <x v="5"/>
    <x v="5"/>
    <n v="9343084"/>
  </r>
  <r>
    <x v="3"/>
    <x v="13"/>
    <s v="Pool Excedente"/>
    <x v="5"/>
    <x v="5"/>
    <n v="0"/>
  </r>
  <r>
    <x v="3"/>
    <x v="13"/>
    <s v="Methanex"/>
    <x v="6"/>
    <x v="6"/>
    <n v="5852002"/>
  </r>
  <r>
    <x v="3"/>
    <x v="13"/>
    <s v="Mitsubishi"/>
    <x v="6"/>
    <x v="6"/>
    <n v="3046681"/>
  </r>
  <r>
    <x v="3"/>
    <x v="13"/>
    <s v="Valenz"/>
    <x v="6"/>
    <x v="6"/>
    <n v="5179714"/>
  </r>
  <r>
    <x v="3"/>
    <x v="13"/>
    <s v="Evonik"/>
    <x v="8"/>
    <x v="0"/>
    <n v="406450"/>
  </r>
  <r>
    <x v="3"/>
    <x v="13"/>
    <s v="YPF"/>
    <x v="6"/>
    <x v="6"/>
    <n v="490592"/>
  </r>
  <r>
    <x v="3"/>
    <x v="13"/>
    <s v="Celena"/>
    <x v="4"/>
    <x v="4"/>
    <n v="315191"/>
  </r>
  <r>
    <x v="3"/>
    <x v="13"/>
    <s v="AAK"/>
    <x v="4"/>
    <x v="4"/>
    <n v="582352"/>
  </r>
  <r>
    <x v="3"/>
    <x v="13"/>
    <s v="Cargill"/>
    <x v="5"/>
    <x v="5"/>
    <n v="199164"/>
  </r>
  <r>
    <x v="3"/>
    <x v="13"/>
    <s v="Agropalma"/>
    <x v="4"/>
    <x v="4"/>
    <n v="360148"/>
  </r>
  <r>
    <x v="3"/>
    <x v="13"/>
    <s v="Brenntag"/>
    <x v="3"/>
    <x v="3"/>
    <n v="426494"/>
  </r>
  <r>
    <x v="3"/>
    <x v="13"/>
    <s v="Olin"/>
    <x v="3"/>
    <x v="3"/>
    <n v="1524504"/>
  </r>
  <r>
    <x v="3"/>
    <x v="13"/>
    <s v="BSBIOS"/>
    <x v="12"/>
    <x v="7"/>
    <n v="467791"/>
  </r>
  <r>
    <x v="3"/>
    <x v="13"/>
    <s v="Trichem"/>
    <x v="13"/>
    <x v="0"/>
    <n v="192330"/>
  </r>
  <r>
    <x v="3"/>
    <x v="13"/>
    <s v="Coamo"/>
    <x v="4"/>
    <x v="4"/>
    <n v="186529"/>
  </r>
  <r>
    <x v="3"/>
    <x v="13"/>
    <s v="Atem"/>
    <x v="2"/>
    <x v="2"/>
    <n v="708585"/>
  </r>
  <r>
    <x v="3"/>
    <x v="13"/>
    <s v="Celena"/>
    <x v="4"/>
    <x v="4"/>
    <n v="1870436"/>
  </r>
  <r>
    <x v="3"/>
    <x v="13"/>
    <s v="YPF"/>
    <x v="14"/>
    <x v="0"/>
    <n v="140762"/>
  </r>
  <r>
    <x v="3"/>
    <x v="13"/>
    <s v="Ingredion"/>
    <x v="5"/>
    <x v="5"/>
    <n v="192335"/>
  </r>
  <r>
    <x v="3"/>
    <x v="13"/>
    <s v="Ciapetro"/>
    <x v="2"/>
    <x v="2"/>
    <n v="1214701"/>
  </r>
  <r>
    <x v="3"/>
    <x v="13"/>
    <s v="OQ"/>
    <x v="6"/>
    <x v="6"/>
    <n v="641825"/>
  </r>
  <r>
    <x v="3"/>
    <x v="13"/>
    <s v="Tereos/Inpasa/Glencore/FS"/>
    <x v="10"/>
    <x v="7"/>
    <n v="850000"/>
  </r>
  <r>
    <x v="3"/>
    <x v="13"/>
    <s v="Ares"/>
    <x v="4"/>
    <x v="4"/>
    <n v="535273"/>
  </r>
  <r>
    <x v="3"/>
    <x v="13"/>
    <s v="Acostagem"/>
    <x v="15"/>
    <x v="8"/>
    <n v="531917.46399999992"/>
  </r>
  <r>
    <x v="3"/>
    <x v="13"/>
    <s v="ICOF"/>
    <x v="4"/>
    <x v="4"/>
    <n v="503774"/>
  </r>
  <r>
    <x v="3"/>
    <x v="2"/>
    <s v="Adisseo"/>
    <x v="0"/>
    <x v="0"/>
    <n v="886810"/>
  </r>
  <r>
    <x v="3"/>
    <x v="2"/>
    <s v="Bunge"/>
    <x v="4"/>
    <x v="4"/>
    <n v="377129"/>
  </r>
  <r>
    <x v="3"/>
    <x v="2"/>
    <s v="ADM"/>
    <x v="5"/>
    <x v="5"/>
    <n v="187113"/>
  </r>
  <r>
    <x v="3"/>
    <x v="2"/>
    <s v="Ipiranga"/>
    <x v="2"/>
    <x v="2"/>
    <n v="7226175"/>
  </r>
  <r>
    <x v="3"/>
    <x v="2"/>
    <s v="Raizen"/>
    <x v="2"/>
    <x v="2"/>
    <n v="2968315"/>
  </r>
  <r>
    <x v="3"/>
    <x v="2"/>
    <s v="Vibra"/>
    <x v="2"/>
    <x v="2"/>
    <n v="1811877"/>
  </r>
  <r>
    <x v="3"/>
    <x v="2"/>
    <s v="Sul Plata"/>
    <x v="2"/>
    <x v="2"/>
    <n v="3650396"/>
  </r>
  <r>
    <x v="3"/>
    <x v="2"/>
    <s v="JBS"/>
    <x v="3"/>
    <x v="3"/>
    <n v="179417"/>
  </r>
  <r>
    <x v="3"/>
    <x v="2"/>
    <s v="Tricon"/>
    <x v="3"/>
    <x v="3"/>
    <n v="396611"/>
  </r>
  <r>
    <x v="3"/>
    <x v="2"/>
    <s v="Braskem"/>
    <x v="3"/>
    <x v="3"/>
    <n v="273415"/>
  </r>
  <r>
    <x v="3"/>
    <x v="2"/>
    <s v="BRF"/>
    <x v="4"/>
    <x v="4"/>
    <n v="944286"/>
  </r>
  <r>
    <x v="3"/>
    <x v="2"/>
    <s v="JBS"/>
    <x v="4"/>
    <x v="4"/>
    <n v="355713"/>
  </r>
  <r>
    <x v="3"/>
    <x v="2"/>
    <s v="Cargill"/>
    <x v="4"/>
    <x v="4"/>
    <n v="521117"/>
  </r>
  <r>
    <x v="3"/>
    <x v="2"/>
    <s v="Pool"/>
    <x v="5"/>
    <x v="5"/>
    <n v="7845380"/>
  </r>
  <r>
    <x v="3"/>
    <x v="2"/>
    <s v="Pool Excedente"/>
    <x v="5"/>
    <x v="5"/>
    <n v="0"/>
  </r>
  <r>
    <x v="3"/>
    <x v="2"/>
    <s v="Methanex"/>
    <x v="6"/>
    <x v="6"/>
    <n v="5852002"/>
  </r>
  <r>
    <x v="3"/>
    <x v="2"/>
    <s v="Mitsubishi"/>
    <x v="6"/>
    <x v="6"/>
    <n v="3046681"/>
  </r>
  <r>
    <x v="3"/>
    <x v="2"/>
    <s v="Valenz"/>
    <x v="6"/>
    <x v="6"/>
    <n v="5179714"/>
  </r>
  <r>
    <x v="3"/>
    <x v="2"/>
    <s v="Evonik"/>
    <x v="8"/>
    <x v="0"/>
    <n v="406450"/>
  </r>
  <r>
    <x v="3"/>
    <x v="2"/>
    <s v="YPF"/>
    <x v="6"/>
    <x v="6"/>
    <n v="559878"/>
  </r>
  <r>
    <x v="3"/>
    <x v="2"/>
    <s v="Celena"/>
    <x v="4"/>
    <x v="4"/>
    <n v="315191"/>
  </r>
  <r>
    <x v="3"/>
    <x v="2"/>
    <s v="AAK"/>
    <x v="4"/>
    <x v="4"/>
    <n v="582352"/>
  </r>
  <r>
    <x v="3"/>
    <x v="2"/>
    <s v="Cargill"/>
    <x v="5"/>
    <x v="5"/>
    <n v="199164"/>
  </r>
  <r>
    <x v="3"/>
    <x v="2"/>
    <s v="Agropalma"/>
    <x v="4"/>
    <x v="4"/>
    <n v="360148"/>
  </r>
  <r>
    <x v="3"/>
    <x v="2"/>
    <s v="Brenntag"/>
    <x v="3"/>
    <x v="3"/>
    <n v="426494"/>
  </r>
  <r>
    <x v="3"/>
    <x v="2"/>
    <s v="Olin"/>
    <x v="3"/>
    <x v="3"/>
    <n v="1524504"/>
  </r>
  <r>
    <x v="3"/>
    <x v="2"/>
    <s v="BSBIOS"/>
    <x v="12"/>
    <x v="7"/>
    <n v="467791"/>
  </r>
  <r>
    <x v="3"/>
    <x v="2"/>
    <s v="Trichem"/>
    <x v="13"/>
    <x v="0"/>
    <n v="192330"/>
  </r>
  <r>
    <x v="3"/>
    <x v="2"/>
    <s v="Coamo"/>
    <x v="4"/>
    <x v="4"/>
    <n v="186529"/>
  </r>
  <r>
    <x v="3"/>
    <x v="2"/>
    <s v="Atem"/>
    <x v="2"/>
    <x v="2"/>
    <n v="708585"/>
  </r>
  <r>
    <x v="3"/>
    <x v="2"/>
    <s v="Celena"/>
    <x v="4"/>
    <x v="4"/>
    <n v="1607710"/>
  </r>
  <r>
    <x v="3"/>
    <x v="2"/>
    <s v="YPF"/>
    <x v="14"/>
    <x v="0"/>
    <n v="140762"/>
  </r>
  <r>
    <x v="3"/>
    <x v="2"/>
    <s v="Ingredion"/>
    <x v="5"/>
    <x v="5"/>
    <n v="246808"/>
  </r>
  <r>
    <x v="3"/>
    <x v="2"/>
    <s v="Ciapetro"/>
    <x v="2"/>
    <x v="2"/>
    <n v="1214701"/>
  </r>
  <r>
    <x v="3"/>
    <x v="2"/>
    <s v="OQ"/>
    <x v="6"/>
    <x v="6"/>
    <n v="351392"/>
  </r>
  <r>
    <x v="3"/>
    <x v="2"/>
    <s v="Tereos/Inpasa/Glencore/FS"/>
    <x v="10"/>
    <x v="7"/>
    <n v="850000"/>
  </r>
  <r>
    <x v="3"/>
    <x v="2"/>
    <s v="Ares"/>
    <x v="4"/>
    <x v="4"/>
    <n v="535273"/>
  </r>
  <r>
    <x v="3"/>
    <x v="2"/>
    <s v="Acostagem"/>
    <x v="15"/>
    <x v="8"/>
    <n v="490272.65599999996"/>
  </r>
  <r>
    <x v="3"/>
    <x v="2"/>
    <s v="ICOF"/>
    <x v="4"/>
    <x v="4"/>
    <n v="503774"/>
  </r>
  <r>
    <x v="3"/>
    <x v="3"/>
    <s v="Adisseo"/>
    <x v="0"/>
    <x v="0"/>
    <n v="886810"/>
  </r>
  <r>
    <x v="3"/>
    <x v="3"/>
    <s v="Bunge"/>
    <x v="4"/>
    <x v="4"/>
    <n v="377129"/>
  </r>
  <r>
    <x v="3"/>
    <x v="3"/>
    <s v="ADM"/>
    <x v="5"/>
    <x v="5"/>
    <n v="187113"/>
  </r>
  <r>
    <x v="3"/>
    <x v="3"/>
    <s v="Ipiranga"/>
    <x v="2"/>
    <x v="2"/>
    <n v="7226175"/>
  </r>
  <r>
    <x v="3"/>
    <x v="3"/>
    <s v="Raizen"/>
    <x v="2"/>
    <x v="2"/>
    <n v="2968315"/>
  </r>
  <r>
    <x v="3"/>
    <x v="3"/>
    <s v="Vibra"/>
    <x v="2"/>
    <x v="2"/>
    <n v="1811877"/>
  </r>
  <r>
    <x v="3"/>
    <x v="3"/>
    <s v="Sul Plata"/>
    <x v="2"/>
    <x v="2"/>
    <n v="3650396"/>
  </r>
  <r>
    <x v="3"/>
    <x v="3"/>
    <s v="JBS"/>
    <x v="3"/>
    <x v="3"/>
    <n v="179417"/>
  </r>
  <r>
    <x v="3"/>
    <x v="3"/>
    <s v="Tricon"/>
    <x v="3"/>
    <x v="3"/>
    <n v="396611"/>
  </r>
  <r>
    <x v="3"/>
    <x v="3"/>
    <s v="Braskem"/>
    <x v="3"/>
    <x v="3"/>
    <n v="273415"/>
  </r>
  <r>
    <x v="3"/>
    <x v="3"/>
    <s v="BRF"/>
    <x v="4"/>
    <x v="4"/>
    <n v="944286"/>
  </r>
  <r>
    <x v="3"/>
    <x v="3"/>
    <s v="JBS"/>
    <x v="4"/>
    <x v="4"/>
    <n v="355713"/>
  </r>
  <r>
    <x v="3"/>
    <x v="3"/>
    <s v="Cargill"/>
    <x v="4"/>
    <x v="4"/>
    <n v="521117"/>
  </r>
  <r>
    <x v="3"/>
    <x v="3"/>
    <s v="Pool"/>
    <x v="5"/>
    <x v="5"/>
    <n v="6885695"/>
  </r>
  <r>
    <x v="3"/>
    <x v="3"/>
    <s v="Pool Excedente"/>
    <x v="5"/>
    <x v="5"/>
    <n v="0"/>
  </r>
  <r>
    <x v="3"/>
    <x v="3"/>
    <s v="Methanex"/>
    <x v="6"/>
    <x v="6"/>
    <n v="5852002"/>
  </r>
  <r>
    <x v="3"/>
    <x v="3"/>
    <s v="Mitsubishi"/>
    <x v="6"/>
    <x v="6"/>
    <n v="3046681"/>
  </r>
  <r>
    <x v="3"/>
    <x v="3"/>
    <s v="Valenz"/>
    <x v="6"/>
    <x v="6"/>
    <n v="5179714"/>
  </r>
  <r>
    <x v="3"/>
    <x v="3"/>
    <s v="Evonik"/>
    <x v="8"/>
    <x v="0"/>
    <n v="406450"/>
  </r>
  <r>
    <x v="3"/>
    <x v="3"/>
    <s v="YPF"/>
    <x v="6"/>
    <x v="6"/>
    <n v="490592"/>
  </r>
  <r>
    <x v="3"/>
    <x v="3"/>
    <s v="Celena"/>
    <x v="4"/>
    <x v="4"/>
    <n v="315191"/>
  </r>
  <r>
    <x v="3"/>
    <x v="3"/>
    <s v="AAK"/>
    <x v="4"/>
    <x v="4"/>
    <n v="582352"/>
  </r>
  <r>
    <x v="3"/>
    <x v="3"/>
    <s v="Cargill"/>
    <x v="5"/>
    <x v="5"/>
    <n v="234062"/>
  </r>
  <r>
    <x v="3"/>
    <x v="3"/>
    <s v="Agropalma"/>
    <x v="4"/>
    <x v="4"/>
    <n v="360148"/>
  </r>
  <r>
    <x v="3"/>
    <x v="3"/>
    <s v="Brenntag"/>
    <x v="3"/>
    <x v="3"/>
    <n v="426494"/>
  </r>
  <r>
    <x v="3"/>
    <x v="3"/>
    <s v="Olin"/>
    <x v="3"/>
    <x v="3"/>
    <n v="1524504"/>
  </r>
  <r>
    <x v="3"/>
    <x v="3"/>
    <s v="BSBIOS"/>
    <x v="12"/>
    <x v="7"/>
    <n v="467791"/>
  </r>
  <r>
    <x v="3"/>
    <x v="3"/>
    <s v="Trichem"/>
    <x v="13"/>
    <x v="0"/>
    <n v="192330"/>
  </r>
  <r>
    <x v="3"/>
    <x v="3"/>
    <s v="Coamo"/>
    <x v="4"/>
    <x v="4"/>
    <n v="186529"/>
  </r>
  <r>
    <x v="3"/>
    <x v="3"/>
    <s v="Atem"/>
    <x v="2"/>
    <x v="2"/>
    <n v="0"/>
  </r>
  <r>
    <x v="3"/>
    <x v="3"/>
    <s v="Celena"/>
    <x v="4"/>
    <x v="4"/>
    <n v="1870436"/>
  </r>
  <r>
    <x v="3"/>
    <x v="3"/>
    <s v="YPF"/>
    <x v="14"/>
    <x v="0"/>
    <n v="159474"/>
  </r>
  <r>
    <x v="3"/>
    <x v="3"/>
    <s v="Ingredion"/>
    <x v="5"/>
    <x v="5"/>
    <n v="192335"/>
  </r>
  <r>
    <x v="3"/>
    <x v="3"/>
    <s v="Ciapetro"/>
    <x v="2"/>
    <x v="2"/>
    <n v="1214701"/>
  </r>
  <r>
    <x v="3"/>
    <x v="3"/>
    <s v="OQ"/>
    <x v="6"/>
    <x v="6"/>
    <n v="641825"/>
  </r>
  <r>
    <x v="3"/>
    <x v="3"/>
    <s v="Tereos/Inpasa/Glencore/FS"/>
    <x v="10"/>
    <x v="7"/>
    <n v="850000"/>
  </r>
  <r>
    <x v="3"/>
    <x v="3"/>
    <s v="Ares"/>
    <x v="4"/>
    <x v="4"/>
    <n v="535273"/>
  </r>
  <r>
    <x v="3"/>
    <x v="3"/>
    <s v="Acostagem"/>
    <x v="15"/>
    <x v="8"/>
    <n v="488300.68399999995"/>
  </r>
  <r>
    <x v="3"/>
    <x v="3"/>
    <s v="ICOF"/>
    <x v="4"/>
    <x v="4"/>
    <n v="503774"/>
  </r>
  <r>
    <x v="3"/>
    <x v="4"/>
    <s v="Adisseo"/>
    <x v="0"/>
    <x v="0"/>
    <n v="886810"/>
  </r>
  <r>
    <x v="3"/>
    <x v="4"/>
    <s v="Bunge"/>
    <x v="4"/>
    <x v="4"/>
    <n v="377129"/>
  </r>
  <r>
    <x v="3"/>
    <x v="4"/>
    <s v="ADM"/>
    <x v="5"/>
    <x v="5"/>
    <n v="187113"/>
  </r>
  <r>
    <x v="3"/>
    <x v="4"/>
    <s v="Ipiranga"/>
    <x v="2"/>
    <x v="2"/>
    <n v="7226175"/>
  </r>
  <r>
    <x v="3"/>
    <x v="4"/>
    <s v="Raizen"/>
    <x v="2"/>
    <x v="2"/>
    <n v="2968315"/>
  </r>
  <r>
    <x v="3"/>
    <x v="4"/>
    <s v="Vibra"/>
    <x v="2"/>
    <x v="2"/>
    <n v="1811877"/>
  </r>
  <r>
    <x v="3"/>
    <x v="4"/>
    <s v="Sul Plata"/>
    <x v="2"/>
    <x v="2"/>
    <n v="3650396"/>
  </r>
  <r>
    <x v="3"/>
    <x v="4"/>
    <s v="JBS"/>
    <x v="3"/>
    <x v="3"/>
    <n v="179417"/>
  </r>
  <r>
    <x v="3"/>
    <x v="4"/>
    <s v="Tricon"/>
    <x v="3"/>
    <x v="3"/>
    <n v="396611"/>
  </r>
  <r>
    <x v="3"/>
    <x v="4"/>
    <s v="Braskem"/>
    <x v="3"/>
    <x v="3"/>
    <n v="273415"/>
  </r>
  <r>
    <x v="3"/>
    <x v="4"/>
    <s v="BRF"/>
    <x v="4"/>
    <x v="4"/>
    <n v="988196"/>
  </r>
  <r>
    <x v="3"/>
    <x v="4"/>
    <s v="JBS"/>
    <x v="4"/>
    <x v="4"/>
    <n v="355713"/>
  </r>
  <r>
    <x v="3"/>
    <x v="4"/>
    <s v="Cargill"/>
    <x v="4"/>
    <x v="4"/>
    <n v="521117"/>
  </r>
  <r>
    <x v="3"/>
    <x v="4"/>
    <s v="Pool"/>
    <x v="5"/>
    <x v="5"/>
    <n v="7681338"/>
  </r>
  <r>
    <x v="3"/>
    <x v="4"/>
    <s v="Pool Excedente"/>
    <x v="5"/>
    <x v="5"/>
    <n v="0"/>
  </r>
  <r>
    <x v="3"/>
    <x v="4"/>
    <s v="Methanex"/>
    <x v="6"/>
    <x v="6"/>
    <n v="5852002"/>
  </r>
  <r>
    <x v="3"/>
    <x v="4"/>
    <s v="Mitsubishi"/>
    <x v="6"/>
    <x v="6"/>
    <n v="3046681"/>
  </r>
  <r>
    <x v="3"/>
    <x v="4"/>
    <s v="Valenz"/>
    <x v="6"/>
    <x v="6"/>
    <n v="5179714"/>
  </r>
  <r>
    <x v="3"/>
    <x v="4"/>
    <s v="Evonik"/>
    <x v="8"/>
    <x v="0"/>
    <n v="406450"/>
  </r>
  <r>
    <x v="3"/>
    <x v="4"/>
    <s v="YPF"/>
    <x v="6"/>
    <x v="6"/>
    <n v="490592"/>
  </r>
  <r>
    <x v="3"/>
    <x v="4"/>
    <s v="Celena"/>
    <x v="4"/>
    <x v="4"/>
    <n v="315191"/>
  </r>
  <r>
    <x v="3"/>
    <x v="4"/>
    <s v="AAK"/>
    <x v="4"/>
    <x v="4"/>
    <n v="582352"/>
  </r>
  <r>
    <x v="3"/>
    <x v="4"/>
    <s v="Cargill"/>
    <x v="5"/>
    <x v="5"/>
    <n v="199164"/>
  </r>
  <r>
    <x v="3"/>
    <x v="4"/>
    <s v="Agropalma"/>
    <x v="4"/>
    <x v="4"/>
    <n v="360148"/>
  </r>
  <r>
    <x v="3"/>
    <x v="4"/>
    <s v="Brenntag"/>
    <x v="3"/>
    <x v="3"/>
    <n v="426494"/>
  </r>
  <r>
    <x v="3"/>
    <x v="4"/>
    <s v="Olin"/>
    <x v="3"/>
    <x v="3"/>
    <n v="1524504"/>
  </r>
  <r>
    <x v="3"/>
    <x v="4"/>
    <s v="BSBIOS"/>
    <x v="12"/>
    <x v="7"/>
    <n v="467791"/>
  </r>
  <r>
    <x v="3"/>
    <x v="4"/>
    <s v="Trichem"/>
    <x v="13"/>
    <x v="0"/>
    <n v="192330"/>
  </r>
  <r>
    <x v="3"/>
    <x v="4"/>
    <s v="Coamo"/>
    <x v="4"/>
    <x v="4"/>
    <n v="186529"/>
  </r>
  <r>
    <x v="3"/>
    <x v="4"/>
    <s v="Atem"/>
    <x v="2"/>
    <x v="2"/>
    <n v="0"/>
  </r>
  <r>
    <x v="3"/>
    <x v="4"/>
    <s v="Celena"/>
    <x v="4"/>
    <x v="4"/>
    <n v="1607710"/>
  </r>
  <r>
    <x v="3"/>
    <x v="4"/>
    <s v="YPF"/>
    <x v="14"/>
    <x v="0"/>
    <n v="140762"/>
  </r>
  <r>
    <x v="3"/>
    <x v="4"/>
    <s v="Ingredion"/>
    <x v="5"/>
    <x v="5"/>
    <n v="246808"/>
  </r>
  <r>
    <x v="3"/>
    <x v="4"/>
    <s v="Ciapetro"/>
    <x v="2"/>
    <x v="2"/>
    <n v="1214701"/>
  </r>
  <r>
    <x v="3"/>
    <x v="4"/>
    <s v="OQ"/>
    <x v="6"/>
    <x v="6"/>
    <n v="351392"/>
  </r>
  <r>
    <x v="3"/>
    <x v="4"/>
    <s v="Tereos/Inpasa/Glencore/FS"/>
    <x v="10"/>
    <x v="7"/>
    <n v="850000"/>
  </r>
  <r>
    <x v="3"/>
    <x v="4"/>
    <s v="Ares"/>
    <x v="4"/>
    <x v="4"/>
    <n v="535273"/>
  </r>
  <r>
    <x v="3"/>
    <x v="4"/>
    <s v="Acostagem"/>
    <x v="15"/>
    <x v="8"/>
    <n v="474897.24799999996"/>
  </r>
  <r>
    <x v="3"/>
    <x v="4"/>
    <s v="ICOF"/>
    <x v="4"/>
    <x v="4"/>
    <n v="503774"/>
  </r>
  <r>
    <x v="3"/>
    <x v="5"/>
    <s v="Adisseo"/>
    <x v="0"/>
    <x v="0"/>
    <n v="886810"/>
  </r>
  <r>
    <x v="3"/>
    <x v="5"/>
    <s v="Bunge"/>
    <x v="4"/>
    <x v="4"/>
    <n v="377129"/>
  </r>
  <r>
    <x v="3"/>
    <x v="5"/>
    <s v="ADM"/>
    <x v="5"/>
    <x v="5"/>
    <n v="187113"/>
  </r>
  <r>
    <x v="3"/>
    <x v="5"/>
    <s v="Ipiranga"/>
    <x v="2"/>
    <x v="2"/>
    <n v="7226175"/>
  </r>
  <r>
    <x v="3"/>
    <x v="5"/>
    <s v="Raizen"/>
    <x v="2"/>
    <x v="2"/>
    <n v="2968315"/>
  </r>
  <r>
    <x v="3"/>
    <x v="5"/>
    <s v="Vibra"/>
    <x v="2"/>
    <x v="2"/>
    <n v="1811877"/>
  </r>
  <r>
    <x v="3"/>
    <x v="5"/>
    <s v="Sul Plata"/>
    <x v="2"/>
    <x v="2"/>
    <n v="3650396"/>
  </r>
  <r>
    <x v="3"/>
    <x v="5"/>
    <s v="JBS"/>
    <x v="3"/>
    <x v="3"/>
    <n v="179417"/>
  </r>
  <r>
    <x v="3"/>
    <x v="5"/>
    <s v="Tricon"/>
    <x v="3"/>
    <x v="3"/>
    <n v="396611"/>
  </r>
  <r>
    <x v="3"/>
    <x v="5"/>
    <s v="Braskem"/>
    <x v="3"/>
    <x v="3"/>
    <n v="273415"/>
  </r>
  <r>
    <x v="3"/>
    <x v="5"/>
    <s v="BRF"/>
    <x v="4"/>
    <x v="4"/>
    <n v="988196"/>
  </r>
  <r>
    <x v="3"/>
    <x v="5"/>
    <s v="JBS"/>
    <x v="4"/>
    <x v="4"/>
    <n v="355713"/>
  </r>
  <r>
    <x v="3"/>
    <x v="5"/>
    <s v="Cargill"/>
    <x v="4"/>
    <x v="4"/>
    <n v="521117"/>
  </r>
  <r>
    <x v="3"/>
    <x v="5"/>
    <s v="Pool"/>
    <x v="5"/>
    <x v="5"/>
    <n v="6507165"/>
  </r>
  <r>
    <x v="3"/>
    <x v="5"/>
    <s v="Pool Excedente"/>
    <x v="5"/>
    <x v="5"/>
    <n v="0"/>
  </r>
  <r>
    <x v="3"/>
    <x v="5"/>
    <s v="Methanex"/>
    <x v="6"/>
    <x v="6"/>
    <n v="5852002"/>
  </r>
  <r>
    <x v="3"/>
    <x v="5"/>
    <s v="Mitsubishi"/>
    <x v="6"/>
    <x v="6"/>
    <n v="3046681"/>
  </r>
  <r>
    <x v="3"/>
    <x v="5"/>
    <s v="Valenz"/>
    <x v="6"/>
    <x v="6"/>
    <n v="5179714"/>
  </r>
  <r>
    <x v="3"/>
    <x v="5"/>
    <s v="Evonik"/>
    <x v="8"/>
    <x v="0"/>
    <n v="406450"/>
  </r>
  <r>
    <x v="3"/>
    <x v="5"/>
    <s v="YPF"/>
    <x v="6"/>
    <x v="6"/>
    <n v="559878"/>
  </r>
  <r>
    <x v="3"/>
    <x v="5"/>
    <s v="Celena"/>
    <x v="4"/>
    <x v="4"/>
    <n v="315191"/>
  </r>
  <r>
    <x v="3"/>
    <x v="5"/>
    <s v="AAK"/>
    <x v="4"/>
    <x v="4"/>
    <n v="582352"/>
  </r>
  <r>
    <x v="3"/>
    <x v="5"/>
    <s v="Cargill"/>
    <x v="5"/>
    <x v="5"/>
    <n v="199164"/>
  </r>
  <r>
    <x v="3"/>
    <x v="5"/>
    <s v="Agropalma"/>
    <x v="4"/>
    <x v="4"/>
    <n v="360148"/>
  </r>
  <r>
    <x v="3"/>
    <x v="5"/>
    <s v="Brenntag"/>
    <x v="3"/>
    <x v="3"/>
    <n v="426494"/>
  </r>
  <r>
    <x v="3"/>
    <x v="5"/>
    <s v="Olin"/>
    <x v="3"/>
    <x v="3"/>
    <n v="1524504"/>
  </r>
  <r>
    <x v="3"/>
    <x v="5"/>
    <s v="BSBIOS"/>
    <x v="12"/>
    <x v="7"/>
    <n v="467791"/>
  </r>
  <r>
    <x v="3"/>
    <x v="5"/>
    <s v="Trichem"/>
    <x v="13"/>
    <x v="0"/>
    <n v="192330"/>
  </r>
  <r>
    <x v="3"/>
    <x v="5"/>
    <s v="Coamo"/>
    <x v="4"/>
    <x v="4"/>
    <n v="186529"/>
  </r>
  <r>
    <x v="3"/>
    <x v="5"/>
    <s v="Atem"/>
    <x v="2"/>
    <x v="2"/>
    <n v="0"/>
  </r>
  <r>
    <x v="3"/>
    <x v="5"/>
    <s v="Celena"/>
    <x v="4"/>
    <x v="4"/>
    <n v="1870436"/>
  </r>
  <r>
    <x v="3"/>
    <x v="5"/>
    <s v="YPF"/>
    <x v="14"/>
    <x v="0"/>
    <n v="140762"/>
  </r>
  <r>
    <x v="3"/>
    <x v="5"/>
    <s v="Ingredion"/>
    <x v="5"/>
    <x v="5"/>
    <n v="192335"/>
  </r>
  <r>
    <x v="3"/>
    <x v="5"/>
    <s v="Ciapetro"/>
    <x v="2"/>
    <x v="2"/>
    <n v="1214701"/>
  </r>
  <r>
    <x v="3"/>
    <x v="5"/>
    <s v="OQ"/>
    <x v="6"/>
    <x v="6"/>
    <n v="641825"/>
  </r>
  <r>
    <x v="3"/>
    <x v="5"/>
    <s v="Tereos/Inpasa/Glencore/FS"/>
    <x v="10"/>
    <x v="7"/>
    <n v="850000"/>
  </r>
  <r>
    <x v="3"/>
    <x v="5"/>
    <s v="Ares"/>
    <x v="4"/>
    <x v="4"/>
    <n v="535273"/>
  </r>
  <r>
    <x v="3"/>
    <x v="5"/>
    <s v="Acostagem"/>
    <x v="15"/>
    <x v="8"/>
    <n v="479507.18"/>
  </r>
  <r>
    <x v="3"/>
    <x v="5"/>
    <s v="ICOF"/>
    <x v="4"/>
    <x v="4"/>
    <n v="503774"/>
  </r>
  <r>
    <x v="3"/>
    <x v="6"/>
    <s v="Adisseo"/>
    <x v="0"/>
    <x v="0"/>
    <n v="886810"/>
  </r>
  <r>
    <x v="3"/>
    <x v="6"/>
    <s v="Bunge"/>
    <x v="4"/>
    <x v="4"/>
    <n v="377129"/>
  </r>
  <r>
    <x v="3"/>
    <x v="6"/>
    <s v="ADM"/>
    <x v="5"/>
    <x v="5"/>
    <n v="187113"/>
  </r>
  <r>
    <x v="3"/>
    <x v="6"/>
    <s v="Ipiranga"/>
    <x v="2"/>
    <x v="2"/>
    <n v="7226175"/>
  </r>
  <r>
    <x v="3"/>
    <x v="6"/>
    <s v="Raizen"/>
    <x v="2"/>
    <x v="2"/>
    <n v="2968315"/>
  </r>
  <r>
    <x v="3"/>
    <x v="6"/>
    <s v="Vibra"/>
    <x v="2"/>
    <x v="2"/>
    <n v="1811877"/>
  </r>
  <r>
    <x v="3"/>
    <x v="6"/>
    <s v="Sul Plata"/>
    <x v="2"/>
    <x v="2"/>
    <n v="3650396"/>
  </r>
  <r>
    <x v="3"/>
    <x v="6"/>
    <s v="JBS"/>
    <x v="3"/>
    <x v="3"/>
    <n v="179417"/>
  </r>
  <r>
    <x v="3"/>
    <x v="6"/>
    <s v="Tricon"/>
    <x v="3"/>
    <x v="3"/>
    <n v="396611"/>
  </r>
  <r>
    <x v="3"/>
    <x v="6"/>
    <s v="Braskem"/>
    <x v="3"/>
    <x v="3"/>
    <n v="273415"/>
  </r>
  <r>
    <x v="3"/>
    <x v="6"/>
    <s v="BRF"/>
    <x v="4"/>
    <x v="4"/>
    <n v="988196"/>
  </r>
  <r>
    <x v="3"/>
    <x v="6"/>
    <s v="JBS"/>
    <x v="4"/>
    <x v="4"/>
    <n v="355713"/>
  </r>
  <r>
    <x v="3"/>
    <x v="6"/>
    <s v="Cargill"/>
    <x v="4"/>
    <x v="4"/>
    <n v="521117"/>
  </r>
  <r>
    <x v="3"/>
    <x v="6"/>
    <s v="Pool"/>
    <x v="5"/>
    <x v="5"/>
    <n v="4726765"/>
  </r>
  <r>
    <x v="3"/>
    <x v="6"/>
    <s v="Pool Excedente"/>
    <x v="5"/>
    <x v="5"/>
    <n v="0"/>
  </r>
  <r>
    <x v="3"/>
    <x v="6"/>
    <s v="Methanex"/>
    <x v="6"/>
    <x v="6"/>
    <n v="5852002"/>
  </r>
  <r>
    <x v="3"/>
    <x v="6"/>
    <s v="Mitsubishi"/>
    <x v="6"/>
    <x v="6"/>
    <n v="3046681"/>
  </r>
  <r>
    <x v="3"/>
    <x v="6"/>
    <s v="Valenz"/>
    <x v="6"/>
    <x v="6"/>
    <n v="5179714"/>
  </r>
  <r>
    <x v="3"/>
    <x v="6"/>
    <s v="Evonik"/>
    <x v="8"/>
    <x v="0"/>
    <n v="406450"/>
  </r>
  <r>
    <x v="3"/>
    <x v="6"/>
    <s v="YPF"/>
    <x v="6"/>
    <x v="6"/>
    <n v="490592"/>
  </r>
  <r>
    <x v="3"/>
    <x v="6"/>
    <s v="Celena"/>
    <x v="4"/>
    <x v="4"/>
    <n v="315191"/>
  </r>
  <r>
    <x v="3"/>
    <x v="6"/>
    <s v="AAK"/>
    <x v="4"/>
    <x v="4"/>
    <n v="582352"/>
  </r>
  <r>
    <x v="3"/>
    <x v="6"/>
    <s v="Cargill"/>
    <x v="5"/>
    <x v="5"/>
    <n v="234062"/>
  </r>
  <r>
    <x v="3"/>
    <x v="6"/>
    <s v="Agropalma"/>
    <x v="4"/>
    <x v="4"/>
    <n v="360148"/>
  </r>
  <r>
    <x v="3"/>
    <x v="6"/>
    <s v="Brenntag"/>
    <x v="3"/>
    <x v="3"/>
    <n v="426494"/>
  </r>
  <r>
    <x v="3"/>
    <x v="6"/>
    <s v="Olin"/>
    <x v="3"/>
    <x v="3"/>
    <n v="1524504"/>
  </r>
  <r>
    <x v="3"/>
    <x v="6"/>
    <s v="BSBIOS"/>
    <x v="12"/>
    <x v="7"/>
    <n v="467791"/>
  </r>
  <r>
    <x v="3"/>
    <x v="6"/>
    <s v="Trichem"/>
    <x v="13"/>
    <x v="0"/>
    <n v="192330"/>
  </r>
  <r>
    <x v="3"/>
    <x v="6"/>
    <s v="Coamo"/>
    <x v="4"/>
    <x v="4"/>
    <n v="186529"/>
  </r>
  <r>
    <x v="3"/>
    <x v="6"/>
    <s v="Atem"/>
    <x v="2"/>
    <x v="2"/>
    <n v="0"/>
  </r>
  <r>
    <x v="3"/>
    <x v="6"/>
    <s v="Celena"/>
    <x v="4"/>
    <x v="4"/>
    <n v="1607710"/>
  </r>
  <r>
    <x v="3"/>
    <x v="6"/>
    <s v="YPF"/>
    <x v="14"/>
    <x v="0"/>
    <n v="159474"/>
  </r>
  <r>
    <x v="3"/>
    <x v="6"/>
    <s v="Ingredion"/>
    <x v="5"/>
    <x v="5"/>
    <n v="246808"/>
  </r>
  <r>
    <x v="3"/>
    <x v="6"/>
    <s v="Ciapetro"/>
    <x v="2"/>
    <x v="2"/>
    <n v="1214701"/>
  </r>
  <r>
    <x v="3"/>
    <x v="6"/>
    <s v="OQ"/>
    <x v="6"/>
    <x v="6"/>
    <n v="351392"/>
  </r>
  <r>
    <x v="3"/>
    <x v="6"/>
    <s v="Tereos/Inpasa/Glencore/FS"/>
    <x v="10"/>
    <x v="7"/>
    <n v="850000"/>
  </r>
  <r>
    <x v="3"/>
    <x v="6"/>
    <s v="Ares"/>
    <x v="4"/>
    <x v="4"/>
    <n v="535273"/>
  </r>
  <r>
    <x v="3"/>
    <x v="6"/>
    <s v="Acostagem"/>
    <x v="15"/>
    <x v="8"/>
    <n v="432759.80800000002"/>
  </r>
  <r>
    <x v="3"/>
    <x v="6"/>
    <s v="ICOF"/>
    <x v="4"/>
    <x v="4"/>
    <n v="503774"/>
  </r>
  <r>
    <x v="3"/>
    <x v="7"/>
    <s v="Adisseo"/>
    <x v="0"/>
    <x v="0"/>
    <n v="886810"/>
  </r>
  <r>
    <x v="3"/>
    <x v="7"/>
    <s v="Bunge"/>
    <x v="4"/>
    <x v="4"/>
    <n v="377129"/>
  </r>
  <r>
    <x v="3"/>
    <x v="7"/>
    <s v="ADM"/>
    <x v="5"/>
    <x v="5"/>
    <n v="187113"/>
  </r>
  <r>
    <x v="3"/>
    <x v="7"/>
    <s v="Ipiranga"/>
    <x v="2"/>
    <x v="2"/>
    <n v="7226175"/>
  </r>
  <r>
    <x v="3"/>
    <x v="7"/>
    <s v="Raizen"/>
    <x v="2"/>
    <x v="2"/>
    <n v="2968315"/>
  </r>
  <r>
    <x v="3"/>
    <x v="7"/>
    <s v="Vibra"/>
    <x v="2"/>
    <x v="2"/>
    <n v="1811877"/>
  </r>
  <r>
    <x v="3"/>
    <x v="7"/>
    <s v="Sul Plata"/>
    <x v="2"/>
    <x v="2"/>
    <n v="3650396"/>
  </r>
  <r>
    <x v="3"/>
    <x v="7"/>
    <s v="JBS"/>
    <x v="3"/>
    <x v="3"/>
    <n v="179417"/>
  </r>
  <r>
    <x v="3"/>
    <x v="7"/>
    <s v="Tricon"/>
    <x v="3"/>
    <x v="3"/>
    <n v="396611"/>
  </r>
  <r>
    <x v="3"/>
    <x v="7"/>
    <s v="Braskem"/>
    <x v="3"/>
    <x v="3"/>
    <n v="273415"/>
  </r>
  <r>
    <x v="3"/>
    <x v="7"/>
    <s v="BRF"/>
    <x v="4"/>
    <x v="4"/>
    <n v="988196"/>
  </r>
  <r>
    <x v="3"/>
    <x v="7"/>
    <s v="JBS"/>
    <x v="4"/>
    <x v="4"/>
    <n v="355713"/>
  </r>
  <r>
    <x v="3"/>
    <x v="7"/>
    <s v="Cargill"/>
    <x v="4"/>
    <x v="4"/>
    <n v="521117"/>
  </r>
  <r>
    <x v="3"/>
    <x v="7"/>
    <s v="Pool"/>
    <x v="5"/>
    <x v="5"/>
    <n v="6764940"/>
  </r>
  <r>
    <x v="3"/>
    <x v="7"/>
    <s v="Pool Excedente"/>
    <x v="5"/>
    <x v="5"/>
    <n v="0"/>
  </r>
  <r>
    <x v="3"/>
    <x v="7"/>
    <s v="Methanex"/>
    <x v="6"/>
    <x v="6"/>
    <n v="5852002"/>
  </r>
  <r>
    <x v="3"/>
    <x v="7"/>
    <s v="Mitsubishi"/>
    <x v="6"/>
    <x v="6"/>
    <n v="3046681"/>
  </r>
  <r>
    <x v="3"/>
    <x v="7"/>
    <s v="Valenz"/>
    <x v="6"/>
    <x v="6"/>
    <n v="5179714"/>
  </r>
  <r>
    <x v="3"/>
    <x v="7"/>
    <s v="Evonik"/>
    <x v="8"/>
    <x v="0"/>
    <n v="406450"/>
  </r>
  <r>
    <x v="3"/>
    <x v="7"/>
    <s v="YPF"/>
    <x v="6"/>
    <x v="6"/>
    <n v="490592"/>
  </r>
  <r>
    <x v="3"/>
    <x v="7"/>
    <s v="Celena"/>
    <x v="4"/>
    <x v="4"/>
    <n v="315191"/>
  </r>
  <r>
    <x v="3"/>
    <x v="7"/>
    <s v="AAK"/>
    <x v="4"/>
    <x v="4"/>
    <n v="582352"/>
  </r>
  <r>
    <x v="3"/>
    <x v="7"/>
    <s v="Cargill"/>
    <x v="5"/>
    <x v="5"/>
    <n v="199164"/>
  </r>
  <r>
    <x v="3"/>
    <x v="7"/>
    <s v="Agropalma"/>
    <x v="4"/>
    <x v="4"/>
    <n v="360148"/>
  </r>
  <r>
    <x v="3"/>
    <x v="7"/>
    <s v="Brenntag"/>
    <x v="3"/>
    <x v="3"/>
    <n v="426494"/>
  </r>
  <r>
    <x v="3"/>
    <x v="7"/>
    <s v="Olin"/>
    <x v="3"/>
    <x v="3"/>
    <n v="1524504"/>
  </r>
  <r>
    <x v="3"/>
    <x v="7"/>
    <s v="BSBIOS"/>
    <x v="12"/>
    <x v="7"/>
    <n v="467791"/>
  </r>
  <r>
    <x v="3"/>
    <x v="7"/>
    <s v="Trichem"/>
    <x v="13"/>
    <x v="0"/>
    <n v="192330"/>
  </r>
  <r>
    <x v="3"/>
    <x v="7"/>
    <s v="Coamo"/>
    <x v="4"/>
    <x v="4"/>
    <n v="186529"/>
  </r>
  <r>
    <x v="3"/>
    <x v="7"/>
    <s v="Atem"/>
    <x v="2"/>
    <x v="2"/>
    <n v="0"/>
  </r>
  <r>
    <x v="3"/>
    <x v="7"/>
    <s v="Celena"/>
    <x v="4"/>
    <x v="4"/>
    <n v="1870436"/>
  </r>
  <r>
    <x v="3"/>
    <x v="7"/>
    <s v="YPF"/>
    <x v="14"/>
    <x v="0"/>
    <n v="140762"/>
  </r>
  <r>
    <x v="3"/>
    <x v="7"/>
    <s v="Ingredion"/>
    <x v="5"/>
    <x v="5"/>
    <n v="192335"/>
  </r>
  <r>
    <x v="3"/>
    <x v="7"/>
    <s v="Ciapetro"/>
    <x v="2"/>
    <x v="2"/>
    <n v="1214701"/>
  </r>
  <r>
    <x v="3"/>
    <x v="7"/>
    <s v="OQ"/>
    <x v="6"/>
    <x v="6"/>
    <n v="641825"/>
  </r>
  <r>
    <x v="3"/>
    <x v="7"/>
    <s v="Tereos/Inpasa/Glencore/FS"/>
    <x v="10"/>
    <x v="7"/>
    <n v="850000"/>
  </r>
  <r>
    <x v="3"/>
    <x v="7"/>
    <s v="Ares"/>
    <x v="4"/>
    <x v="4"/>
    <n v="535273"/>
  </r>
  <r>
    <x v="3"/>
    <x v="7"/>
    <s v="Acostagem"/>
    <x v="15"/>
    <x v="8"/>
    <n v="479063.41600000003"/>
  </r>
  <r>
    <x v="3"/>
    <x v="7"/>
    <s v="ICOF"/>
    <x v="4"/>
    <x v="4"/>
    <n v="503774"/>
  </r>
  <r>
    <x v="3"/>
    <x v="8"/>
    <s v="Adisseo"/>
    <x v="0"/>
    <x v="0"/>
    <n v="886810"/>
  </r>
  <r>
    <x v="3"/>
    <x v="8"/>
    <s v="Bunge"/>
    <x v="4"/>
    <x v="4"/>
    <n v="394665"/>
  </r>
  <r>
    <x v="3"/>
    <x v="8"/>
    <s v="ADM"/>
    <x v="5"/>
    <x v="5"/>
    <n v="187113"/>
  </r>
  <r>
    <x v="3"/>
    <x v="8"/>
    <s v="Ipiranga"/>
    <x v="2"/>
    <x v="2"/>
    <n v="7226175"/>
  </r>
  <r>
    <x v="3"/>
    <x v="8"/>
    <s v="Raizen"/>
    <x v="2"/>
    <x v="2"/>
    <n v="2968315"/>
  </r>
  <r>
    <x v="3"/>
    <x v="8"/>
    <s v="Vibra"/>
    <x v="2"/>
    <x v="2"/>
    <n v="1811877"/>
  </r>
  <r>
    <x v="3"/>
    <x v="8"/>
    <s v="Sul Plata"/>
    <x v="2"/>
    <x v="2"/>
    <n v="3650396"/>
  </r>
  <r>
    <x v="3"/>
    <x v="8"/>
    <s v="JBS"/>
    <x v="3"/>
    <x v="3"/>
    <n v="179417"/>
  </r>
  <r>
    <x v="3"/>
    <x v="8"/>
    <s v="Tricon"/>
    <x v="3"/>
    <x v="3"/>
    <n v="396611"/>
  </r>
  <r>
    <x v="3"/>
    <x v="8"/>
    <s v="Braskem"/>
    <x v="3"/>
    <x v="3"/>
    <n v="273415"/>
  </r>
  <r>
    <x v="3"/>
    <x v="8"/>
    <s v="BRF"/>
    <x v="4"/>
    <x v="4"/>
    <n v="988196"/>
  </r>
  <r>
    <x v="3"/>
    <x v="8"/>
    <s v="JBS"/>
    <x v="4"/>
    <x v="4"/>
    <n v="355713"/>
  </r>
  <r>
    <x v="3"/>
    <x v="8"/>
    <s v="Cargill"/>
    <x v="4"/>
    <x v="4"/>
    <n v="521117"/>
  </r>
  <r>
    <x v="3"/>
    <x v="8"/>
    <s v="Pool"/>
    <x v="5"/>
    <x v="5"/>
    <n v="4726415"/>
  </r>
  <r>
    <x v="3"/>
    <x v="8"/>
    <s v="Pool Excedente"/>
    <x v="5"/>
    <x v="5"/>
    <n v="0"/>
  </r>
  <r>
    <x v="3"/>
    <x v="8"/>
    <s v="Methanex"/>
    <x v="6"/>
    <x v="6"/>
    <n v="5852002"/>
  </r>
  <r>
    <x v="3"/>
    <x v="8"/>
    <s v="Mitsubishi"/>
    <x v="6"/>
    <x v="6"/>
    <n v="3046681"/>
  </r>
  <r>
    <x v="3"/>
    <x v="8"/>
    <s v="Valenz"/>
    <x v="6"/>
    <x v="6"/>
    <n v="5179714"/>
  </r>
  <r>
    <x v="3"/>
    <x v="8"/>
    <s v="Evonik"/>
    <x v="8"/>
    <x v="0"/>
    <n v="406450"/>
  </r>
  <r>
    <x v="3"/>
    <x v="8"/>
    <s v="YPF"/>
    <x v="6"/>
    <x v="6"/>
    <n v="559878"/>
  </r>
  <r>
    <x v="3"/>
    <x v="8"/>
    <s v="Celena"/>
    <x v="4"/>
    <x v="4"/>
    <n v="315191"/>
  </r>
  <r>
    <x v="3"/>
    <x v="8"/>
    <s v="AAK"/>
    <x v="4"/>
    <x v="4"/>
    <n v="582352"/>
  </r>
  <r>
    <x v="3"/>
    <x v="8"/>
    <s v="Cargill"/>
    <x v="5"/>
    <x v="5"/>
    <n v="199164"/>
  </r>
  <r>
    <x v="3"/>
    <x v="8"/>
    <s v="Agropalma"/>
    <x v="4"/>
    <x v="4"/>
    <n v="360148"/>
  </r>
  <r>
    <x v="3"/>
    <x v="8"/>
    <s v="Brenntag"/>
    <x v="3"/>
    <x v="3"/>
    <n v="426494"/>
  </r>
  <r>
    <x v="3"/>
    <x v="8"/>
    <s v="Olin"/>
    <x v="3"/>
    <x v="3"/>
    <n v="1524504"/>
  </r>
  <r>
    <x v="3"/>
    <x v="8"/>
    <s v="BSBIOS"/>
    <x v="12"/>
    <x v="7"/>
    <n v="467791"/>
  </r>
  <r>
    <x v="3"/>
    <x v="8"/>
    <s v="Trichem"/>
    <x v="13"/>
    <x v="0"/>
    <n v="192330"/>
  </r>
  <r>
    <x v="3"/>
    <x v="8"/>
    <s v="Coamo"/>
    <x v="4"/>
    <x v="4"/>
    <n v="186529"/>
  </r>
  <r>
    <x v="3"/>
    <x v="8"/>
    <s v="Atem"/>
    <x v="2"/>
    <x v="2"/>
    <n v="0"/>
  </r>
  <r>
    <x v="3"/>
    <x v="8"/>
    <s v="Celena"/>
    <x v="4"/>
    <x v="4"/>
    <n v="1607710"/>
  </r>
  <r>
    <x v="3"/>
    <x v="8"/>
    <s v="YPF"/>
    <x v="14"/>
    <x v="0"/>
    <n v="140762"/>
  </r>
  <r>
    <x v="3"/>
    <x v="8"/>
    <s v="Ingredion"/>
    <x v="5"/>
    <x v="5"/>
    <n v="246808"/>
  </r>
  <r>
    <x v="3"/>
    <x v="8"/>
    <s v="Ciapetro"/>
    <x v="2"/>
    <x v="2"/>
    <n v="1214701"/>
  </r>
  <r>
    <x v="3"/>
    <x v="8"/>
    <s v="OQ"/>
    <x v="6"/>
    <x v="6"/>
    <n v="351392"/>
  </r>
  <r>
    <x v="3"/>
    <x v="8"/>
    <s v="Tereos/Inpasa/Glencore/FS"/>
    <x v="10"/>
    <x v="7"/>
    <n v="850000"/>
  </r>
  <r>
    <x v="3"/>
    <x v="8"/>
    <s v="Ares"/>
    <x v="4"/>
    <x v="4"/>
    <n v="535273"/>
  </r>
  <r>
    <x v="3"/>
    <x v="8"/>
    <s v="Acostagem"/>
    <x v="15"/>
    <x v="8"/>
    <n v="430283.95599999995"/>
  </r>
  <r>
    <x v="3"/>
    <x v="8"/>
    <s v="ICOF"/>
    <x v="4"/>
    <x v="4"/>
    <n v="503774"/>
  </r>
  <r>
    <x v="3"/>
    <x v="9"/>
    <s v="Adisseo"/>
    <x v="0"/>
    <x v="0"/>
    <n v="886810"/>
  </r>
  <r>
    <x v="3"/>
    <x v="9"/>
    <s v="Bunge"/>
    <x v="4"/>
    <x v="4"/>
    <n v="394665"/>
  </r>
  <r>
    <x v="3"/>
    <x v="9"/>
    <s v="ADM"/>
    <x v="5"/>
    <x v="5"/>
    <n v="187113"/>
  </r>
  <r>
    <x v="3"/>
    <x v="9"/>
    <s v="Ipiranga"/>
    <x v="2"/>
    <x v="2"/>
    <n v="7226175"/>
  </r>
  <r>
    <x v="3"/>
    <x v="9"/>
    <s v="Raizen"/>
    <x v="2"/>
    <x v="2"/>
    <n v="2968315"/>
  </r>
  <r>
    <x v="3"/>
    <x v="9"/>
    <s v="Vibra"/>
    <x v="2"/>
    <x v="2"/>
    <n v="1811877"/>
  </r>
  <r>
    <x v="3"/>
    <x v="9"/>
    <s v="Sul Plata"/>
    <x v="2"/>
    <x v="2"/>
    <n v="3650396"/>
  </r>
  <r>
    <x v="3"/>
    <x v="9"/>
    <s v="JBS"/>
    <x v="3"/>
    <x v="3"/>
    <n v="187760"/>
  </r>
  <r>
    <x v="3"/>
    <x v="9"/>
    <s v="Tricon"/>
    <x v="3"/>
    <x v="3"/>
    <n v="396611"/>
  </r>
  <r>
    <x v="3"/>
    <x v="9"/>
    <s v="Braskem"/>
    <x v="3"/>
    <x v="3"/>
    <n v="273415"/>
  </r>
  <r>
    <x v="3"/>
    <x v="9"/>
    <s v="BRF"/>
    <x v="4"/>
    <x v="4"/>
    <n v="988196"/>
  </r>
  <r>
    <x v="3"/>
    <x v="9"/>
    <s v="JBS"/>
    <x v="4"/>
    <x v="4"/>
    <n v="372254"/>
  </r>
  <r>
    <x v="3"/>
    <x v="9"/>
    <s v="Cargill"/>
    <x v="4"/>
    <x v="4"/>
    <n v="521117"/>
  </r>
  <r>
    <x v="3"/>
    <x v="9"/>
    <s v="Pool"/>
    <x v="5"/>
    <x v="5"/>
    <n v="900784"/>
  </r>
  <r>
    <x v="3"/>
    <x v="9"/>
    <s v="Pool Excedente"/>
    <x v="5"/>
    <x v="5"/>
    <n v="0"/>
  </r>
  <r>
    <x v="3"/>
    <x v="9"/>
    <s v="Methanex"/>
    <x v="6"/>
    <x v="6"/>
    <n v="5852002"/>
  </r>
  <r>
    <x v="3"/>
    <x v="9"/>
    <s v="Mitsubishi"/>
    <x v="6"/>
    <x v="6"/>
    <n v="3046681"/>
  </r>
  <r>
    <x v="3"/>
    <x v="9"/>
    <s v="Valenz"/>
    <x v="6"/>
    <x v="6"/>
    <n v="5179714"/>
  </r>
  <r>
    <x v="3"/>
    <x v="9"/>
    <s v="Evonik"/>
    <x v="8"/>
    <x v="0"/>
    <n v="406450"/>
  </r>
  <r>
    <x v="3"/>
    <x v="9"/>
    <s v="YPF"/>
    <x v="6"/>
    <x v="6"/>
    <n v="490592"/>
  </r>
  <r>
    <x v="3"/>
    <x v="9"/>
    <s v="Celena"/>
    <x v="4"/>
    <x v="4"/>
    <n v="315191"/>
  </r>
  <r>
    <x v="3"/>
    <x v="9"/>
    <s v="AAK"/>
    <x v="4"/>
    <x v="4"/>
    <n v="582352"/>
  </r>
  <r>
    <x v="3"/>
    <x v="9"/>
    <s v="Cargill"/>
    <x v="5"/>
    <x v="5"/>
    <n v="199164"/>
  </r>
  <r>
    <x v="3"/>
    <x v="9"/>
    <s v="Agropalma"/>
    <x v="4"/>
    <x v="4"/>
    <n v="360148"/>
  </r>
  <r>
    <x v="3"/>
    <x v="9"/>
    <s v="Brenntag"/>
    <x v="3"/>
    <x v="3"/>
    <n v="426494"/>
  </r>
  <r>
    <x v="3"/>
    <x v="9"/>
    <s v="Olin"/>
    <x v="3"/>
    <x v="3"/>
    <n v="1524504"/>
  </r>
  <r>
    <x v="3"/>
    <x v="9"/>
    <s v="BSBIOS"/>
    <x v="12"/>
    <x v="7"/>
    <n v="467791"/>
  </r>
  <r>
    <x v="3"/>
    <x v="9"/>
    <s v="Trichem"/>
    <x v="13"/>
    <x v="0"/>
    <n v="192330"/>
  </r>
  <r>
    <x v="3"/>
    <x v="9"/>
    <s v="Coamo"/>
    <x v="4"/>
    <x v="4"/>
    <n v="186529"/>
  </r>
  <r>
    <x v="3"/>
    <x v="9"/>
    <s v="Atem"/>
    <x v="2"/>
    <x v="2"/>
    <n v="0"/>
  </r>
  <r>
    <x v="3"/>
    <x v="9"/>
    <s v="Celena"/>
    <x v="4"/>
    <x v="4"/>
    <n v="1870436"/>
  </r>
  <r>
    <x v="3"/>
    <x v="9"/>
    <s v="YPF"/>
    <x v="14"/>
    <x v="0"/>
    <n v="159474"/>
  </r>
  <r>
    <x v="3"/>
    <x v="9"/>
    <s v="Ingredion"/>
    <x v="5"/>
    <x v="5"/>
    <n v="192335"/>
  </r>
  <r>
    <x v="3"/>
    <x v="9"/>
    <s v="Ciapetro"/>
    <x v="2"/>
    <x v="2"/>
    <n v="1214701"/>
  </r>
  <r>
    <x v="3"/>
    <x v="9"/>
    <s v="OQ"/>
    <x v="6"/>
    <x v="6"/>
    <n v="641825"/>
  </r>
  <r>
    <x v="3"/>
    <x v="9"/>
    <s v="Tereos/Inpasa/Glencore/FS"/>
    <x v="10"/>
    <x v="7"/>
    <n v="850000"/>
  </r>
  <r>
    <x v="3"/>
    <x v="9"/>
    <s v="Ares"/>
    <x v="4"/>
    <x v="4"/>
    <n v="535273"/>
  </r>
  <r>
    <x v="3"/>
    <x v="9"/>
    <s v="Acostagem"/>
    <x v="15"/>
    <x v="8"/>
    <n v="384045.1"/>
  </r>
  <r>
    <x v="3"/>
    <x v="9"/>
    <s v="ICOF"/>
    <x v="4"/>
    <x v="4"/>
    <n v="503774"/>
  </r>
  <r>
    <x v="3"/>
    <x v="10"/>
    <s v="Adisseo"/>
    <x v="0"/>
    <x v="0"/>
    <n v="886810"/>
  </r>
  <r>
    <x v="3"/>
    <x v="10"/>
    <s v="Bunge"/>
    <x v="4"/>
    <x v="4"/>
    <n v="394665"/>
  </r>
  <r>
    <x v="3"/>
    <x v="10"/>
    <s v="ADM"/>
    <x v="5"/>
    <x v="5"/>
    <n v="187113"/>
  </r>
  <r>
    <x v="3"/>
    <x v="10"/>
    <s v="Ipiranga"/>
    <x v="2"/>
    <x v="2"/>
    <n v="7226175"/>
  </r>
  <r>
    <x v="3"/>
    <x v="10"/>
    <s v="Raizen"/>
    <x v="2"/>
    <x v="2"/>
    <n v="2968315"/>
  </r>
  <r>
    <x v="3"/>
    <x v="10"/>
    <s v="Vibra"/>
    <x v="2"/>
    <x v="2"/>
    <n v="1811877"/>
  </r>
  <r>
    <x v="3"/>
    <x v="10"/>
    <s v="Sul Plata"/>
    <x v="2"/>
    <x v="2"/>
    <n v="3650396"/>
  </r>
  <r>
    <x v="3"/>
    <x v="10"/>
    <s v="JBS"/>
    <x v="3"/>
    <x v="3"/>
    <n v="187760"/>
  </r>
  <r>
    <x v="3"/>
    <x v="10"/>
    <s v="Tricon"/>
    <x v="3"/>
    <x v="3"/>
    <n v="396611"/>
  </r>
  <r>
    <x v="3"/>
    <x v="10"/>
    <s v="Braskem"/>
    <x v="3"/>
    <x v="3"/>
    <n v="273415"/>
  </r>
  <r>
    <x v="3"/>
    <x v="10"/>
    <s v="BRF"/>
    <x v="4"/>
    <x v="4"/>
    <n v="988196"/>
  </r>
  <r>
    <x v="3"/>
    <x v="10"/>
    <s v="JBS"/>
    <x v="4"/>
    <x v="4"/>
    <n v="372254"/>
  </r>
  <r>
    <x v="3"/>
    <x v="10"/>
    <s v="Cargill"/>
    <x v="4"/>
    <x v="4"/>
    <n v="521117"/>
  </r>
  <r>
    <x v="3"/>
    <x v="10"/>
    <s v="Pool"/>
    <x v="5"/>
    <x v="5"/>
    <n v="4003486"/>
  </r>
  <r>
    <x v="3"/>
    <x v="10"/>
    <s v="Pool Excedente"/>
    <x v="5"/>
    <x v="5"/>
    <n v="0"/>
  </r>
  <r>
    <x v="3"/>
    <x v="10"/>
    <s v="Methanex"/>
    <x v="6"/>
    <x v="6"/>
    <n v="5852002"/>
  </r>
  <r>
    <x v="3"/>
    <x v="10"/>
    <s v="Mitsubishi"/>
    <x v="6"/>
    <x v="6"/>
    <n v="3046681"/>
  </r>
  <r>
    <x v="3"/>
    <x v="10"/>
    <s v="Valenz"/>
    <x v="6"/>
    <x v="6"/>
    <n v="5179714"/>
  </r>
  <r>
    <x v="3"/>
    <x v="10"/>
    <s v="Evonik"/>
    <x v="8"/>
    <x v="0"/>
    <n v="406450"/>
  </r>
  <r>
    <x v="3"/>
    <x v="10"/>
    <s v="YPF"/>
    <x v="6"/>
    <x v="6"/>
    <n v="490592"/>
  </r>
  <r>
    <x v="3"/>
    <x v="10"/>
    <s v="Celena"/>
    <x v="4"/>
    <x v="4"/>
    <n v="315191"/>
  </r>
  <r>
    <x v="3"/>
    <x v="10"/>
    <s v="AAK"/>
    <x v="4"/>
    <x v="4"/>
    <n v="582352"/>
  </r>
  <r>
    <x v="3"/>
    <x v="10"/>
    <s v="Cargill"/>
    <x v="5"/>
    <x v="5"/>
    <n v="234062"/>
  </r>
  <r>
    <x v="3"/>
    <x v="10"/>
    <s v="Agropalma"/>
    <x v="4"/>
    <x v="4"/>
    <n v="360148"/>
  </r>
  <r>
    <x v="3"/>
    <x v="10"/>
    <s v="Brenntag"/>
    <x v="3"/>
    <x v="3"/>
    <n v="426494"/>
  </r>
  <r>
    <x v="3"/>
    <x v="10"/>
    <s v="Olin"/>
    <x v="3"/>
    <x v="3"/>
    <n v="1524504"/>
  </r>
  <r>
    <x v="3"/>
    <x v="10"/>
    <s v="BSBIOS"/>
    <x v="12"/>
    <x v="7"/>
    <n v="467791"/>
  </r>
  <r>
    <x v="3"/>
    <x v="10"/>
    <s v="Trichem"/>
    <x v="13"/>
    <x v="0"/>
    <n v="192330"/>
  </r>
  <r>
    <x v="3"/>
    <x v="10"/>
    <s v="Coamo"/>
    <x v="4"/>
    <x v="4"/>
    <n v="186529"/>
  </r>
  <r>
    <x v="3"/>
    <x v="10"/>
    <s v="Atem"/>
    <x v="2"/>
    <x v="2"/>
    <n v="0"/>
  </r>
  <r>
    <x v="3"/>
    <x v="10"/>
    <s v="Celena"/>
    <x v="4"/>
    <x v="4"/>
    <n v="1607710"/>
  </r>
  <r>
    <x v="3"/>
    <x v="10"/>
    <s v="YPF"/>
    <x v="14"/>
    <x v="0"/>
    <n v="140762"/>
  </r>
  <r>
    <x v="3"/>
    <x v="10"/>
    <s v="Ingredion"/>
    <x v="5"/>
    <x v="5"/>
    <n v="246808"/>
  </r>
  <r>
    <x v="3"/>
    <x v="10"/>
    <s v="Ciapetro"/>
    <x v="2"/>
    <x v="2"/>
    <n v="1214701"/>
  </r>
  <r>
    <x v="3"/>
    <x v="10"/>
    <s v="OQ"/>
    <x v="6"/>
    <x v="6"/>
    <n v="351392"/>
  </r>
  <r>
    <x v="3"/>
    <x v="10"/>
    <s v="Tereos/Inpasa/Glencore/FS"/>
    <x v="10"/>
    <x v="7"/>
    <n v="850000"/>
  </r>
  <r>
    <x v="3"/>
    <x v="10"/>
    <s v="Ares"/>
    <x v="4"/>
    <x v="4"/>
    <n v="535273"/>
  </r>
  <r>
    <x v="3"/>
    <x v="10"/>
    <s v="Acostagem"/>
    <x v="15"/>
    <x v="8"/>
    <n v="417732.1"/>
  </r>
  <r>
    <x v="3"/>
    <x v="10"/>
    <s v="ICOF"/>
    <x v="4"/>
    <x v="4"/>
    <n v="503774"/>
  </r>
  <r>
    <x v="3"/>
    <x v="11"/>
    <s v="Adisseo"/>
    <x v="0"/>
    <x v="0"/>
    <n v="886810"/>
  </r>
  <r>
    <x v="3"/>
    <x v="11"/>
    <s v="Bunge"/>
    <x v="4"/>
    <x v="4"/>
    <n v="394665"/>
  </r>
  <r>
    <x v="3"/>
    <x v="11"/>
    <s v="ADM"/>
    <x v="5"/>
    <x v="5"/>
    <n v="187113"/>
  </r>
  <r>
    <x v="3"/>
    <x v="11"/>
    <s v="Ipiranga"/>
    <x v="2"/>
    <x v="2"/>
    <n v="7226175"/>
  </r>
  <r>
    <x v="3"/>
    <x v="11"/>
    <s v="Raizen"/>
    <x v="2"/>
    <x v="2"/>
    <n v="2968315"/>
  </r>
  <r>
    <x v="3"/>
    <x v="11"/>
    <s v="Vibra"/>
    <x v="2"/>
    <x v="2"/>
    <n v="1811877"/>
  </r>
  <r>
    <x v="3"/>
    <x v="11"/>
    <s v="Sul Plata"/>
    <x v="2"/>
    <x v="2"/>
    <n v="3650396"/>
  </r>
  <r>
    <x v="3"/>
    <x v="11"/>
    <s v="JBS"/>
    <x v="3"/>
    <x v="3"/>
    <n v="187760"/>
  </r>
  <r>
    <x v="3"/>
    <x v="11"/>
    <s v="Tricon"/>
    <x v="3"/>
    <x v="3"/>
    <n v="396611"/>
  </r>
  <r>
    <x v="3"/>
    <x v="11"/>
    <s v="Braskem"/>
    <x v="3"/>
    <x v="3"/>
    <n v="273415"/>
  </r>
  <r>
    <x v="3"/>
    <x v="11"/>
    <s v="BRF"/>
    <x v="4"/>
    <x v="4"/>
    <n v="988196"/>
  </r>
  <r>
    <x v="3"/>
    <x v="11"/>
    <s v="JBS"/>
    <x v="4"/>
    <x v="4"/>
    <n v="372254"/>
  </r>
  <r>
    <x v="3"/>
    <x v="11"/>
    <s v="Cargill"/>
    <x v="4"/>
    <x v="4"/>
    <n v="521117"/>
  </r>
  <r>
    <x v="3"/>
    <x v="11"/>
    <s v="Pool"/>
    <x v="5"/>
    <x v="5"/>
    <n v="3503050"/>
  </r>
  <r>
    <x v="3"/>
    <x v="11"/>
    <s v="Pool Excedente"/>
    <x v="5"/>
    <x v="5"/>
    <n v="0"/>
  </r>
  <r>
    <x v="3"/>
    <x v="11"/>
    <s v="Methanex"/>
    <x v="6"/>
    <x v="6"/>
    <n v="5852002"/>
  </r>
  <r>
    <x v="3"/>
    <x v="11"/>
    <s v="Mitsubishi"/>
    <x v="6"/>
    <x v="6"/>
    <n v="3046681"/>
  </r>
  <r>
    <x v="3"/>
    <x v="11"/>
    <s v="Valenz"/>
    <x v="6"/>
    <x v="6"/>
    <n v="5179714"/>
  </r>
  <r>
    <x v="3"/>
    <x v="11"/>
    <s v="Evonik"/>
    <x v="8"/>
    <x v="0"/>
    <n v="406450"/>
  </r>
  <r>
    <x v="3"/>
    <x v="11"/>
    <s v="YPF"/>
    <x v="6"/>
    <x v="6"/>
    <n v="559878"/>
  </r>
  <r>
    <x v="3"/>
    <x v="11"/>
    <s v="Celena"/>
    <x v="4"/>
    <x v="4"/>
    <n v="315191"/>
  </r>
  <r>
    <x v="3"/>
    <x v="11"/>
    <s v="AAK"/>
    <x v="4"/>
    <x v="4"/>
    <n v="582352"/>
  </r>
  <r>
    <x v="3"/>
    <x v="11"/>
    <s v="Cargill"/>
    <x v="5"/>
    <x v="5"/>
    <n v="199164"/>
  </r>
  <r>
    <x v="3"/>
    <x v="11"/>
    <s v="Agropalma"/>
    <x v="4"/>
    <x v="4"/>
    <n v="360148"/>
  </r>
  <r>
    <x v="3"/>
    <x v="11"/>
    <s v="Brenntag"/>
    <x v="3"/>
    <x v="3"/>
    <n v="426494"/>
  </r>
  <r>
    <x v="3"/>
    <x v="11"/>
    <s v="Olin"/>
    <x v="3"/>
    <x v="3"/>
    <n v="1524504"/>
  </r>
  <r>
    <x v="3"/>
    <x v="11"/>
    <s v="BSBIOS"/>
    <x v="12"/>
    <x v="7"/>
    <n v="467791"/>
  </r>
  <r>
    <x v="3"/>
    <x v="11"/>
    <s v="Trichem"/>
    <x v="13"/>
    <x v="0"/>
    <n v="192330"/>
  </r>
  <r>
    <x v="3"/>
    <x v="11"/>
    <s v="Coamo"/>
    <x v="4"/>
    <x v="4"/>
    <n v="186529"/>
  </r>
  <r>
    <x v="3"/>
    <x v="11"/>
    <s v="Atem"/>
    <x v="2"/>
    <x v="2"/>
    <n v="0"/>
  </r>
  <r>
    <x v="3"/>
    <x v="11"/>
    <s v="Celena"/>
    <x v="4"/>
    <x v="4"/>
    <n v="1870436"/>
  </r>
  <r>
    <x v="3"/>
    <x v="11"/>
    <s v="YPF"/>
    <x v="14"/>
    <x v="0"/>
    <n v="140762"/>
  </r>
  <r>
    <x v="3"/>
    <x v="11"/>
    <s v="Ingredion"/>
    <x v="5"/>
    <x v="5"/>
    <n v="192335"/>
  </r>
  <r>
    <x v="3"/>
    <x v="11"/>
    <s v="Ciapetro"/>
    <x v="2"/>
    <x v="2"/>
    <n v="1214701"/>
  </r>
  <r>
    <x v="3"/>
    <x v="11"/>
    <s v="OQ"/>
    <x v="6"/>
    <x v="6"/>
    <n v="641825"/>
  </r>
  <r>
    <x v="3"/>
    <x v="11"/>
    <s v="Tereos/Inpasa/Glencore/FS"/>
    <x v="10"/>
    <x v="7"/>
    <n v="850000"/>
  </r>
  <r>
    <x v="3"/>
    <x v="11"/>
    <s v="Ares"/>
    <x v="4"/>
    <x v="4"/>
    <n v="535273"/>
  </r>
  <r>
    <x v="3"/>
    <x v="11"/>
    <s v="Acostagem"/>
    <x v="15"/>
    <x v="8"/>
    <n v="431222.1"/>
  </r>
  <r>
    <x v="3"/>
    <x v="11"/>
    <s v="ICOF"/>
    <x v="4"/>
    <x v="4"/>
    <n v="503774"/>
  </r>
  <r>
    <x v="4"/>
    <x v="14"/>
    <s v="Adisseo"/>
    <x v="0"/>
    <x v="0"/>
    <n v="878484"/>
  </r>
  <r>
    <x v="4"/>
    <x v="14"/>
    <s v="Bunge"/>
    <x v="4"/>
    <x v="4"/>
    <n v="378593"/>
  </r>
  <r>
    <x v="4"/>
    <x v="14"/>
    <s v="ADM"/>
    <x v="5"/>
    <x v="5"/>
    <n v="161866"/>
  </r>
  <r>
    <x v="4"/>
    <x v="14"/>
    <s v="Ipiranga"/>
    <x v="2"/>
    <x v="2"/>
    <n v="5957914"/>
  </r>
  <r>
    <x v="4"/>
    <x v="14"/>
    <s v="Raizen"/>
    <x v="2"/>
    <x v="2"/>
    <n v="3979329"/>
  </r>
  <r>
    <x v="4"/>
    <x v="14"/>
    <s v="Vibra"/>
    <x v="2"/>
    <x v="2"/>
    <n v="1971343"/>
  </r>
  <r>
    <x v="4"/>
    <x v="14"/>
    <s v="Sul Plata"/>
    <x v="2"/>
    <x v="2"/>
    <n v="3059732"/>
  </r>
  <r>
    <x v="4"/>
    <x v="14"/>
    <s v="JBS"/>
    <x v="3"/>
    <x v="3"/>
    <n v="243956"/>
  </r>
  <r>
    <x v="4"/>
    <x v="14"/>
    <s v="Tricon"/>
    <x v="3"/>
    <x v="3"/>
    <n v="406299"/>
  </r>
  <r>
    <x v="4"/>
    <x v="14"/>
    <s v="Braskem"/>
    <x v="3"/>
    <x v="3"/>
    <n v="220436"/>
  </r>
  <r>
    <x v="4"/>
    <x v="14"/>
    <s v="BRF"/>
    <x v="4"/>
    <x v="4"/>
    <n v="983040"/>
  </r>
  <r>
    <x v="4"/>
    <x v="14"/>
    <s v="JBS"/>
    <x v="4"/>
    <x v="4"/>
    <n v="569771"/>
  </r>
  <r>
    <x v="4"/>
    <x v="14"/>
    <s v="Cargill"/>
    <x v="4"/>
    <x v="4"/>
    <n v="537650"/>
  </r>
  <r>
    <x v="4"/>
    <x v="14"/>
    <s v="Pool"/>
    <x v="5"/>
    <x v="5"/>
    <n v="667753"/>
  </r>
  <r>
    <x v="4"/>
    <x v="14"/>
    <s v="Pool Excedente"/>
    <x v="5"/>
    <x v="5"/>
    <n v="0"/>
  </r>
  <r>
    <x v="4"/>
    <x v="14"/>
    <s v="Methanex"/>
    <x v="6"/>
    <x v="6"/>
    <n v="7893225"/>
  </r>
  <r>
    <x v="4"/>
    <x v="14"/>
    <s v="Mitsubishi"/>
    <x v="6"/>
    <x v="6"/>
    <n v="5054137"/>
  </r>
  <r>
    <x v="4"/>
    <x v="14"/>
    <s v="Valenz"/>
    <x v="6"/>
    <x v="6"/>
    <n v="6057428"/>
  </r>
  <r>
    <x v="4"/>
    <x v="14"/>
    <s v="Evonik"/>
    <x v="8"/>
    <x v="0"/>
    <n v="439941"/>
  </r>
  <r>
    <x v="4"/>
    <x v="14"/>
    <s v="OQ"/>
    <x v="6"/>
    <x v="6"/>
    <n v="546830"/>
  </r>
  <r>
    <x v="4"/>
    <x v="14"/>
    <s v="Celena"/>
    <x v="4"/>
    <x v="4"/>
    <n v="2000426"/>
  </r>
  <r>
    <x v="4"/>
    <x v="14"/>
    <s v="AAK"/>
    <x v="4"/>
    <x v="4"/>
    <n v="846373"/>
  </r>
  <r>
    <x v="4"/>
    <x v="14"/>
    <s v="Cargill"/>
    <x v="5"/>
    <x v="5"/>
    <n v="245362"/>
  </r>
  <r>
    <x v="4"/>
    <x v="14"/>
    <s v="Agropalma"/>
    <x v="4"/>
    <x v="4"/>
    <n v="466210"/>
  </r>
  <r>
    <x v="4"/>
    <x v="14"/>
    <s v="Brenntag"/>
    <x v="3"/>
    <x v="3"/>
    <n v="306345"/>
  </r>
  <r>
    <x v="4"/>
    <x v="14"/>
    <s v="Olin"/>
    <x v="3"/>
    <x v="3"/>
    <n v="1697471"/>
  </r>
  <r>
    <x v="4"/>
    <x v="14"/>
    <s v="BSBIOS"/>
    <x v="12"/>
    <x v="7"/>
    <n v="437969"/>
  </r>
  <r>
    <x v="4"/>
    <x v="14"/>
    <s v="Coamo"/>
    <x v="4"/>
    <x v="4"/>
    <n v="208225"/>
  </r>
  <r>
    <x v="4"/>
    <x v="14"/>
    <s v="Atem"/>
    <x v="2"/>
    <x v="2"/>
    <n v="1147677"/>
  </r>
  <r>
    <x v="4"/>
    <x v="14"/>
    <s v="Ingredion"/>
    <x v="5"/>
    <x v="5"/>
    <n v="230660"/>
  </r>
  <r>
    <x v="4"/>
    <x v="14"/>
    <s v="Ciapetro"/>
    <x v="2"/>
    <x v="2"/>
    <n v="1076739"/>
  </r>
  <r>
    <x v="4"/>
    <x v="14"/>
    <s v="Tereos/Inpasa/Glencore/FS"/>
    <x v="10"/>
    <x v="7"/>
    <n v="900000"/>
  </r>
  <r>
    <x v="4"/>
    <x v="14"/>
    <s v="Ares"/>
    <x v="4"/>
    <x v="4"/>
    <n v="608544"/>
  </r>
  <r>
    <x v="4"/>
    <x v="14"/>
    <s v="Acostagem"/>
    <x v="15"/>
    <x v="8"/>
    <n v="455669.51874999999"/>
  </r>
  <r>
    <x v="4"/>
    <x v="14"/>
    <s v="ICOF"/>
    <x v="4"/>
    <x v="4"/>
    <n v="557826"/>
  </r>
  <r>
    <x v="4"/>
    <x v="14"/>
    <s v="GPC"/>
    <x v="3"/>
    <x v="3"/>
    <n v="136044"/>
  </r>
  <r>
    <x v="4"/>
    <x v="14"/>
    <s v="Inpasa"/>
    <x v="10"/>
    <x v="7"/>
    <n v="1477279"/>
  </r>
  <r>
    <x v="4"/>
    <x v="1"/>
    <s v="Adisseo"/>
    <x v="0"/>
    <x v="0"/>
    <n v="878484"/>
  </r>
  <r>
    <x v="4"/>
    <x v="1"/>
    <s v="Bunge"/>
    <x v="4"/>
    <x v="4"/>
    <n v="378593"/>
  </r>
  <r>
    <x v="4"/>
    <x v="1"/>
    <s v="ADM"/>
    <x v="5"/>
    <x v="5"/>
    <n v="161866"/>
  </r>
  <r>
    <x v="4"/>
    <x v="1"/>
    <s v="Ipiranga"/>
    <x v="2"/>
    <x v="2"/>
    <n v="5957914"/>
  </r>
  <r>
    <x v="4"/>
    <x v="1"/>
    <s v="Raizen"/>
    <x v="2"/>
    <x v="2"/>
    <n v="3979329"/>
  </r>
  <r>
    <x v="4"/>
    <x v="1"/>
    <s v="Vibra"/>
    <x v="2"/>
    <x v="2"/>
    <n v="1971343"/>
  </r>
  <r>
    <x v="4"/>
    <x v="1"/>
    <s v="Sul Plata"/>
    <x v="2"/>
    <x v="2"/>
    <n v="3059732"/>
  </r>
  <r>
    <x v="4"/>
    <x v="1"/>
    <s v="JBS"/>
    <x v="3"/>
    <x v="3"/>
    <n v="243956"/>
  </r>
  <r>
    <x v="4"/>
    <x v="1"/>
    <s v="Tricon"/>
    <x v="3"/>
    <x v="3"/>
    <n v="406299"/>
  </r>
  <r>
    <x v="4"/>
    <x v="1"/>
    <s v="Braskem"/>
    <x v="3"/>
    <x v="3"/>
    <n v="220436"/>
  </r>
  <r>
    <x v="4"/>
    <x v="1"/>
    <s v="BRF"/>
    <x v="4"/>
    <x v="4"/>
    <n v="983040"/>
  </r>
  <r>
    <x v="4"/>
    <x v="1"/>
    <s v="JBS"/>
    <x v="4"/>
    <x v="4"/>
    <n v="569771"/>
  </r>
  <r>
    <x v="4"/>
    <x v="1"/>
    <s v="Cargill"/>
    <x v="4"/>
    <x v="4"/>
    <n v="537650"/>
  </r>
  <r>
    <x v="4"/>
    <x v="1"/>
    <s v="Pool"/>
    <x v="5"/>
    <x v="5"/>
    <n v="1140494"/>
  </r>
  <r>
    <x v="4"/>
    <x v="1"/>
    <s v="Pool Excedente"/>
    <x v="5"/>
    <x v="5"/>
    <n v="86043"/>
  </r>
  <r>
    <x v="4"/>
    <x v="1"/>
    <s v="Methanex"/>
    <x v="6"/>
    <x v="6"/>
    <n v="7893225"/>
  </r>
  <r>
    <x v="4"/>
    <x v="1"/>
    <s v="Mitsubishi"/>
    <x v="6"/>
    <x v="6"/>
    <n v="5054137"/>
  </r>
  <r>
    <x v="4"/>
    <x v="1"/>
    <s v="Valenz"/>
    <x v="6"/>
    <x v="6"/>
    <n v="6057428"/>
  </r>
  <r>
    <x v="4"/>
    <x v="1"/>
    <s v="Evonik"/>
    <x v="8"/>
    <x v="0"/>
    <n v="439941"/>
  </r>
  <r>
    <x v="4"/>
    <x v="1"/>
    <s v="OQ"/>
    <x v="6"/>
    <x v="6"/>
    <n v="546830"/>
  </r>
  <r>
    <x v="4"/>
    <x v="1"/>
    <s v="Celena"/>
    <x v="4"/>
    <x v="4"/>
    <n v="2000426"/>
  </r>
  <r>
    <x v="4"/>
    <x v="1"/>
    <s v="AAK"/>
    <x v="4"/>
    <x v="4"/>
    <n v="846373"/>
  </r>
  <r>
    <x v="4"/>
    <x v="1"/>
    <s v="Cargill"/>
    <x v="5"/>
    <x v="5"/>
    <n v="208762"/>
  </r>
  <r>
    <x v="4"/>
    <x v="1"/>
    <s v="Agropalma"/>
    <x v="4"/>
    <x v="4"/>
    <n v="466210"/>
  </r>
  <r>
    <x v="4"/>
    <x v="1"/>
    <s v="Brenntag"/>
    <x v="3"/>
    <x v="3"/>
    <n v="306345"/>
  </r>
  <r>
    <x v="4"/>
    <x v="1"/>
    <s v="Olin"/>
    <x v="3"/>
    <x v="3"/>
    <n v="1779629"/>
  </r>
  <r>
    <x v="4"/>
    <x v="1"/>
    <s v="BSBIOS"/>
    <x v="12"/>
    <x v="7"/>
    <n v="437969"/>
  </r>
  <r>
    <x v="4"/>
    <x v="1"/>
    <s v="Coamo"/>
    <x v="4"/>
    <x v="4"/>
    <n v="208225"/>
  </r>
  <r>
    <x v="4"/>
    <x v="1"/>
    <s v="Atem"/>
    <x v="2"/>
    <x v="2"/>
    <n v="1147677"/>
  </r>
  <r>
    <x v="4"/>
    <x v="1"/>
    <s v="Ingredion"/>
    <x v="5"/>
    <x v="5"/>
    <n v="230660"/>
  </r>
  <r>
    <x v="4"/>
    <x v="1"/>
    <s v="Ciapetro"/>
    <x v="2"/>
    <x v="2"/>
    <n v="1076739"/>
  </r>
  <r>
    <x v="4"/>
    <x v="1"/>
    <s v="Tereos/Inpasa/Glencore/FS"/>
    <x v="10"/>
    <x v="7"/>
    <n v="900000"/>
  </r>
  <r>
    <x v="4"/>
    <x v="1"/>
    <s v="Ares"/>
    <x v="4"/>
    <x v="4"/>
    <n v="608544"/>
  </r>
  <r>
    <x v="4"/>
    <x v="1"/>
    <s v="Acostagem"/>
    <x v="15"/>
    <x v="8"/>
    <n v="448491.22375"/>
  </r>
  <r>
    <x v="4"/>
    <x v="1"/>
    <s v="ICOF"/>
    <x v="4"/>
    <x v="4"/>
    <n v="557826"/>
  </r>
  <r>
    <x v="4"/>
    <x v="1"/>
    <s v="GPC"/>
    <x v="3"/>
    <x v="3"/>
    <n v="136044"/>
  </r>
  <r>
    <x v="4"/>
    <x v="1"/>
    <s v="Inpasa"/>
    <x v="10"/>
    <x v="7"/>
    <n v="1477279"/>
  </r>
  <r>
    <x v="4"/>
    <x v="2"/>
    <s v="Adisseo"/>
    <x v="0"/>
    <x v="0"/>
    <n v="878484"/>
  </r>
  <r>
    <x v="4"/>
    <x v="2"/>
    <s v="Bunge"/>
    <x v="4"/>
    <x v="4"/>
    <n v="378593"/>
  </r>
  <r>
    <x v="4"/>
    <x v="2"/>
    <s v="ADM"/>
    <x v="5"/>
    <x v="5"/>
    <n v="161866"/>
  </r>
  <r>
    <x v="4"/>
    <x v="2"/>
    <s v="Ipiranga"/>
    <x v="2"/>
    <x v="2"/>
    <n v="5957914"/>
  </r>
  <r>
    <x v="4"/>
    <x v="2"/>
    <s v="Raizen"/>
    <x v="2"/>
    <x v="2"/>
    <n v="3979329"/>
  </r>
  <r>
    <x v="4"/>
    <x v="2"/>
    <s v="Vibra"/>
    <x v="2"/>
    <x v="2"/>
    <n v="1971343"/>
  </r>
  <r>
    <x v="4"/>
    <x v="2"/>
    <s v="Sul Plata"/>
    <x v="2"/>
    <x v="2"/>
    <n v="3059732"/>
  </r>
  <r>
    <x v="4"/>
    <x v="2"/>
    <s v="JBS"/>
    <x v="3"/>
    <x v="3"/>
    <n v="243956"/>
  </r>
  <r>
    <x v="4"/>
    <x v="2"/>
    <s v="Tricon"/>
    <x v="3"/>
    <x v="3"/>
    <n v="406299"/>
  </r>
  <r>
    <x v="4"/>
    <x v="2"/>
    <s v="Braskem"/>
    <x v="3"/>
    <x v="3"/>
    <n v="220436"/>
  </r>
  <r>
    <x v="4"/>
    <x v="2"/>
    <s v="BRF"/>
    <x v="4"/>
    <x v="4"/>
    <n v="983040"/>
  </r>
  <r>
    <x v="4"/>
    <x v="2"/>
    <s v="JBS"/>
    <x v="4"/>
    <x v="4"/>
    <n v="569771"/>
  </r>
  <r>
    <x v="4"/>
    <x v="2"/>
    <s v="Cargill"/>
    <x v="4"/>
    <x v="4"/>
    <n v="537650"/>
  </r>
  <r>
    <x v="4"/>
    <x v="2"/>
    <s v="Pool"/>
    <x v="5"/>
    <x v="5"/>
    <n v="4700420"/>
  </r>
  <r>
    <x v="4"/>
    <x v="2"/>
    <s v="Pool Excedente"/>
    <x v="5"/>
    <x v="5"/>
    <n v="0"/>
  </r>
  <r>
    <x v="4"/>
    <x v="2"/>
    <s v="Methanex"/>
    <x v="6"/>
    <x v="6"/>
    <n v="7893225"/>
  </r>
  <r>
    <x v="4"/>
    <x v="2"/>
    <s v="Mitsubishi"/>
    <x v="6"/>
    <x v="6"/>
    <n v="5054137"/>
  </r>
  <r>
    <x v="4"/>
    <x v="2"/>
    <s v="Valenz"/>
    <x v="6"/>
    <x v="6"/>
    <n v="6057428"/>
  </r>
  <r>
    <x v="4"/>
    <x v="2"/>
    <s v="Evonik"/>
    <x v="8"/>
    <x v="0"/>
    <n v="439941"/>
  </r>
  <r>
    <x v="4"/>
    <x v="2"/>
    <s v="OQ"/>
    <x v="6"/>
    <x v="6"/>
    <n v="546830"/>
  </r>
  <r>
    <x v="4"/>
    <x v="2"/>
    <s v="Celena"/>
    <x v="4"/>
    <x v="4"/>
    <n v="2000426"/>
  </r>
  <r>
    <x v="4"/>
    <x v="2"/>
    <s v="AAK"/>
    <x v="4"/>
    <x v="4"/>
    <n v="846373"/>
  </r>
  <r>
    <x v="4"/>
    <x v="2"/>
    <s v="Cargill"/>
    <x v="5"/>
    <x v="5"/>
    <n v="208762"/>
  </r>
  <r>
    <x v="4"/>
    <x v="2"/>
    <s v="Agropalma"/>
    <x v="4"/>
    <x v="4"/>
    <n v="466210"/>
  </r>
  <r>
    <x v="4"/>
    <x v="2"/>
    <s v="Brenntag"/>
    <x v="3"/>
    <x v="3"/>
    <n v="306345"/>
  </r>
  <r>
    <x v="4"/>
    <x v="2"/>
    <s v="Olin"/>
    <x v="3"/>
    <x v="3"/>
    <n v="1779629"/>
  </r>
  <r>
    <x v="4"/>
    <x v="2"/>
    <s v="BSBIOS"/>
    <x v="12"/>
    <x v="7"/>
    <n v="437969"/>
  </r>
  <r>
    <x v="4"/>
    <x v="2"/>
    <s v="Coamo"/>
    <x v="4"/>
    <x v="4"/>
    <n v="208225"/>
  </r>
  <r>
    <x v="4"/>
    <x v="2"/>
    <s v="Atem"/>
    <x v="2"/>
    <x v="2"/>
    <n v="1147677"/>
  </r>
  <r>
    <x v="4"/>
    <x v="2"/>
    <s v="Ingredion"/>
    <x v="5"/>
    <x v="5"/>
    <n v="230660"/>
  </r>
  <r>
    <x v="4"/>
    <x v="2"/>
    <s v="Ciapetro"/>
    <x v="2"/>
    <x v="2"/>
    <n v="1076739"/>
  </r>
  <r>
    <x v="4"/>
    <x v="2"/>
    <s v="Tereos/Inpasa/Glencore/FS"/>
    <x v="10"/>
    <x v="7"/>
    <n v="900000"/>
  </r>
  <r>
    <x v="4"/>
    <x v="2"/>
    <s v="Ares"/>
    <x v="4"/>
    <x v="4"/>
    <n v="608544"/>
  </r>
  <r>
    <x v="4"/>
    <x v="2"/>
    <s v="Acostagem"/>
    <x v="15"/>
    <x v="8"/>
    <n v="537930.50562499999"/>
  </r>
  <r>
    <x v="4"/>
    <x v="2"/>
    <s v="ICOF"/>
    <x v="4"/>
    <x v="4"/>
    <n v="557826"/>
  </r>
  <r>
    <x v="4"/>
    <x v="2"/>
    <s v="GPC"/>
    <x v="3"/>
    <x v="3"/>
    <n v="158585"/>
  </r>
  <r>
    <x v="4"/>
    <x v="2"/>
    <s v="Inpasa"/>
    <x v="10"/>
    <x v="7"/>
    <n v="1477279"/>
  </r>
  <r>
    <x v="4"/>
    <x v="3"/>
    <s v="Adisseo"/>
    <x v="0"/>
    <x v="0"/>
    <n v="878484"/>
  </r>
  <r>
    <x v="4"/>
    <x v="3"/>
    <s v="Bunge"/>
    <x v="4"/>
    <x v="4"/>
    <n v="378593"/>
  </r>
  <r>
    <x v="4"/>
    <x v="3"/>
    <s v="ADM"/>
    <x v="5"/>
    <x v="5"/>
    <n v="161866"/>
  </r>
  <r>
    <x v="4"/>
    <x v="3"/>
    <s v="Ipiranga"/>
    <x v="2"/>
    <x v="2"/>
    <n v="5957914"/>
  </r>
  <r>
    <x v="4"/>
    <x v="3"/>
    <s v="Raizen"/>
    <x v="2"/>
    <x v="2"/>
    <n v="3979329"/>
  </r>
  <r>
    <x v="4"/>
    <x v="3"/>
    <s v="Vibra"/>
    <x v="2"/>
    <x v="2"/>
    <n v="1971343"/>
  </r>
  <r>
    <x v="4"/>
    <x v="3"/>
    <s v="Sul Plata"/>
    <x v="2"/>
    <x v="2"/>
    <n v="3059732"/>
  </r>
  <r>
    <x v="4"/>
    <x v="3"/>
    <s v="JBS"/>
    <x v="3"/>
    <x v="3"/>
    <n v="243956"/>
  </r>
  <r>
    <x v="4"/>
    <x v="3"/>
    <s v="Tricon"/>
    <x v="3"/>
    <x v="3"/>
    <n v="406299"/>
  </r>
  <r>
    <x v="4"/>
    <x v="3"/>
    <s v="Braskem"/>
    <x v="3"/>
    <x v="3"/>
    <n v="220436"/>
  </r>
  <r>
    <x v="4"/>
    <x v="3"/>
    <s v="BRF"/>
    <x v="4"/>
    <x v="4"/>
    <n v="983040"/>
  </r>
  <r>
    <x v="4"/>
    <x v="3"/>
    <s v="JBS"/>
    <x v="4"/>
    <x v="4"/>
    <n v="569771"/>
  </r>
  <r>
    <x v="4"/>
    <x v="3"/>
    <s v="Cargill"/>
    <x v="4"/>
    <x v="4"/>
    <n v="537650"/>
  </r>
  <r>
    <x v="4"/>
    <x v="3"/>
    <s v="Pool"/>
    <x v="5"/>
    <x v="5"/>
    <n v="2971893"/>
  </r>
  <r>
    <x v="4"/>
    <x v="3"/>
    <s v="Pool Excedente"/>
    <x v="5"/>
    <x v="5"/>
    <n v="86043"/>
  </r>
  <r>
    <x v="4"/>
    <x v="3"/>
    <s v="Methanex"/>
    <x v="6"/>
    <x v="6"/>
    <n v="7893225"/>
  </r>
  <r>
    <x v="4"/>
    <x v="3"/>
    <s v="Mitsubishi"/>
    <x v="6"/>
    <x v="6"/>
    <n v="5054137"/>
  </r>
  <r>
    <x v="4"/>
    <x v="3"/>
    <s v="Valenz"/>
    <x v="6"/>
    <x v="6"/>
    <n v="6057428"/>
  </r>
  <r>
    <x v="4"/>
    <x v="3"/>
    <s v="Evonik"/>
    <x v="8"/>
    <x v="0"/>
    <n v="439941"/>
  </r>
  <r>
    <x v="4"/>
    <x v="3"/>
    <s v="OQ"/>
    <x v="6"/>
    <x v="6"/>
    <n v="546830"/>
  </r>
  <r>
    <x v="4"/>
    <x v="3"/>
    <s v="Celena"/>
    <x v="4"/>
    <x v="4"/>
    <n v="2000426"/>
  </r>
  <r>
    <x v="4"/>
    <x v="3"/>
    <s v="AAK"/>
    <x v="4"/>
    <x v="4"/>
    <n v="846373"/>
  </r>
  <r>
    <x v="4"/>
    <x v="3"/>
    <s v="Cargill"/>
    <x v="5"/>
    <x v="5"/>
    <n v="245362"/>
  </r>
  <r>
    <x v="4"/>
    <x v="3"/>
    <s v="Agropalma"/>
    <x v="4"/>
    <x v="4"/>
    <n v="466210"/>
  </r>
  <r>
    <x v="4"/>
    <x v="3"/>
    <s v="Brenntag"/>
    <x v="3"/>
    <x v="3"/>
    <n v="306345"/>
  </r>
  <r>
    <x v="4"/>
    <x v="3"/>
    <s v="Olin"/>
    <x v="3"/>
    <x v="3"/>
    <n v="1779629"/>
  </r>
  <r>
    <x v="4"/>
    <x v="3"/>
    <s v="BSBIOS"/>
    <x v="12"/>
    <x v="7"/>
    <n v="437969"/>
  </r>
  <r>
    <x v="4"/>
    <x v="3"/>
    <s v="Coamo"/>
    <x v="4"/>
    <x v="4"/>
    <n v="208225"/>
  </r>
  <r>
    <x v="4"/>
    <x v="3"/>
    <s v="Atem"/>
    <x v="2"/>
    <x v="2"/>
    <n v="1147677"/>
  </r>
  <r>
    <x v="4"/>
    <x v="3"/>
    <s v="Ingredion"/>
    <x v="5"/>
    <x v="5"/>
    <n v="290026"/>
  </r>
  <r>
    <x v="4"/>
    <x v="3"/>
    <s v="Ciapetro"/>
    <x v="2"/>
    <x v="2"/>
    <n v="1076739"/>
  </r>
  <r>
    <x v="4"/>
    <x v="3"/>
    <s v="Tereos/Inpasa/Glencore/FS"/>
    <x v="10"/>
    <x v="7"/>
    <n v="900000"/>
  </r>
  <r>
    <x v="4"/>
    <x v="3"/>
    <s v="Ares"/>
    <x v="4"/>
    <x v="4"/>
    <n v="608544"/>
  </r>
  <r>
    <x v="4"/>
    <x v="3"/>
    <s v="Acostagem"/>
    <x v="15"/>
    <x v="8"/>
    <n v="495359.14125000004"/>
  </r>
  <r>
    <x v="4"/>
    <x v="3"/>
    <s v="ICOF"/>
    <x v="4"/>
    <x v="4"/>
    <n v="557826"/>
  </r>
  <r>
    <x v="4"/>
    <x v="3"/>
    <s v="GPC"/>
    <x v="3"/>
    <x v="3"/>
    <n v="136044"/>
  </r>
  <r>
    <x v="4"/>
    <x v="3"/>
    <s v="Inpasa"/>
    <x v="10"/>
    <x v="7"/>
    <n v="1477279"/>
  </r>
  <r>
    <x v="4"/>
    <x v="4"/>
    <s v="Adisseo"/>
    <x v="0"/>
    <x v="0"/>
    <n v="878484"/>
  </r>
  <r>
    <x v="4"/>
    <x v="4"/>
    <s v="Bunge"/>
    <x v="4"/>
    <x v="4"/>
    <n v="378593"/>
  </r>
  <r>
    <x v="4"/>
    <x v="4"/>
    <s v="ADM"/>
    <x v="5"/>
    <x v="5"/>
    <n v="161866"/>
  </r>
  <r>
    <x v="4"/>
    <x v="4"/>
    <s v="Ipiranga"/>
    <x v="2"/>
    <x v="2"/>
    <n v="5957914"/>
  </r>
  <r>
    <x v="4"/>
    <x v="4"/>
    <s v="Raizen"/>
    <x v="2"/>
    <x v="2"/>
    <n v="3979329"/>
  </r>
  <r>
    <x v="4"/>
    <x v="4"/>
    <s v="Vibra"/>
    <x v="2"/>
    <x v="2"/>
    <n v="1971343"/>
  </r>
  <r>
    <x v="4"/>
    <x v="4"/>
    <s v="Sul Plata"/>
    <x v="2"/>
    <x v="2"/>
    <n v="3059732"/>
  </r>
  <r>
    <x v="4"/>
    <x v="4"/>
    <s v="JBS"/>
    <x v="3"/>
    <x v="3"/>
    <n v="243956"/>
  </r>
  <r>
    <x v="4"/>
    <x v="4"/>
    <s v="Tricon"/>
    <x v="3"/>
    <x v="3"/>
    <n v="406299"/>
  </r>
  <r>
    <x v="4"/>
    <x v="4"/>
    <s v="Braskem"/>
    <x v="3"/>
    <x v="3"/>
    <n v="220436"/>
  </r>
  <r>
    <x v="4"/>
    <x v="4"/>
    <s v="BRF"/>
    <x v="4"/>
    <x v="4"/>
    <n v="1030619"/>
  </r>
  <r>
    <x v="4"/>
    <x v="4"/>
    <s v="JBS"/>
    <x v="4"/>
    <x v="4"/>
    <n v="569771"/>
  </r>
  <r>
    <x v="4"/>
    <x v="4"/>
    <s v="Cargill"/>
    <x v="4"/>
    <x v="4"/>
    <n v="537650"/>
  </r>
  <r>
    <x v="4"/>
    <x v="4"/>
    <s v="Pool"/>
    <x v="5"/>
    <x v="5"/>
    <n v="2938374"/>
  </r>
  <r>
    <x v="4"/>
    <x v="4"/>
    <s v="Pool Excedente"/>
    <x v="5"/>
    <x v="5"/>
    <n v="0"/>
  </r>
  <r>
    <x v="4"/>
    <x v="4"/>
    <s v="Methanex"/>
    <x v="6"/>
    <x v="6"/>
    <n v="7893225"/>
  </r>
  <r>
    <x v="4"/>
    <x v="4"/>
    <s v="Mitsubishi"/>
    <x v="6"/>
    <x v="6"/>
    <n v="5054137"/>
  </r>
  <r>
    <x v="4"/>
    <x v="4"/>
    <s v="Valenz"/>
    <x v="6"/>
    <x v="6"/>
    <n v="6057428"/>
  </r>
  <r>
    <x v="4"/>
    <x v="4"/>
    <s v="Evonik"/>
    <x v="8"/>
    <x v="0"/>
    <n v="439941"/>
  </r>
  <r>
    <x v="4"/>
    <x v="4"/>
    <s v="OQ"/>
    <x v="6"/>
    <x v="6"/>
    <n v="546830"/>
  </r>
  <r>
    <x v="4"/>
    <x v="4"/>
    <s v="Celena"/>
    <x v="4"/>
    <x v="4"/>
    <n v="2000426"/>
  </r>
  <r>
    <x v="4"/>
    <x v="4"/>
    <s v="AAK"/>
    <x v="4"/>
    <x v="4"/>
    <n v="846373"/>
  </r>
  <r>
    <x v="4"/>
    <x v="4"/>
    <s v="Cargill"/>
    <x v="5"/>
    <x v="5"/>
    <n v="208762"/>
  </r>
  <r>
    <x v="4"/>
    <x v="4"/>
    <s v="Agropalma"/>
    <x v="4"/>
    <x v="4"/>
    <n v="466210"/>
  </r>
  <r>
    <x v="4"/>
    <x v="4"/>
    <s v="Brenntag"/>
    <x v="3"/>
    <x v="3"/>
    <n v="306345"/>
  </r>
  <r>
    <x v="4"/>
    <x v="4"/>
    <s v="Olin"/>
    <x v="3"/>
    <x v="3"/>
    <n v="1779629"/>
  </r>
  <r>
    <x v="4"/>
    <x v="4"/>
    <s v="BSBIOS"/>
    <x v="12"/>
    <x v="7"/>
    <n v="437969"/>
  </r>
  <r>
    <x v="4"/>
    <x v="4"/>
    <s v="Coamo"/>
    <x v="4"/>
    <x v="4"/>
    <n v="208225"/>
  </r>
  <r>
    <x v="4"/>
    <x v="4"/>
    <s v="Atem"/>
    <x v="2"/>
    <x v="2"/>
    <n v="1147677"/>
  </r>
  <r>
    <x v="4"/>
    <x v="4"/>
    <s v="Ingredion"/>
    <x v="5"/>
    <x v="5"/>
    <n v="230660"/>
  </r>
  <r>
    <x v="4"/>
    <x v="4"/>
    <s v="Ciapetro"/>
    <x v="2"/>
    <x v="2"/>
    <n v="1076739"/>
  </r>
  <r>
    <x v="4"/>
    <x v="4"/>
    <s v="Tereos/Inpasa/Glencore/FS"/>
    <x v="10"/>
    <x v="7"/>
    <n v="900000"/>
  </r>
  <r>
    <x v="4"/>
    <x v="4"/>
    <s v="Ares"/>
    <x v="4"/>
    <x v="4"/>
    <n v="608544"/>
  </r>
  <r>
    <x v="4"/>
    <x v="4"/>
    <s v="Acostagem"/>
    <x v="15"/>
    <x v="8"/>
    <n v="497980.65437500004"/>
  </r>
  <r>
    <x v="4"/>
    <x v="4"/>
    <s v="ICOF"/>
    <x v="4"/>
    <x v="4"/>
    <n v="557826"/>
  </r>
  <r>
    <x v="4"/>
    <x v="4"/>
    <s v="GPC"/>
    <x v="3"/>
    <x v="3"/>
    <n v="136044"/>
  </r>
  <r>
    <x v="4"/>
    <x v="4"/>
    <s v="Inpasa"/>
    <x v="10"/>
    <x v="7"/>
    <n v="1477279"/>
  </r>
  <r>
    <x v="4"/>
    <x v="5"/>
    <s v="Adisseo"/>
    <x v="0"/>
    <x v="0"/>
    <n v="878484"/>
  </r>
  <r>
    <x v="4"/>
    <x v="5"/>
    <s v="Bunge"/>
    <x v="4"/>
    <x v="4"/>
    <n v="378593"/>
  </r>
  <r>
    <x v="4"/>
    <x v="5"/>
    <s v="ADM"/>
    <x v="5"/>
    <x v="5"/>
    <n v="168574"/>
  </r>
  <r>
    <x v="4"/>
    <x v="5"/>
    <s v="Ipiranga"/>
    <x v="2"/>
    <x v="2"/>
    <n v="5957914"/>
  </r>
  <r>
    <x v="4"/>
    <x v="5"/>
    <s v="Raizen"/>
    <x v="2"/>
    <x v="2"/>
    <n v="3979329"/>
  </r>
  <r>
    <x v="4"/>
    <x v="5"/>
    <s v="Vibra"/>
    <x v="2"/>
    <x v="2"/>
    <n v="1971343"/>
  </r>
  <r>
    <x v="4"/>
    <x v="5"/>
    <s v="Sul Plata"/>
    <x v="2"/>
    <x v="2"/>
    <n v="3059732"/>
  </r>
  <r>
    <x v="4"/>
    <x v="5"/>
    <s v="JBS"/>
    <x v="3"/>
    <x v="3"/>
    <n v="243956"/>
  </r>
  <r>
    <x v="4"/>
    <x v="5"/>
    <s v="Tricon"/>
    <x v="3"/>
    <x v="3"/>
    <n v="406299"/>
  </r>
  <r>
    <x v="4"/>
    <x v="5"/>
    <s v="Braskem"/>
    <x v="3"/>
    <x v="3"/>
    <n v="220436"/>
  </r>
  <r>
    <x v="4"/>
    <x v="5"/>
    <s v="BRF"/>
    <x v="4"/>
    <x v="4"/>
    <n v="1030619"/>
  </r>
  <r>
    <x v="4"/>
    <x v="5"/>
    <s v="JBS"/>
    <x v="4"/>
    <x v="4"/>
    <n v="569771"/>
  </r>
  <r>
    <x v="4"/>
    <x v="5"/>
    <s v="Cargill"/>
    <x v="4"/>
    <x v="4"/>
    <n v="537650"/>
  </r>
  <r>
    <x v="4"/>
    <x v="5"/>
    <s v="Pool"/>
    <x v="5"/>
    <x v="5"/>
    <n v="4201737"/>
  </r>
  <r>
    <x v="4"/>
    <x v="5"/>
    <s v="Pool Excedente"/>
    <x v="5"/>
    <x v="5"/>
    <n v="86043"/>
  </r>
  <r>
    <x v="4"/>
    <x v="5"/>
    <s v="Methanex"/>
    <x v="6"/>
    <x v="6"/>
    <n v="7893225"/>
  </r>
  <r>
    <x v="4"/>
    <x v="5"/>
    <s v="Mitsubishi"/>
    <x v="6"/>
    <x v="6"/>
    <n v="5054137"/>
  </r>
  <r>
    <x v="4"/>
    <x v="5"/>
    <s v="Valenz"/>
    <x v="6"/>
    <x v="6"/>
    <n v="6057428"/>
  </r>
  <r>
    <x v="4"/>
    <x v="5"/>
    <s v="Evonik"/>
    <x v="8"/>
    <x v="0"/>
    <n v="439941"/>
  </r>
  <r>
    <x v="4"/>
    <x v="5"/>
    <s v="OQ"/>
    <x v="6"/>
    <x v="6"/>
    <n v="546830"/>
  </r>
  <r>
    <x v="4"/>
    <x v="5"/>
    <s v="Celena"/>
    <x v="4"/>
    <x v="4"/>
    <n v="2000426"/>
  </r>
  <r>
    <x v="4"/>
    <x v="5"/>
    <s v="AAK"/>
    <x v="4"/>
    <x v="4"/>
    <n v="846373"/>
  </r>
  <r>
    <x v="4"/>
    <x v="5"/>
    <s v="Cargill"/>
    <x v="5"/>
    <x v="5"/>
    <n v="208762"/>
  </r>
  <r>
    <x v="4"/>
    <x v="5"/>
    <s v="Agropalma"/>
    <x v="4"/>
    <x v="4"/>
    <n v="466210"/>
  </r>
  <r>
    <x v="4"/>
    <x v="5"/>
    <s v="Brenntag"/>
    <x v="3"/>
    <x v="3"/>
    <n v="306345"/>
  </r>
  <r>
    <x v="4"/>
    <x v="5"/>
    <s v="Olin"/>
    <x v="3"/>
    <x v="3"/>
    <n v="1779629"/>
  </r>
  <r>
    <x v="4"/>
    <x v="5"/>
    <s v="BSBIOS"/>
    <x v="12"/>
    <x v="7"/>
    <n v="437969"/>
  </r>
  <r>
    <x v="4"/>
    <x v="5"/>
    <s v="Coamo"/>
    <x v="4"/>
    <x v="4"/>
    <n v="208225"/>
  </r>
  <r>
    <x v="4"/>
    <x v="5"/>
    <s v="Atem"/>
    <x v="2"/>
    <x v="2"/>
    <n v="1147677"/>
  </r>
  <r>
    <x v="4"/>
    <x v="5"/>
    <s v="Ingredion"/>
    <x v="5"/>
    <x v="5"/>
    <n v="230660"/>
  </r>
  <r>
    <x v="4"/>
    <x v="5"/>
    <s v="Ciapetro"/>
    <x v="2"/>
    <x v="2"/>
    <n v="1076739"/>
  </r>
  <r>
    <x v="4"/>
    <x v="5"/>
    <s v="Tereos/Inpasa/Glencore/FS"/>
    <x v="10"/>
    <x v="7"/>
    <n v="900000"/>
  </r>
  <r>
    <x v="4"/>
    <x v="5"/>
    <s v="Ares"/>
    <x v="4"/>
    <x v="4"/>
    <n v="608544"/>
  </r>
  <r>
    <x v="4"/>
    <x v="5"/>
    <s v="Acostagem"/>
    <x v="15"/>
    <x v="8"/>
    <n v="513333.09375"/>
  </r>
  <r>
    <x v="4"/>
    <x v="5"/>
    <s v="ICOF"/>
    <x v="4"/>
    <x v="4"/>
    <n v="557826"/>
  </r>
  <r>
    <x v="4"/>
    <x v="5"/>
    <s v="GPC"/>
    <x v="3"/>
    <x v="3"/>
    <n v="158585"/>
  </r>
  <r>
    <x v="4"/>
    <x v="5"/>
    <s v="Inpasa"/>
    <x v="10"/>
    <x v="7"/>
    <n v="1477279"/>
  </r>
  <r>
    <x v="4"/>
    <x v="6"/>
    <s v="Adisseo"/>
    <x v="0"/>
    <x v="0"/>
    <n v="878484"/>
  </r>
  <r>
    <x v="4"/>
    <x v="6"/>
    <s v="Bunge"/>
    <x v="4"/>
    <x v="4"/>
    <n v="378593"/>
  </r>
  <r>
    <x v="4"/>
    <x v="6"/>
    <s v="ADM"/>
    <x v="5"/>
    <x v="5"/>
    <n v="168574"/>
  </r>
  <r>
    <x v="4"/>
    <x v="6"/>
    <s v="Ipiranga"/>
    <x v="2"/>
    <x v="2"/>
    <n v="5957914"/>
  </r>
  <r>
    <x v="4"/>
    <x v="6"/>
    <s v="Raizen"/>
    <x v="2"/>
    <x v="2"/>
    <n v="3979329"/>
  </r>
  <r>
    <x v="4"/>
    <x v="6"/>
    <s v="Vibra"/>
    <x v="2"/>
    <x v="2"/>
    <n v="1971343"/>
  </r>
  <r>
    <x v="4"/>
    <x v="6"/>
    <s v="Sul Plata"/>
    <x v="2"/>
    <x v="2"/>
    <n v="3059732"/>
  </r>
  <r>
    <x v="4"/>
    <x v="6"/>
    <s v="JBS"/>
    <x v="3"/>
    <x v="3"/>
    <n v="243956"/>
  </r>
  <r>
    <x v="4"/>
    <x v="6"/>
    <s v="Tricon"/>
    <x v="3"/>
    <x v="3"/>
    <n v="406299"/>
  </r>
  <r>
    <x v="4"/>
    <x v="6"/>
    <s v="Braskem"/>
    <x v="3"/>
    <x v="3"/>
    <n v="220436"/>
  </r>
  <r>
    <x v="4"/>
    <x v="6"/>
    <s v="BRF"/>
    <x v="4"/>
    <x v="4"/>
    <n v="1030619"/>
  </r>
  <r>
    <x v="4"/>
    <x v="6"/>
    <s v="JBS"/>
    <x v="4"/>
    <x v="4"/>
    <n v="569771"/>
  </r>
  <r>
    <x v="4"/>
    <x v="6"/>
    <s v="Cargill"/>
    <x v="4"/>
    <x v="4"/>
    <n v="537650"/>
  </r>
  <r>
    <x v="4"/>
    <x v="6"/>
    <s v="Pool"/>
    <x v="5"/>
    <x v="5"/>
    <n v="5567183"/>
  </r>
  <r>
    <x v="4"/>
    <x v="6"/>
    <s v="Pool Excedente"/>
    <x v="5"/>
    <x v="5"/>
    <n v="0"/>
  </r>
  <r>
    <x v="4"/>
    <x v="6"/>
    <s v="Methanex"/>
    <x v="6"/>
    <x v="6"/>
    <n v="7893225"/>
  </r>
  <r>
    <x v="4"/>
    <x v="6"/>
    <s v="Mitsubishi"/>
    <x v="6"/>
    <x v="6"/>
    <n v="5054137"/>
  </r>
  <r>
    <x v="4"/>
    <x v="6"/>
    <s v="Valenz"/>
    <x v="6"/>
    <x v="6"/>
    <n v="6057428"/>
  </r>
  <r>
    <x v="4"/>
    <x v="6"/>
    <s v="Evonik"/>
    <x v="8"/>
    <x v="0"/>
    <n v="439941"/>
  </r>
  <r>
    <x v="4"/>
    <x v="6"/>
    <s v="OQ"/>
    <x v="6"/>
    <x v="6"/>
    <n v="546830"/>
  </r>
  <r>
    <x v="4"/>
    <x v="6"/>
    <s v="Celena"/>
    <x v="4"/>
    <x v="4"/>
    <n v="2000426"/>
  </r>
  <r>
    <x v="4"/>
    <x v="6"/>
    <s v="AAK"/>
    <x v="4"/>
    <x v="4"/>
    <n v="846373"/>
  </r>
  <r>
    <x v="4"/>
    <x v="6"/>
    <s v="Cargill"/>
    <x v="5"/>
    <x v="5"/>
    <n v="245362"/>
  </r>
  <r>
    <x v="4"/>
    <x v="6"/>
    <s v="Agropalma"/>
    <x v="4"/>
    <x v="4"/>
    <n v="466210"/>
  </r>
  <r>
    <x v="4"/>
    <x v="6"/>
    <s v="Brenntag"/>
    <x v="3"/>
    <x v="3"/>
    <n v="306345"/>
  </r>
  <r>
    <x v="4"/>
    <x v="6"/>
    <s v="Olin"/>
    <x v="3"/>
    <x v="3"/>
    <n v="1779629"/>
  </r>
  <r>
    <x v="4"/>
    <x v="6"/>
    <s v="BSBIOS"/>
    <x v="12"/>
    <x v="7"/>
    <n v="437969"/>
  </r>
  <r>
    <x v="4"/>
    <x v="6"/>
    <s v="Coamo"/>
    <x v="4"/>
    <x v="4"/>
    <n v="208225"/>
  </r>
  <r>
    <x v="4"/>
    <x v="6"/>
    <s v="Atem"/>
    <x v="2"/>
    <x v="2"/>
    <n v="1147677"/>
  </r>
  <r>
    <x v="4"/>
    <x v="6"/>
    <s v="Ingredion"/>
    <x v="5"/>
    <x v="5"/>
    <n v="230660"/>
  </r>
  <r>
    <x v="4"/>
    <x v="6"/>
    <s v="Ciapetro"/>
    <x v="2"/>
    <x v="2"/>
    <n v="1076739"/>
  </r>
  <r>
    <x v="4"/>
    <x v="6"/>
    <s v="Tereos/Inpasa/Glencore/FS"/>
    <x v="10"/>
    <x v="7"/>
    <n v="900000"/>
  </r>
  <r>
    <x v="4"/>
    <x v="6"/>
    <s v="Ares"/>
    <x v="4"/>
    <x v="4"/>
    <n v="608544"/>
  </r>
  <r>
    <x v="4"/>
    <x v="6"/>
    <s v="Acostagem"/>
    <x v="15"/>
    <x v="8"/>
    <n v="560871.770625"/>
  </r>
  <r>
    <x v="4"/>
    <x v="6"/>
    <s v="ICOF"/>
    <x v="4"/>
    <x v="4"/>
    <n v="557826"/>
  </r>
  <r>
    <x v="4"/>
    <x v="6"/>
    <s v="GPC"/>
    <x v="3"/>
    <x v="3"/>
    <n v="136044"/>
  </r>
  <r>
    <x v="4"/>
    <x v="6"/>
    <s v="Inpasa"/>
    <x v="10"/>
    <x v="7"/>
    <n v="1477279"/>
  </r>
  <r>
    <x v="4"/>
    <x v="7"/>
    <s v="Adisseo"/>
    <x v="0"/>
    <x v="0"/>
    <n v="878484"/>
  </r>
  <r>
    <x v="4"/>
    <x v="7"/>
    <s v="Bunge"/>
    <x v="4"/>
    <x v="4"/>
    <n v="378593"/>
  </r>
  <r>
    <x v="4"/>
    <x v="7"/>
    <s v="ADM"/>
    <x v="5"/>
    <x v="5"/>
    <n v="168574"/>
  </r>
  <r>
    <x v="4"/>
    <x v="7"/>
    <s v="Ipiranga"/>
    <x v="2"/>
    <x v="2"/>
    <n v="5957914"/>
  </r>
  <r>
    <x v="4"/>
    <x v="7"/>
    <s v="Raizen"/>
    <x v="2"/>
    <x v="2"/>
    <n v="3979329"/>
  </r>
  <r>
    <x v="4"/>
    <x v="7"/>
    <s v="Vibra"/>
    <x v="2"/>
    <x v="2"/>
    <n v="1971343"/>
  </r>
  <r>
    <x v="4"/>
    <x v="7"/>
    <s v="Sul Plata"/>
    <x v="2"/>
    <x v="2"/>
    <n v="3059732"/>
  </r>
  <r>
    <x v="4"/>
    <x v="7"/>
    <s v="JBS"/>
    <x v="3"/>
    <x v="3"/>
    <n v="243956"/>
  </r>
  <r>
    <x v="4"/>
    <x v="7"/>
    <s v="Tricon"/>
    <x v="3"/>
    <x v="3"/>
    <n v="406299"/>
  </r>
  <r>
    <x v="4"/>
    <x v="7"/>
    <s v="Braskem"/>
    <x v="3"/>
    <x v="3"/>
    <n v="220436"/>
  </r>
  <r>
    <x v="4"/>
    <x v="7"/>
    <s v="BRF"/>
    <x v="4"/>
    <x v="4"/>
    <n v="1030619"/>
  </r>
  <r>
    <x v="4"/>
    <x v="7"/>
    <s v="JBS"/>
    <x v="4"/>
    <x v="4"/>
    <n v="569771"/>
  </r>
  <r>
    <x v="4"/>
    <x v="7"/>
    <s v="Cargill"/>
    <x v="4"/>
    <x v="4"/>
    <n v="537650"/>
  </r>
  <r>
    <x v="4"/>
    <x v="7"/>
    <s v="Pool"/>
    <x v="5"/>
    <x v="5"/>
    <n v="3061348"/>
  </r>
  <r>
    <x v="4"/>
    <x v="7"/>
    <s v="Pool Excedente"/>
    <x v="5"/>
    <x v="5"/>
    <n v="86043"/>
  </r>
  <r>
    <x v="4"/>
    <x v="7"/>
    <s v="Methanex"/>
    <x v="6"/>
    <x v="6"/>
    <n v="7893225"/>
  </r>
  <r>
    <x v="4"/>
    <x v="7"/>
    <s v="Mitsubishi"/>
    <x v="6"/>
    <x v="6"/>
    <n v="5054137"/>
  </r>
  <r>
    <x v="4"/>
    <x v="7"/>
    <s v="Valenz"/>
    <x v="6"/>
    <x v="6"/>
    <n v="6057428"/>
  </r>
  <r>
    <x v="4"/>
    <x v="7"/>
    <s v="Evonik"/>
    <x v="8"/>
    <x v="0"/>
    <n v="439941"/>
  </r>
  <r>
    <x v="4"/>
    <x v="7"/>
    <s v="OQ"/>
    <x v="6"/>
    <x v="6"/>
    <n v="546830"/>
  </r>
  <r>
    <x v="4"/>
    <x v="7"/>
    <s v="Celena"/>
    <x v="4"/>
    <x v="4"/>
    <n v="2000426"/>
  </r>
  <r>
    <x v="4"/>
    <x v="7"/>
    <s v="AAK"/>
    <x v="4"/>
    <x v="4"/>
    <n v="846373"/>
  </r>
  <r>
    <x v="4"/>
    <x v="7"/>
    <s v="Cargill"/>
    <x v="5"/>
    <x v="5"/>
    <n v="208762"/>
  </r>
  <r>
    <x v="4"/>
    <x v="7"/>
    <s v="Agropalma"/>
    <x v="4"/>
    <x v="4"/>
    <n v="466210"/>
  </r>
  <r>
    <x v="4"/>
    <x v="7"/>
    <s v="Brenntag"/>
    <x v="3"/>
    <x v="3"/>
    <n v="306345"/>
  </r>
  <r>
    <x v="4"/>
    <x v="7"/>
    <s v="Olin"/>
    <x v="3"/>
    <x v="3"/>
    <n v="1779629"/>
  </r>
  <r>
    <x v="4"/>
    <x v="7"/>
    <s v="BSBIOS"/>
    <x v="12"/>
    <x v="7"/>
    <n v="437969"/>
  </r>
  <r>
    <x v="4"/>
    <x v="7"/>
    <s v="Coamo"/>
    <x v="4"/>
    <x v="4"/>
    <n v="208225"/>
  </r>
  <r>
    <x v="4"/>
    <x v="7"/>
    <s v="Atem"/>
    <x v="2"/>
    <x v="2"/>
    <n v="1147677"/>
  </r>
  <r>
    <x v="4"/>
    <x v="7"/>
    <s v="Ingredion"/>
    <x v="5"/>
    <x v="5"/>
    <n v="230660"/>
  </r>
  <r>
    <x v="4"/>
    <x v="7"/>
    <s v="Ciapetro"/>
    <x v="2"/>
    <x v="2"/>
    <n v="1076739"/>
  </r>
  <r>
    <x v="4"/>
    <x v="7"/>
    <s v="Tereos/Inpasa/Glencore/FS"/>
    <x v="10"/>
    <x v="7"/>
    <n v="900000"/>
  </r>
  <r>
    <x v="4"/>
    <x v="7"/>
    <s v="Ares"/>
    <x v="4"/>
    <x v="4"/>
    <n v="608544"/>
  </r>
  <r>
    <x v="4"/>
    <x v="7"/>
    <s v="Acostagem"/>
    <x v="15"/>
    <x v="8"/>
    <n v="486430.32875000004"/>
  </r>
  <r>
    <x v="4"/>
    <x v="7"/>
    <s v="ICOF"/>
    <x v="4"/>
    <x v="4"/>
    <n v="557826"/>
  </r>
  <r>
    <x v="4"/>
    <x v="7"/>
    <s v="GPC"/>
    <x v="3"/>
    <x v="3"/>
    <n v="136044"/>
  </r>
  <r>
    <x v="4"/>
    <x v="7"/>
    <s v="Inpasa"/>
    <x v="10"/>
    <x v="7"/>
    <n v="1477279"/>
  </r>
  <r>
    <x v="4"/>
    <x v="8"/>
    <s v="Adisseo"/>
    <x v="0"/>
    <x v="0"/>
    <n v="878484"/>
  </r>
  <r>
    <x v="4"/>
    <x v="8"/>
    <s v="Bunge"/>
    <x v="4"/>
    <x v="4"/>
    <n v="396917"/>
  </r>
  <r>
    <x v="4"/>
    <x v="8"/>
    <s v="ADM"/>
    <x v="5"/>
    <x v="5"/>
    <n v="168574"/>
  </r>
  <r>
    <x v="4"/>
    <x v="8"/>
    <s v="Ipiranga"/>
    <x v="2"/>
    <x v="2"/>
    <n v="5957914"/>
  </r>
  <r>
    <x v="4"/>
    <x v="8"/>
    <s v="Raizen"/>
    <x v="2"/>
    <x v="2"/>
    <n v="3979329"/>
  </r>
  <r>
    <x v="4"/>
    <x v="8"/>
    <s v="Vibra"/>
    <x v="2"/>
    <x v="2"/>
    <n v="1971343"/>
  </r>
  <r>
    <x v="4"/>
    <x v="8"/>
    <s v="Sul Plata"/>
    <x v="2"/>
    <x v="2"/>
    <n v="3059732"/>
  </r>
  <r>
    <x v="4"/>
    <x v="8"/>
    <s v="JBS"/>
    <x v="3"/>
    <x v="3"/>
    <n v="243956"/>
  </r>
  <r>
    <x v="4"/>
    <x v="8"/>
    <s v="Tricon"/>
    <x v="3"/>
    <x v="3"/>
    <n v="406299"/>
  </r>
  <r>
    <x v="4"/>
    <x v="8"/>
    <s v="Braskem"/>
    <x v="3"/>
    <x v="3"/>
    <n v="220436"/>
  </r>
  <r>
    <x v="4"/>
    <x v="8"/>
    <s v="BRF"/>
    <x v="4"/>
    <x v="4"/>
    <n v="1030619"/>
  </r>
  <r>
    <x v="4"/>
    <x v="8"/>
    <s v="JBS"/>
    <x v="4"/>
    <x v="4"/>
    <n v="569771"/>
  </r>
  <r>
    <x v="4"/>
    <x v="8"/>
    <s v="Cargill"/>
    <x v="4"/>
    <x v="4"/>
    <n v="537650"/>
  </r>
  <r>
    <x v="4"/>
    <x v="8"/>
    <s v="Pool"/>
    <x v="5"/>
    <x v="5"/>
    <n v="2161750"/>
  </r>
  <r>
    <x v="4"/>
    <x v="8"/>
    <s v="Pool Excedente"/>
    <x v="5"/>
    <x v="5"/>
    <n v="0"/>
  </r>
  <r>
    <x v="4"/>
    <x v="8"/>
    <s v="Methanex"/>
    <x v="6"/>
    <x v="6"/>
    <n v="7893225"/>
  </r>
  <r>
    <x v="4"/>
    <x v="8"/>
    <s v="Mitsubishi"/>
    <x v="6"/>
    <x v="6"/>
    <n v="5054137"/>
  </r>
  <r>
    <x v="4"/>
    <x v="8"/>
    <s v="Valenz"/>
    <x v="6"/>
    <x v="6"/>
    <n v="6057428"/>
  </r>
  <r>
    <x v="4"/>
    <x v="8"/>
    <s v="Evonik"/>
    <x v="8"/>
    <x v="0"/>
    <n v="439941"/>
  </r>
  <r>
    <x v="4"/>
    <x v="8"/>
    <s v="OQ"/>
    <x v="6"/>
    <x v="6"/>
    <n v="546830"/>
  </r>
  <r>
    <x v="4"/>
    <x v="8"/>
    <s v="Celena"/>
    <x v="4"/>
    <x v="4"/>
    <n v="2000426"/>
  </r>
  <r>
    <x v="4"/>
    <x v="8"/>
    <s v="AAK"/>
    <x v="4"/>
    <x v="4"/>
    <n v="846373"/>
  </r>
  <r>
    <x v="4"/>
    <x v="8"/>
    <s v="Cargill"/>
    <x v="5"/>
    <x v="5"/>
    <n v="208762"/>
  </r>
  <r>
    <x v="4"/>
    <x v="8"/>
    <s v="Agropalma"/>
    <x v="4"/>
    <x v="4"/>
    <n v="466210"/>
  </r>
  <r>
    <x v="4"/>
    <x v="8"/>
    <s v="Brenntag"/>
    <x v="3"/>
    <x v="3"/>
    <n v="306345"/>
  </r>
  <r>
    <x v="4"/>
    <x v="8"/>
    <s v="Olin"/>
    <x v="3"/>
    <x v="3"/>
    <n v="1779629"/>
  </r>
  <r>
    <x v="4"/>
    <x v="8"/>
    <s v="BSBIOS"/>
    <x v="12"/>
    <x v="7"/>
    <n v="437969"/>
  </r>
  <r>
    <x v="4"/>
    <x v="8"/>
    <s v="Coamo"/>
    <x v="4"/>
    <x v="4"/>
    <n v="208225"/>
  </r>
  <r>
    <x v="4"/>
    <x v="8"/>
    <s v="Atem"/>
    <x v="2"/>
    <x v="2"/>
    <n v="1147677"/>
  </r>
  <r>
    <x v="4"/>
    <x v="8"/>
    <s v="Ingredion"/>
    <x v="5"/>
    <x v="5"/>
    <n v="230660"/>
  </r>
  <r>
    <x v="4"/>
    <x v="8"/>
    <s v="Ciapetro"/>
    <x v="2"/>
    <x v="2"/>
    <n v="1076739"/>
  </r>
  <r>
    <x v="4"/>
    <x v="8"/>
    <s v="Tereos/Inpasa/Glencore/FS"/>
    <x v="10"/>
    <x v="7"/>
    <n v="900000"/>
  </r>
  <r>
    <x v="4"/>
    <x v="8"/>
    <s v="Ares"/>
    <x v="4"/>
    <x v="4"/>
    <n v="608544"/>
  </r>
  <r>
    <x v="4"/>
    <x v="8"/>
    <s v="Acostagem"/>
    <x v="15"/>
    <x v="8"/>
    <n v="484649.93374999997"/>
  </r>
  <r>
    <x v="4"/>
    <x v="8"/>
    <s v="ICOF"/>
    <x v="4"/>
    <x v="4"/>
    <n v="557826"/>
  </r>
  <r>
    <x v="4"/>
    <x v="8"/>
    <s v="GPC"/>
    <x v="3"/>
    <x v="3"/>
    <n v="158585"/>
  </r>
  <r>
    <x v="4"/>
    <x v="8"/>
    <s v="Inpasa"/>
    <x v="10"/>
    <x v="7"/>
    <n v="1477279"/>
  </r>
  <r>
    <x v="4"/>
    <x v="9"/>
    <s v="Adisseo"/>
    <x v="0"/>
    <x v="0"/>
    <n v="878484"/>
  </r>
  <r>
    <x v="4"/>
    <x v="9"/>
    <s v="Bunge"/>
    <x v="4"/>
    <x v="4"/>
    <n v="396917"/>
  </r>
  <r>
    <x v="4"/>
    <x v="9"/>
    <s v="ADM"/>
    <x v="5"/>
    <x v="5"/>
    <n v="168574"/>
  </r>
  <r>
    <x v="4"/>
    <x v="9"/>
    <s v="Ipiranga"/>
    <x v="2"/>
    <x v="2"/>
    <n v="5957914"/>
  </r>
  <r>
    <x v="4"/>
    <x v="9"/>
    <s v="Raizen"/>
    <x v="2"/>
    <x v="2"/>
    <n v="3979329"/>
  </r>
  <r>
    <x v="4"/>
    <x v="9"/>
    <s v="Vibra"/>
    <x v="2"/>
    <x v="2"/>
    <n v="1971343"/>
  </r>
  <r>
    <x v="4"/>
    <x v="9"/>
    <s v="Sul Plata"/>
    <x v="2"/>
    <x v="2"/>
    <n v="3059732"/>
  </r>
  <r>
    <x v="4"/>
    <x v="9"/>
    <s v="JBS"/>
    <x v="3"/>
    <x v="3"/>
    <n v="255763"/>
  </r>
  <r>
    <x v="4"/>
    <x v="9"/>
    <s v="Tricon"/>
    <x v="3"/>
    <x v="3"/>
    <n v="406299"/>
  </r>
  <r>
    <x v="4"/>
    <x v="9"/>
    <s v="Braskem"/>
    <x v="3"/>
    <x v="3"/>
    <n v="220436"/>
  </r>
  <r>
    <x v="4"/>
    <x v="9"/>
    <s v="BRF"/>
    <x v="4"/>
    <x v="4"/>
    <n v="1030619"/>
  </r>
  <r>
    <x v="4"/>
    <x v="9"/>
    <s v="JBS"/>
    <x v="4"/>
    <x v="4"/>
    <n v="597348"/>
  </r>
  <r>
    <x v="4"/>
    <x v="9"/>
    <s v="Cargill"/>
    <x v="4"/>
    <x v="4"/>
    <n v="537650"/>
  </r>
  <r>
    <x v="4"/>
    <x v="9"/>
    <s v="Pool"/>
    <x v="5"/>
    <x v="5"/>
    <n v="2515096"/>
  </r>
  <r>
    <x v="4"/>
    <x v="9"/>
    <s v="Pool Excedente"/>
    <x v="5"/>
    <x v="5"/>
    <n v="86043"/>
  </r>
  <r>
    <x v="4"/>
    <x v="9"/>
    <s v="Methanex"/>
    <x v="6"/>
    <x v="6"/>
    <n v="7893225"/>
  </r>
  <r>
    <x v="4"/>
    <x v="9"/>
    <s v="Mitsubishi"/>
    <x v="6"/>
    <x v="6"/>
    <n v="5054137"/>
  </r>
  <r>
    <x v="4"/>
    <x v="9"/>
    <s v="Valenz"/>
    <x v="6"/>
    <x v="6"/>
    <n v="6057428"/>
  </r>
  <r>
    <x v="4"/>
    <x v="9"/>
    <s v="Evonik"/>
    <x v="8"/>
    <x v="0"/>
    <n v="439941"/>
  </r>
  <r>
    <x v="4"/>
    <x v="9"/>
    <s v="OQ"/>
    <x v="6"/>
    <x v="6"/>
    <n v="546830"/>
  </r>
  <r>
    <x v="4"/>
    <x v="9"/>
    <s v="Celena"/>
    <x v="4"/>
    <x v="4"/>
    <n v="2000426"/>
  </r>
  <r>
    <x v="4"/>
    <x v="9"/>
    <s v="AAK"/>
    <x v="4"/>
    <x v="4"/>
    <n v="846373"/>
  </r>
  <r>
    <x v="4"/>
    <x v="9"/>
    <s v="Cargill"/>
    <x v="5"/>
    <x v="5"/>
    <n v="208762"/>
  </r>
  <r>
    <x v="4"/>
    <x v="9"/>
    <s v="Agropalma"/>
    <x v="4"/>
    <x v="4"/>
    <n v="466210"/>
  </r>
  <r>
    <x v="4"/>
    <x v="9"/>
    <s v="Brenntag"/>
    <x v="3"/>
    <x v="3"/>
    <n v="306345"/>
  </r>
  <r>
    <x v="4"/>
    <x v="9"/>
    <s v="Olin"/>
    <x v="3"/>
    <x v="3"/>
    <n v="1779629"/>
  </r>
  <r>
    <x v="4"/>
    <x v="9"/>
    <s v="BSBIOS"/>
    <x v="12"/>
    <x v="7"/>
    <n v="437969"/>
  </r>
  <r>
    <x v="4"/>
    <x v="9"/>
    <s v="Coamo"/>
    <x v="4"/>
    <x v="4"/>
    <n v="208225"/>
  </r>
  <r>
    <x v="4"/>
    <x v="9"/>
    <s v="Atem"/>
    <x v="2"/>
    <x v="2"/>
    <n v="1147677"/>
  </r>
  <r>
    <x v="4"/>
    <x v="9"/>
    <s v="Ingredion"/>
    <x v="5"/>
    <x v="5"/>
    <n v="230660"/>
  </r>
  <r>
    <x v="4"/>
    <x v="9"/>
    <s v="Ciapetro"/>
    <x v="2"/>
    <x v="2"/>
    <n v="1076739"/>
  </r>
  <r>
    <x v="4"/>
    <x v="9"/>
    <s v="Tereos/Inpasa/Glencore/FS"/>
    <x v="10"/>
    <x v="7"/>
    <n v="900000"/>
  </r>
  <r>
    <x v="4"/>
    <x v="9"/>
    <s v="Ares"/>
    <x v="4"/>
    <x v="4"/>
    <n v="608544"/>
  </r>
  <r>
    <x v="4"/>
    <x v="9"/>
    <s v="Acostagem"/>
    <x v="15"/>
    <x v="8"/>
    <n v="477340.8118749999"/>
  </r>
  <r>
    <x v="4"/>
    <x v="9"/>
    <s v="ICOF"/>
    <x v="4"/>
    <x v="4"/>
    <n v="557826"/>
  </r>
  <r>
    <x v="4"/>
    <x v="9"/>
    <s v="GPC"/>
    <x v="3"/>
    <x v="3"/>
    <n v="136044"/>
  </r>
  <r>
    <x v="4"/>
    <x v="9"/>
    <s v="Inpasa"/>
    <x v="10"/>
    <x v="7"/>
    <n v="1548779"/>
  </r>
  <r>
    <x v="4"/>
    <x v="10"/>
    <s v="Adisseo"/>
    <x v="0"/>
    <x v="0"/>
    <n v="878484"/>
  </r>
  <r>
    <x v="4"/>
    <x v="10"/>
    <s v="Bunge"/>
    <x v="4"/>
    <x v="4"/>
    <n v="396917"/>
  </r>
  <r>
    <x v="4"/>
    <x v="10"/>
    <s v="ADM"/>
    <x v="5"/>
    <x v="5"/>
    <n v="168574"/>
  </r>
  <r>
    <x v="4"/>
    <x v="10"/>
    <s v="Ipiranga"/>
    <x v="2"/>
    <x v="2"/>
    <n v="5957914"/>
  </r>
  <r>
    <x v="4"/>
    <x v="10"/>
    <s v="Raizen"/>
    <x v="2"/>
    <x v="2"/>
    <n v="3979329"/>
  </r>
  <r>
    <x v="4"/>
    <x v="10"/>
    <s v="Vibra"/>
    <x v="2"/>
    <x v="2"/>
    <n v="1971343"/>
  </r>
  <r>
    <x v="4"/>
    <x v="10"/>
    <s v="Sul Plata"/>
    <x v="2"/>
    <x v="2"/>
    <n v="3059732"/>
  </r>
  <r>
    <x v="4"/>
    <x v="10"/>
    <s v="JBS"/>
    <x v="3"/>
    <x v="3"/>
    <n v="255763"/>
  </r>
  <r>
    <x v="4"/>
    <x v="10"/>
    <s v="Tricon"/>
    <x v="3"/>
    <x v="3"/>
    <n v="406299"/>
  </r>
  <r>
    <x v="4"/>
    <x v="10"/>
    <s v="Braskem"/>
    <x v="3"/>
    <x v="3"/>
    <n v="220436"/>
  </r>
  <r>
    <x v="4"/>
    <x v="10"/>
    <s v="BRF"/>
    <x v="4"/>
    <x v="4"/>
    <n v="1030619"/>
  </r>
  <r>
    <x v="4"/>
    <x v="10"/>
    <s v="JBS"/>
    <x v="4"/>
    <x v="4"/>
    <n v="597348"/>
  </r>
  <r>
    <x v="4"/>
    <x v="10"/>
    <s v="Cargill"/>
    <x v="4"/>
    <x v="4"/>
    <n v="537650"/>
  </r>
  <r>
    <x v="4"/>
    <x v="10"/>
    <s v="Pool"/>
    <x v="5"/>
    <x v="5"/>
    <n v="1368130"/>
  </r>
  <r>
    <x v="4"/>
    <x v="10"/>
    <s v="Pool Excedente"/>
    <x v="5"/>
    <x v="5"/>
    <n v="0"/>
  </r>
  <r>
    <x v="4"/>
    <x v="10"/>
    <s v="Methanex"/>
    <x v="6"/>
    <x v="6"/>
    <n v="7893225"/>
  </r>
  <r>
    <x v="4"/>
    <x v="10"/>
    <s v="Mitsubishi"/>
    <x v="6"/>
    <x v="6"/>
    <n v="5054137"/>
  </r>
  <r>
    <x v="4"/>
    <x v="10"/>
    <s v="Valenz"/>
    <x v="6"/>
    <x v="6"/>
    <n v="6057428"/>
  </r>
  <r>
    <x v="4"/>
    <x v="10"/>
    <s v="Evonik"/>
    <x v="8"/>
    <x v="0"/>
    <n v="439941"/>
  </r>
  <r>
    <x v="4"/>
    <x v="10"/>
    <s v="OQ"/>
    <x v="6"/>
    <x v="6"/>
    <n v="546830"/>
  </r>
  <r>
    <x v="4"/>
    <x v="10"/>
    <s v="Celena"/>
    <x v="4"/>
    <x v="4"/>
    <n v="2000426"/>
  </r>
  <r>
    <x v="4"/>
    <x v="10"/>
    <s v="AAK"/>
    <x v="4"/>
    <x v="4"/>
    <n v="846373"/>
  </r>
  <r>
    <x v="4"/>
    <x v="10"/>
    <s v="Cargill"/>
    <x v="5"/>
    <x v="5"/>
    <n v="245362"/>
  </r>
  <r>
    <x v="4"/>
    <x v="10"/>
    <s v="Agropalma"/>
    <x v="4"/>
    <x v="4"/>
    <n v="466210"/>
  </r>
  <r>
    <x v="4"/>
    <x v="10"/>
    <s v="Brenntag"/>
    <x v="3"/>
    <x v="3"/>
    <n v="306345"/>
  </r>
  <r>
    <x v="4"/>
    <x v="10"/>
    <s v="Olin"/>
    <x v="3"/>
    <x v="3"/>
    <n v="1779629"/>
  </r>
  <r>
    <x v="4"/>
    <x v="10"/>
    <s v="BSBIOS"/>
    <x v="12"/>
    <x v="7"/>
    <n v="437969"/>
  </r>
  <r>
    <x v="4"/>
    <x v="10"/>
    <s v="Coamo"/>
    <x v="4"/>
    <x v="4"/>
    <n v="208225"/>
  </r>
  <r>
    <x v="4"/>
    <x v="10"/>
    <s v="Atem"/>
    <x v="2"/>
    <x v="2"/>
    <n v="1147677"/>
  </r>
  <r>
    <x v="4"/>
    <x v="10"/>
    <s v="Ingredion"/>
    <x v="5"/>
    <x v="5"/>
    <n v="290026"/>
  </r>
  <r>
    <x v="4"/>
    <x v="10"/>
    <s v="Ciapetro"/>
    <x v="2"/>
    <x v="2"/>
    <n v="1076739"/>
  </r>
  <r>
    <x v="4"/>
    <x v="10"/>
    <s v="Tereos/Inpasa/Glencore/FS"/>
    <x v="10"/>
    <x v="7"/>
    <n v="900000"/>
  </r>
  <r>
    <x v="4"/>
    <x v="10"/>
    <s v="Ares"/>
    <x v="4"/>
    <x v="4"/>
    <n v="608544"/>
  </r>
  <r>
    <x v="4"/>
    <x v="10"/>
    <s v="Acostagem"/>
    <x v="15"/>
    <x v="8"/>
    <n v="473456.25"/>
  </r>
  <r>
    <x v="4"/>
    <x v="10"/>
    <s v="ICOF"/>
    <x v="4"/>
    <x v="4"/>
    <n v="557826"/>
  </r>
  <r>
    <x v="4"/>
    <x v="10"/>
    <s v="GPC"/>
    <x v="3"/>
    <x v="3"/>
    <n v="136044"/>
  </r>
  <r>
    <x v="4"/>
    <x v="10"/>
    <s v="Inpasa"/>
    <x v="10"/>
    <x v="7"/>
    <n v="1548779"/>
  </r>
  <r>
    <x v="4"/>
    <x v="11"/>
    <s v="Adisseo"/>
    <x v="0"/>
    <x v="0"/>
    <n v="878484"/>
  </r>
  <r>
    <x v="4"/>
    <x v="11"/>
    <s v="Bunge"/>
    <x v="4"/>
    <x v="4"/>
    <n v="396917"/>
  </r>
  <r>
    <x v="4"/>
    <x v="11"/>
    <s v="ADM"/>
    <x v="5"/>
    <x v="5"/>
    <n v="168574"/>
  </r>
  <r>
    <x v="4"/>
    <x v="11"/>
    <s v="Ipiranga"/>
    <x v="2"/>
    <x v="2"/>
    <n v="5957914"/>
  </r>
  <r>
    <x v="4"/>
    <x v="11"/>
    <s v="Raizen"/>
    <x v="2"/>
    <x v="2"/>
    <n v="3979329"/>
  </r>
  <r>
    <x v="4"/>
    <x v="11"/>
    <s v="Vibra"/>
    <x v="2"/>
    <x v="2"/>
    <n v="1971343"/>
  </r>
  <r>
    <x v="4"/>
    <x v="11"/>
    <s v="Sul Plata"/>
    <x v="2"/>
    <x v="2"/>
    <n v="3059732"/>
  </r>
  <r>
    <x v="4"/>
    <x v="11"/>
    <s v="JBS"/>
    <x v="3"/>
    <x v="3"/>
    <n v="255763"/>
  </r>
  <r>
    <x v="4"/>
    <x v="11"/>
    <s v="Tricon"/>
    <x v="3"/>
    <x v="3"/>
    <n v="406299"/>
  </r>
  <r>
    <x v="4"/>
    <x v="11"/>
    <s v="Braskem"/>
    <x v="3"/>
    <x v="3"/>
    <n v="220436"/>
  </r>
  <r>
    <x v="4"/>
    <x v="11"/>
    <s v="BRF"/>
    <x v="4"/>
    <x v="4"/>
    <n v="1030619"/>
  </r>
  <r>
    <x v="4"/>
    <x v="11"/>
    <s v="JBS"/>
    <x v="4"/>
    <x v="4"/>
    <n v="597348"/>
  </r>
  <r>
    <x v="4"/>
    <x v="11"/>
    <s v="Cargill"/>
    <x v="4"/>
    <x v="4"/>
    <n v="537650"/>
  </r>
  <r>
    <x v="4"/>
    <x v="11"/>
    <s v="Pool"/>
    <x v="5"/>
    <x v="5"/>
    <n v="1052407"/>
  </r>
  <r>
    <x v="4"/>
    <x v="11"/>
    <s v="Pool Excedente"/>
    <x v="5"/>
    <x v="5"/>
    <n v="86043"/>
  </r>
  <r>
    <x v="4"/>
    <x v="11"/>
    <s v="Methanex"/>
    <x v="6"/>
    <x v="6"/>
    <n v="7893225"/>
  </r>
  <r>
    <x v="4"/>
    <x v="11"/>
    <s v="Mitsubishi"/>
    <x v="6"/>
    <x v="6"/>
    <n v="5054137"/>
  </r>
  <r>
    <x v="4"/>
    <x v="11"/>
    <s v="Valenz"/>
    <x v="6"/>
    <x v="6"/>
    <n v="6057428"/>
  </r>
  <r>
    <x v="4"/>
    <x v="11"/>
    <s v="Evonik"/>
    <x v="8"/>
    <x v="0"/>
    <n v="439941"/>
  </r>
  <r>
    <x v="4"/>
    <x v="11"/>
    <s v="OQ"/>
    <x v="6"/>
    <x v="6"/>
    <n v="546830"/>
  </r>
  <r>
    <x v="4"/>
    <x v="11"/>
    <s v="Celena"/>
    <x v="4"/>
    <x v="4"/>
    <n v="2000426"/>
  </r>
  <r>
    <x v="4"/>
    <x v="11"/>
    <s v="AAK"/>
    <x v="4"/>
    <x v="4"/>
    <n v="846373"/>
  </r>
  <r>
    <x v="4"/>
    <x v="11"/>
    <s v="Cargill"/>
    <x v="5"/>
    <x v="5"/>
    <n v="208762"/>
  </r>
  <r>
    <x v="4"/>
    <x v="11"/>
    <s v="Agropalma"/>
    <x v="4"/>
    <x v="4"/>
    <n v="466210"/>
  </r>
  <r>
    <x v="4"/>
    <x v="11"/>
    <s v="Brenntag"/>
    <x v="3"/>
    <x v="3"/>
    <n v="306345"/>
  </r>
  <r>
    <x v="4"/>
    <x v="11"/>
    <s v="Olin"/>
    <x v="3"/>
    <x v="3"/>
    <n v="1779629"/>
  </r>
  <r>
    <x v="4"/>
    <x v="11"/>
    <s v="BSBIOS"/>
    <x v="12"/>
    <x v="7"/>
    <n v="437969"/>
  </r>
  <r>
    <x v="4"/>
    <x v="11"/>
    <s v="Coamo"/>
    <x v="4"/>
    <x v="4"/>
    <n v="208225"/>
  </r>
  <r>
    <x v="4"/>
    <x v="11"/>
    <s v="Atem"/>
    <x v="2"/>
    <x v="2"/>
    <n v="1147677"/>
  </r>
  <r>
    <x v="4"/>
    <x v="11"/>
    <s v="Ingredion"/>
    <x v="5"/>
    <x v="5"/>
    <n v="230660"/>
  </r>
  <r>
    <x v="4"/>
    <x v="11"/>
    <s v="Ciapetro"/>
    <x v="2"/>
    <x v="2"/>
    <n v="1076739"/>
  </r>
  <r>
    <x v="4"/>
    <x v="11"/>
    <s v="Tereos/Inpasa/Glencore/FS"/>
    <x v="10"/>
    <x v="7"/>
    <n v="900000"/>
  </r>
  <r>
    <x v="4"/>
    <x v="11"/>
    <s v="Ares"/>
    <x v="4"/>
    <x v="4"/>
    <n v="608544"/>
  </r>
  <r>
    <x v="4"/>
    <x v="11"/>
    <s v="Acostagem"/>
    <x v="15"/>
    <x v="8"/>
    <n v="449611.25"/>
  </r>
  <r>
    <x v="4"/>
    <x v="11"/>
    <s v="ICOF"/>
    <x v="4"/>
    <x v="4"/>
    <n v="557826"/>
  </r>
  <r>
    <x v="4"/>
    <x v="11"/>
    <s v="GPC"/>
    <x v="3"/>
    <x v="3"/>
    <n v="158585"/>
  </r>
  <r>
    <x v="4"/>
    <x v="11"/>
    <s v="Inpasa"/>
    <x v="10"/>
    <x v="7"/>
    <n v="1548779"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  <r>
    <x v="5"/>
    <x v="15"/>
    <m/>
    <x v="16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F9813-8F41-4AED-8227-466B58FCE990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9" firstHeaderRow="1" firstDataRow="2" firstDataCol="1" rowPageCount="1" colPageCount="1"/>
  <pivotFields count="6">
    <pivotField axis="axisCol" showAll="0">
      <items count="9">
        <item m="1" x="6"/>
        <item m="1" x="7"/>
        <item x="0"/>
        <item x="1"/>
        <item x="2"/>
        <item x="3"/>
        <item x="5"/>
        <item x="4"/>
        <item t="default"/>
      </items>
    </pivotField>
    <pivotField axis="axisPage" multipleItemSelectionAllowed="1" showAll="0">
      <items count="17">
        <item x="1"/>
        <item x="2"/>
        <item x="3"/>
        <item x="4"/>
        <item x="5"/>
        <item x="14"/>
        <item x="15"/>
        <item x="6"/>
        <item x="7"/>
        <item x="8"/>
        <item x="9"/>
        <item x="10"/>
        <item x="11"/>
        <item x="0"/>
        <item x="13"/>
        <item x="12"/>
        <item t="default"/>
      </items>
    </pivotField>
    <pivotField showAll="0"/>
    <pivotField axis="axisRow" showAll="0">
      <items count="40"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1"/>
        <item x="13"/>
        <item m="1" x="26"/>
        <item m="1" x="35"/>
        <item m="1" x="36"/>
        <item m="1" x="37"/>
        <item m="1" x="27"/>
        <item m="1" x="28"/>
        <item m="1" x="29"/>
        <item x="6"/>
        <item x="12"/>
        <item m="1" x="30"/>
        <item m="1" x="31"/>
        <item x="11"/>
        <item m="1" x="38"/>
        <item m="1" x="32"/>
        <item m="1" x="33"/>
        <item m="1" x="34"/>
        <item x="3"/>
        <item h="1" x="16"/>
        <item x="0"/>
        <item x="4"/>
        <item x="5"/>
        <item x="2"/>
        <item x="8"/>
        <item x="14"/>
        <item x="10"/>
        <item x="15"/>
        <item h="1" x="7"/>
        <item h="1" x="9"/>
        <item t="default"/>
      </items>
    </pivotField>
    <pivotField showAll="0"/>
    <pivotField dataField="1" showAll="0"/>
  </pivotFields>
  <rowFields count="1">
    <field x="3"/>
  </rowFields>
  <rowItems count="15">
    <i>
      <x v="9"/>
    </i>
    <i>
      <x v="10"/>
    </i>
    <i>
      <x v="18"/>
    </i>
    <i>
      <x v="19"/>
    </i>
    <i>
      <x v="22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0"/>
  </colFields>
  <colItems count="6">
    <i>
      <x v="2"/>
    </i>
    <i>
      <x v="3"/>
    </i>
    <i>
      <x v="4"/>
    </i>
    <i>
      <x v="5"/>
    </i>
    <i>
      <x v="7"/>
    </i>
    <i t="grand">
      <x/>
    </i>
  </colItems>
  <pageFields count="1">
    <pageField fld="1" hier="-1"/>
  </pageFields>
  <dataFields count="1">
    <dataField name="Soma de Faturamento (R$)" fld="5" baseField="0" baseItem="0"/>
  </dataFields>
  <formats count="5">
    <format dxfId="39">
      <pivotArea outline="0" collapsedLevelsAreSubtotals="1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1D52C-21F5-4729-B8A3-2EF6084370D5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3" firstHeaderRow="1" firstDataRow="2" firstDataCol="1" rowPageCount="1" colPageCount="1"/>
  <pivotFields count="6">
    <pivotField axis="axisCol" showAll="0">
      <items count="9">
        <item m="1" x="6"/>
        <item m="1" x="7"/>
        <item x="0"/>
        <item x="1"/>
        <item x="2"/>
        <item x="3"/>
        <item x="5"/>
        <item x="4"/>
        <item t="default"/>
      </items>
    </pivotField>
    <pivotField axis="axisPage" multipleItemSelectionAllowed="1" showAll="0">
      <items count="17">
        <item x="1"/>
        <item x="2"/>
        <item x="3"/>
        <item x="4"/>
        <item x="5"/>
        <item x="14"/>
        <item x="15"/>
        <item x="6"/>
        <item x="7"/>
        <item x="8"/>
        <item x="9"/>
        <item x="10"/>
        <item x="11"/>
        <item x="0"/>
        <item x="13"/>
        <item x="12"/>
        <item t="default"/>
      </items>
    </pivotField>
    <pivotField showAll="0"/>
    <pivotField showAll="0"/>
    <pivotField axis="axisRow" showAll="0">
      <items count="11">
        <item x="4"/>
        <item x="7"/>
        <item x="2"/>
        <item x="6"/>
        <item x="5"/>
        <item x="0"/>
        <item x="3"/>
        <item h="1" x="9"/>
        <item x="8"/>
        <item h="1" x="1"/>
        <item t="default"/>
      </items>
    </pivotField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0"/>
  </colFields>
  <colItems count="6">
    <i>
      <x v="2"/>
    </i>
    <i>
      <x v="3"/>
    </i>
    <i>
      <x v="4"/>
    </i>
    <i>
      <x v="5"/>
    </i>
    <i>
      <x v="7"/>
    </i>
    <i t="grand">
      <x/>
    </i>
  </colItems>
  <pageFields count="1">
    <pageField fld="1" hier="-1"/>
  </pageFields>
  <dataFields count="1">
    <dataField name="Soma de Faturamento (R$)" fld="5" baseField="0" baseItem="0"/>
  </dataFields>
  <formats count="5">
    <format dxfId="34">
      <pivotArea outline="0" collapsedLevelsAreSubtotals="1" fieldPosition="0"/>
    </format>
    <format dxfId="33">
      <pivotArea field="0" type="button" dataOnly="0" labelOnly="1" outline="0" axis="axisCol" fieldPosition="0"/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A945AEA4-566E-4529-86A6-2A4ED8154204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#" tableColumnId="2"/>
      <queryTableField id="3" name="CT" tableColumnId="3"/>
      <queryTableField id="4" name="Cliente" tableColumnId="4"/>
      <queryTableField id="5" name="Produto" tableColumnId="5"/>
      <queryTableField id="6" name="Column19" tableColumnId="6"/>
      <queryTableField id="7" name="Ano" tableColumnId="7"/>
      <queryTableField id="8" name="Atributo" tableColumnId="8"/>
      <queryTableField id="9" name="Val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firstBackgroundRefresh="1" connectionId="2" xr16:uid="{29B1C43D-603E-47CB-807C-E71AC7F79CCE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230E7-5FAA-400F-AC7A-0CE5B59810E6}" name="Tabela1" displayName="Tabela1" ref="A1:G2444" totalsRowShown="0" headerRowDxfId="44">
  <autoFilter ref="A1:G2444" xr:uid="{EA5230E7-5FAA-400F-AC7A-0CE5B59810E6}"/>
  <tableColumns count="7">
    <tableColumn id="1" xr3:uid="{A812E594-27BF-4C64-B3F2-D8C0A2F70556}" name="ANO"/>
    <tableColumn id="2" xr3:uid="{1EBFF642-405B-4621-AB38-ADCA272ED576}" name="MÊS"/>
    <tableColumn id="3" xr3:uid="{A934E267-C903-41CF-B3D8-028D0BBD296F}" name="Cliente"/>
    <tableColumn id="4" xr3:uid="{95BBC264-BF0C-4E3D-8A1C-6D89927C4F81}" name="PRODUTO"/>
    <tableColumn id="5" xr3:uid="{938DC7DC-7A0F-403A-9B2A-FDD60692B00A}" name="GRUPO DE PRODUTOS" dataDxfId="43">
      <calculatedColumnFormula>VLOOKUP(D2,'[2]Lista de Produtos CLASSIFICAÇÃO'!$E$103:$F$114,2,FALSE)</calculatedColumnFormula>
    </tableColumn>
    <tableColumn id="6" xr3:uid="{E2136268-0AFA-4FCE-BD0B-98ED674B1157}" name="Movimentação(TON)"/>
    <tableColumn id="7" xr3:uid="{92ABB8F0-9D57-4C6B-812F-B5ED758F4FA9}" name="Grupo de Cliente">
      <calculatedColumnFormula>VLOOKUP(Tabela1[[#This Row],[Cliente]],clientes!$C$3:$D$60,2,FALSE)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D6DE95-D1FE-406F-8C0B-9D87A9D67AD4}" name="Projeção___Ton__Movimentação" displayName="Projeção___Ton__Movimentação" ref="A1:I338" tableType="queryTable" totalsRowShown="0">
  <autoFilter ref="A1:I338" xr:uid="{93D6DE95-D1FE-406F-8C0B-9D87A9D67AD4}"/>
  <tableColumns count="9">
    <tableColumn id="1" xr3:uid="{BF8ECF2F-EBF5-4945-A0BF-567F1CD6A5E0}" uniqueName="1" name="ID" queryTableFieldId="1"/>
    <tableColumn id="2" xr3:uid="{F033F0BC-097D-47CF-863B-3C289D9A77E4}" uniqueName="2" name="#" queryTableFieldId="2"/>
    <tableColumn id="3" xr3:uid="{F593398C-B5D8-4F27-A1B6-7CA5B26E4756}" uniqueName="3" name="CT" queryTableFieldId="3" dataDxfId="42"/>
    <tableColumn id="4" xr3:uid="{35FE0A03-671B-4C0C-98B5-6C68D07309E8}" uniqueName="4" name="Cliente" queryTableFieldId="4" dataDxfId="41"/>
    <tableColumn id="5" xr3:uid="{065B3D61-F8D1-430C-8EB6-E61C8560B17E}" uniqueName="5" name="Produto" queryTableFieldId="5"/>
    <tableColumn id="6" xr3:uid="{3E159D43-12AB-48FF-956A-152782A9F8CB}" uniqueName="6" name="Column19" queryTableFieldId="6"/>
    <tableColumn id="7" xr3:uid="{FE962664-2CEF-41F0-8A39-B4CB827B2831}" uniqueName="7" name="Ano" queryTableFieldId="7"/>
    <tableColumn id="8" xr3:uid="{864B4DFF-B53D-43DE-BCD8-240707CA5E3D}" uniqueName="8" name="Atributo" queryTableFieldId="8" dataDxfId="40"/>
    <tableColumn id="9" xr3:uid="{CA15C919-22CE-4DED-93E4-3FC4E07004AF}" uniqueName="9" name="Valo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DF46-9632-4A67-8B0F-EED9E8B8A151}">
  <sheetPr codeName="Planilha1"/>
  <dimension ref="A1:Q144"/>
  <sheetViews>
    <sheetView showGridLines="0" topLeftCell="A118" workbookViewId="0">
      <selection activeCell="A147" sqref="A147"/>
    </sheetView>
  </sheetViews>
  <sheetFormatPr defaultRowHeight="15" x14ac:dyDescent="0.25"/>
  <cols>
    <col min="1" max="1" width="27.85546875" style="10" bestFit="1" customWidth="1"/>
    <col min="2" max="2" width="15.7109375" bestFit="1" customWidth="1"/>
    <col min="3" max="3" width="13.5703125" style="17" bestFit="1" customWidth="1"/>
    <col min="5" max="5" width="16.42578125" bestFit="1" customWidth="1"/>
    <col min="7" max="7" width="10" customWidth="1"/>
    <col min="8" max="8" width="8.28515625" customWidth="1"/>
    <col min="9" max="9" width="15.5703125" bestFit="1" customWidth="1"/>
    <col min="12" max="12" width="26" bestFit="1" customWidth="1"/>
    <col min="13" max="13" width="25.28515625" bestFit="1" customWidth="1"/>
    <col min="14" max="14" width="23.42578125" bestFit="1" customWidth="1"/>
    <col min="15" max="15" width="16.28515625" bestFit="1" customWidth="1"/>
    <col min="16" max="17" width="28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I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</row>
    <row r="2" spans="1:17" x14ac:dyDescent="0.25">
      <c r="A2" s="4" t="s">
        <v>10</v>
      </c>
      <c r="B2" s="5" t="s">
        <v>9</v>
      </c>
      <c r="C2" s="6">
        <v>0.9</v>
      </c>
      <c r="H2" s="7"/>
      <c r="I2" s="22" t="s">
        <v>4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 s="8" t="s">
        <v>17</v>
      </c>
      <c r="B3" s="5" t="s">
        <v>18</v>
      </c>
      <c r="C3" s="9">
        <v>0</v>
      </c>
      <c r="H3" s="7"/>
      <c r="I3" s="22" t="s">
        <v>5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</row>
    <row r="4" spans="1:17" x14ac:dyDescent="0.25">
      <c r="A4" s="8" t="s">
        <v>17</v>
      </c>
      <c r="B4" s="5" t="s">
        <v>9</v>
      </c>
      <c r="C4" s="9">
        <v>0.92</v>
      </c>
      <c r="H4" s="7"/>
      <c r="I4" s="22" t="s">
        <v>6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</row>
    <row r="5" spans="1:17" x14ac:dyDescent="0.25">
      <c r="A5" s="8" t="s">
        <v>31</v>
      </c>
      <c r="B5" s="5" t="s">
        <v>9</v>
      </c>
      <c r="C5" s="9">
        <v>0.79</v>
      </c>
      <c r="G5" s="10"/>
      <c r="H5" s="7"/>
      <c r="I5" s="22" t="s">
        <v>7</v>
      </c>
      <c r="L5" t="s">
        <v>32</v>
      </c>
      <c r="M5" t="s">
        <v>33</v>
      </c>
      <c r="N5" t="s">
        <v>34</v>
      </c>
      <c r="P5" t="s">
        <v>35</v>
      </c>
      <c r="Q5" t="s">
        <v>36</v>
      </c>
    </row>
    <row r="6" spans="1:17" x14ac:dyDescent="0.25">
      <c r="A6" s="11" t="s">
        <v>12</v>
      </c>
      <c r="B6" s="5" t="s">
        <v>5</v>
      </c>
      <c r="C6" s="9">
        <v>0.8</v>
      </c>
      <c r="H6" s="7"/>
      <c r="I6" s="22" t="s">
        <v>8</v>
      </c>
      <c r="L6" t="s">
        <v>37</v>
      </c>
      <c r="N6" t="s">
        <v>38</v>
      </c>
      <c r="P6" t="s">
        <v>39</v>
      </c>
      <c r="Q6" t="s">
        <v>40</v>
      </c>
    </row>
    <row r="7" spans="1:17" x14ac:dyDescent="0.25">
      <c r="A7" s="11" t="s">
        <v>20</v>
      </c>
      <c r="B7" s="5" t="s">
        <v>5</v>
      </c>
      <c r="C7" s="9">
        <v>0.8</v>
      </c>
      <c r="H7" s="7"/>
      <c r="I7" s="22" t="s">
        <v>18</v>
      </c>
      <c r="L7" t="s">
        <v>41</v>
      </c>
      <c r="N7" t="s">
        <v>42</v>
      </c>
      <c r="P7" t="s">
        <v>43</v>
      </c>
      <c r="Q7" t="s">
        <v>44</v>
      </c>
    </row>
    <row r="8" spans="1:17" x14ac:dyDescent="0.25">
      <c r="A8" s="11" t="s">
        <v>14</v>
      </c>
      <c r="B8" s="5" t="s">
        <v>7</v>
      </c>
      <c r="C8" s="9">
        <v>0.79</v>
      </c>
      <c r="G8" s="12"/>
      <c r="H8" s="7"/>
      <c r="I8" s="22" t="s">
        <v>45</v>
      </c>
      <c r="L8" t="s">
        <v>46</v>
      </c>
      <c r="N8" t="s">
        <v>47</v>
      </c>
      <c r="P8" t="s">
        <v>48</v>
      </c>
      <c r="Q8" t="s">
        <v>49</v>
      </c>
    </row>
    <row r="9" spans="1:17" x14ac:dyDescent="0.25">
      <c r="A9" s="13" t="s">
        <v>16</v>
      </c>
      <c r="B9" s="5" t="s">
        <v>9</v>
      </c>
      <c r="C9" s="9">
        <v>1.3</v>
      </c>
      <c r="H9" s="7"/>
      <c r="I9" s="22" t="s">
        <v>9</v>
      </c>
      <c r="L9" t="s">
        <v>50</v>
      </c>
      <c r="N9" t="s">
        <v>51</v>
      </c>
      <c r="P9" t="s">
        <v>52</v>
      </c>
      <c r="Q9" t="s">
        <v>53</v>
      </c>
    </row>
    <row r="10" spans="1:17" x14ac:dyDescent="0.25">
      <c r="A10" s="4" t="s">
        <v>13</v>
      </c>
      <c r="B10" s="5" t="s">
        <v>6</v>
      </c>
      <c r="C10" s="9">
        <v>0.7</v>
      </c>
      <c r="G10" s="12"/>
      <c r="L10" t="s">
        <v>54</v>
      </c>
      <c r="N10" t="s">
        <v>55</v>
      </c>
      <c r="P10" t="s">
        <v>56</v>
      </c>
      <c r="Q10" t="s">
        <v>57</v>
      </c>
    </row>
    <row r="11" spans="1:17" x14ac:dyDescent="0.25">
      <c r="A11" s="8" t="s">
        <v>26</v>
      </c>
      <c r="B11" s="5" t="s">
        <v>5</v>
      </c>
      <c r="C11" s="9">
        <v>0.86</v>
      </c>
      <c r="L11" t="s">
        <v>58</v>
      </c>
      <c r="N11" t="s">
        <v>59</v>
      </c>
      <c r="P11" t="s">
        <v>60</v>
      </c>
      <c r="Q11" t="s">
        <v>61</v>
      </c>
    </row>
    <row r="12" spans="1:17" x14ac:dyDescent="0.25">
      <c r="A12" s="13" t="s">
        <v>11</v>
      </c>
      <c r="B12" s="5" t="s">
        <v>4</v>
      </c>
      <c r="C12" s="9">
        <v>0.9</v>
      </c>
      <c r="L12" t="s">
        <v>62</v>
      </c>
      <c r="N12" t="s">
        <v>63</v>
      </c>
      <c r="P12" t="s">
        <v>64</v>
      </c>
      <c r="Q12" t="s">
        <v>65</v>
      </c>
    </row>
    <row r="13" spans="1:17" x14ac:dyDescent="0.25">
      <c r="A13" s="8" t="s">
        <v>15</v>
      </c>
      <c r="B13" s="5" t="s">
        <v>8</v>
      </c>
      <c r="C13" s="9">
        <v>0.92</v>
      </c>
      <c r="H13" s="18" t="s">
        <v>18</v>
      </c>
      <c r="I13" s="18" t="s">
        <v>116</v>
      </c>
      <c r="L13" t="s">
        <v>66</v>
      </c>
      <c r="N13" t="s">
        <v>67</v>
      </c>
      <c r="Q13" t="s">
        <v>68</v>
      </c>
    </row>
    <row r="14" spans="1:17" x14ac:dyDescent="0.25">
      <c r="A14" s="8" t="s">
        <v>21</v>
      </c>
      <c r="B14" s="5" t="s">
        <v>6</v>
      </c>
      <c r="C14" s="9">
        <v>0.83</v>
      </c>
      <c r="H14" s="19" t="s">
        <v>119</v>
      </c>
      <c r="I14" s="19" t="s">
        <v>117</v>
      </c>
      <c r="J14" s="20" t="s">
        <v>122</v>
      </c>
      <c r="L14" t="s">
        <v>69</v>
      </c>
      <c r="N14" t="s">
        <v>70</v>
      </c>
      <c r="Q14" t="s">
        <v>71</v>
      </c>
    </row>
    <row r="15" spans="1:17" x14ac:dyDescent="0.25">
      <c r="A15" s="13" t="s">
        <v>27</v>
      </c>
      <c r="B15" s="5" t="s">
        <v>6</v>
      </c>
      <c r="C15" s="9">
        <v>0.83</v>
      </c>
      <c r="H15" s="18" t="s">
        <v>4</v>
      </c>
      <c r="I15" s="18" t="s">
        <v>45</v>
      </c>
      <c r="J15" s="20" t="s">
        <v>115</v>
      </c>
      <c r="L15" t="s">
        <v>72</v>
      </c>
      <c r="N15" t="s">
        <v>73</v>
      </c>
      <c r="Q15" t="s">
        <v>74</v>
      </c>
    </row>
    <row r="16" spans="1:17" x14ac:dyDescent="0.25">
      <c r="A16" s="8" t="s">
        <v>24</v>
      </c>
      <c r="B16" s="5" t="s">
        <v>9</v>
      </c>
      <c r="C16" s="9">
        <v>1</v>
      </c>
      <c r="H16" s="19" t="s">
        <v>118</v>
      </c>
      <c r="I16" s="18" t="s">
        <v>118</v>
      </c>
      <c r="J16" s="20" t="s">
        <v>26</v>
      </c>
      <c r="L16" t="s">
        <v>75</v>
      </c>
      <c r="N16" t="s">
        <v>76</v>
      </c>
      <c r="Q16" t="s">
        <v>77</v>
      </c>
    </row>
    <row r="17" spans="1:17" x14ac:dyDescent="0.25">
      <c r="A17" s="8" t="s">
        <v>34</v>
      </c>
      <c r="B17" s="5" t="s">
        <v>6</v>
      </c>
      <c r="C17" s="9">
        <v>0.83</v>
      </c>
      <c r="H17" t="s">
        <v>6</v>
      </c>
      <c r="I17" s="18" t="s">
        <v>119</v>
      </c>
      <c r="J17" s="20" t="s">
        <v>121</v>
      </c>
      <c r="L17" t="s">
        <v>78</v>
      </c>
      <c r="Q17" t="s">
        <v>79</v>
      </c>
    </row>
    <row r="18" spans="1:17" x14ac:dyDescent="0.25">
      <c r="A18" s="13" t="s">
        <v>38</v>
      </c>
      <c r="B18" s="5" t="s">
        <v>6</v>
      </c>
      <c r="C18" s="9">
        <v>0.83</v>
      </c>
      <c r="H18" t="s">
        <v>7</v>
      </c>
      <c r="I18" s="18" t="s">
        <v>4</v>
      </c>
      <c r="J18" s="20" t="s">
        <v>123</v>
      </c>
      <c r="L18" t="s">
        <v>80</v>
      </c>
      <c r="Q18" t="s">
        <v>81</v>
      </c>
    </row>
    <row r="19" spans="1:17" x14ac:dyDescent="0.25">
      <c r="A19" s="8" t="s">
        <v>42</v>
      </c>
      <c r="B19" s="5" t="s">
        <v>6</v>
      </c>
      <c r="C19" s="9">
        <v>0.83</v>
      </c>
      <c r="H19" s="19" t="s">
        <v>116</v>
      </c>
      <c r="I19" t="s">
        <v>7</v>
      </c>
      <c r="J19" s="20" t="s">
        <v>22</v>
      </c>
      <c r="K19" s="20" t="s">
        <v>16</v>
      </c>
      <c r="L19" t="s">
        <v>82</v>
      </c>
      <c r="Q19" t="s">
        <v>83</v>
      </c>
    </row>
    <row r="20" spans="1:17" x14ac:dyDescent="0.25">
      <c r="A20" s="4" t="s">
        <v>30</v>
      </c>
      <c r="B20" s="5" t="s">
        <v>9</v>
      </c>
      <c r="C20" s="9">
        <v>1.2</v>
      </c>
      <c r="H20" s="19" t="s">
        <v>117</v>
      </c>
      <c r="I20" t="s">
        <v>6</v>
      </c>
      <c r="J20" s="20" t="s">
        <v>120</v>
      </c>
      <c r="L20" t="s">
        <v>84</v>
      </c>
      <c r="Q20" t="s">
        <v>85</v>
      </c>
    </row>
    <row r="21" spans="1:17" x14ac:dyDescent="0.25">
      <c r="A21" s="4" t="s">
        <v>36</v>
      </c>
      <c r="B21" s="5" t="s">
        <v>9</v>
      </c>
      <c r="C21" s="9">
        <v>1.2</v>
      </c>
      <c r="H21" s="23" t="s">
        <v>9</v>
      </c>
      <c r="I21" t="s">
        <v>9</v>
      </c>
      <c r="J21" s="20" t="s">
        <v>124</v>
      </c>
      <c r="Q21" t="s">
        <v>76</v>
      </c>
    </row>
    <row r="22" spans="1:17" x14ac:dyDescent="0.25">
      <c r="A22" s="8" t="s">
        <v>19</v>
      </c>
      <c r="B22" s="5" t="s">
        <v>4</v>
      </c>
      <c r="C22" s="9">
        <v>0.9</v>
      </c>
      <c r="H22" s="19" t="s">
        <v>45</v>
      </c>
      <c r="Q22" t="s">
        <v>17</v>
      </c>
    </row>
    <row r="23" spans="1:17" x14ac:dyDescent="0.25">
      <c r="A23" s="4" t="s">
        <v>25</v>
      </c>
      <c r="B23" s="5" t="s">
        <v>4</v>
      </c>
      <c r="C23" s="9">
        <v>0.9</v>
      </c>
    </row>
    <row r="24" spans="1:17" x14ac:dyDescent="0.25">
      <c r="A24" s="4" t="s">
        <v>86</v>
      </c>
      <c r="B24" s="5" t="s">
        <v>4</v>
      </c>
      <c r="C24" s="9">
        <v>0.9</v>
      </c>
    </row>
    <row r="25" spans="1:17" x14ac:dyDescent="0.25">
      <c r="A25" s="8" t="s">
        <v>33</v>
      </c>
      <c r="B25" s="5" t="s">
        <v>5</v>
      </c>
      <c r="C25" s="9">
        <v>0.8</v>
      </c>
    </row>
    <row r="26" spans="1:17" x14ac:dyDescent="0.25">
      <c r="A26" s="8" t="s">
        <v>87</v>
      </c>
      <c r="B26" s="5" t="s">
        <v>9</v>
      </c>
      <c r="C26" s="9">
        <v>1.07</v>
      </c>
    </row>
    <row r="27" spans="1:17" ht="15" customHeight="1" x14ac:dyDescent="0.25">
      <c r="A27" s="8" t="s">
        <v>47</v>
      </c>
      <c r="B27" s="5" t="s">
        <v>6</v>
      </c>
      <c r="C27" s="9">
        <v>0.83</v>
      </c>
    </row>
    <row r="28" spans="1:17" x14ac:dyDescent="0.25">
      <c r="A28" s="4" t="s">
        <v>40</v>
      </c>
      <c r="B28" s="5" t="s">
        <v>9</v>
      </c>
      <c r="C28" s="9">
        <v>1.3</v>
      </c>
    </row>
    <row r="29" spans="1:17" x14ac:dyDescent="0.25">
      <c r="A29" s="13" t="s">
        <v>44</v>
      </c>
      <c r="B29" s="5" t="s">
        <v>9</v>
      </c>
      <c r="C29" s="9">
        <v>1.3</v>
      </c>
    </row>
    <row r="30" spans="1:17" x14ac:dyDescent="0.25">
      <c r="A30" s="13" t="s">
        <v>88</v>
      </c>
      <c r="B30" s="5" t="s">
        <v>6</v>
      </c>
      <c r="C30" s="9">
        <v>0.72</v>
      </c>
    </row>
    <row r="31" spans="1:17" x14ac:dyDescent="0.25">
      <c r="A31" s="14" t="s">
        <v>89</v>
      </c>
      <c r="B31" s="5" t="s">
        <v>5</v>
      </c>
      <c r="C31" s="9">
        <v>0.8</v>
      </c>
    </row>
    <row r="32" spans="1:17" x14ac:dyDescent="0.25">
      <c r="A32" s="4" t="s">
        <v>51</v>
      </c>
      <c r="B32" s="5" t="s">
        <v>6</v>
      </c>
      <c r="C32" s="6">
        <v>0.79</v>
      </c>
    </row>
    <row r="33" spans="1:7" x14ac:dyDescent="0.25">
      <c r="A33" s="13" t="s">
        <v>49</v>
      </c>
      <c r="B33" s="5" t="s">
        <v>9</v>
      </c>
      <c r="C33" s="9">
        <v>1.2</v>
      </c>
    </row>
    <row r="34" spans="1:7" x14ac:dyDescent="0.25">
      <c r="A34" s="13" t="s">
        <v>90</v>
      </c>
      <c r="B34" s="5" t="s">
        <v>4</v>
      </c>
      <c r="C34" s="9">
        <v>0.9</v>
      </c>
    </row>
    <row r="35" spans="1:7" x14ac:dyDescent="0.25">
      <c r="A35" s="13" t="s">
        <v>91</v>
      </c>
      <c r="B35" s="5" t="s">
        <v>4</v>
      </c>
      <c r="C35" s="9">
        <v>0.9</v>
      </c>
    </row>
    <row r="36" spans="1:7" x14ac:dyDescent="0.25">
      <c r="A36" s="8" t="s">
        <v>92</v>
      </c>
      <c r="B36" s="5" t="s">
        <v>9</v>
      </c>
      <c r="C36" s="9">
        <v>0.66</v>
      </c>
    </row>
    <row r="37" spans="1:7" x14ac:dyDescent="0.25">
      <c r="A37" s="8" t="s">
        <v>93</v>
      </c>
      <c r="B37" s="5" t="s">
        <v>9</v>
      </c>
      <c r="C37" s="9">
        <v>1.04</v>
      </c>
    </row>
    <row r="38" spans="1:7" x14ac:dyDescent="0.25">
      <c r="A38" s="8" t="s">
        <v>53</v>
      </c>
      <c r="B38" s="5" t="s">
        <v>9</v>
      </c>
      <c r="C38" s="9">
        <v>1.1299999999999999</v>
      </c>
      <c r="G38" s="12"/>
    </row>
    <row r="39" spans="1:7" x14ac:dyDescent="0.25">
      <c r="A39" s="8" t="s">
        <v>94</v>
      </c>
      <c r="B39" s="5" t="s">
        <v>9</v>
      </c>
      <c r="C39" s="9">
        <v>1.1299999999999999</v>
      </c>
      <c r="G39" s="12"/>
    </row>
    <row r="40" spans="1:7" x14ac:dyDescent="0.25">
      <c r="A40" s="8" t="s">
        <v>32</v>
      </c>
      <c r="B40" s="5" t="s">
        <v>4</v>
      </c>
      <c r="C40" s="9">
        <v>0.9</v>
      </c>
    </row>
    <row r="41" spans="1:7" x14ac:dyDescent="0.25">
      <c r="A41" s="8" t="s">
        <v>22</v>
      </c>
      <c r="B41" s="5" t="s">
        <v>7</v>
      </c>
      <c r="C41" s="9">
        <v>0.79</v>
      </c>
    </row>
    <row r="42" spans="1:7" x14ac:dyDescent="0.25">
      <c r="A42" s="13" t="s">
        <v>28</v>
      </c>
      <c r="B42" s="5" t="s">
        <v>7</v>
      </c>
      <c r="C42" s="9">
        <v>0.79</v>
      </c>
    </row>
    <row r="43" spans="1:7" x14ac:dyDescent="0.25">
      <c r="A43" s="8" t="s">
        <v>57</v>
      </c>
      <c r="B43" s="5" t="s">
        <v>9</v>
      </c>
      <c r="C43" s="9">
        <v>0.79</v>
      </c>
      <c r="G43" s="10"/>
    </row>
    <row r="44" spans="1:7" x14ac:dyDescent="0.25">
      <c r="A44" s="4" t="s">
        <v>61</v>
      </c>
      <c r="B44" s="5" t="s">
        <v>9</v>
      </c>
      <c r="C44" s="6">
        <v>0.79</v>
      </c>
    </row>
    <row r="45" spans="1:7" x14ac:dyDescent="0.25">
      <c r="A45" s="8" t="s">
        <v>65</v>
      </c>
      <c r="B45" s="5" t="s">
        <v>9</v>
      </c>
      <c r="C45" s="9">
        <v>1.22</v>
      </c>
    </row>
    <row r="46" spans="1:7" x14ac:dyDescent="0.25">
      <c r="A46" s="4" t="s">
        <v>68</v>
      </c>
      <c r="B46" s="5" t="s">
        <v>9</v>
      </c>
      <c r="C46" s="6">
        <v>1.22</v>
      </c>
    </row>
    <row r="47" spans="1:7" x14ac:dyDescent="0.25">
      <c r="A47" s="8" t="s">
        <v>55</v>
      </c>
      <c r="B47" s="5" t="s">
        <v>6</v>
      </c>
      <c r="C47" s="9">
        <v>0.74</v>
      </c>
    </row>
    <row r="48" spans="1:7" x14ac:dyDescent="0.25">
      <c r="A48" s="13" t="s">
        <v>95</v>
      </c>
      <c r="B48" s="5" t="s">
        <v>6</v>
      </c>
      <c r="C48" s="9">
        <v>0.7</v>
      </c>
    </row>
    <row r="49" spans="1:3" x14ac:dyDescent="0.25">
      <c r="A49" s="13" t="s">
        <v>59</v>
      </c>
      <c r="B49" s="5" t="s">
        <v>6</v>
      </c>
      <c r="C49" s="9">
        <v>0.7</v>
      </c>
    </row>
    <row r="50" spans="1:3" x14ac:dyDescent="0.25">
      <c r="A50" s="4" t="s">
        <v>63</v>
      </c>
      <c r="B50" s="5" t="s">
        <v>6</v>
      </c>
      <c r="C50" s="9">
        <v>0.7</v>
      </c>
    </row>
    <row r="51" spans="1:3" x14ac:dyDescent="0.25">
      <c r="A51" s="15" t="s">
        <v>96</v>
      </c>
      <c r="B51" s="5" t="s">
        <v>9</v>
      </c>
      <c r="C51" s="9">
        <v>0.94</v>
      </c>
    </row>
    <row r="52" spans="1:3" x14ac:dyDescent="0.25">
      <c r="A52" s="13" t="s">
        <v>71</v>
      </c>
      <c r="B52" s="5" t="s">
        <v>9</v>
      </c>
      <c r="C52" s="9">
        <v>1.22</v>
      </c>
    </row>
    <row r="53" spans="1:3" x14ac:dyDescent="0.25">
      <c r="A53" s="4" t="s">
        <v>97</v>
      </c>
      <c r="B53" s="5" t="s">
        <v>4</v>
      </c>
      <c r="C53" s="9">
        <v>0.9</v>
      </c>
    </row>
    <row r="54" spans="1:3" x14ac:dyDescent="0.25">
      <c r="A54" s="4" t="s">
        <v>37</v>
      </c>
      <c r="B54" s="5" t="s">
        <v>4</v>
      </c>
      <c r="C54" s="9">
        <v>0.9</v>
      </c>
    </row>
    <row r="55" spans="1:3" x14ac:dyDescent="0.25">
      <c r="A55" s="13" t="s">
        <v>23</v>
      </c>
      <c r="B55" s="5" t="s">
        <v>8</v>
      </c>
      <c r="C55" s="9">
        <v>0.92</v>
      </c>
    </row>
    <row r="56" spans="1:3" x14ac:dyDescent="0.25">
      <c r="A56" s="8" t="s">
        <v>60</v>
      </c>
      <c r="B56" s="5" t="s">
        <v>8</v>
      </c>
      <c r="C56" s="9">
        <v>0.92</v>
      </c>
    </row>
    <row r="57" spans="1:3" x14ac:dyDescent="0.25">
      <c r="A57" s="13" t="s">
        <v>98</v>
      </c>
      <c r="B57" s="5" t="s">
        <v>8</v>
      </c>
      <c r="C57" s="9">
        <v>0.92</v>
      </c>
    </row>
    <row r="58" spans="1:3" x14ac:dyDescent="0.25">
      <c r="A58" s="4" t="s">
        <v>29</v>
      </c>
      <c r="B58" s="5" t="s">
        <v>8</v>
      </c>
      <c r="C58" s="6">
        <v>0.92</v>
      </c>
    </row>
    <row r="59" spans="1:3" x14ac:dyDescent="0.25">
      <c r="A59" s="8" t="s">
        <v>35</v>
      </c>
      <c r="B59" s="5" t="s">
        <v>8</v>
      </c>
      <c r="C59" s="9">
        <v>0.92</v>
      </c>
    </row>
    <row r="60" spans="1:3" x14ac:dyDescent="0.25">
      <c r="A60" s="13" t="s">
        <v>39</v>
      </c>
      <c r="B60" s="5" t="s">
        <v>8</v>
      </c>
      <c r="C60" s="9">
        <v>0.92</v>
      </c>
    </row>
    <row r="61" spans="1:3" x14ac:dyDescent="0.25">
      <c r="A61" s="4" t="s">
        <v>43</v>
      </c>
      <c r="B61" s="5" t="s">
        <v>8</v>
      </c>
      <c r="C61" s="6">
        <v>0.92</v>
      </c>
    </row>
    <row r="62" spans="1:3" x14ac:dyDescent="0.25">
      <c r="A62" s="4" t="s">
        <v>41</v>
      </c>
      <c r="B62" s="5" t="s">
        <v>4</v>
      </c>
      <c r="C62" s="9">
        <v>0.9</v>
      </c>
    </row>
    <row r="63" spans="1:3" x14ac:dyDescent="0.25">
      <c r="A63" s="13" t="s">
        <v>46</v>
      </c>
      <c r="B63" s="5" t="s">
        <v>4</v>
      </c>
      <c r="C63" s="9">
        <v>0.9</v>
      </c>
    </row>
    <row r="64" spans="1:3" x14ac:dyDescent="0.25">
      <c r="A64" s="4" t="s">
        <v>50</v>
      </c>
      <c r="B64" s="5" t="s">
        <v>4</v>
      </c>
      <c r="C64" s="9">
        <v>0.9</v>
      </c>
    </row>
    <row r="65" spans="1:3" x14ac:dyDescent="0.25">
      <c r="A65" s="4" t="s">
        <v>54</v>
      </c>
      <c r="B65" s="5" t="s">
        <v>4</v>
      </c>
      <c r="C65" s="9">
        <v>0.9</v>
      </c>
    </row>
    <row r="66" spans="1:3" x14ac:dyDescent="0.25">
      <c r="A66" s="8" t="s">
        <v>58</v>
      </c>
      <c r="B66" s="5" t="s">
        <v>4</v>
      </c>
      <c r="C66" s="9">
        <v>0.9</v>
      </c>
    </row>
    <row r="67" spans="1:3" x14ac:dyDescent="0.25">
      <c r="A67" s="4" t="s">
        <v>62</v>
      </c>
      <c r="B67" s="5" t="s">
        <v>4</v>
      </c>
      <c r="C67" s="9">
        <v>0.9</v>
      </c>
    </row>
    <row r="68" spans="1:3" x14ac:dyDescent="0.25">
      <c r="A68" s="8" t="s">
        <v>48</v>
      </c>
      <c r="B68" s="5" t="s">
        <v>8</v>
      </c>
      <c r="C68" s="9">
        <v>0.92</v>
      </c>
    </row>
    <row r="69" spans="1:3" x14ac:dyDescent="0.25">
      <c r="A69" s="4" t="s">
        <v>52</v>
      </c>
      <c r="B69" s="5" t="s">
        <v>8</v>
      </c>
      <c r="C69" s="6">
        <v>0.92</v>
      </c>
    </row>
    <row r="70" spans="1:3" x14ac:dyDescent="0.25">
      <c r="A70" s="4" t="s">
        <v>56</v>
      </c>
      <c r="B70" s="5" t="s">
        <v>8</v>
      </c>
      <c r="C70" s="6">
        <v>0.92</v>
      </c>
    </row>
    <row r="71" spans="1:3" x14ac:dyDescent="0.25">
      <c r="A71" s="8" t="s">
        <v>64</v>
      </c>
      <c r="B71" s="5" t="s">
        <v>8</v>
      </c>
      <c r="C71" s="9">
        <v>0.92</v>
      </c>
    </row>
    <row r="72" spans="1:3" x14ac:dyDescent="0.25">
      <c r="A72" s="16" t="s">
        <v>99</v>
      </c>
      <c r="B72" s="5" t="s">
        <v>8</v>
      </c>
      <c r="C72" s="6">
        <v>0.94</v>
      </c>
    </row>
    <row r="73" spans="1:3" x14ac:dyDescent="0.25">
      <c r="A73" s="4" t="s">
        <v>100</v>
      </c>
      <c r="B73" s="5" t="s">
        <v>6</v>
      </c>
      <c r="C73" s="6">
        <v>0.83</v>
      </c>
    </row>
    <row r="74" spans="1:3" x14ac:dyDescent="0.25">
      <c r="A74" s="4" t="s">
        <v>67</v>
      </c>
      <c r="B74" s="5" t="s">
        <v>6</v>
      </c>
      <c r="C74" s="6">
        <v>0.83</v>
      </c>
    </row>
    <row r="75" spans="1:3" x14ac:dyDescent="0.25">
      <c r="A75" s="4" t="s">
        <v>70</v>
      </c>
      <c r="B75" s="5" t="s">
        <v>6</v>
      </c>
      <c r="C75" s="6">
        <v>0.83</v>
      </c>
    </row>
    <row r="76" spans="1:3" x14ac:dyDescent="0.25">
      <c r="A76" s="13" t="s">
        <v>66</v>
      </c>
      <c r="B76" s="5" t="s">
        <v>4</v>
      </c>
      <c r="C76" s="9">
        <v>0.9</v>
      </c>
    </row>
    <row r="77" spans="1:3" x14ac:dyDescent="0.25">
      <c r="A77" s="8" t="s">
        <v>74</v>
      </c>
      <c r="B77" s="5" t="s">
        <v>9</v>
      </c>
      <c r="C77" s="9">
        <v>1</v>
      </c>
    </row>
    <row r="78" spans="1:3" x14ac:dyDescent="0.25">
      <c r="A78" s="13" t="s">
        <v>69</v>
      </c>
      <c r="B78" s="5" t="s">
        <v>4</v>
      </c>
      <c r="C78" s="9">
        <v>0.9</v>
      </c>
    </row>
    <row r="79" spans="1:3" x14ac:dyDescent="0.25">
      <c r="A79" s="13" t="s">
        <v>72</v>
      </c>
      <c r="B79" s="5" t="s">
        <v>4</v>
      </c>
      <c r="C79" s="9">
        <v>0.9</v>
      </c>
    </row>
    <row r="80" spans="1:3" x14ac:dyDescent="0.25">
      <c r="A80" s="13" t="s">
        <v>75</v>
      </c>
      <c r="B80" s="5" t="s">
        <v>4</v>
      </c>
      <c r="C80" s="9">
        <v>0.9</v>
      </c>
    </row>
    <row r="81" spans="1:3" x14ac:dyDescent="0.25">
      <c r="A81" s="13" t="s">
        <v>78</v>
      </c>
      <c r="B81" s="5" t="s">
        <v>4</v>
      </c>
      <c r="C81" s="9">
        <v>0.9</v>
      </c>
    </row>
    <row r="82" spans="1:3" x14ac:dyDescent="0.25">
      <c r="A82" s="13" t="s">
        <v>80</v>
      </c>
      <c r="B82" s="5" t="s">
        <v>4</v>
      </c>
      <c r="C82" s="9">
        <v>0.9</v>
      </c>
    </row>
    <row r="83" spans="1:3" x14ac:dyDescent="0.25">
      <c r="A83" s="13" t="s">
        <v>82</v>
      </c>
      <c r="B83" s="5" t="s">
        <v>4</v>
      </c>
      <c r="C83" s="9">
        <v>0.9</v>
      </c>
    </row>
    <row r="84" spans="1:3" x14ac:dyDescent="0.25">
      <c r="A84" s="13" t="s">
        <v>101</v>
      </c>
      <c r="B84" s="5" t="s">
        <v>6</v>
      </c>
      <c r="C84" s="9">
        <v>0.75</v>
      </c>
    </row>
    <row r="85" spans="1:3" x14ac:dyDescent="0.25">
      <c r="A85" s="4" t="s">
        <v>73</v>
      </c>
      <c r="B85" s="5" t="s">
        <v>6</v>
      </c>
      <c r="C85" s="9">
        <v>0.7</v>
      </c>
    </row>
    <row r="86" spans="1:3" x14ac:dyDescent="0.25">
      <c r="A86" s="4" t="s">
        <v>77</v>
      </c>
      <c r="B86" s="5" t="s">
        <v>9</v>
      </c>
      <c r="C86" s="9">
        <v>1.3</v>
      </c>
    </row>
    <row r="87" spans="1:3" x14ac:dyDescent="0.25">
      <c r="A87" s="14" t="s">
        <v>102</v>
      </c>
      <c r="B87" s="5" t="s">
        <v>9</v>
      </c>
      <c r="C87" s="9">
        <v>1.3</v>
      </c>
    </row>
    <row r="88" spans="1:3" x14ac:dyDescent="0.25">
      <c r="A88" s="8" t="s">
        <v>84</v>
      </c>
      <c r="B88" s="5" t="s">
        <v>4</v>
      </c>
      <c r="C88" s="9">
        <v>0.9</v>
      </c>
    </row>
    <row r="89" spans="1:3" x14ac:dyDescent="0.25">
      <c r="A89" s="13" t="s">
        <v>79</v>
      </c>
      <c r="B89" s="5" t="s">
        <v>45</v>
      </c>
      <c r="C89" s="9">
        <v>1.5</v>
      </c>
    </row>
    <row r="90" spans="1:3" x14ac:dyDescent="0.25">
      <c r="A90" s="8" t="s">
        <v>81</v>
      </c>
      <c r="B90" s="5" t="s">
        <v>45</v>
      </c>
      <c r="C90" s="9">
        <v>1.5</v>
      </c>
    </row>
    <row r="91" spans="1:3" x14ac:dyDescent="0.25">
      <c r="A91" s="8" t="s">
        <v>83</v>
      </c>
      <c r="B91" s="5" t="s">
        <v>45</v>
      </c>
      <c r="C91" s="9">
        <v>1.5</v>
      </c>
    </row>
    <row r="92" spans="1:3" x14ac:dyDescent="0.25">
      <c r="A92" s="8" t="s">
        <v>103</v>
      </c>
      <c r="B92" s="5" t="s">
        <v>8</v>
      </c>
      <c r="C92" s="9">
        <v>0.93</v>
      </c>
    </row>
    <row r="93" spans="1:3" x14ac:dyDescent="0.25">
      <c r="A93" s="8" t="s">
        <v>85</v>
      </c>
      <c r="B93" s="5" t="s">
        <v>9</v>
      </c>
      <c r="C93" s="9">
        <v>0.85</v>
      </c>
    </row>
    <row r="94" spans="1:3" x14ac:dyDescent="0.25">
      <c r="A94" s="8" t="s">
        <v>76</v>
      </c>
      <c r="B94" s="5" t="s">
        <v>9</v>
      </c>
      <c r="C94" s="9">
        <v>0.86539999999999995</v>
      </c>
    </row>
    <row r="103" spans="1:2" x14ac:dyDescent="0.25">
      <c r="A103" s="10" t="s">
        <v>105</v>
      </c>
      <c r="B103" s="30" t="s">
        <v>8</v>
      </c>
    </row>
    <row r="104" spans="1:2" x14ac:dyDescent="0.25">
      <c r="A104" s="10" t="s">
        <v>106</v>
      </c>
      <c r="B104" s="30" t="s">
        <v>8</v>
      </c>
    </row>
    <row r="105" spans="1:2" x14ac:dyDescent="0.25">
      <c r="A105" s="10" t="s">
        <v>35</v>
      </c>
      <c r="B105" s="30" t="s">
        <v>8</v>
      </c>
    </row>
    <row r="106" spans="1:2" x14ac:dyDescent="0.25">
      <c r="A106" s="10" t="s">
        <v>107</v>
      </c>
      <c r="B106" s="30" t="s">
        <v>8</v>
      </c>
    </row>
    <row r="107" spans="1:2" x14ac:dyDescent="0.25">
      <c r="A107" s="10" t="s">
        <v>98</v>
      </c>
      <c r="B107" s="30" t="s">
        <v>8</v>
      </c>
    </row>
    <row r="108" spans="1:2" x14ac:dyDescent="0.25">
      <c r="A108" s="10" t="s">
        <v>108</v>
      </c>
      <c r="B108" s="30" t="s">
        <v>4</v>
      </c>
    </row>
    <row r="109" spans="1:2" x14ac:dyDescent="0.25">
      <c r="A109" s="10" t="s">
        <v>109</v>
      </c>
      <c r="B109" s="30" t="s">
        <v>4</v>
      </c>
    </row>
    <row r="110" spans="1:2" x14ac:dyDescent="0.25">
      <c r="A110" s="10" t="s">
        <v>58</v>
      </c>
      <c r="B110" s="30" t="s">
        <v>4</v>
      </c>
    </row>
    <row r="111" spans="1:2" x14ac:dyDescent="0.25">
      <c r="A111" s="10" t="s">
        <v>86</v>
      </c>
      <c r="B111" s="30" t="s">
        <v>4</v>
      </c>
    </row>
    <row r="112" spans="1:2" x14ac:dyDescent="0.25">
      <c r="A112" t="s">
        <v>49</v>
      </c>
      <c r="B112" s="30" t="s">
        <v>9</v>
      </c>
    </row>
    <row r="113" spans="1:2" x14ac:dyDescent="0.25">
      <c r="A113" s="10" t="s">
        <v>30</v>
      </c>
      <c r="B113" s="30" t="s">
        <v>9</v>
      </c>
    </row>
    <row r="114" spans="1:2" x14ac:dyDescent="0.25">
      <c r="A114" s="10" t="s">
        <v>84</v>
      </c>
      <c r="B114" s="30" t="s">
        <v>4</v>
      </c>
    </row>
    <row r="115" spans="1:2" x14ac:dyDescent="0.25">
      <c r="A115" s="10" t="s">
        <v>40</v>
      </c>
      <c r="B115" s="30" t="s">
        <v>9</v>
      </c>
    </row>
    <row r="116" spans="1:2" x14ac:dyDescent="0.25">
      <c r="A116" s="10" t="s">
        <v>90</v>
      </c>
      <c r="B116" s="30" t="s">
        <v>4</v>
      </c>
    </row>
    <row r="117" spans="1:2" x14ac:dyDescent="0.25">
      <c r="A117" s="10" t="s">
        <v>91</v>
      </c>
      <c r="B117" s="30" t="s">
        <v>4</v>
      </c>
    </row>
    <row r="118" spans="1:2" x14ac:dyDescent="0.25">
      <c r="A118" s="10" t="s">
        <v>110</v>
      </c>
      <c r="B118" s="30" t="s">
        <v>5</v>
      </c>
    </row>
    <row r="119" spans="1:2" x14ac:dyDescent="0.25">
      <c r="A119" s="10" t="s">
        <v>111</v>
      </c>
      <c r="B119" s="30" t="s">
        <v>5</v>
      </c>
    </row>
    <row r="120" spans="1:2" x14ac:dyDescent="0.25">
      <c r="A120" s="10" t="s">
        <v>112</v>
      </c>
      <c r="B120" s="25" t="s">
        <v>9</v>
      </c>
    </row>
    <row r="121" spans="1:2" x14ac:dyDescent="0.25">
      <c r="A121" s="10" t="s">
        <v>22</v>
      </c>
      <c r="B121" s="30" t="s">
        <v>7</v>
      </c>
    </row>
    <row r="122" spans="1:2" x14ac:dyDescent="0.25">
      <c r="A122" s="10" t="s">
        <v>26</v>
      </c>
      <c r="B122" s="30" t="s">
        <v>5</v>
      </c>
    </row>
    <row r="123" spans="1:2" x14ac:dyDescent="0.25">
      <c r="A123" s="10" t="s">
        <v>100</v>
      </c>
      <c r="B123" s="30" t="s">
        <v>6</v>
      </c>
    </row>
    <row r="124" spans="1:2" x14ac:dyDescent="0.25">
      <c r="A124" s="10" t="s">
        <v>51</v>
      </c>
      <c r="B124" s="30" t="s">
        <v>6</v>
      </c>
    </row>
    <row r="125" spans="1:2" x14ac:dyDescent="0.25">
      <c r="A125" s="10" t="s">
        <v>59</v>
      </c>
      <c r="B125" s="30" t="s">
        <v>6</v>
      </c>
    </row>
    <row r="126" spans="1:2" x14ac:dyDescent="0.25">
      <c r="A126" s="10" t="s">
        <v>95</v>
      </c>
      <c r="B126" s="30" t="s">
        <v>6</v>
      </c>
    </row>
    <row r="127" spans="1:2" x14ac:dyDescent="0.25">
      <c r="A127" s="10" t="s">
        <v>113</v>
      </c>
      <c r="B127" s="30" t="s">
        <v>9</v>
      </c>
    </row>
    <row r="128" spans="1:2" x14ac:dyDescent="0.25">
      <c r="A128" s="10" t="s">
        <v>96</v>
      </c>
      <c r="B128" s="30" t="s">
        <v>9</v>
      </c>
    </row>
    <row r="129" spans="1:2" x14ac:dyDescent="0.25">
      <c r="A129" s="10" t="s">
        <v>114</v>
      </c>
      <c r="B129" s="30" t="s">
        <v>9</v>
      </c>
    </row>
    <row r="130" spans="1:2" x14ac:dyDescent="0.25">
      <c r="A130" s="10" t="s">
        <v>115</v>
      </c>
      <c r="B130" s="30" t="s">
        <v>45</v>
      </c>
    </row>
    <row r="131" spans="1:2" x14ac:dyDescent="0.25">
      <c r="A131" s="10" t="s">
        <v>16</v>
      </c>
      <c r="B131" s="30" t="s">
        <v>9</v>
      </c>
    </row>
    <row r="132" spans="1:2" x14ac:dyDescent="0.25">
      <c r="A132" s="10" t="s">
        <v>123</v>
      </c>
      <c r="B132" s="30" t="s">
        <v>4</v>
      </c>
    </row>
    <row r="133" spans="1:2" x14ac:dyDescent="0.25">
      <c r="A133" s="10" t="s">
        <v>122</v>
      </c>
      <c r="B133" s="30" t="s">
        <v>8</v>
      </c>
    </row>
    <row r="134" spans="1:2" x14ac:dyDescent="0.25">
      <c r="A134" s="10" t="s">
        <v>120</v>
      </c>
      <c r="B134" s="30" t="s">
        <v>6</v>
      </c>
    </row>
    <row r="135" spans="1:2" x14ac:dyDescent="0.25">
      <c r="A135" s="10" t="s">
        <v>115</v>
      </c>
      <c r="B135" s="30" t="s">
        <v>45</v>
      </c>
    </row>
    <row r="136" spans="1:2" x14ac:dyDescent="0.25">
      <c r="A136" s="10" t="s">
        <v>22</v>
      </c>
      <c r="B136" s="30" t="s">
        <v>7</v>
      </c>
    </row>
    <row r="137" spans="1:2" x14ac:dyDescent="0.25">
      <c r="A137" s="10" t="s">
        <v>124</v>
      </c>
      <c r="B137" s="30" t="s">
        <v>9</v>
      </c>
    </row>
    <row r="138" spans="1:2" x14ac:dyDescent="0.25">
      <c r="A138" s="10" t="s">
        <v>26</v>
      </c>
      <c r="B138" s="30" t="s">
        <v>5</v>
      </c>
    </row>
    <row r="139" spans="1:2" x14ac:dyDescent="0.25">
      <c r="A139" s="10" t="s">
        <v>30</v>
      </c>
      <c r="B139" s="5" t="s">
        <v>9</v>
      </c>
    </row>
    <row r="140" spans="1:2" x14ac:dyDescent="0.25">
      <c r="A140" s="10" t="s">
        <v>183</v>
      </c>
      <c r="B140" s="5" t="s">
        <v>9</v>
      </c>
    </row>
    <row r="141" spans="1:2" x14ac:dyDescent="0.25">
      <c r="A141" s="10" t="s">
        <v>121</v>
      </c>
      <c r="B141" s="30" t="s">
        <v>5</v>
      </c>
    </row>
    <row r="142" spans="1:2" x14ac:dyDescent="0.25">
      <c r="A142" s="10" t="s">
        <v>17</v>
      </c>
      <c r="B142" s="30" t="s">
        <v>18</v>
      </c>
    </row>
    <row r="143" spans="1:2" x14ac:dyDescent="0.25">
      <c r="A143" t="s">
        <v>202</v>
      </c>
      <c r="B143" s="5" t="s">
        <v>9</v>
      </c>
    </row>
    <row r="144" spans="1:2" x14ac:dyDescent="0.25">
      <c r="A144" t="s">
        <v>85</v>
      </c>
      <c r="B144" s="5" t="s">
        <v>9</v>
      </c>
    </row>
  </sheetData>
  <autoFilter ref="A1:C93" xr:uid="{D6B0D446-FB8E-4E74-8E97-0C1FA6F06718}">
    <sortState xmlns:xlrd2="http://schemas.microsoft.com/office/spreadsheetml/2017/richdata2" ref="A2:C94">
      <sortCondition ref="A1:A93"/>
    </sortState>
  </autoFilter>
  <conditionalFormatting sqref="J14">
    <cfRule type="expression" dxfId="29" priority="10">
      <formula>AND(ISLOGICAL($A14), $A14 = FALSE)</formula>
    </cfRule>
  </conditionalFormatting>
  <conditionalFormatting sqref="J15">
    <cfRule type="expression" dxfId="28" priority="14">
      <formula>AND(ISLOGICAL($A16), $A16 = FALSE)</formula>
    </cfRule>
  </conditionalFormatting>
  <conditionalFormatting sqref="J16">
    <cfRule type="expression" dxfId="27" priority="16">
      <formula>AND(ISLOGICAL($A18), $A18 = FALSE)</formula>
    </cfRule>
  </conditionalFormatting>
  <conditionalFormatting sqref="J17 J21">
    <cfRule type="expression" dxfId="26" priority="8">
      <formula>AND(ISLOGICAL($A13), $A13 = FALSE)</formula>
    </cfRule>
  </conditionalFormatting>
  <conditionalFormatting sqref="J18">
    <cfRule type="expression" dxfId="25" priority="12">
      <formula>AND(ISLOGICAL($A15), $A15 = FALSE)</formula>
    </cfRule>
  </conditionalFormatting>
  <conditionalFormatting sqref="J19">
    <cfRule type="expression" dxfId="24" priority="6">
      <formula>AND(ISLOGICAL($A12), $A12 = FALSE)</formula>
    </cfRule>
  </conditionalFormatting>
  <conditionalFormatting sqref="J20">
    <cfRule type="expression" dxfId="23" priority="4">
      <formula>AND(ISLOGICAL($A11), $A11 = FALSE)</formula>
    </cfRule>
  </conditionalFormatting>
  <conditionalFormatting sqref="K19">
    <cfRule type="expression" dxfId="22" priority="2">
      <formula>AND(ISLOGICAL($A19), $A19 = FALSE)</formula>
    </cfRule>
  </conditionalFormatting>
  <dataValidations count="1">
    <dataValidation type="list" allowBlank="1" showInputMessage="1" showErrorMessage="1" sqref="B2:B93 B120" xr:uid="{1BB5D693-9A90-422E-A24A-39250B38B7CE}">
      <formula1>$I$2:$I$9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463C-5D6F-42BA-A1B4-AC70CDD6DB05}">
  <sheetPr codeName="Planilha2"/>
  <dimension ref="A1:I3343"/>
  <sheetViews>
    <sheetView showGridLines="0" tabSelected="1" zoomScaleNormal="100" workbookViewId="0">
      <selection activeCell="G2153" sqref="G2153"/>
    </sheetView>
  </sheetViews>
  <sheetFormatPr defaultRowHeight="15" x14ac:dyDescent="0.25"/>
  <cols>
    <col min="1" max="3" width="24.42578125" style="10" customWidth="1"/>
    <col min="4" max="4" width="25.7109375" style="10" bestFit="1" customWidth="1"/>
    <col min="5" max="5" width="24.42578125" style="52" customWidth="1"/>
    <col min="6" max="6" width="24.42578125" style="55" customWidth="1"/>
    <col min="7" max="7" width="24.28515625" style="10" customWidth="1"/>
    <col min="8" max="8" width="16.85546875" bestFit="1" customWidth="1"/>
    <col min="9" max="9" width="16.42578125" bestFit="1" customWidth="1"/>
  </cols>
  <sheetData>
    <row r="1" spans="1:7" s="21" customFormat="1" x14ac:dyDescent="0.25">
      <c r="A1" s="24" t="s">
        <v>125</v>
      </c>
      <c r="B1" s="24" t="s">
        <v>126</v>
      </c>
      <c r="C1" s="24" t="s">
        <v>154</v>
      </c>
      <c r="D1" s="24" t="s">
        <v>104</v>
      </c>
      <c r="E1" s="29" t="s">
        <v>127</v>
      </c>
      <c r="F1" s="54" t="s">
        <v>193</v>
      </c>
      <c r="G1" s="24" t="s">
        <v>246</v>
      </c>
    </row>
    <row r="2" spans="1:7" s="21" customFormat="1" x14ac:dyDescent="0.25">
      <c r="A2">
        <v>2021</v>
      </c>
      <c r="B2" t="s">
        <v>143</v>
      </c>
      <c r="C2" s="56" t="s">
        <v>155</v>
      </c>
      <c r="D2" t="s">
        <v>16</v>
      </c>
      <c r="E2" t="str">
        <f>VLOOKUP(D2,'Lista de Produtos CLASSIFICAÇÃO'!$A$103:$B$144,2,FALSE)</f>
        <v>Outros</v>
      </c>
      <c r="F2" s="55">
        <v>515772</v>
      </c>
      <c r="G2" s="56" t="str">
        <f>VLOOKUP(C2,clientes!$C$3:$D$60,2,FALSE)</f>
        <v>ADISSEO</v>
      </c>
    </row>
    <row r="3" spans="1:7" s="21" customFormat="1" ht="16.5" customHeight="1" x14ac:dyDescent="0.25">
      <c r="A3">
        <v>2021</v>
      </c>
      <c r="B3" t="s">
        <v>143</v>
      </c>
      <c r="C3" s="56" t="s">
        <v>155</v>
      </c>
      <c r="D3" t="s">
        <v>16</v>
      </c>
      <c r="E3" t="str">
        <f>VLOOKUP(D3,'Lista de Produtos CLASSIFICAÇÃO'!$A$103:$B$144,2,FALSE)</f>
        <v>Outros</v>
      </c>
      <c r="F3" s="55">
        <v>0</v>
      </c>
      <c r="G3" s="56" t="str">
        <f>VLOOKUP(C3,clientes!$C$3:$D$60,2,FALSE)</f>
        <v>ADISSEO</v>
      </c>
    </row>
    <row r="4" spans="1:7" s="21" customFormat="1" x14ac:dyDescent="0.25">
      <c r="A4">
        <v>2021</v>
      </c>
      <c r="B4" t="s">
        <v>143</v>
      </c>
      <c r="C4" s="56" t="s">
        <v>199</v>
      </c>
      <c r="D4" t="s">
        <v>16</v>
      </c>
      <c r="E4" t="str">
        <f>VLOOKUP(D4,'Lista de Produtos CLASSIFICAÇÃO'!$A$103:$B$144,2,FALSE)</f>
        <v>Outros</v>
      </c>
      <c r="F4" s="55">
        <v>3316</v>
      </c>
      <c r="G4" s="56" t="str">
        <f>VLOOKUP(C4,clientes!$C$3:$D$60,2,FALSE)</f>
        <v>ADISSEO</v>
      </c>
    </row>
    <row r="5" spans="1:7" x14ac:dyDescent="0.25">
      <c r="A5">
        <v>2021</v>
      </c>
      <c r="B5" t="s">
        <v>143</v>
      </c>
      <c r="C5" s="56" t="s">
        <v>157</v>
      </c>
      <c r="D5" t="s">
        <v>49</v>
      </c>
      <c r="E5" t="str">
        <f>VLOOKUP(D5,'Lista de Produtos CLASSIFICAÇÃO'!$A$103:$B$144,2,FALSE)</f>
        <v>Outros</v>
      </c>
      <c r="F5" s="55">
        <v>76113</v>
      </c>
      <c r="G5" s="56" t="str">
        <f>VLOOKUP(C5,clientes!$C$3:$D$60,2,FALSE)</f>
        <v>ADM</v>
      </c>
    </row>
    <row r="6" spans="1:7" x14ac:dyDescent="0.25">
      <c r="A6">
        <v>2021</v>
      </c>
      <c r="B6" t="s">
        <v>143</v>
      </c>
      <c r="C6" s="56" t="s">
        <v>158</v>
      </c>
      <c r="D6" t="s">
        <v>120</v>
      </c>
      <c r="E6" t="str">
        <f>VLOOKUP(D6,'Lista de Produtos CLASSIFICAÇÃO'!$A$103:$B$144,2,FALSE)</f>
        <v>Derivados</v>
      </c>
      <c r="F6" s="55">
        <v>6963862</v>
      </c>
      <c r="G6" s="56" t="str">
        <f>VLOOKUP(C6,clientes!$C$3:$D$60,2,FALSE)</f>
        <v>IPIRANGA</v>
      </c>
    </row>
    <row r="7" spans="1:7" x14ac:dyDescent="0.25">
      <c r="A7">
        <v>2021</v>
      </c>
      <c r="B7" t="s">
        <v>143</v>
      </c>
      <c r="C7" s="56" t="s">
        <v>206</v>
      </c>
      <c r="D7" t="s">
        <v>120</v>
      </c>
      <c r="E7" t="str">
        <f>VLOOKUP(D7,'Lista de Produtos CLASSIFICAÇÃO'!$A$103:$B$144,2,FALSE)</f>
        <v>Derivados</v>
      </c>
      <c r="F7" s="55">
        <v>4188725</v>
      </c>
      <c r="G7" s="56" t="str">
        <f>VLOOKUP(C7,clientes!$C$3:$D$60,2,FALSE)</f>
        <v>BR</v>
      </c>
    </row>
    <row r="8" spans="1:7" x14ac:dyDescent="0.25">
      <c r="A8">
        <v>2021</v>
      </c>
      <c r="B8" t="s">
        <v>143</v>
      </c>
      <c r="C8" s="56" t="s">
        <v>200</v>
      </c>
      <c r="D8" t="s">
        <v>120</v>
      </c>
      <c r="E8" t="str">
        <f>VLOOKUP(D8,'Lista de Produtos CLASSIFICAÇÃO'!$A$103:$B$144,2,FALSE)</f>
        <v>Derivados</v>
      </c>
      <c r="F8" s="55">
        <v>1765906</v>
      </c>
      <c r="G8" s="56" t="str">
        <f>VLOOKUP(C8,clientes!$C$3:$D$60,2,FALSE)</f>
        <v>GREENENERGY</v>
      </c>
    </row>
    <row r="9" spans="1:7" x14ac:dyDescent="0.25">
      <c r="A9">
        <v>2021</v>
      </c>
      <c r="B9" t="s">
        <v>143</v>
      </c>
      <c r="C9" s="56" t="s">
        <v>161</v>
      </c>
      <c r="D9" t="s">
        <v>120</v>
      </c>
      <c r="E9" t="str">
        <f>VLOOKUP(D9,'Lista de Produtos CLASSIFICAÇÃO'!$A$103:$B$144,2,FALSE)</f>
        <v>Derivados</v>
      </c>
      <c r="F9" s="55">
        <v>3478569</v>
      </c>
      <c r="G9" s="56" t="str">
        <f>VLOOKUP(C9,clientes!$C$3:$D$60,2,FALSE)</f>
        <v>SUL PLATA</v>
      </c>
    </row>
    <row r="10" spans="1:7" x14ac:dyDescent="0.25">
      <c r="A10">
        <v>2021</v>
      </c>
      <c r="B10" t="s">
        <v>143</v>
      </c>
      <c r="C10" s="56" t="s">
        <v>161</v>
      </c>
      <c r="D10" t="s">
        <v>120</v>
      </c>
      <c r="E10" t="str">
        <f>VLOOKUP(D10,'Lista de Produtos CLASSIFICAÇÃO'!$A$103:$B$144,2,FALSE)</f>
        <v>Derivados</v>
      </c>
      <c r="F10" s="55">
        <v>0</v>
      </c>
      <c r="G10" s="56" t="str">
        <f>VLOOKUP(C10,clientes!$C$3:$D$60,2,FALSE)</f>
        <v>SUL PLATA</v>
      </c>
    </row>
    <row r="11" spans="1:7" x14ac:dyDescent="0.25">
      <c r="A11">
        <v>2021</v>
      </c>
      <c r="B11" t="s">
        <v>143</v>
      </c>
      <c r="C11" s="56" t="s">
        <v>162</v>
      </c>
      <c r="D11" t="s">
        <v>115</v>
      </c>
      <c r="E11" t="str">
        <f>VLOOKUP(D11,'Lista de Produtos CLASSIFICAÇÃO'!$A$103:$B$144,2,FALSE)</f>
        <v>Soda Caustica</v>
      </c>
      <c r="F11" s="55">
        <v>129223</v>
      </c>
      <c r="G11" s="56" t="str">
        <f>VLOOKUP(C11,clientes!$C$3:$D$60,2,FALSE)</f>
        <v>JBS</v>
      </c>
    </row>
    <row r="12" spans="1:7" x14ac:dyDescent="0.25">
      <c r="A12">
        <v>2021</v>
      </c>
      <c r="B12" t="s">
        <v>143</v>
      </c>
      <c r="C12" s="56" t="s">
        <v>163</v>
      </c>
      <c r="D12" t="s">
        <v>115</v>
      </c>
      <c r="E12" t="str">
        <f>VLOOKUP(D12,'Lista de Produtos CLASSIFICAÇÃO'!$A$103:$B$144,2,FALSE)</f>
        <v>Soda Caustica</v>
      </c>
      <c r="F12" s="55">
        <v>305822</v>
      </c>
      <c r="G12" s="56" t="str">
        <f>VLOOKUP(C12,clientes!$C$3:$D$60,2,FALSE)</f>
        <v>TRICON ENERGY</v>
      </c>
    </row>
    <row r="13" spans="1:7" x14ac:dyDescent="0.25">
      <c r="A13">
        <v>2021</v>
      </c>
      <c r="B13" t="s">
        <v>143</v>
      </c>
      <c r="C13" s="56" t="s">
        <v>207</v>
      </c>
      <c r="D13" t="s">
        <v>16</v>
      </c>
      <c r="E13" t="str">
        <f>VLOOKUP(D13,'Lista de Produtos CLASSIFICAÇÃO'!$A$103:$B$144,2,FALSE)</f>
        <v>Outros</v>
      </c>
      <c r="F13" s="55">
        <v>203290</v>
      </c>
      <c r="G13" s="56" t="str">
        <f>VLOOKUP(C13,clientes!$C$3:$D$60,2,FALSE)</f>
        <v>NOVUS</v>
      </c>
    </row>
    <row r="14" spans="1:7" x14ac:dyDescent="0.25">
      <c r="A14">
        <v>2021</v>
      </c>
      <c r="B14" t="s">
        <v>143</v>
      </c>
      <c r="C14" s="56" t="s">
        <v>165</v>
      </c>
      <c r="D14" t="s">
        <v>123</v>
      </c>
      <c r="E14" t="str">
        <f>VLOOKUP(D14,'Lista de Produtos CLASSIFICAÇÃO'!$A$103:$B$144,2,FALSE)</f>
        <v>Aquecidos</v>
      </c>
      <c r="F14" s="55">
        <v>758790</v>
      </c>
      <c r="G14" s="56" t="str">
        <f>VLOOKUP(C14,clientes!$C$3:$D$60,2,FALSE)</f>
        <v>BRF</v>
      </c>
    </row>
    <row r="15" spans="1:7" x14ac:dyDescent="0.25">
      <c r="A15">
        <v>2021</v>
      </c>
      <c r="B15" t="s">
        <v>143</v>
      </c>
      <c r="C15" s="56" t="s">
        <v>162</v>
      </c>
      <c r="D15" t="s">
        <v>123</v>
      </c>
      <c r="E15" t="str">
        <f>VLOOKUP(D15,'Lista de Produtos CLASSIFICAÇÃO'!$A$103:$B$144,2,FALSE)</f>
        <v>Aquecidos</v>
      </c>
      <c r="F15" s="55">
        <v>172294</v>
      </c>
      <c r="G15" s="56" t="str">
        <f>VLOOKUP(C15,clientes!$C$3:$D$60,2,FALSE)</f>
        <v>JBS</v>
      </c>
    </row>
    <row r="16" spans="1:7" x14ac:dyDescent="0.25">
      <c r="A16">
        <v>2021</v>
      </c>
      <c r="B16" t="s">
        <v>143</v>
      </c>
      <c r="C16" s="56" t="s">
        <v>166</v>
      </c>
      <c r="D16" t="s">
        <v>123</v>
      </c>
      <c r="E16" t="str">
        <f>VLOOKUP(D16,'Lista de Produtos CLASSIFICAÇÃO'!$A$103:$B$144,2,FALSE)</f>
        <v>Aquecidos</v>
      </c>
      <c r="F16" s="55">
        <v>448348</v>
      </c>
      <c r="G16" s="56" t="str">
        <f>VLOOKUP(C16,clientes!$C$3:$D$60,2,FALSE)</f>
        <v>CARGILL</v>
      </c>
    </row>
    <row r="17" spans="1:8" x14ac:dyDescent="0.25">
      <c r="A17">
        <v>2021</v>
      </c>
      <c r="B17" t="s">
        <v>143</v>
      </c>
      <c r="C17" s="56" t="s">
        <v>167</v>
      </c>
      <c r="D17" t="s">
        <v>122</v>
      </c>
      <c r="E17" t="str">
        <f>VLOOKUP(D17,'Lista de Produtos CLASSIFICAÇÃO'!$A$103:$B$144,2,FALSE)</f>
        <v>Óleo Vegetal</v>
      </c>
      <c r="F17" s="55">
        <v>512741</v>
      </c>
      <c r="G17" s="56" t="str">
        <f>VLOOKUP(C17,clientes!$C$3:$D$60,2,FALSE)</f>
        <v>POOL</v>
      </c>
      <c r="H17" s="57"/>
    </row>
    <row r="18" spans="1:8" x14ac:dyDescent="0.25">
      <c r="A18">
        <v>2021</v>
      </c>
      <c r="B18" t="s">
        <v>143</v>
      </c>
      <c r="C18" s="56" t="s">
        <v>168</v>
      </c>
      <c r="D18" t="s">
        <v>122</v>
      </c>
      <c r="E18" t="str">
        <f>VLOOKUP(D18,'Lista de Produtos CLASSIFICAÇÃO'!$A$103:$B$144,2,FALSE)</f>
        <v>Óleo Vegetal</v>
      </c>
      <c r="F18" s="55">
        <v>63587</v>
      </c>
      <c r="G18" s="56" t="str">
        <f>VLOOKUP(C18,clientes!$C$3:$D$60,2,FALSE)</f>
        <v>POOL EXCEDENTE</v>
      </c>
    </row>
    <row r="19" spans="1:8" x14ac:dyDescent="0.25">
      <c r="A19">
        <v>2021</v>
      </c>
      <c r="B19" t="s">
        <v>143</v>
      </c>
      <c r="C19" s="56" t="s">
        <v>169</v>
      </c>
      <c r="D19" t="s">
        <v>22</v>
      </c>
      <c r="E19" t="str">
        <f>VLOOKUP(D19,'Lista de Produtos CLASSIFICAÇÃO'!$A$103:$B$144,2,FALSE)</f>
        <v>Metanol</v>
      </c>
      <c r="F19" s="55">
        <v>5136871</v>
      </c>
      <c r="G19" s="56" t="str">
        <f>VLOOKUP(C19,clientes!$C$3:$D$60,2,FALSE)</f>
        <v>METHANEX</v>
      </c>
    </row>
    <row r="20" spans="1:8" x14ac:dyDescent="0.25">
      <c r="A20">
        <v>2021</v>
      </c>
      <c r="B20" t="s">
        <v>143</v>
      </c>
      <c r="C20" s="56" t="s">
        <v>170</v>
      </c>
      <c r="D20" t="s">
        <v>22</v>
      </c>
      <c r="E20" t="str">
        <f>VLOOKUP(D20,'Lista de Produtos CLASSIFICAÇÃO'!$A$103:$B$144,2,FALSE)</f>
        <v>Metanol</v>
      </c>
      <c r="F20" s="55">
        <v>3063505</v>
      </c>
      <c r="G20" s="56" t="str">
        <f>VLOOKUP(C20,clientes!$C$3:$D$60,2,FALSE)</f>
        <v>MITSUBISHI</v>
      </c>
    </row>
    <row r="21" spans="1:8" x14ac:dyDescent="0.25">
      <c r="A21">
        <v>2021</v>
      </c>
      <c r="B21" t="s">
        <v>143</v>
      </c>
      <c r="C21" s="56" t="s">
        <v>196</v>
      </c>
      <c r="D21" t="s">
        <v>22</v>
      </c>
      <c r="E21" t="str">
        <f>VLOOKUP(D21,'Lista de Produtos CLASSIFICAÇÃO'!$A$103:$B$144,2,FALSE)</f>
        <v>Metanol</v>
      </c>
      <c r="F21" s="55">
        <v>4558035</v>
      </c>
      <c r="G21" s="56" t="str">
        <f>VLOOKUP(C21,clientes!$C$3:$D$60,2,FALSE)</f>
        <v>SCC</v>
      </c>
    </row>
    <row r="22" spans="1:8" x14ac:dyDescent="0.25">
      <c r="A22">
        <v>2021</v>
      </c>
      <c r="B22" t="s">
        <v>143</v>
      </c>
      <c r="C22" s="56" t="s">
        <v>196</v>
      </c>
      <c r="D22" t="s">
        <v>22</v>
      </c>
      <c r="E22" t="str">
        <f>VLOOKUP(D22,'Lista de Produtos CLASSIFICAÇÃO'!$A$103:$B$144,2,FALSE)</f>
        <v>Metanol</v>
      </c>
      <c r="F22" s="55">
        <v>0</v>
      </c>
      <c r="G22" s="56" t="str">
        <f>VLOOKUP(C22,clientes!$C$3:$D$60,2,FALSE)</f>
        <v>SCC</v>
      </c>
    </row>
    <row r="23" spans="1:8" x14ac:dyDescent="0.25">
      <c r="A23">
        <v>2021</v>
      </c>
      <c r="B23" t="s">
        <v>143</v>
      </c>
      <c r="C23" s="56" t="s">
        <v>208</v>
      </c>
      <c r="D23" t="s">
        <v>202</v>
      </c>
      <c r="E23" t="str">
        <f>VLOOKUP(D23,'Lista de Produtos CLASSIFICAÇÃO'!$A$103:$B$144,2,FALSE)</f>
        <v>Outros</v>
      </c>
      <c r="F23" s="55">
        <v>308366</v>
      </c>
      <c r="G23" s="56" t="str">
        <f>VLOOKUP(C23,clientes!$C$3:$D$60,2,FALSE)</f>
        <v>HINOVE</v>
      </c>
    </row>
    <row r="24" spans="1:8" x14ac:dyDescent="0.25">
      <c r="A24">
        <v>2021</v>
      </c>
      <c r="B24" t="s">
        <v>143</v>
      </c>
      <c r="C24" s="56" t="s">
        <v>172</v>
      </c>
      <c r="D24" t="s">
        <v>124</v>
      </c>
      <c r="E24" t="str">
        <f>VLOOKUP(D24,'Lista de Produtos CLASSIFICAÇÃO'!$A$103:$B$144,2,FALSE)</f>
        <v>Outros</v>
      </c>
      <c r="F24" s="55">
        <v>193830</v>
      </c>
      <c r="G24" s="56" t="str">
        <f>VLOOKUP(C24,clientes!$C$3:$D$60,2,FALSE)</f>
        <v>EVONIK</v>
      </c>
    </row>
    <row r="25" spans="1:8" x14ac:dyDescent="0.25">
      <c r="A25">
        <v>2021</v>
      </c>
      <c r="B25" t="s">
        <v>143</v>
      </c>
      <c r="C25" s="56" t="s">
        <v>173</v>
      </c>
      <c r="D25" t="s">
        <v>22</v>
      </c>
      <c r="E25" t="str">
        <f>VLOOKUP(D25,'Lista de Produtos CLASSIFICAÇÃO'!$A$103:$B$144,2,FALSE)</f>
        <v>Metanol</v>
      </c>
      <c r="F25" s="55">
        <v>502536</v>
      </c>
      <c r="G25" s="56" t="str">
        <f>VLOOKUP(C25,clientes!$C$3:$D$60,2,FALSE)</f>
        <v>YPF SOCIEDAD ANONIMA</v>
      </c>
    </row>
    <row r="26" spans="1:8" x14ac:dyDescent="0.25">
      <c r="A26">
        <v>2021</v>
      </c>
      <c r="B26" t="s">
        <v>143</v>
      </c>
      <c r="C26" s="56" t="s">
        <v>203</v>
      </c>
      <c r="D26" t="s">
        <v>124</v>
      </c>
      <c r="E26" t="str">
        <f>VLOOKUP(D26,'Lista de Produtos CLASSIFICAÇÃO'!$A$103:$B$144,2,FALSE)</f>
        <v>Outros</v>
      </c>
      <c r="F26" s="55">
        <v>0</v>
      </c>
      <c r="G26" s="56" t="str">
        <f>VLOOKUP(C26,clientes!$C$3:$D$60,2,FALSE)</f>
        <v>GTM</v>
      </c>
    </row>
    <row r="27" spans="1:8" x14ac:dyDescent="0.25">
      <c r="A27">
        <v>2021</v>
      </c>
      <c r="B27" t="s">
        <v>143</v>
      </c>
      <c r="C27" s="56" t="s">
        <v>197</v>
      </c>
      <c r="D27" t="s">
        <v>85</v>
      </c>
      <c r="E27" t="str">
        <f>VLOOKUP(D27,'Lista de Produtos CLASSIFICAÇÃO'!$A$103:$B$144,2,FALSE)</f>
        <v>Outros</v>
      </c>
      <c r="F27" s="55">
        <v>119000</v>
      </c>
      <c r="G27" s="56" t="str">
        <f>VLOOKUP(C27,clientes!$C$3:$D$60,2,FALSE)</f>
        <v>DRT</v>
      </c>
    </row>
    <row r="28" spans="1:8" x14ac:dyDescent="0.25">
      <c r="A28">
        <v>2021</v>
      </c>
      <c r="B28" t="s">
        <v>143</v>
      </c>
      <c r="C28" s="56" t="s">
        <v>198</v>
      </c>
      <c r="D28" t="s">
        <v>121</v>
      </c>
      <c r="E28" t="str">
        <f>VLOOKUP(D28,'Lista de Produtos CLASSIFICAÇÃO'!$A$103:$B$144,2,FALSE)</f>
        <v>Biocombustíveis</v>
      </c>
      <c r="F28" s="55">
        <v>0</v>
      </c>
      <c r="G28" s="56" t="str">
        <f>VLOOKUP(C28,clientes!$C$3:$D$60,2,FALSE)</f>
        <v>TEREOS / INPASA / GLENCORE</v>
      </c>
    </row>
    <row r="29" spans="1:8" x14ac:dyDescent="0.25">
      <c r="A29">
        <v>2021</v>
      </c>
      <c r="B29" t="s">
        <v>143</v>
      </c>
      <c r="C29" s="56" t="s">
        <v>174</v>
      </c>
      <c r="D29" t="s">
        <v>123</v>
      </c>
      <c r="E29" t="str">
        <f>VLOOKUP(D29,'Lista de Produtos CLASSIFICAÇÃO'!$A$103:$B$144,2,FALSE)</f>
        <v>Aquecidos</v>
      </c>
      <c r="F29" s="55">
        <v>267764</v>
      </c>
      <c r="G29" s="56" t="str">
        <f>VLOOKUP(C29,clientes!$C$3:$D$60,2,FALSE)</f>
        <v>CELENA</v>
      </c>
    </row>
    <row r="30" spans="1:8" x14ac:dyDescent="0.25">
      <c r="A30">
        <v>2021</v>
      </c>
      <c r="B30" t="s">
        <v>143</v>
      </c>
      <c r="C30" s="56" t="s">
        <v>175</v>
      </c>
      <c r="D30" t="s">
        <v>123</v>
      </c>
      <c r="E30" t="str">
        <f>VLOOKUP(D30,'Lista de Produtos CLASSIFICAÇÃO'!$A$103:$B$144,2,FALSE)</f>
        <v>Aquecidos</v>
      </c>
      <c r="F30" s="55">
        <v>303588</v>
      </c>
      <c r="G30" s="56" t="str">
        <f>VLOOKUP(C30,clientes!$C$3:$D$60,2,FALSE)</f>
        <v>AAK DO BRASIL</v>
      </c>
    </row>
    <row r="31" spans="1:8" x14ac:dyDescent="0.25">
      <c r="A31">
        <v>2021</v>
      </c>
      <c r="B31" t="s">
        <v>143</v>
      </c>
      <c r="C31" s="56" t="s">
        <v>166</v>
      </c>
      <c r="D31" t="s">
        <v>122</v>
      </c>
      <c r="E31" t="str">
        <f>VLOOKUP(D31,'Lista de Produtos CLASSIFICAÇÃO'!$A$103:$B$144,2,FALSE)</f>
        <v>Óleo Vegetal</v>
      </c>
      <c r="F31" s="55">
        <v>242252</v>
      </c>
      <c r="G31" s="56" t="str">
        <f>VLOOKUP(C31,clientes!$C$3:$D$60,2,FALSE)</f>
        <v>CARGILL</v>
      </c>
    </row>
    <row r="32" spans="1:8" x14ac:dyDescent="0.25">
      <c r="A32">
        <v>2021</v>
      </c>
      <c r="B32" t="s">
        <v>143</v>
      </c>
      <c r="C32" s="56" t="s">
        <v>176</v>
      </c>
      <c r="D32" t="s">
        <v>123</v>
      </c>
      <c r="E32" t="str">
        <f>VLOOKUP(D32,'Lista de Produtos CLASSIFICAÇÃO'!$A$103:$B$144,2,FALSE)</f>
        <v>Aquecidos</v>
      </c>
      <c r="F32" s="55">
        <v>304688</v>
      </c>
      <c r="G32" s="56" t="str">
        <f>VLOOKUP(C32,clientes!$C$3:$D$60,2,FALSE)</f>
        <v>AGROPALMA</v>
      </c>
    </row>
    <row r="33" spans="1:7" x14ac:dyDescent="0.25">
      <c r="A33">
        <v>2021</v>
      </c>
      <c r="B33" t="s">
        <v>143</v>
      </c>
      <c r="C33" s="56" t="s">
        <v>204</v>
      </c>
      <c r="D33" t="s">
        <v>59</v>
      </c>
      <c r="E33" t="str">
        <f>VLOOKUP(D33,'Lista de Produtos CLASSIFICAÇÃO'!$A$103:$B$144,2,FALSE)</f>
        <v>Derivados</v>
      </c>
      <c r="F33" s="55">
        <v>1442809</v>
      </c>
      <c r="G33" s="56" t="str">
        <f>VLOOKUP(C33,clientes!$C$3:$D$60,2,FALSE)</f>
        <v>COPAPE</v>
      </c>
    </row>
    <row r="34" spans="1:7" x14ac:dyDescent="0.25">
      <c r="A34">
        <v>2021</v>
      </c>
      <c r="B34" t="s">
        <v>132</v>
      </c>
      <c r="C34" s="56" t="s">
        <v>155</v>
      </c>
      <c r="D34" t="s">
        <v>16</v>
      </c>
      <c r="E34" t="str">
        <f>VLOOKUP(D34,'Lista de Produtos CLASSIFICAÇÃO'!$A$103:$B$144,2,FALSE)</f>
        <v>Outros</v>
      </c>
      <c r="F34" s="55">
        <v>515772</v>
      </c>
      <c r="G34" s="56" t="str">
        <f>VLOOKUP(C34,clientes!$C$3:$D$60,2,FALSE)</f>
        <v>ADISSEO</v>
      </c>
    </row>
    <row r="35" spans="1:7" x14ac:dyDescent="0.25">
      <c r="A35">
        <v>2021</v>
      </c>
      <c r="B35" t="s">
        <v>132</v>
      </c>
      <c r="C35" s="56" t="s">
        <v>155</v>
      </c>
      <c r="D35" t="s">
        <v>16</v>
      </c>
      <c r="E35" t="str">
        <f>VLOOKUP(D35,'Lista de Produtos CLASSIFICAÇÃO'!$A$103:$B$144,2,FALSE)</f>
        <v>Outros</v>
      </c>
      <c r="F35" s="55">
        <v>0</v>
      </c>
      <c r="G35" s="56" t="str">
        <f>VLOOKUP(C35,clientes!$C$3:$D$60,2,FALSE)</f>
        <v>ADISSEO</v>
      </c>
    </row>
    <row r="36" spans="1:7" x14ac:dyDescent="0.25">
      <c r="A36">
        <v>2021</v>
      </c>
      <c r="B36" t="s">
        <v>132</v>
      </c>
      <c r="C36" s="56" t="s">
        <v>199</v>
      </c>
      <c r="D36" t="s">
        <v>16</v>
      </c>
      <c r="E36" t="str">
        <f>VLOOKUP(D36,'Lista de Produtos CLASSIFICAÇÃO'!$A$103:$B$144,2,FALSE)</f>
        <v>Outros</v>
      </c>
      <c r="F36" s="55">
        <v>3316</v>
      </c>
      <c r="G36" s="56" t="str">
        <f>VLOOKUP(C36,clientes!$C$3:$D$60,2,FALSE)</f>
        <v>ADISSEO</v>
      </c>
    </row>
    <row r="37" spans="1:7" x14ac:dyDescent="0.25">
      <c r="A37">
        <v>2021</v>
      </c>
      <c r="B37" t="s">
        <v>132</v>
      </c>
      <c r="C37" s="56" t="s">
        <v>157</v>
      </c>
      <c r="D37" t="s">
        <v>49</v>
      </c>
      <c r="E37" t="str">
        <f>VLOOKUP(D37,'Lista de Produtos CLASSIFICAÇÃO'!$A$103:$B$144,2,FALSE)</f>
        <v>Outros</v>
      </c>
      <c r="F37" s="55">
        <v>76113</v>
      </c>
      <c r="G37" s="56" t="str">
        <f>VLOOKUP(C37,clientes!$C$3:$D$60,2,FALSE)</f>
        <v>ADM</v>
      </c>
    </row>
    <row r="38" spans="1:7" x14ac:dyDescent="0.25">
      <c r="A38">
        <v>2021</v>
      </c>
      <c r="B38" t="s">
        <v>132</v>
      </c>
      <c r="C38" s="56" t="s">
        <v>158</v>
      </c>
      <c r="D38" t="s">
        <v>120</v>
      </c>
      <c r="E38" t="str">
        <f>VLOOKUP(D38,'Lista de Produtos CLASSIFICAÇÃO'!$A$103:$B$144,2,FALSE)</f>
        <v>Derivados</v>
      </c>
      <c r="F38" s="55">
        <v>6963862</v>
      </c>
      <c r="G38" s="56" t="str">
        <f>VLOOKUP(C38,clientes!$C$3:$D$60,2,FALSE)</f>
        <v>IPIRANGA</v>
      </c>
    </row>
    <row r="39" spans="1:7" x14ac:dyDescent="0.25">
      <c r="A39">
        <v>2021</v>
      </c>
      <c r="B39" t="s">
        <v>132</v>
      </c>
      <c r="C39" s="56" t="s">
        <v>206</v>
      </c>
      <c r="D39" t="s">
        <v>120</v>
      </c>
      <c r="E39" t="str">
        <f>VLOOKUP(D39,'Lista de Produtos CLASSIFICAÇÃO'!$A$103:$B$144,2,FALSE)</f>
        <v>Derivados</v>
      </c>
      <c r="F39" s="55">
        <v>3673286</v>
      </c>
      <c r="G39" s="56" t="str">
        <f>VLOOKUP(C39,clientes!$C$3:$D$60,2,FALSE)</f>
        <v>BR</v>
      </c>
    </row>
    <row r="40" spans="1:7" x14ac:dyDescent="0.25">
      <c r="A40">
        <v>2021</v>
      </c>
      <c r="B40" t="s">
        <v>132</v>
      </c>
      <c r="C40" s="56" t="s">
        <v>200</v>
      </c>
      <c r="D40" t="s">
        <v>120</v>
      </c>
      <c r="E40" t="str">
        <f>VLOOKUP(D40,'Lista de Produtos CLASSIFICAÇÃO'!$A$103:$B$144,2,FALSE)</f>
        <v>Derivados</v>
      </c>
      <c r="F40" s="55">
        <v>1765906</v>
      </c>
      <c r="G40" s="56" t="str">
        <f>VLOOKUP(C40,clientes!$C$3:$D$60,2,FALSE)</f>
        <v>GREENENERGY</v>
      </c>
    </row>
    <row r="41" spans="1:7" x14ac:dyDescent="0.25">
      <c r="A41">
        <v>2021</v>
      </c>
      <c r="B41" t="s">
        <v>132</v>
      </c>
      <c r="C41" s="56" t="s">
        <v>161</v>
      </c>
      <c r="D41" t="s">
        <v>120</v>
      </c>
      <c r="E41" t="str">
        <f>VLOOKUP(D41,'Lista de Produtos CLASSIFICAÇÃO'!$A$103:$B$144,2,FALSE)</f>
        <v>Derivados</v>
      </c>
      <c r="F41" s="55">
        <v>2898808</v>
      </c>
      <c r="G41" s="56" t="str">
        <f>VLOOKUP(C41,clientes!$C$3:$D$60,2,FALSE)</f>
        <v>SUL PLATA</v>
      </c>
    </row>
    <row r="42" spans="1:7" x14ac:dyDescent="0.25">
      <c r="A42">
        <v>2021</v>
      </c>
      <c r="B42" t="s">
        <v>132</v>
      </c>
      <c r="C42" s="56" t="s">
        <v>161</v>
      </c>
      <c r="D42" t="s">
        <v>120</v>
      </c>
      <c r="E42" t="str">
        <f>VLOOKUP(D42,'Lista de Produtos CLASSIFICAÇÃO'!$A$103:$B$144,2,FALSE)</f>
        <v>Derivados</v>
      </c>
      <c r="F42" s="55">
        <v>0</v>
      </c>
      <c r="G42" s="56" t="str">
        <f>VLOOKUP(C42,clientes!$C$3:$D$60,2,FALSE)</f>
        <v>SUL PLATA</v>
      </c>
    </row>
    <row r="43" spans="1:7" x14ac:dyDescent="0.25">
      <c r="A43">
        <v>2021</v>
      </c>
      <c r="B43" t="s">
        <v>132</v>
      </c>
      <c r="C43" s="56" t="s">
        <v>162</v>
      </c>
      <c r="D43" t="s">
        <v>115</v>
      </c>
      <c r="E43" t="str">
        <f>VLOOKUP(D43,'Lista de Produtos CLASSIFICAÇÃO'!$A$103:$B$144,2,FALSE)</f>
        <v>Soda Caustica</v>
      </c>
      <c r="F43" s="55">
        <v>129223</v>
      </c>
      <c r="G43" s="56" t="str">
        <f>VLOOKUP(C43,clientes!$C$3:$D$60,2,FALSE)</f>
        <v>JBS</v>
      </c>
    </row>
    <row r="44" spans="1:7" x14ac:dyDescent="0.25">
      <c r="A44">
        <v>2021</v>
      </c>
      <c r="B44" t="s">
        <v>132</v>
      </c>
      <c r="C44" s="56" t="s">
        <v>163</v>
      </c>
      <c r="D44" t="s">
        <v>115</v>
      </c>
      <c r="E44" t="str">
        <f>VLOOKUP(D44,'Lista de Produtos CLASSIFICAÇÃO'!$A$103:$B$144,2,FALSE)</f>
        <v>Soda Caustica</v>
      </c>
      <c r="F44" s="55">
        <v>305822</v>
      </c>
      <c r="G44" s="56" t="str">
        <f>VLOOKUP(C44,clientes!$C$3:$D$60,2,FALSE)</f>
        <v>TRICON ENERGY</v>
      </c>
    </row>
    <row r="45" spans="1:7" x14ac:dyDescent="0.25">
      <c r="A45">
        <v>2021</v>
      </c>
      <c r="B45" t="s">
        <v>132</v>
      </c>
      <c r="C45" s="56" t="s">
        <v>207</v>
      </c>
      <c r="D45" t="s">
        <v>16</v>
      </c>
      <c r="E45" t="str">
        <f>VLOOKUP(D45,'Lista de Produtos CLASSIFICAÇÃO'!$A$103:$B$144,2,FALSE)</f>
        <v>Outros</v>
      </c>
      <c r="F45" s="55">
        <v>194724</v>
      </c>
      <c r="G45" s="56" t="str">
        <f>VLOOKUP(C45,clientes!$C$3:$D$60,2,FALSE)</f>
        <v>NOVUS</v>
      </c>
    </row>
    <row r="46" spans="1:7" x14ac:dyDescent="0.25">
      <c r="A46">
        <v>2021</v>
      </c>
      <c r="B46" t="s">
        <v>132</v>
      </c>
      <c r="C46" s="56" t="s">
        <v>165</v>
      </c>
      <c r="D46" t="s">
        <v>123</v>
      </c>
      <c r="E46" t="str">
        <f>VLOOKUP(D46,'Lista de Produtos CLASSIFICAÇÃO'!$A$103:$B$144,2,FALSE)</f>
        <v>Aquecidos</v>
      </c>
      <c r="F46" s="55">
        <v>758790</v>
      </c>
      <c r="G46" s="56" t="str">
        <f>VLOOKUP(C46,clientes!$C$3:$D$60,2,FALSE)</f>
        <v>BRF</v>
      </c>
    </row>
    <row r="47" spans="1:7" x14ac:dyDescent="0.25">
      <c r="A47">
        <v>2021</v>
      </c>
      <c r="B47" t="s">
        <v>132</v>
      </c>
      <c r="C47" s="56" t="s">
        <v>162</v>
      </c>
      <c r="D47" t="s">
        <v>123</v>
      </c>
      <c r="E47" t="str">
        <f>VLOOKUP(D47,'Lista de Produtos CLASSIFICAÇÃO'!$A$103:$B$144,2,FALSE)</f>
        <v>Aquecidos</v>
      </c>
      <c r="F47" s="55">
        <v>172294</v>
      </c>
      <c r="G47" s="56" t="str">
        <f>VLOOKUP(C47,clientes!$C$3:$D$60,2,FALSE)</f>
        <v>JBS</v>
      </c>
    </row>
    <row r="48" spans="1:7" x14ac:dyDescent="0.25">
      <c r="A48">
        <v>2021</v>
      </c>
      <c r="B48" t="s">
        <v>132</v>
      </c>
      <c r="C48" s="56" t="s">
        <v>166</v>
      </c>
      <c r="D48" t="s">
        <v>123</v>
      </c>
      <c r="E48" t="str">
        <f>VLOOKUP(D48,'Lista de Produtos CLASSIFICAÇÃO'!$A$103:$B$144,2,FALSE)</f>
        <v>Aquecidos</v>
      </c>
      <c r="F48" s="55">
        <v>448348</v>
      </c>
      <c r="G48" s="56" t="str">
        <f>VLOOKUP(C48,clientes!$C$3:$D$60,2,FALSE)</f>
        <v>CARGILL</v>
      </c>
    </row>
    <row r="49" spans="1:7" x14ac:dyDescent="0.25">
      <c r="A49">
        <v>2021</v>
      </c>
      <c r="B49" t="s">
        <v>132</v>
      </c>
      <c r="C49" s="56" t="s">
        <v>167</v>
      </c>
      <c r="D49" t="s">
        <v>122</v>
      </c>
      <c r="E49" t="str">
        <f>VLOOKUP(D49,'Lista de Produtos CLASSIFICAÇÃO'!$A$103:$B$144,2,FALSE)</f>
        <v>Óleo Vegetal</v>
      </c>
      <c r="F49" s="55">
        <v>1101750</v>
      </c>
      <c r="G49" s="56" t="str">
        <f>VLOOKUP(C49,clientes!$C$3:$D$60,2,FALSE)</f>
        <v>POOL</v>
      </c>
    </row>
    <row r="50" spans="1:7" x14ac:dyDescent="0.25">
      <c r="A50">
        <v>2021</v>
      </c>
      <c r="B50" t="s">
        <v>132</v>
      </c>
      <c r="C50" s="56" t="s">
        <v>168</v>
      </c>
      <c r="D50" t="s">
        <v>122</v>
      </c>
      <c r="E50" t="str">
        <f>VLOOKUP(D50,'Lista de Produtos CLASSIFICAÇÃO'!$A$103:$B$144,2,FALSE)</f>
        <v>Óleo Vegetal</v>
      </c>
      <c r="F50" s="55">
        <v>63587</v>
      </c>
      <c r="G50" s="56" t="str">
        <f>VLOOKUP(C50,clientes!$C$3:$D$60,2,FALSE)</f>
        <v>POOL EXCEDENTE</v>
      </c>
    </row>
    <row r="51" spans="1:7" x14ac:dyDescent="0.25">
      <c r="A51">
        <v>2021</v>
      </c>
      <c r="B51" t="s">
        <v>132</v>
      </c>
      <c r="C51" s="56" t="s">
        <v>169</v>
      </c>
      <c r="D51" t="s">
        <v>22</v>
      </c>
      <c r="E51" t="str">
        <f>VLOOKUP(D51,'Lista de Produtos CLASSIFICAÇÃO'!$A$103:$B$144,2,FALSE)</f>
        <v>Metanol</v>
      </c>
      <c r="F51" s="55">
        <v>5136871</v>
      </c>
      <c r="G51" s="56" t="str">
        <f>VLOOKUP(C51,clientes!$C$3:$D$60,2,FALSE)</f>
        <v>METHANEX</v>
      </c>
    </row>
    <row r="52" spans="1:7" x14ac:dyDescent="0.25">
      <c r="A52">
        <v>2021</v>
      </c>
      <c r="B52" t="s">
        <v>132</v>
      </c>
      <c r="C52" s="56" t="s">
        <v>170</v>
      </c>
      <c r="D52" t="s">
        <v>22</v>
      </c>
      <c r="E52" t="str">
        <f>VLOOKUP(D52,'Lista de Produtos CLASSIFICAÇÃO'!$A$103:$B$144,2,FALSE)</f>
        <v>Metanol</v>
      </c>
      <c r="F52" s="55">
        <v>3063505</v>
      </c>
      <c r="G52" s="56" t="str">
        <f>VLOOKUP(C52,clientes!$C$3:$D$60,2,FALSE)</f>
        <v>MITSUBISHI</v>
      </c>
    </row>
    <row r="53" spans="1:7" x14ac:dyDescent="0.25">
      <c r="A53">
        <v>2021</v>
      </c>
      <c r="B53" t="s">
        <v>132</v>
      </c>
      <c r="C53" s="56" t="s">
        <v>196</v>
      </c>
      <c r="D53" t="s">
        <v>22</v>
      </c>
      <c r="E53" t="str">
        <f>VLOOKUP(D53,'Lista de Produtos CLASSIFICAÇÃO'!$A$103:$B$144,2,FALSE)</f>
        <v>Metanol</v>
      </c>
      <c r="F53" s="55">
        <v>4558035</v>
      </c>
      <c r="G53" s="56" t="str">
        <f>VLOOKUP(C53,clientes!$C$3:$D$60,2,FALSE)</f>
        <v>SCC</v>
      </c>
    </row>
    <row r="54" spans="1:7" x14ac:dyDescent="0.25">
      <c r="A54">
        <v>2021</v>
      </c>
      <c r="B54" t="s">
        <v>132</v>
      </c>
      <c r="C54" s="56" t="s">
        <v>196</v>
      </c>
      <c r="D54" t="s">
        <v>22</v>
      </c>
      <c r="E54" t="str">
        <f>VLOOKUP(D54,'Lista de Produtos CLASSIFICAÇÃO'!$A$103:$B$144,2,FALSE)</f>
        <v>Metanol</v>
      </c>
      <c r="F54" s="55">
        <v>0</v>
      </c>
      <c r="G54" s="56" t="str">
        <f>VLOOKUP(C54,clientes!$C$3:$D$60,2,FALSE)</f>
        <v>SCC</v>
      </c>
    </row>
    <row r="55" spans="1:7" x14ac:dyDescent="0.25">
      <c r="A55">
        <v>2021</v>
      </c>
      <c r="B55" t="s">
        <v>132</v>
      </c>
      <c r="C55" s="56" t="s">
        <v>208</v>
      </c>
      <c r="D55" t="s">
        <v>202</v>
      </c>
      <c r="E55" t="str">
        <f>VLOOKUP(D55,'Lista de Produtos CLASSIFICAÇÃO'!$A$103:$B$144,2,FALSE)</f>
        <v>Outros</v>
      </c>
      <c r="F55" s="55">
        <v>308366</v>
      </c>
      <c r="G55" s="56" t="str">
        <f>VLOOKUP(C55,clientes!$C$3:$D$60,2,FALSE)</f>
        <v>HINOVE</v>
      </c>
    </row>
    <row r="56" spans="1:7" x14ac:dyDescent="0.25">
      <c r="A56">
        <v>2021</v>
      </c>
      <c r="B56" t="s">
        <v>132</v>
      </c>
      <c r="C56" s="56" t="s">
        <v>172</v>
      </c>
      <c r="D56" t="s">
        <v>124</v>
      </c>
      <c r="E56" t="str">
        <f>VLOOKUP(D56,'Lista de Produtos CLASSIFICAÇÃO'!$A$103:$B$144,2,FALSE)</f>
        <v>Outros</v>
      </c>
      <c r="F56" s="55">
        <v>193830</v>
      </c>
      <c r="G56" s="56" t="str">
        <f>VLOOKUP(C56,clientes!$C$3:$D$60,2,FALSE)</f>
        <v>EVONIK</v>
      </c>
    </row>
    <row r="57" spans="1:7" x14ac:dyDescent="0.25">
      <c r="A57">
        <v>2021</v>
      </c>
      <c r="B57" t="s">
        <v>132</v>
      </c>
      <c r="C57" s="56" t="s">
        <v>173</v>
      </c>
      <c r="D57" t="s">
        <v>22</v>
      </c>
      <c r="E57" t="str">
        <f>VLOOKUP(D57,'Lista de Produtos CLASSIFICAÇÃO'!$A$103:$B$144,2,FALSE)</f>
        <v>Metanol</v>
      </c>
      <c r="F57" s="55">
        <v>502536</v>
      </c>
      <c r="G57" s="56" t="str">
        <f>VLOOKUP(C57,clientes!$C$3:$D$60,2,FALSE)</f>
        <v>YPF SOCIEDAD ANONIMA</v>
      </c>
    </row>
    <row r="58" spans="1:7" x14ac:dyDescent="0.25">
      <c r="A58">
        <v>2021</v>
      </c>
      <c r="B58" t="s">
        <v>132</v>
      </c>
      <c r="C58" s="56" t="s">
        <v>203</v>
      </c>
      <c r="D58" t="s">
        <v>124</v>
      </c>
      <c r="E58" t="str">
        <f>VLOOKUP(D58,'Lista de Produtos CLASSIFICAÇÃO'!$A$103:$B$144,2,FALSE)</f>
        <v>Outros</v>
      </c>
      <c r="F58" s="55">
        <v>128809</v>
      </c>
      <c r="G58" s="56" t="str">
        <f>VLOOKUP(C58,clientes!$C$3:$D$60,2,FALSE)</f>
        <v>GTM</v>
      </c>
    </row>
    <row r="59" spans="1:7" x14ac:dyDescent="0.25">
      <c r="A59">
        <v>2021</v>
      </c>
      <c r="B59" t="s">
        <v>132</v>
      </c>
      <c r="C59" s="56" t="s">
        <v>197</v>
      </c>
      <c r="D59" t="s">
        <v>85</v>
      </c>
      <c r="E59" t="str">
        <f>VLOOKUP(D59,'Lista de Produtos CLASSIFICAÇÃO'!$A$103:$B$144,2,FALSE)</f>
        <v>Outros</v>
      </c>
      <c r="F59" s="55">
        <v>119000</v>
      </c>
      <c r="G59" s="56" t="str">
        <f>VLOOKUP(C59,clientes!$C$3:$D$60,2,FALSE)</f>
        <v>DRT</v>
      </c>
    </row>
    <row r="60" spans="1:7" x14ac:dyDescent="0.25">
      <c r="A60">
        <v>2021</v>
      </c>
      <c r="B60" t="s">
        <v>132</v>
      </c>
      <c r="C60" s="56" t="s">
        <v>198</v>
      </c>
      <c r="D60" t="s">
        <v>121</v>
      </c>
      <c r="E60" t="str">
        <f>VLOOKUP(D60,'Lista de Produtos CLASSIFICAÇÃO'!$A$103:$B$144,2,FALSE)</f>
        <v>Biocombustíveis</v>
      </c>
      <c r="F60" s="55">
        <v>0</v>
      </c>
      <c r="G60" s="56" t="str">
        <f>VLOOKUP(C60,clientes!$C$3:$D$60,2,FALSE)</f>
        <v>TEREOS / INPASA / GLENCORE</v>
      </c>
    </row>
    <row r="61" spans="1:7" x14ac:dyDescent="0.25">
      <c r="A61">
        <v>2021</v>
      </c>
      <c r="B61" t="s">
        <v>132</v>
      </c>
      <c r="C61" s="56" t="s">
        <v>174</v>
      </c>
      <c r="D61" t="s">
        <v>123</v>
      </c>
      <c r="E61" t="str">
        <f>VLOOKUP(D61,'Lista de Produtos CLASSIFICAÇÃO'!$A$103:$B$144,2,FALSE)</f>
        <v>Aquecidos</v>
      </c>
      <c r="F61" s="55">
        <v>267764</v>
      </c>
      <c r="G61" s="56" t="str">
        <f>VLOOKUP(C61,clientes!$C$3:$D$60,2,FALSE)</f>
        <v>CELENA</v>
      </c>
    </row>
    <row r="62" spans="1:7" x14ac:dyDescent="0.25">
      <c r="A62">
        <v>2021</v>
      </c>
      <c r="B62" t="s">
        <v>132</v>
      </c>
      <c r="C62" s="56" t="s">
        <v>175</v>
      </c>
      <c r="D62" t="s">
        <v>123</v>
      </c>
      <c r="E62" t="str">
        <f>VLOOKUP(D62,'Lista de Produtos CLASSIFICAÇÃO'!$A$103:$B$144,2,FALSE)</f>
        <v>Aquecidos</v>
      </c>
      <c r="F62" s="55">
        <v>303588</v>
      </c>
      <c r="G62" s="56" t="str">
        <f>VLOOKUP(C62,clientes!$C$3:$D$60,2,FALSE)</f>
        <v>AAK DO BRASIL</v>
      </c>
    </row>
    <row r="63" spans="1:7" x14ac:dyDescent="0.25">
      <c r="A63">
        <v>2021</v>
      </c>
      <c r="B63" t="s">
        <v>132</v>
      </c>
      <c r="C63" s="56" t="s">
        <v>166</v>
      </c>
      <c r="D63" t="s">
        <v>122</v>
      </c>
      <c r="E63" t="str">
        <f>VLOOKUP(D63,'Lista de Produtos CLASSIFICAÇÃO'!$A$103:$B$144,2,FALSE)</f>
        <v>Óleo Vegetal</v>
      </c>
      <c r="F63" s="55">
        <v>200808</v>
      </c>
      <c r="G63" s="56" t="str">
        <f>VLOOKUP(C63,clientes!$C$3:$D$60,2,FALSE)</f>
        <v>CARGILL</v>
      </c>
    </row>
    <row r="64" spans="1:7" x14ac:dyDescent="0.25">
      <c r="A64">
        <v>2021</v>
      </c>
      <c r="B64" t="s">
        <v>132</v>
      </c>
      <c r="C64" s="56" t="s">
        <v>176</v>
      </c>
      <c r="D64" t="s">
        <v>123</v>
      </c>
      <c r="E64" t="str">
        <f>VLOOKUP(D64,'Lista de Produtos CLASSIFICAÇÃO'!$A$103:$B$144,2,FALSE)</f>
        <v>Aquecidos</v>
      </c>
      <c r="F64" s="55">
        <v>304688</v>
      </c>
      <c r="G64" s="56" t="str">
        <f>VLOOKUP(C64,clientes!$C$3:$D$60,2,FALSE)</f>
        <v>AGROPALMA</v>
      </c>
    </row>
    <row r="65" spans="1:7" x14ac:dyDescent="0.25">
      <c r="A65">
        <v>2021</v>
      </c>
      <c r="B65" t="s">
        <v>132</v>
      </c>
      <c r="C65" s="56" t="s">
        <v>204</v>
      </c>
      <c r="D65" t="s">
        <v>59</v>
      </c>
      <c r="E65" t="str">
        <f>VLOOKUP(D65,'Lista de Produtos CLASSIFICAÇÃO'!$A$103:$B$144,2,FALSE)</f>
        <v>Derivados</v>
      </c>
      <c r="F65" s="55">
        <v>1442809</v>
      </c>
      <c r="G65" s="56" t="str">
        <f>VLOOKUP(C65,clientes!$C$3:$D$60,2,FALSE)</f>
        <v>COPAPE</v>
      </c>
    </row>
    <row r="66" spans="1:7" x14ac:dyDescent="0.25">
      <c r="A66">
        <v>2021</v>
      </c>
      <c r="B66" t="s">
        <v>133</v>
      </c>
      <c r="C66" s="56" t="s">
        <v>155</v>
      </c>
      <c r="D66" t="s">
        <v>16</v>
      </c>
      <c r="E66" t="str">
        <f>VLOOKUP(D66,'Lista de Produtos CLASSIFICAÇÃO'!$A$103:$B$144,2,FALSE)</f>
        <v>Outros</v>
      </c>
      <c r="F66" s="55">
        <v>515772</v>
      </c>
      <c r="G66" s="56" t="str">
        <f>VLOOKUP(C66,clientes!$C$3:$D$60,2,FALSE)</f>
        <v>ADISSEO</v>
      </c>
    </row>
    <row r="67" spans="1:7" x14ac:dyDescent="0.25">
      <c r="A67">
        <v>2021</v>
      </c>
      <c r="B67" t="s">
        <v>133</v>
      </c>
      <c r="C67" s="56" t="s">
        <v>155</v>
      </c>
      <c r="D67" t="s">
        <v>16</v>
      </c>
      <c r="E67" t="str">
        <f>VLOOKUP(D67,'Lista de Produtos CLASSIFICAÇÃO'!$A$103:$B$144,2,FALSE)</f>
        <v>Outros</v>
      </c>
      <c r="F67" s="55">
        <v>0</v>
      </c>
      <c r="G67" s="56" t="str">
        <f>VLOOKUP(C67,clientes!$C$3:$D$60,2,FALSE)</f>
        <v>ADISSEO</v>
      </c>
    </row>
    <row r="68" spans="1:7" x14ac:dyDescent="0.25">
      <c r="A68">
        <v>2021</v>
      </c>
      <c r="B68" t="s">
        <v>133</v>
      </c>
      <c r="C68" s="56" t="s">
        <v>199</v>
      </c>
      <c r="D68" t="s">
        <v>16</v>
      </c>
      <c r="E68" t="str">
        <f>VLOOKUP(D68,'Lista de Produtos CLASSIFICAÇÃO'!$A$103:$B$144,2,FALSE)</f>
        <v>Outros</v>
      </c>
      <c r="F68" s="55">
        <v>3316</v>
      </c>
      <c r="G68" s="56" t="str">
        <f>VLOOKUP(C68,clientes!$C$3:$D$60,2,FALSE)</f>
        <v>ADISSEO</v>
      </c>
    </row>
    <row r="69" spans="1:7" x14ac:dyDescent="0.25">
      <c r="A69">
        <v>2021</v>
      </c>
      <c r="B69" t="s">
        <v>133</v>
      </c>
      <c r="C69" s="56" t="s">
        <v>157</v>
      </c>
      <c r="D69" t="s">
        <v>49</v>
      </c>
      <c r="E69" t="str">
        <f>VLOOKUP(D69,'Lista de Produtos CLASSIFICAÇÃO'!$A$103:$B$144,2,FALSE)</f>
        <v>Outros</v>
      </c>
      <c r="F69" s="55">
        <v>76113</v>
      </c>
      <c r="G69" s="56" t="str">
        <f>VLOOKUP(C69,clientes!$C$3:$D$60,2,FALSE)</f>
        <v>ADM</v>
      </c>
    </row>
    <row r="70" spans="1:7" x14ac:dyDescent="0.25">
      <c r="A70">
        <v>2021</v>
      </c>
      <c r="B70" t="s">
        <v>133</v>
      </c>
      <c r="C70" s="56" t="s">
        <v>158</v>
      </c>
      <c r="D70" t="s">
        <v>120</v>
      </c>
      <c r="E70" t="str">
        <f>VLOOKUP(D70,'Lista de Produtos CLASSIFICAÇÃO'!$A$103:$B$144,2,FALSE)</f>
        <v>Derivados</v>
      </c>
      <c r="F70" s="55">
        <v>6963862</v>
      </c>
      <c r="G70" s="56" t="str">
        <f>VLOOKUP(C70,clientes!$C$3:$D$60,2,FALSE)</f>
        <v>IPIRANGA</v>
      </c>
    </row>
    <row r="71" spans="1:7" x14ac:dyDescent="0.25">
      <c r="A71">
        <v>2021</v>
      </c>
      <c r="B71" t="s">
        <v>133</v>
      </c>
      <c r="C71" s="56" t="s">
        <v>206</v>
      </c>
      <c r="D71" t="s">
        <v>120</v>
      </c>
      <c r="E71" t="str">
        <f>VLOOKUP(D71,'Lista de Produtos CLASSIFICAÇÃO'!$A$103:$B$144,2,FALSE)</f>
        <v>Derivados</v>
      </c>
      <c r="F71" s="55">
        <v>3673286</v>
      </c>
      <c r="G71" s="56" t="str">
        <f>VLOOKUP(C71,clientes!$C$3:$D$60,2,FALSE)</f>
        <v>BR</v>
      </c>
    </row>
    <row r="72" spans="1:7" x14ac:dyDescent="0.25">
      <c r="A72">
        <v>2021</v>
      </c>
      <c r="B72" t="s">
        <v>133</v>
      </c>
      <c r="C72" s="56" t="s">
        <v>200</v>
      </c>
      <c r="D72" t="s">
        <v>120</v>
      </c>
      <c r="E72" t="str">
        <f>VLOOKUP(D72,'Lista de Produtos CLASSIFICAÇÃO'!$A$103:$B$144,2,FALSE)</f>
        <v>Derivados</v>
      </c>
      <c r="F72" s="55">
        <v>1765906</v>
      </c>
      <c r="G72" s="56" t="str">
        <f>VLOOKUP(C72,clientes!$C$3:$D$60,2,FALSE)</f>
        <v>GREENENERGY</v>
      </c>
    </row>
    <row r="73" spans="1:7" x14ac:dyDescent="0.25">
      <c r="A73">
        <v>2021</v>
      </c>
      <c r="B73" t="s">
        <v>133</v>
      </c>
      <c r="C73" s="56" t="s">
        <v>161</v>
      </c>
      <c r="D73" t="s">
        <v>120</v>
      </c>
      <c r="E73" t="str">
        <f>VLOOKUP(D73,'Lista de Produtos CLASSIFICAÇÃO'!$A$103:$B$144,2,FALSE)</f>
        <v>Derivados</v>
      </c>
      <c r="F73" s="55">
        <v>2898808</v>
      </c>
      <c r="G73" s="56" t="str">
        <f>VLOOKUP(C73,clientes!$C$3:$D$60,2,FALSE)</f>
        <v>SUL PLATA</v>
      </c>
    </row>
    <row r="74" spans="1:7" x14ac:dyDescent="0.25">
      <c r="A74">
        <v>2021</v>
      </c>
      <c r="B74" t="s">
        <v>133</v>
      </c>
      <c r="C74" s="56" t="s">
        <v>161</v>
      </c>
      <c r="D74" t="s">
        <v>120</v>
      </c>
      <c r="E74" t="str">
        <f>VLOOKUP(D74,'Lista de Produtos CLASSIFICAÇÃO'!$A$103:$B$144,2,FALSE)</f>
        <v>Derivados</v>
      </c>
      <c r="F74" s="55">
        <v>0</v>
      </c>
      <c r="G74" s="56" t="str">
        <f>VLOOKUP(C74,clientes!$C$3:$D$60,2,FALSE)</f>
        <v>SUL PLATA</v>
      </c>
    </row>
    <row r="75" spans="1:7" x14ac:dyDescent="0.25">
      <c r="A75">
        <v>2021</v>
      </c>
      <c r="B75" t="s">
        <v>133</v>
      </c>
      <c r="C75" s="56" t="s">
        <v>162</v>
      </c>
      <c r="D75" t="s">
        <v>115</v>
      </c>
      <c r="E75" t="str">
        <f>VLOOKUP(D75,'Lista de Produtos CLASSIFICAÇÃO'!$A$103:$B$144,2,FALSE)</f>
        <v>Soda Caustica</v>
      </c>
      <c r="F75" s="55">
        <v>129223</v>
      </c>
      <c r="G75" s="56" t="str">
        <f>VLOOKUP(C75,clientes!$C$3:$D$60,2,FALSE)</f>
        <v>JBS</v>
      </c>
    </row>
    <row r="76" spans="1:7" x14ac:dyDescent="0.25">
      <c r="A76">
        <v>2021</v>
      </c>
      <c r="B76" t="s">
        <v>133</v>
      </c>
      <c r="C76" s="56" t="s">
        <v>163</v>
      </c>
      <c r="D76" t="s">
        <v>115</v>
      </c>
      <c r="E76" t="str">
        <f>VLOOKUP(D76,'Lista de Produtos CLASSIFICAÇÃO'!$A$103:$B$144,2,FALSE)</f>
        <v>Soda Caustica</v>
      </c>
      <c r="F76" s="55">
        <v>305822</v>
      </c>
      <c r="G76" s="56" t="str">
        <f>VLOOKUP(C76,clientes!$C$3:$D$60,2,FALSE)</f>
        <v>TRICON ENERGY</v>
      </c>
    </row>
    <row r="77" spans="1:7" x14ac:dyDescent="0.25">
      <c r="A77">
        <v>2021</v>
      </c>
      <c r="B77" t="s">
        <v>133</v>
      </c>
      <c r="C77" s="56" t="s">
        <v>207</v>
      </c>
      <c r="D77" t="s">
        <v>16</v>
      </c>
      <c r="E77" t="str">
        <f>VLOOKUP(D77,'Lista de Produtos CLASSIFICAÇÃO'!$A$103:$B$144,2,FALSE)</f>
        <v>Outros</v>
      </c>
      <c r="F77" s="55">
        <v>194724</v>
      </c>
      <c r="G77" s="56" t="str">
        <f>VLOOKUP(C77,clientes!$C$3:$D$60,2,FALSE)</f>
        <v>NOVUS</v>
      </c>
    </row>
    <row r="78" spans="1:7" x14ac:dyDescent="0.25">
      <c r="A78">
        <v>2021</v>
      </c>
      <c r="B78" t="s">
        <v>133</v>
      </c>
      <c r="C78" s="56" t="s">
        <v>165</v>
      </c>
      <c r="D78" t="s">
        <v>123</v>
      </c>
      <c r="E78" t="str">
        <f>VLOOKUP(D78,'Lista de Produtos CLASSIFICAÇÃO'!$A$103:$B$144,2,FALSE)</f>
        <v>Aquecidos</v>
      </c>
      <c r="F78" s="55">
        <v>758790</v>
      </c>
      <c r="G78" s="56" t="str">
        <f>VLOOKUP(C78,clientes!$C$3:$D$60,2,FALSE)</f>
        <v>BRF</v>
      </c>
    </row>
    <row r="79" spans="1:7" x14ac:dyDescent="0.25">
      <c r="A79">
        <v>2021</v>
      </c>
      <c r="B79" t="s">
        <v>133</v>
      </c>
      <c r="C79" s="56" t="s">
        <v>162</v>
      </c>
      <c r="D79" t="s">
        <v>123</v>
      </c>
      <c r="E79" t="str">
        <f>VLOOKUP(D79,'Lista de Produtos CLASSIFICAÇÃO'!$A$103:$B$144,2,FALSE)</f>
        <v>Aquecidos</v>
      </c>
      <c r="F79" s="55">
        <v>172294</v>
      </c>
      <c r="G79" s="56" t="str">
        <f>VLOOKUP(C79,clientes!$C$3:$D$60,2,FALSE)</f>
        <v>JBS</v>
      </c>
    </row>
    <row r="80" spans="1:7" x14ac:dyDescent="0.25">
      <c r="A80">
        <v>2021</v>
      </c>
      <c r="B80" t="s">
        <v>133</v>
      </c>
      <c r="C80" s="56" t="s">
        <v>166</v>
      </c>
      <c r="D80" t="s">
        <v>123</v>
      </c>
      <c r="E80" t="str">
        <f>VLOOKUP(D80,'Lista de Produtos CLASSIFICAÇÃO'!$A$103:$B$144,2,FALSE)</f>
        <v>Aquecidos</v>
      </c>
      <c r="F80" s="55">
        <v>448348</v>
      </c>
      <c r="G80" s="56" t="str">
        <f>VLOOKUP(C80,clientes!$C$3:$D$60,2,FALSE)</f>
        <v>CARGILL</v>
      </c>
    </row>
    <row r="81" spans="1:7" x14ac:dyDescent="0.25">
      <c r="A81">
        <v>2021</v>
      </c>
      <c r="B81" t="s">
        <v>133</v>
      </c>
      <c r="C81" s="56" t="s">
        <v>167</v>
      </c>
      <c r="D81" t="s">
        <v>122</v>
      </c>
      <c r="E81" t="str">
        <f>VLOOKUP(D81,'Lista de Produtos CLASSIFICAÇÃO'!$A$103:$B$144,2,FALSE)</f>
        <v>Óleo Vegetal</v>
      </c>
      <c r="F81" s="55">
        <v>2389071</v>
      </c>
      <c r="G81" s="56" t="str">
        <f>VLOOKUP(C81,clientes!$C$3:$D$60,2,FALSE)</f>
        <v>POOL</v>
      </c>
    </row>
    <row r="82" spans="1:7" x14ac:dyDescent="0.25">
      <c r="A82">
        <v>2021</v>
      </c>
      <c r="B82" t="s">
        <v>133</v>
      </c>
      <c r="C82" s="56" t="s">
        <v>168</v>
      </c>
      <c r="D82" t="s">
        <v>122</v>
      </c>
      <c r="E82" t="str">
        <f>VLOOKUP(D82,'Lista de Produtos CLASSIFICAÇÃO'!$A$103:$B$144,2,FALSE)</f>
        <v>Óleo Vegetal</v>
      </c>
      <c r="F82" s="55">
        <v>63587</v>
      </c>
      <c r="G82" s="56" t="str">
        <f>VLOOKUP(C82,clientes!$C$3:$D$60,2,FALSE)</f>
        <v>POOL EXCEDENTE</v>
      </c>
    </row>
    <row r="83" spans="1:7" x14ac:dyDescent="0.25">
      <c r="A83">
        <v>2021</v>
      </c>
      <c r="B83" t="s">
        <v>133</v>
      </c>
      <c r="C83" s="56" t="s">
        <v>169</v>
      </c>
      <c r="D83" t="s">
        <v>22</v>
      </c>
      <c r="E83" t="str">
        <f>VLOOKUP(D83,'Lista de Produtos CLASSIFICAÇÃO'!$A$103:$B$144,2,FALSE)</f>
        <v>Metanol</v>
      </c>
      <c r="F83" s="55">
        <v>5136871</v>
      </c>
      <c r="G83" s="56" t="str">
        <f>VLOOKUP(C83,clientes!$C$3:$D$60,2,FALSE)</f>
        <v>METHANEX</v>
      </c>
    </row>
    <row r="84" spans="1:7" x14ac:dyDescent="0.25">
      <c r="A84">
        <v>2021</v>
      </c>
      <c r="B84" t="s">
        <v>133</v>
      </c>
      <c r="C84" s="56" t="s">
        <v>170</v>
      </c>
      <c r="D84" t="s">
        <v>22</v>
      </c>
      <c r="E84" t="str">
        <f>VLOOKUP(D84,'Lista de Produtos CLASSIFICAÇÃO'!$A$103:$B$144,2,FALSE)</f>
        <v>Metanol</v>
      </c>
      <c r="F84" s="55">
        <v>3063505</v>
      </c>
      <c r="G84" s="56" t="str">
        <f>VLOOKUP(C84,clientes!$C$3:$D$60,2,FALSE)</f>
        <v>MITSUBISHI</v>
      </c>
    </row>
    <row r="85" spans="1:7" x14ac:dyDescent="0.25">
      <c r="A85">
        <v>2021</v>
      </c>
      <c r="B85" t="s">
        <v>133</v>
      </c>
      <c r="C85" s="56" t="s">
        <v>196</v>
      </c>
      <c r="D85" t="s">
        <v>22</v>
      </c>
      <c r="E85" t="str">
        <f>VLOOKUP(D85,'Lista de Produtos CLASSIFICAÇÃO'!$A$103:$B$144,2,FALSE)</f>
        <v>Metanol</v>
      </c>
      <c r="F85" s="55">
        <v>4558035</v>
      </c>
      <c r="G85" s="56" t="str">
        <f>VLOOKUP(C85,clientes!$C$3:$D$60,2,FALSE)</f>
        <v>SCC</v>
      </c>
    </row>
    <row r="86" spans="1:7" x14ac:dyDescent="0.25">
      <c r="A86">
        <v>2021</v>
      </c>
      <c r="B86" t="s">
        <v>133</v>
      </c>
      <c r="C86" s="56" t="s">
        <v>196</v>
      </c>
      <c r="D86" t="s">
        <v>22</v>
      </c>
      <c r="E86" t="str">
        <f>VLOOKUP(D86,'Lista de Produtos CLASSIFICAÇÃO'!$A$103:$B$144,2,FALSE)</f>
        <v>Metanol</v>
      </c>
      <c r="F86" s="55">
        <v>0</v>
      </c>
      <c r="G86" s="56" t="str">
        <f>VLOOKUP(C86,clientes!$C$3:$D$60,2,FALSE)</f>
        <v>SCC</v>
      </c>
    </row>
    <row r="87" spans="1:7" x14ac:dyDescent="0.25">
      <c r="A87">
        <v>2021</v>
      </c>
      <c r="B87" t="s">
        <v>133</v>
      </c>
      <c r="C87" s="56" t="s">
        <v>208</v>
      </c>
      <c r="D87" t="s">
        <v>202</v>
      </c>
      <c r="E87" t="str">
        <f>VLOOKUP(D87,'Lista de Produtos CLASSIFICAÇÃO'!$A$103:$B$144,2,FALSE)</f>
        <v>Outros</v>
      </c>
      <c r="F87" s="55">
        <v>332793</v>
      </c>
      <c r="G87" s="56" t="str">
        <f>VLOOKUP(C87,clientes!$C$3:$D$60,2,FALSE)</f>
        <v>HINOVE</v>
      </c>
    </row>
    <row r="88" spans="1:7" x14ac:dyDescent="0.25">
      <c r="A88">
        <v>2021</v>
      </c>
      <c r="B88" t="s">
        <v>133</v>
      </c>
      <c r="C88" s="56" t="s">
        <v>172</v>
      </c>
      <c r="D88" t="s">
        <v>124</v>
      </c>
      <c r="E88" t="str">
        <f>VLOOKUP(D88,'Lista de Produtos CLASSIFICAÇÃO'!$A$103:$B$144,2,FALSE)</f>
        <v>Outros</v>
      </c>
      <c r="F88" s="55">
        <v>193830</v>
      </c>
      <c r="G88" s="56" t="str">
        <f>VLOOKUP(C88,clientes!$C$3:$D$60,2,FALSE)</f>
        <v>EVONIK</v>
      </c>
    </row>
    <row r="89" spans="1:7" x14ac:dyDescent="0.25">
      <c r="A89">
        <v>2021</v>
      </c>
      <c r="B89" t="s">
        <v>133</v>
      </c>
      <c r="C89" s="56" t="s">
        <v>173</v>
      </c>
      <c r="D89" t="s">
        <v>22</v>
      </c>
      <c r="E89" t="str">
        <f>VLOOKUP(D89,'Lista de Produtos CLASSIFICAÇÃO'!$A$103:$B$144,2,FALSE)</f>
        <v>Metanol</v>
      </c>
      <c r="F89" s="55">
        <v>575140</v>
      </c>
      <c r="G89" s="56" t="str">
        <f>VLOOKUP(C89,clientes!$C$3:$D$60,2,FALSE)</f>
        <v>YPF SOCIEDAD ANONIMA</v>
      </c>
    </row>
    <row r="90" spans="1:7" x14ac:dyDescent="0.25">
      <c r="A90">
        <v>2021</v>
      </c>
      <c r="B90" t="s">
        <v>133</v>
      </c>
      <c r="C90" s="56" t="s">
        <v>203</v>
      </c>
      <c r="D90" t="s">
        <v>124</v>
      </c>
      <c r="E90" t="str">
        <f>VLOOKUP(D90,'Lista de Produtos CLASSIFICAÇÃO'!$A$103:$B$144,2,FALSE)</f>
        <v>Outros</v>
      </c>
      <c r="F90" s="55">
        <v>118190</v>
      </c>
      <c r="G90" s="56" t="str">
        <f>VLOOKUP(C90,clientes!$C$3:$D$60,2,FALSE)</f>
        <v>GTM</v>
      </c>
    </row>
    <row r="91" spans="1:7" x14ac:dyDescent="0.25">
      <c r="A91">
        <v>2021</v>
      </c>
      <c r="B91" t="s">
        <v>133</v>
      </c>
      <c r="C91" s="56" t="s">
        <v>197</v>
      </c>
      <c r="D91" t="s">
        <v>85</v>
      </c>
      <c r="E91" t="str">
        <f>VLOOKUP(D91,'Lista de Produtos CLASSIFICAÇÃO'!$A$103:$B$144,2,FALSE)</f>
        <v>Outros</v>
      </c>
      <c r="F91" s="55">
        <v>119000</v>
      </c>
      <c r="G91" s="56" t="str">
        <f>VLOOKUP(C91,clientes!$C$3:$D$60,2,FALSE)</f>
        <v>DRT</v>
      </c>
    </row>
    <row r="92" spans="1:7" x14ac:dyDescent="0.25">
      <c r="A92">
        <v>2021</v>
      </c>
      <c r="B92" t="s">
        <v>133</v>
      </c>
      <c r="C92" s="56" t="s">
        <v>198</v>
      </c>
      <c r="D92" t="s">
        <v>121</v>
      </c>
      <c r="E92" t="str">
        <f>VLOOKUP(D92,'Lista de Produtos CLASSIFICAÇÃO'!$A$103:$B$144,2,FALSE)</f>
        <v>Biocombustíveis</v>
      </c>
      <c r="F92" s="55">
        <v>0</v>
      </c>
      <c r="G92" s="56" t="str">
        <f>VLOOKUP(C92,clientes!$C$3:$D$60,2,FALSE)</f>
        <v>TEREOS / INPASA / GLENCORE</v>
      </c>
    </row>
    <row r="93" spans="1:7" x14ac:dyDescent="0.25">
      <c r="A93">
        <v>2021</v>
      </c>
      <c r="B93" t="s">
        <v>133</v>
      </c>
      <c r="C93" s="56" t="s">
        <v>174</v>
      </c>
      <c r="D93" t="s">
        <v>123</v>
      </c>
      <c r="E93" t="str">
        <f>VLOOKUP(D93,'Lista de Produtos CLASSIFICAÇÃO'!$A$103:$B$144,2,FALSE)</f>
        <v>Aquecidos</v>
      </c>
      <c r="F93" s="55">
        <v>267764</v>
      </c>
      <c r="G93" s="56" t="str">
        <f>VLOOKUP(C93,clientes!$C$3:$D$60,2,FALSE)</f>
        <v>CELENA</v>
      </c>
    </row>
    <row r="94" spans="1:7" x14ac:dyDescent="0.25">
      <c r="A94">
        <v>2021</v>
      </c>
      <c r="B94" t="s">
        <v>133</v>
      </c>
      <c r="C94" s="56" t="s">
        <v>175</v>
      </c>
      <c r="D94" t="s">
        <v>123</v>
      </c>
      <c r="E94" t="str">
        <f>VLOOKUP(D94,'Lista de Produtos CLASSIFICAÇÃO'!$A$103:$B$144,2,FALSE)</f>
        <v>Aquecidos</v>
      </c>
      <c r="F94" s="55">
        <v>303588</v>
      </c>
      <c r="G94" s="56" t="str">
        <f>VLOOKUP(C94,clientes!$C$3:$D$60,2,FALSE)</f>
        <v>AAK DO BRASIL</v>
      </c>
    </row>
    <row r="95" spans="1:7" x14ac:dyDescent="0.25">
      <c r="A95">
        <v>2021</v>
      </c>
      <c r="B95" t="s">
        <v>133</v>
      </c>
      <c r="C95" s="56" t="s">
        <v>166</v>
      </c>
      <c r="D95" t="s">
        <v>122</v>
      </c>
      <c r="E95" t="str">
        <f>VLOOKUP(D95,'Lista de Produtos CLASSIFICAÇÃO'!$A$103:$B$144,2,FALSE)</f>
        <v>Óleo Vegetal</v>
      </c>
      <c r="F95" s="55">
        <v>242252</v>
      </c>
      <c r="G95" s="56" t="str">
        <f>VLOOKUP(C95,clientes!$C$3:$D$60,2,FALSE)</f>
        <v>CARGILL</v>
      </c>
    </row>
    <row r="96" spans="1:7" x14ac:dyDescent="0.25">
      <c r="A96">
        <v>2021</v>
      </c>
      <c r="B96" t="s">
        <v>133</v>
      </c>
      <c r="C96" s="56" t="s">
        <v>176</v>
      </c>
      <c r="D96" t="s">
        <v>123</v>
      </c>
      <c r="E96" t="str">
        <f>VLOOKUP(D96,'Lista de Produtos CLASSIFICAÇÃO'!$A$103:$B$144,2,FALSE)</f>
        <v>Aquecidos</v>
      </c>
      <c r="F96" s="55">
        <v>304688</v>
      </c>
      <c r="G96" s="56" t="str">
        <f>VLOOKUP(C96,clientes!$C$3:$D$60,2,FALSE)</f>
        <v>AGROPALMA</v>
      </c>
    </row>
    <row r="97" spans="1:7" x14ac:dyDescent="0.25">
      <c r="A97">
        <v>2021</v>
      </c>
      <c r="B97" t="s">
        <v>133</v>
      </c>
      <c r="C97" s="56" t="s">
        <v>204</v>
      </c>
      <c r="D97" t="s">
        <v>59</v>
      </c>
      <c r="E97" t="str">
        <f>VLOOKUP(D97,'Lista de Produtos CLASSIFICAÇÃO'!$A$103:$B$144,2,FALSE)</f>
        <v>Derivados</v>
      </c>
      <c r="F97" s="55">
        <v>1442809</v>
      </c>
      <c r="G97" s="56" t="str">
        <f>VLOOKUP(C97,clientes!$C$3:$D$60,2,FALSE)</f>
        <v>COPAPE</v>
      </c>
    </row>
    <row r="98" spans="1:7" x14ac:dyDescent="0.25">
      <c r="A98">
        <v>2021</v>
      </c>
      <c r="B98" t="s">
        <v>134</v>
      </c>
      <c r="C98" t="s">
        <v>155</v>
      </c>
      <c r="D98" t="s">
        <v>16</v>
      </c>
      <c r="E98" t="str">
        <f>VLOOKUP(D98,'Lista de Produtos CLASSIFICAÇÃO'!$A$103:$B$144,2,FALSE)</f>
        <v>Outros</v>
      </c>
      <c r="F98" s="55">
        <v>515772</v>
      </c>
      <c r="G98" s="56" t="str">
        <f>VLOOKUP(C98,clientes!$C$3:$D$60,2,FALSE)</f>
        <v>ADISSEO</v>
      </c>
    </row>
    <row r="99" spans="1:7" x14ac:dyDescent="0.25">
      <c r="A99">
        <v>2021</v>
      </c>
      <c r="B99" t="s">
        <v>134</v>
      </c>
      <c r="C99" t="s">
        <v>155</v>
      </c>
      <c r="D99" t="s">
        <v>16</v>
      </c>
      <c r="E99" t="str">
        <f>VLOOKUP(D99,'Lista de Produtos CLASSIFICAÇÃO'!$A$103:$B$144,2,FALSE)</f>
        <v>Outros</v>
      </c>
      <c r="F99" s="55">
        <v>132556</v>
      </c>
      <c r="G99" s="56" t="str">
        <f>VLOOKUP(C99,clientes!$C$3:$D$60,2,FALSE)</f>
        <v>ADISSEO</v>
      </c>
    </row>
    <row r="100" spans="1:7" x14ac:dyDescent="0.25">
      <c r="A100">
        <v>2021</v>
      </c>
      <c r="B100" t="s">
        <v>134</v>
      </c>
      <c r="C100" t="s">
        <v>199</v>
      </c>
      <c r="D100" t="s">
        <v>16</v>
      </c>
      <c r="E100" t="str">
        <f>VLOOKUP(D100,'Lista de Produtos CLASSIFICAÇÃO'!$A$103:$B$144,2,FALSE)</f>
        <v>Outros</v>
      </c>
      <c r="F100" s="55">
        <v>3316</v>
      </c>
      <c r="G100" s="56" t="str">
        <f>VLOOKUP(C100,clientes!$C$3:$D$60,2,FALSE)</f>
        <v>ADISSEO</v>
      </c>
    </row>
    <row r="101" spans="1:7" x14ac:dyDescent="0.25">
      <c r="A101">
        <v>2021</v>
      </c>
      <c r="B101" t="s">
        <v>134</v>
      </c>
      <c r="C101" t="s">
        <v>157</v>
      </c>
      <c r="D101" t="s">
        <v>49</v>
      </c>
      <c r="E101" t="str">
        <f>VLOOKUP(D101,'Lista de Produtos CLASSIFICAÇÃO'!$A$103:$B$144,2,FALSE)</f>
        <v>Outros</v>
      </c>
      <c r="F101" s="55">
        <v>76113</v>
      </c>
      <c r="G101" s="56" t="str">
        <f>VLOOKUP(C101,clientes!$C$3:$D$60,2,FALSE)</f>
        <v>ADM</v>
      </c>
    </row>
    <row r="102" spans="1:7" x14ac:dyDescent="0.25">
      <c r="A102">
        <v>2021</v>
      </c>
      <c r="B102" t="s">
        <v>134</v>
      </c>
      <c r="C102" t="s">
        <v>158</v>
      </c>
      <c r="D102" t="s">
        <v>120</v>
      </c>
      <c r="E102" t="str">
        <f>VLOOKUP(D102,'Lista de Produtos CLASSIFICAÇÃO'!$A$103:$B$144,2,FALSE)</f>
        <v>Derivados</v>
      </c>
      <c r="F102" s="55">
        <v>6963862</v>
      </c>
      <c r="G102" s="56" t="str">
        <f>VLOOKUP(C102,clientes!$C$3:$D$60,2,FALSE)</f>
        <v>IPIRANGA</v>
      </c>
    </row>
    <row r="103" spans="1:7" x14ac:dyDescent="0.25">
      <c r="A103">
        <v>2021</v>
      </c>
      <c r="B103" t="s">
        <v>134</v>
      </c>
      <c r="C103" t="s">
        <v>206</v>
      </c>
      <c r="D103" t="s">
        <v>120</v>
      </c>
      <c r="E103" t="str">
        <f>VLOOKUP(D103,'Lista de Produtos CLASSIFICAÇÃO'!$A$103:$B$144,2,FALSE)</f>
        <v>Derivados</v>
      </c>
      <c r="F103" s="55">
        <v>3673286</v>
      </c>
      <c r="G103" s="56" t="str">
        <f>VLOOKUP(C103,clientes!$C$3:$D$60,2,FALSE)</f>
        <v>BR</v>
      </c>
    </row>
    <row r="104" spans="1:7" x14ac:dyDescent="0.25">
      <c r="A104">
        <v>2021</v>
      </c>
      <c r="B104" t="s">
        <v>134</v>
      </c>
      <c r="C104" t="s">
        <v>200</v>
      </c>
      <c r="D104" t="s">
        <v>120</v>
      </c>
      <c r="E104" t="str">
        <f>VLOOKUP(D104,'Lista de Produtos CLASSIFICAÇÃO'!$A$103:$B$144,2,FALSE)</f>
        <v>Derivados</v>
      </c>
      <c r="F104" s="55">
        <v>1765906</v>
      </c>
      <c r="G104" s="56" t="str">
        <f>VLOOKUP(C104,clientes!$C$3:$D$60,2,FALSE)</f>
        <v>GREENENERGY</v>
      </c>
    </row>
    <row r="105" spans="1:7" x14ac:dyDescent="0.25">
      <c r="A105">
        <v>2021</v>
      </c>
      <c r="B105" t="s">
        <v>134</v>
      </c>
      <c r="C105" t="s">
        <v>161</v>
      </c>
      <c r="D105" t="s">
        <v>120</v>
      </c>
      <c r="E105" t="str">
        <f>VLOOKUP(D105,'Lista de Produtos CLASSIFICAÇÃO'!$A$103:$B$144,2,FALSE)</f>
        <v>Derivados</v>
      </c>
      <c r="F105" s="55">
        <v>2898808</v>
      </c>
      <c r="G105" s="56" t="str">
        <f>VLOOKUP(C105,clientes!$C$3:$D$60,2,FALSE)</f>
        <v>SUL PLATA</v>
      </c>
    </row>
    <row r="106" spans="1:7" x14ac:dyDescent="0.25">
      <c r="A106">
        <v>2021</v>
      </c>
      <c r="B106" t="s">
        <v>134</v>
      </c>
      <c r="C106" t="s">
        <v>161</v>
      </c>
      <c r="D106" t="s">
        <v>120</v>
      </c>
      <c r="E106" t="str">
        <f>VLOOKUP(D106,'Lista de Produtos CLASSIFICAÇÃO'!$A$103:$B$144,2,FALSE)</f>
        <v>Derivados</v>
      </c>
      <c r="F106" s="55">
        <v>0</v>
      </c>
      <c r="G106" s="56" t="str">
        <f>VLOOKUP(C106,clientes!$C$3:$D$60,2,FALSE)</f>
        <v>SUL PLATA</v>
      </c>
    </row>
    <row r="107" spans="1:7" x14ac:dyDescent="0.25">
      <c r="A107">
        <v>2021</v>
      </c>
      <c r="B107" t="s">
        <v>134</v>
      </c>
      <c r="C107" t="s">
        <v>162</v>
      </c>
      <c r="D107" t="s">
        <v>115</v>
      </c>
      <c r="E107" t="str">
        <f>VLOOKUP(D107,'Lista de Produtos CLASSIFICAÇÃO'!$A$103:$B$144,2,FALSE)</f>
        <v>Soda Caustica</v>
      </c>
      <c r="F107" s="55">
        <v>129223</v>
      </c>
      <c r="G107" s="56" t="str">
        <f>VLOOKUP(C107,clientes!$C$3:$D$60,2,FALSE)</f>
        <v>JBS</v>
      </c>
    </row>
    <row r="108" spans="1:7" x14ac:dyDescent="0.25">
      <c r="A108">
        <v>2021</v>
      </c>
      <c r="B108" t="s">
        <v>134</v>
      </c>
      <c r="C108" t="s">
        <v>163</v>
      </c>
      <c r="D108" t="s">
        <v>115</v>
      </c>
      <c r="E108" t="str">
        <f>VLOOKUP(D108,'Lista de Produtos CLASSIFICAÇÃO'!$A$103:$B$144,2,FALSE)</f>
        <v>Soda Caustica</v>
      </c>
      <c r="F108" s="55">
        <v>305822</v>
      </c>
      <c r="G108" s="56" t="str">
        <f>VLOOKUP(C108,clientes!$C$3:$D$60,2,FALSE)</f>
        <v>TRICON ENERGY</v>
      </c>
    </row>
    <row r="109" spans="1:7" x14ac:dyDescent="0.25">
      <c r="A109">
        <v>2021</v>
      </c>
      <c r="B109" t="s">
        <v>134</v>
      </c>
      <c r="C109" t="s">
        <v>207</v>
      </c>
      <c r="D109" t="s">
        <v>16</v>
      </c>
      <c r="E109" t="str">
        <f>VLOOKUP(D109,'Lista de Produtos CLASSIFICAÇÃO'!$A$103:$B$144,2,FALSE)</f>
        <v>Outros</v>
      </c>
      <c r="F109" s="55">
        <v>203290</v>
      </c>
      <c r="G109" s="56" t="str">
        <f>VLOOKUP(C109,clientes!$C$3:$D$60,2,FALSE)</f>
        <v>NOVUS</v>
      </c>
    </row>
    <row r="110" spans="1:7" x14ac:dyDescent="0.25">
      <c r="A110">
        <v>2021</v>
      </c>
      <c r="B110" t="s">
        <v>134</v>
      </c>
      <c r="C110" t="s">
        <v>165</v>
      </c>
      <c r="D110" t="s">
        <v>123</v>
      </c>
      <c r="E110" t="str">
        <f>VLOOKUP(D110,'Lista de Produtos CLASSIFICAÇÃO'!$A$103:$B$144,2,FALSE)</f>
        <v>Aquecidos</v>
      </c>
      <c r="F110" s="55">
        <v>758790</v>
      </c>
      <c r="G110" s="56" t="str">
        <f>VLOOKUP(C110,clientes!$C$3:$D$60,2,FALSE)</f>
        <v>BRF</v>
      </c>
    </row>
    <row r="111" spans="1:7" x14ac:dyDescent="0.25">
      <c r="A111">
        <v>2021</v>
      </c>
      <c r="B111" t="s">
        <v>134</v>
      </c>
      <c r="C111" t="s">
        <v>162</v>
      </c>
      <c r="D111" t="s">
        <v>123</v>
      </c>
      <c r="E111" t="str">
        <f>VLOOKUP(D111,'Lista de Produtos CLASSIFICAÇÃO'!$A$103:$B$144,2,FALSE)</f>
        <v>Aquecidos</v>
      </c>
      <c r="F111" s="55">
        <v>172294</v>
      </c>
      <c r="G111" s="56" t="str">
        <f>VLOOKUP(C111,clientes!$C$3:$D$60,2,FALSE)</f>
        <v>JBS</v>
      </c>
    </row>
    <row r="112" spans="1:7" x14ac:dyDescent="0.25">
      <c r="A112">
        <v>2021</v>
      </c>
      <c r="B112" t="s">
        <v>134</v>
      </c>
      <c r="C112" t="s">
        <v>166</v>
      </c>
      <c r="D112" t="s">
        <v>123</v>
      </c>
      <c r="E112" t="str">
        <f>VLOOKUP(D112,'Lista de Produtos CLASSIFICAÇÃO'!$A$103:$B$144,2,FALSE)</f>
        <v>Aquecidos</v>
      </c>
      <c r="F112" s="55">
        <v>448348</v>
      </c>
      <c r="G112" s="56" t="str">
        <f>VLOOKUP(C112,clientes!$C$3:$D$60,2,FALSE)</f>
        <v>CARGILL</v>
      </c>
    </row>
    <row r="113" spans="1:7" x14ac:dyDescent="0.25">
      <c r="A113">
        <v>2021</v>
      </c>
      <c r="B113" t="s">
        <v>134</v>
      </c>
      <c r="C113" t="s">
        <v>167</v>
      </c>
      <c r="D113" t="s">
        <v>122</v>
      </c>
      <c r="E113" t="str">
        <f>VLOOKUP(D113,'Lista de Produtos CLASSIFICAÇÃO'!$A$103:$B$144,2,FALSE)</f>
        <v>Óleo Vegetal</v>
      </c>
      <c r="F113" s="55">
        <v>4853771</v>
      </c>
      <c r="G113" s="56" t="str">
        <f>VLOOKUP(C113,clientes!$C$3:$D$60,2,FALSE)</f>
        <v>POOL</v>
      </c>
    </row>
    <row r="114" spans="1:7" x14ac:dyDescent="0.25">
      <c r="A114">
        <v>2021</v>
      </c>
      <c r="B114" t="s">
        <v>134</v>
      </c>
      <c r="C114" t="s">
        <v>168</v>
      </c>
      <c r="D114" t="s">
        <v>122</v>
      </c>
      <c r="E114" t="str">
        <f>VLOOKUP(D114,'Lista de Produtos CLASSIFICAÇÃO'!$A$103:$B$144,2,FALSE)</f>
        <v>Óleo Vegetal</v>
      </c>
      <c r="F114" s="55">
        <v>63587</v>
      </c>
      <c r="G114" s="56" t="str">
        <f>VLOOKUP(C114,clientes!$C$3:$D$60,2,FALSE)</f>
        <v>POOL EXCEDENTE</v>
      </c>
    </row>
    <row r="115" spans="1:7" x14ac:dyDescent="0.25">
      <c r="A115">
        <v>2021</v>
      </c>
      <c r="B115" t="s">
        <v>134</v>
      </c>
      <c r="C115" t="s">
        <v>169</v>
      </c>
      <c r="D115" t="s">
        <v>22</v>
      </c>
      <c r="E115" t="str">
        <f>VLOOKUP(D115,'Lista de Produtos CLASSIFICAÇÃO'!$A$103:$B$144,2,FALSE)</f>
        <v>Metanol</v>
      </c>
      <c r="F115" s="55">
        <v>5136871</v>
      </c>
      <c r="G115" s="56" t="str">
        <f>VLOOKUP(C115,clientes!$C$3:$D$60,2,FALSE)</f>
        <v>METHANEX</v>
      </c>
    </row>
    <row r="116" spans="1:7" x14ac:dyDescent="0.25">
      <c r="A116">
        <v>2021</v>
      </c>
      <c r="B116" t="s">
        <v>134</v>
      </c>
      <c r="C116" t="s">
        <v>170</v>
      </c>
      <c r="D116" t="s">
        <v>22</v>
      </c>
      <c r="E116" t="str">
        <f>VLOOKUP(D116,'Lista de Produtos CLASSIFICAÇÃO'!$A$103:$B$144,2,FALSE)</f>
        <v>Metanol</v>
      </c>
      <c r="F116" s="55">
        <v>3063505</v>
      </c>
      <c r="G116" s="56" t="str">
        <f>VLOOKUP(C116,clientes!$C$3:$D$60,2,FALSE)</f>
        <v>MITSUBISHI</v>
      </c>
    </row>
    <row r="117" spans="1:7" x14ac:dyDescent="0.25">
      <c r="A117">
        <v>2021</v>
      </c>
      <c r="B117" t="s">
        <v>134</v>
      </c>
      <c r="C117" t="s">
        <v>196</v>
      </c>
      <c r="D117" t="s">
        <v>22</v>
      </c>
      <c r="E117" t="str">
        <f>VLOOKUP(D117,'Lista de Produtos CLASSIFICAÇÃO'!$A$103:$B$144,2,FALSE)</f>
        <v>Metanol</v>
      </c>
      <c r="F117" s="55">
        <v>4558035</v>
      </c>
      <c r="G117" s="56" t="str">
        <f>VLOOKUP(C117,clientes!$C$3:$D$60,2,FALSE)</f>
        <v>SCC</v>
      </c>
    </row>
    <row r="118" spans="1:7" x14ac:dyDescent="0.25">
      <c r="A118">
        <v>2021</v>
      </c>
      <c r="B118" t="s">
        <v>134</v>
      </c>
      <c r="C118" t="s">
        <v>196</v>
      </c>
      <c r="D118" t="s">
        <v>22</v>
      </c>
      <c r="E118" t="str">
        <f>VLOOKUP(D118,'Lista de Produtos CLASSIFICAÇÃO'!$A$103:$B$144,2,FALSE)</f>
        <v>Metanol</v>
      </c>
      <c r="F118" s="55">
        <v>0</v>
      </c>
      <c r="G118" s="56" t="str">
        <f>VLOOKUP(C118,clientes!$C$3:$D$60,2,FALSE)</f>
        <v>SCC</v>
      </c>
    </row>
    <row r="119" spans="1:7" x14ac:dyDescent="0.25">
      <c r="A119">
        <v>2021</v>
      </c>
      <c r="B119" t="s">
        <v>134</v>
      </c>
      <c r="C119" t="s">
        <v>208</v>
      </c>
      <c r="D119" t="s">
        <v>202</v>
      </c>
      <c r="E119" t="str">
        <f>VLOOKUP(D119,'Lista de Produtos CLASSIFICAÇÃO'!$A$103:$B$144,2,FALSE)</f>
        <v>Outros</v>
      </c>
      <c r="F119" s="55">
        <v>308366</v>
      </c>
      <c r="G119" s="56" t="str">
        <f>VLOOKUP(C119,clientes!$C$3:$D$60,2,FALSE)</f>
        <v>HINOVE</v>
      </c>
    </row>
    <row r="120" spans="1:7" x14ac:dyDescent="0.25">
      <c r="A120">
        <v>2021</v>
      </c>
      <c r="B120" t="s">
        <v>134</v>
      </c>
      <c r="C120" t="s">
        <v>172</v>
      </c>
      <c r="D120" t="s">
        <v>124</v>
      </c>
      <c r="E120" t="str">
        <f>VLOOKUP(D120,'Lista de Produtos CLASSIFICAÇÃO'!$A$103:$B$144,2,FALSE)</f>
        <v>Outros</v>
      </c>
      <c r="F120" s="55">
        <v>193830</v>
      </c>
      <c r="G120" s="56" t="str">
        <f>VLOOKUP(C120,clientes!$C$3:$D$60,2,FALSE)</f>
        <v>EVONIK</v>
      </c>
    </row>
    <row r="121" spans="1:7" x14ac:dyDescent="0.25">
      <c r="A121">
        <v>2021</v>
      </c>
      <c r="B121" t="s">
        <v>134</v>
      </c>
      <c r="C121" t="s">
        <v>173</v>
      </c>
      <c r="D121" t="s">
        <v>22</v>
      </c>
      <c r="E121" t="str">
        <f>VLOOKUP(D121,'Lista de Produtos CLASSIFICAÇÃO'!$A$103:$B$144,2,FALSE)</f>
        <v>Metanol</v>
      </c>
      <c r="F121" s="55">
        <v>502536</v>
      </c>
      <c r="G121" s="56" t="str">
        <f>VLOOKUP(C121,clientes!$C$3:$D$60,2,FALSE)</f>
        <v>YPF SOCIEDAD ANONIMA</v>
      </c>
    </row>
    <row r="122" spans="1:7" x14ac:dyDescent="0.25">
      <c r="A122">
        <v>2021</v>
      </c>
      <c r="B122" t="s">
        <v>134</v>
      </c>
      <c r="C122" t="s">
        <v>203</v>
      </c>
      <c r="D122" t="s">
        <v>124</v>
      </c>
      <c r="E122" t="str">
        <f>VLOOKUP(D122,'Lista de Produtos CLASSIFICAÇÃO'!$A$103:$B$144,2,FALSE)</f>
        <v>Outros</v>
      </c>
      <c r="F122" s="55">
        <v>118190</v>
      </c>
      <c r="G122" s="56" t="str">
        <f>VLOOKUP(C122,clientes!$C$3:$D$60,2,FALSE)</f>
        <v>GTM</v>
      </c>
    </row>
    <row r="123" spans="1:7" x14ac:dyDescent="0.25">
      <c r="A123">
        <v>2021</v>
      </c>
      <c r="B123" t="s">
        <v>134</v>
      </c>
      <c r="C123" t="s">
        <v>197</v>
      </c>
      <c r="D123" t="s">
        <v>85</v>
      </c>
      <c r="E123" t="str">
        <f>VLOOKUP(D123,'Lista de Produtos CLASSIFICAÇÃO'!$A$103:$B$144,2,FALSE)</f>
        <v>Outros</v>
      </c>
      <c r="F123" s="55">
        <v>119000</v>
      </c>
      <c r="G123" s="56" t="str">
        <f>VLOOKUP(C123,clientes!$C$3:$D$60,2,FALSE)</f>
        <v>DRT</v>
      </c>
    </row>
    <row r="124" spans="1:7" x14ac:dyDescent="0.25">
      <c r="A124">
        <v>2021</v>
      </c>
      <c r="B124" t="s">
        <v>134</v>
      </c>
      <c r="C124" t="s">
        <v>198</v>
      </c>
      <c r="D124" t="s">
        <v>121</v>
      </c>
      <c r="E124" t="str">
        <f>VLOOKUP(D124,'Lista de Produtos CLASSIFICAÇÃO'!$A$103:$B$144,2,FALSE)</f>
        <v>Biocombustíveis</v>
      </c>
      <c r="F124" s="55">
        <v>0</v>
      </c>
      <c r="G124" s="56" t="str">
        <f>VLOOKUP(C124,clientes!$C$3:$D$60,2,FALSE)</f>
        <v>TEREOS / INPASA / GLENCORE</v>
      </c>
    </row>
    <row r="125" spans="1:7" x14ac:dyDescent="0.25">
      <c r="A125">
        <v>2021</v>
      </c>
      <c r="B125" t="s">
        <v>134</v>
      </c>
      <c r="C125" t="s">
        <v>174</v>
      </c>
      <c r="D125" t="s">
        <v>123</v>
      </c>
      <c r="E125" t="str">
        <f>VLOOKUP(D125,'Lista de Produtos CLASSIFICAÇÃO'!$A$103:$B$144,2,FALSE)</f>
        <v>Aquecidos</v>
      </c>
      <c r="F125" s="55">
        <v>267764</v>
      </c>
      <c r="G125" s="56" t="str">
        <f>VLOOKUP(C125,clientes!$C$3:$D$60,2,FALSE)</f>
        <v>CELENA</v>
      </c>
    </row>
    <row r="126" spans="1:7" x14ac:dyDescent="0.25">
      <c r="A126">
        <v>2021</v>
      </c>
      <c r="B126" t="s">
        <v>134</v>
      </c>
      <c r="C126" t="s">
        <v>175</v>
      </c>
      <c r="D126" t="s">
        <v>123</v>
      </c>
      <c r="E126" t="str">
        <f>VLOOKUP(D126,'Lista de Produtos CLASSIFICAÇÃO'!$A$103:$B$144,2,FALSE)</f>
        <v>Aquecidos</v>
      </c>
      <c r="F126" s="55">
        <v>303588</v>
      </c>
      <c r="G126" s="56" t="str">
        <f>VLOOKUP(C126,clientes!$C$3:$D$60,2,FALSE)</f>
        <v>AAK DO BRASIL</v>
      </c>
    </row>
    <row r="127" spans="1:7" x14ac:dyDescent="0.25">
      <c r="A127">
        <v>2021</v>
      </c>
      <c r="B127" t="s">
        <v>134</v>
      </c>
      <c r="C127" t="s">
        <v>166</v>
      </c>
      <c r="D127" t="s">
        <v>122</v>
      </c>
      <c r="E127" t="str">
        <f>VLOOKUP(D127,'Lista de Produtos CLASSIFICAÇÃO'!$A$103:$B$144,2,FALSE)</f>
        <v>Óleo Vegetal</v>
      </c>
      <c r="F127" s="55">
        <v>200808</v>
      </c>
      <c r="G127" s="56" t="str">
        <f>VLOOKUP(C127,clientes!$C$3:$D$60,2,FALSE)</f>
        <v>CARGILL</v>
      </c>
    </row>
    <row r="128" spans="1:7" x14ac:dyDescent="0.25">
      <c r="A128">
        <v>2021</v>
      </c>
      <c r="B128" t="s">
        <v>134</v>
      </c>
      <c r="C128" t="s">
        <v>176</v>
      </c>
      <c r="D128" t="s">
        <v>123</v>
      </c>
      <c r="E128" t="str">
        <f>VLOOKUP(D128,'Lista de Produtos CLASSIFICAÇÃO'!$A$103:$B$144,2,FALSE)</f>
        <v>Aquecidos</v>
      </c>
      <c r="F128" s="55">
        <v>304688</v>
      </c>
      <c r="G128" s="56" t="str">
        <f>VLOOKUP(C128,clientes!$C$3:$D$60,2,FALSE)</f>
        <v>AGROPALMA</v>
      </c>
    </row>
    <row r="129" spans="1:7" x14ac:dyDescent="0.25">
      <c r="A129">
        <v>2021</v>
      </c>
      <c r="B129" t="s">
        <v>134</v>
      </c>
      <c r="C129" t="s">
        <v>204</v>
      </c>
      <c r="D129" t="s">
        <v>59</v>
      </c>
      <c r="E129" t="str">
        <f>VLOOKUP(D129,'Lista de Produtos CLASSIFICAÇÃO'!$A$103:$B$144,2,FALSE)</f>
        <v>Derivados</v>
      </c>
      <c r="F129" s="55">
        <v>1442809</v>
      </c>
      <c r="G129" s="56" t="str">
        <f>VLOOKUP(C129,clientes!$C$3:$D$60,2,FALSE)</f>
        <v>COPAPE</v>
      </c>
    </row>
    <row r="130" spans="1:7" x14ac:dyDescent="0.25">
      <c r="A130">
        <v>2021</v>
      </c>
      <c r="B130" t="s">
        <v>135</v>
      </c>
      <c r="C130" t="s">
        <v>155</v>
      </c>
      <c r="D130" t="s">
        <v>16</v>
      </c>
      <c r="E130" t="str">
        <f>VLOOKUP(D130,'Lista de Produtos CLASSIFICAÇÃO'!$A$103:$B$144,2,FALSE)</f>
        <v>Outros</v>
      </c>
      <c r="F130" s="55">
        <v>515772</v>
      </c>
      <c r="G130" s="56" t="str">
        <f>VLOOKUP(C130,clientes!$C$3:$D$60,2,FALSE)</f>
        <v>ADISSEO</v>
      </c>
    </row>
    <row r="131" spans="1:7" x14ac:dyDescent="0.25">
      <c r="A131">
        <v>2021</v>
      </c>
      <c r="B131" t="s">
        <v>135</v>
      </c>
      <c r="C131" t="s">
        <v>155</v>
      </c>
      <c r="D131" t="s">
        <v>16</v>
      </c>
      <c r="E131" t="str">
        <f>VLOOKUP(D131,'Lista de Produtos CLASSIFICAÇÃO'!$A$103:$B$144,2,FALSE)</f>
        <v>Outros</v>
      </c>
      <c r="F131" s="55">
        <v>132556</v>
      </c>
      <c r="G131" s="56" t="str">
        <f>VLOOKUP(C131,clientes!$C$3:$D$60,2,FALSE)</f>
        <v>ADISSEO</v>
      </c>
    </row>
    <row r="132" spans="1:7" x14ac:dyDescent="0.25">
      <c r="A132">
        <v>2021</v>
      </c>
      <c r="B132" t="s">
        <v>135</v>
      </c>
      <c r="C132" t="s">
        <v>199</v>
      </c>
      <c r="D132" t="s">
        <v>16</v>
      </c>
      <c r="E132" t="str">
        <f>VLOOKUP(D132,'Lista de Produtos CLASSIFICAÇÃO'!$A$103:$B$144,2,FALSE)</f>
        <v>Outros</v>
      </c>
      <c r="F132" s="55">
        <v>3316</v>
      </c>
      <c r="G132" s="56" t="str">
        <f>VLOOKUP(C132,clientes!$C$3:$D$60,2,FALSE)</f>
        <v>ADISSEO</v>
      </c>
    </row>
    <row r="133" spans="1:7" x14ac:dyDescent="0.25">
      <c r="A133">
        <v>2021</v>
      </c>
      <c r="B133" t="s">
        <v>135</v>
      </c>
      <c r="C133" t="s">
        <v>157</v>
      </c>
      <c r="D133" t="s">
        <v>49</v>
      </c>
      <c r="E133" t="str">
        <f>VLOOKUP(D133,'Lista de Produtos CLASSIFICAÇÃO'!$A$103:$B$144,2,FALSE)</f>
        <v>Outros</v>
      </c>
      <c r="F133" s="55">
        <v>76113</v>
      </c>
      <c r="G133" s="56" t="str">
        <f>VLOOKUP(C133,clientes!$C$3:$D$60,2,FALSE)</f>
        <v>ADM</v>
      </c>
    </row>
    <row r="134" spans="1:7" x14ac:dyDescent="0.25">
      <c r="A134">
        <v>2021</v>
      </c>
      <c r="B134" t="s">
        <v>135</v>
      </c>
      <c r="C134" t="s">
        <v>158</v>
      </c>
      <c r="D134" t="s">
        <v>120</v>
      </c>
      <c r="E134" t="str">
        <f>VLOOKUP(D134,'Lista de Produtos CLASSIFICAÇÃO'!$A$103:$B$144,2,FALSE)</f>
        <v>Derivados</v>
      </c>
      <c r="F134" s="55">
        <v>6963862</v>
      </c>
      <c r="G134" s="56" t="str">
        <f>VLOOKUP(C134,clientes!$C$3:$D$60,2,FALSE)</f>
        <v>IPIRANGA</v>
      </c>
    </row>
    <row r="135" spans="1:7" x14ac:dyDescent="0.25">
      <c r="A135">
        <v>2021</v>
      </c>
      <c r="B135" t="s">
        <v>135</v>
      </c>
      <c r="C135" t="s">
        <v>206</v>
      </c>
      <c r="D135" t="s">
        <v>120</v>
      </c>
      <c r="E135" t="str">
        <f>VLOOKUP(D135,'Lista de Produtos CLASSIFICAÇÃO'!$A$103:$B$144,2,FALSE)</f>
        <v>Derivados</v>
      </c>
      <c r="F135" s="55">
        <v>3673286</v>
      </c>
      <c r="G135" s="56" t="str">
        <f>VLOOKUP(C135,clientes!$C$3:$D$60,2,FALSE)</f>
        <v>BR</v>
      </c>
    </row>
    <row r="136" spans="1:7" x14ac:dyDescent="0.25">
      <c r="A136">
        <v>2021</v>
      </c>
      <c r="B136" t="s">
        <v>135</v>
      </c>
      <c r="C136" t="s">
        <v>200</v>
      </c>
      <c r="D136" t="s">
        <v>120</v>
      </c>
      <c r="E136" t="str">
        <f>VLOOKUP(D136,'Lista de Produtos CLASSIFICAÇÃO'!$A$103:$B$144,2,FALSE)</f>
        <v>Derivados</v>
      </c>
      <c r="F136" s="55">
        <v>1765906</v>
      </c>
      <c r="G136" s="56" t="str">
        <f>VLOOKUP(C136,clientes!$C$3:$D$60,2,FALSE)</f>
        <v>GREENENERGY</v>
      </c>
    </row>
    <row r="137" spans="1:7" x14ac:dyDescent="0.25">
      <c r="A137">
        <v>2021</v>
      </c>
      <c r="B137" t="s">
        <v>135</v>
      </c>
      <c r="C137" t="s">
        <v>161</v>
      </c>
      <c r="D137" t="s">
        <v>120</v>
      </c>
      <c r="E137" t="str">
        <f>VLOOKUP(D137,'Lista de Produtos CLASSIFICAÇÃO'!$A$103:$B$144,2,FALSE)</f>
        <v>Derivados</v>
      </c>
      <c r="F137" s="55">
        <v>2898808</v>
      </c>
      <c r="G137" s="56" t="str">
        <f>VLOOKUP(C137,clientes!$C$3:$D$60,2,FALSE)</f>
        <v>SUL PLATA</v>
      </c>
    </row>
    <row r="138" spans="1:7" x14ac:dyDescent="0.25">
      <c r="A138">
        <v>2021</v>
      </c>
      <c r="B138" t="s">
        <v>135</v>
      </c>
      <c r="C138" t="s">
        <v>161</v>
      </c>
      <c r="D138" t="s">
        <v>120</v>
      </c>
      <c r="E138" t="str">
        <f>VLOOKUP(D138,'Lista de Produtos CLASSIFICAÇÃO'!$A$103:$B$144,2,FALSE)</f>
        <v>Derivados</v>
      </c>
      <c r="F138" s="55">
        <v>0</v>
      </c>
      <c r="G138" s="56" t="str">
        <f>VLOOKUP(C138,clientes!$C$3:$D$60,2,FALSE)</f>
        <v>SUL PLATA</v>
      </c>
    </row>
    <row r="139" spans="1:7" x14ac:dyDescent="0.25">
      <c r="A139">
        <v>2021</v>
      </c>
      <c r="B139" t="s">
        <v>135</v>
      </c>
      <c r="C139" t="s">
        <v>162</v>
      </c>
      <c r="D139" t="s">
        <v>115</v>
      </c>
      <c r="E139" t="str">
        <f>VLOOKUP(D139,'Lista de Produtos CLASSIFICAÇÃO'!$A$103:$B$144,2,FALSE)</f>
        <v>Soda Caustica</v>
      </c>
      <c r="F139" s="55">
        <v>129223</v>
      </c>
      <c r="G139" s="56" t="str">
        <f>VLOOKUP(C139,clientes!$C$3:$D$60,2,FALSE)</f>
        <v>JBS</v>
      </c>
    </row>
    <row r="140" spans="1:7" x14ac:dyDescent="0.25">
      <c r="A140">
        <v>2021</v>
      </c>
      <c r="B140" t="s">
        <v>135</v>
      </c>
      <c r="C140" t="s">
        <v>163</v>
      </c>
      <c r="D140" t="s">
        <v>115</v>
      </c>
      <c r="E140" t="str">
        <f>VLOOKUP(D140,'Lista de Produtos CLASSIFICAÇÃO'!$A$103:$B$144,2,FALSE)</f>
        <v>Soda Caustica</v>
      </c>
      <c r="F140" s="55">
        <v>305822</v>
      </c>
      <c r="G140" s="56" t="str">
        <f>VLOOKUP(C140,clientes!$C$3:$D$60,2,FALSE)</f>
        <v>TRICON ENERGY</v>
      </c>
    </row>
    <row r="141" spans="1:7" x14ac:dyDescent="0.25">
      <c r="A141">
        <v>2021</v>
      </c>
      <c r="B141" t="s">
        <v>135</v>
      </c>
      <c r="C141" t="s">
        <v>207</v>
      </c>
      <c r="D141" t="s">
        <v>16</v>
      </c>
      <c r="E141" t="str">
        <f>VLOOKUP(D141,'Lista de Produtos CLASSIFICAÇÃO'!$A$103:$B$144,2,FALSE)</f>
        <v>Outros</v>
      </c>
      <c r="F141" s="55">
        <v>194724</v>
      </c>
      <c r="G141" s="56" t="str">
        <f>VLOOKUP(C141,clientes!$C$3:$D$60,2,FALSE)</f>
        <v>NOVUS</v>
      </c>
    </row>
    <row r="142" spans="1:7" x14ac:dyDescent="0.25">
      <c r="A142">
        <v>2021</v>
      </c>
      <c r="B142" t="s">
        <v>135</v>
      </c>
      <c r="C142" t="s">
        <v>165</v>
      </c>
      <c r="D142" t="s">
        <v>123</v>
      </c>
      <c r="E142" t="str">
        <f>VLOOKUP(D142,'Lista de Produtos CLASSIFICAÇÃO'!$A$103:$B$144,2,FALSE)</f>
        <v>Aquecidos</v>
      </c>
      <c r="F142" s="55">
        <v>792025</v>
      </c>
      <c r="G142" s="56" t="str">
        <f>VLOOKUP(C142,clientes!$C$3:$D$60,2,FALSE)</f>
        <v>BRF</v>
      </c>
    </row>
    <row r="143" spans="1:7" x14ac:dyDescent="0.25">
      <c r="A143">
        <v>2021</v>
      </c>
      <c r="B143" t="s">
        <v>135</v>
      </c>
      <c r="C143" t="s">
        <v>162</v>
      </c>
      <c r="D143" t="s">
        <v>123</v>
      </c>
      <c r="E143" t="str">
        <f>VLOOKUP(D143,'Lista de Produtos CLASSIFICAÇÃO'!$A$103:$B$144,2,FALSE)</f>
        <v>Aquecidos</v>
      </c>
      <c r="F143" s="55">
        <v>172294</v>
      </c>
      <c r="G143" s="56" t="str">
        <f>VLOOKUP(C143,clientes!$C$3:$D$60,2,FALSE)</f>
        <v>JBS</v>
      </c>
    </row>
    <row r="144" spans="1:7" x14ac:dyDescent="0.25">
      <c r="A144">
        <v>2021</v>
      </c>
      <c r="B144" t="s">
        <v>135</v>
      </c>
      <c r="C144" t="s">
        <v>166</v>
      </c>
      <c r="D144" t="s">
        <v>123</v>
      </c>
      <c r="E144" t="str">
        <f>VLOOKUP(D144,'Lista de Produtos CLASSIFICAÇÃO'!$A$103:$B$144,2,FALSE)</f>
        <v>Aquecidos</v>
      </c>
      <c r="F144" s="55">
        <v>448348</v>
      </c>
      <c r="G144" s="56" t="str">
        <f>VLOOKUP(C144,clientes!$C$3:$D$60,2,FALSE)</f>
        <v>CARGILL</v>
      </c>
    </row>
    <row r="145" spans="1:7" x14ac:dyDescent="0.25">
      <c r="A145">
        <v>2021</v>
      </c>
      <c r="B145" t="s">
        <v>135</v>
      </c>
      <c r="C145" t="s">
        <v>167</v>
      </c>
      <c r="D145" t="s">
        <v>122</v>
      </c>
      <c r="E145" t="str">
        <f>VLOOKUP(D145,'Lista de Produtos CLASSIFICAÇÃO'!$A$103:$B$144,2,FALSE)</f>
        <v>Óleo Vegetal</v>
      </c>
      <c r="F145" s="55">
        <v>3358202</v>
      </c>
      <c r="G145" s="56" t="str">
        <f>VLOOKUP(C145,clientes!$C$3:$D$60,2,FALSE)</f>
        <v>POOL</v>
      </c>
    </row>
    <row r="146" spans="1:7" x14ac:dyDescent="0.25">
      <c r="A146">
        <v>2021</v>
      </c>
      <c r="B146" t="s">
        <v>135</v>
      </c>
      <c r="C146" t="s">
        <v>168</v>
      </c>
      <c r="D146" t="s">
        <v>122</v>
      </c>
      <c r="E146" t="str">
        <f>VLOOKUP(D146,'Lista de Produtos CLASSIFICAÇÃO'!$A$103:$B$144,2,FALSE)</f>
        <v>Óleo Vegetal</v>
      </c>
      <c r="F146" s="55">
        <v>63587</v>
      </c>
      <c r="G146" s="56" t="str">
        <f>VLOOKUP(C146,clientes!$C$3:$D$60,2,FALSE)</f>
        <v>POOL EXCEDENTE</v>
      </c>
    </row>
    <row r="147" spans="1:7" x14ac:dyDescent="0.25">
      <c r="A147">
        <v>2021</v>
      </c>
      <c r="B147" t="s">
        <v>135</v>
      </c>
      <c r="C147" t="s">
        <v>169</v>
      </c>
      <c r="D147" t="s">
        <v>22</v>
      </c>
      <c r="E147" t="str">
        <f>VLOOKUP(D147,'Lista de Produtos CLASSIFICAÇÃO'!$A$103:$B$144,2,FALSE)</f>
        <v>Metanol</v>
      </c>
      <c r="F147" s="55">
        <v>5136871</v>
      </c>
      <c r="G147" s="56" t="str">
        <f>VLOOKUP(C147,clientes!$C$3:$D$60,2,FALSE)</f>
        <v>METHANEX</v>
      </c>
    </row>
    <row r="148" spans="1:7" x14ac:dyDescent="0.25">
      <c r="A148">
        <v>2021</v>
      </c>
      <c r="B148" t="s">
        <v>135</v>
      </c>
      <c r="C148" t="s">
        <v>170</v>
      </c>
      <c r="D148" t="s">
        <v>22</v>
      </c>
      <c r="E148" t="str">
        <f>VLOOKUP(D148,'Lista de Produtos CLASSIFICAÇÃO'!$A$103:$B$144,2,FALSE)</f>
        <v>Metanol</v>
      </c>
      <c r="F148" s="55">
        <v>3063505</v>
      </c>
      <c r="G148" s="56" t="str">
        <f>VLOOKUP(C148,clientes!$C$3:$D$60,2,FALSE)</f>
        <v>MITSUBISHI</v>
      </c>
    </row>
    <row r="149" spans="1:7" x14ac:dyDescent="0.25">
      <c r="A149">
        <v>2021</v>
      </c>
      <c r="B149" t="s">
        <v>135</v>
      </c>
      <c r="C149" t="s">
        <v>196</v>
      </c>
      <c r="D149" t="s">
        <v>22</v>
      </c>
      <c r="E149" t="str">
        <f>VLOOKUP(D149,'Lista de Produtos CLASSIFICAÇÃO'!$A$103:$B$144,2,FALSE)</f>
        <v>Metanol</v>
      </c>
      <c r="F149" s="55">
        <v>4558035</v>
      </c>
      <c r="G149" s="56" t="str">
        <f>VLOOKUP(C149,clientes!$C$3:$D$60,2,FALSE)</f>
        <v>SCC</v>
      </c>
    </row>
    <row r="150" spans="1:7" x14ac:dyDescent="0.25">
      <c r="A150">
        <v>2021</v>
      </c>
      <c r="B150" t="s">
        <v>135</v>
      </c>
      <c r="C150" t="s">
        <v>196</v>
      </c>
      <c r="D150" t="s">
        <v>22</v>
      </c>
      <c r="E150" t="str">
        <f>VLOOKUP(D150,'Lista de Produtos CLASSIFICAÇÃO'!$A$103:$B$144,2,FALSE)</f>
        <v>Metanol</v>
      </c>
      <c r="F150" s="55">
        <v>0</v>
      </c>
      <c r="G150" s="56" t="str">
        <f>VLOOKUP(C150,clientes!$C$3:$D$60,2,FALSE)</f>
        <v>SCC</v>
      </c>
    </row>
    <row r="151" spans="1:7" x14ac:dyDescent="0.25">
      <c r="A151">
        <v>2021</v>
      </c>
      <c r="B151" t="s">
        <v>135</v>
      </c>
      <c r="C151" t="s">
        <v>208</v>
      </c>
      <c r="D151" t="s">
        <v>202</v>
      </c>
      <c r="E151" t="str">
        <f>VLOOKUP(D151,'Lista de Produtos CLASSIFICAÇÃO'!$A$103:$B$144,2,FALSE)</f>
        <v>Outros</v>
      </c>
      <c r="F151" s="55">
        <v>308366</v>
      </c>
      <c r="G151" s="56" t="str">
        <f>VLOOKUP(C151,clientes!$C$3:$D$60,2,FALSE)</f>
        <v>HINOVE</v>
      </c>
    </row>
    <row r="152" spans="1:7" x14ac:dyDescent="0.25">
      <c r="A152">
        <v>2021</v>
      </c>
      <c r="B152" t="s">
        <v>135</v>
      </c>
      <c r="C152" t="s">
        <v>172</v>
      </c>
      <c r="D152" t="s">
        <v>124</v>
      </c>
      <c r="E152" t="str">
        <f>VLOOKUP(D152,'Lista de Produtos CLASSIFICAÇÃO'!$A$103:$B$144,2,FALSE)</f>
        <v>Outros</v>
      </c>
      <c r="F152" s="55">
        <v>193830</v>
      </c>
      <c r="G152" s="56" t="str">
        <f>VLOOKUP(C152,clientes!$C$3:$D$60,2,FALSE)</f>
        <v>EVONIK</v>
      </c>
    </row>
    <row r="153" spans="1:7" x14ac:dyDescent="0.25">
      <c r="A153">
        <v>2021</v>
      </c>
      <c r="B153" t="s">
        <v>135</v>
      </c>
      <c r="C153" t="s">
        <v>173</v>
      </c>
      <c r="D153" t="s">
        <v>22</v>
      </c>
      <c r="E153" t="str">
        <f>VLOOKUP(D153,'Lista de Produtos CLASSIFICAÇÃO'!$A$103:$B$144,2,FALSE)</f>
        <v>Metanol</v>
      </c>
      <c r="F153" s="55">
        <v>502536</v>
      </c>
      <c r="G153" s="56" t="str">
        <f>VLOOKUP(C153,clientes!$C$3:$D$60,2,FALSE)</f>
        <v>YPF SOCIEDAD ANONIMA</v>
      </c>
    </row>
    <row r="154" spans="1:7" x14ac:dyDescent="0.25">
      <c r="A154">
        <v>2021</v>
      </c>
      <c r="B154" t="s">
        <v>135</v>
      </c>
      <c r="C154" t="s">
        <v>203</v>
      </c>
      <c r="D154" t="s">
        <v>124</v>
      </c>
      <c r="E154" t="str">
        <f>VLOOKUP(D154,'Lista de Produtos CLASSIFICAÇÃO'!$A$103:$B$144,2,FALSE)</f>
        <v>Outros</v>
      </c>
      <c r="F154" s="55">
        <v>128809</v>
      </c>
      <c r="G154" s="56" t="str">
        <f>VLOOKUP(C154,clientes!$C$3:$D$60,2,FALSE)</f>
        <v>GTM</v>
      </c>
    </row>
    <row r="155" spans="1:7" x14ac:dyDescent="0.25">
      <c r="A155">
        <v>2021</v>
      </c>
      <c r="B155" t="s">
        <v>135</v>
      </c>
      <c r="C155" t="s">
        <v>197</v>
      </c>
      <c r="D155" t="s">
        <v>85</v>
      </c>
      <c r="E155" t="str">
        <f>VLOOKUP(D155,'Lista de Produtos CLASSIFICAÇÃO'!$A$103:$B$144,2,FALSE)</f>
        <v>Outros</v>
      </c>
      <c r="F155" s="55">
        <v>119000</v>
      </c>
      <c r="G155" s="56" t="str">
        <f>VLOOKUP(C155,clientes!$C$3:$D$60,2,FALSE)</f>
        <v>DRT</v>
      </c>
    </row>
    <row r="156" spans="1:7" x14ac:dyDescent="0.25">
      <c r="A156">
        <v>2021</v>
      </c>
      <c r="B156" t="s">
        <v>135</v>
      </c>
      <c r="C156" t="s">
        <v>198</v>
      </c>
      <c r="D156" t="s">
        <v>121</v>
      </c>
      <c r="E156" t="str">
        <f>VLOOKUP(D156,'Lista de Produtos CLASSIFICAÇÃO'!$A$103:$B$144,2,FALSE)</f>
        <v>Biocombustíveis</v>
      </c>
      <c r="F156" s="55">
        <v>0</v>
      </c>
      <c r="G156" s="56" t="str">
        <f>VLOOKUP(C156,clientes!$C$3:$D$60,2,FALSE)</f>
        <v>TEREOS / INPASA / GLENCORE</v>
      </c>
    </row>
    <row r="157" spans="1:7" x14ac:dyDescent="0.25">
      <c r="A157">
        <v>2021</v>
      </c>
      <c r="B157" t="s">
        <v>135</v>
      </c>
      <c r="C157" t="s">
        <v>174</v>
      </c>
      <c r="D157" t="s">
        <v>123</v>
      </c>
      <c r="E157" t="str">
        <f>VLOOKUP(D157,'Lista de Produtos CLASSIFICAÇÃO'!$A$103:$B$144,2,FALSE)</f>
        <v>Aquecidos</v>
      </c>
      <c r="F157" s="55">
        <v>267764</v>
      </c>
      <c r="G157" s="56" t="str">
        <f>VLOOKUP(C157,clientes!$C$3:$D$60,2,FALSE)</f>
        <v>CELENA</v>
      </c>
    </row>
    <row r="158" spans="1:7" x14ac:dyDescent="0.25">
      <c r="A158">
        <v>2021</v>
      </c>
      <c r="B158" t="s">
        <v>135</v>
      </c>
      <c r="C158" t="s">
        <v>175</v>
      </c>
      <c r="D158" t="s">
        <v>123</v>
      </c>
      <c r="E158" t="str">
        <f>VLOOKUP(D158,'Lista de Produtos CLASSIFICAÇÃO'!$A$103:$B$144,2,FALSE)</f>
        <v>Aquecidos</v>
      </c>
      <c r="F158" s="55">
        <v>303588</v>
      </c>
      <c r="G158" s="56" t="str">
        <f>VLOOKUP(C158,clientes!$C$3:$D$60,2,FALSE)</f>
        <v>AAK DO BRASIL</v>
      </c>
    </row>
    <row r="159" spans="1:7" x14ac:dyDescent="0.25">
      <c r="A159">
        <v>2021</v>
      </c>
      <c r="B159" t="s">
        <v>135</v>
      </c>
      <c r="C159" t="s">
        <v>166</v>
      </c>
      <c r="D159" t="s">
        <v>122</v>
      </c>
      <c r="E159" t="str">
        <f>VLOOKUP(D159,'Lista de Produtos CLASSIFICAÇÃO'!$A$103:$B$144,2,FALSE)</f>
        <v>Óleo Vegetal</v>
      </c>
      <c r="F159" s="55">
        <v>242252</v>
      </c>
      <c r="G159" s="56" t="str">
        <f>VLOOKUP(C159,clientes!$C$3:$D$60,2,FALSE)</f>
        <v>CARGILL</v>
      </c>
    </row>
    <row r="160" spans="1:7" x14ac:dyDescent="0.25">
      <c r="A160">
        <v>2021</v>
      </c>
      <c r="B160" t="s">
        <v>135</v>
      </c>
      <c r="C160" t="s">
        <v>176</v>
      </c>
      <c r="D160" t="s">
        <v>123</v>
      </c>
      <c r="E160" t="str">
        <f>VLOOKUP(D160,'Lista de Produtos CLASSIFICAÇÃO'!$A$103:$B$144,2,FALSE)</f>
        <v>Aquecidos</v>
      </c>
      <c r="F160" s="55">
        <v>304688</v>
      </c>
      <c r="G160" s="56" t="str">
        <f>VLOOKUP(C160,clientes!$C$3:$D$60,2,FALSE)</f>
        <v>AGROPALMA</v>
      </c>
    </row>
    <row r="161" spans="1:7" x14ac:dyDescent="0.25">
      <c r="A161">
        <v>2021</v>
      </c>
      <c r="B161" t="s">
        <v>135</v>
      </c>
      <c r="C161" t="s">
        <v>204</v>
      </c>
      <c r="D161" t="s">
        <v>59</v>
      </c>
      <c r="E161" t="str">
        <f>VLOOKUP(D161,'Lista de Produtos CLASSIFICAÇÃO'!$A$103:$B$144,2,FALSE)</f>
        <v>Derivados</v>
      </c>
      <c r="F161" s="55">
        <v>1442809</v>
      </c>
      <c r="G161" s="56" t="str">
        <f>VLOOKUP(C161,clientes!$C$3:$D$60,2,FALSE)</f>
        <v>COPAPE</v>
      </c>
    </row>
    <row r="162" spans="1:7" x14ac:dyDescent="0.25">
      <c r="A162">
        <v>2021</v>
      </c>
      <c r="B162" t="s">
        <v>136</v>
      </c>
      <c r="C162" t="s">
        <v>155</v>
      </c>
      <c r="D162" t="s">
        <v>16</v>
      </c>
      <c r="E162" t="str">
        <f>VLOOKUP(D162,'Lista de Produtos CLASSIFICAÇÃO'!$A$103:$B$144,2,FALSE)</f>
        <v>Outros</v>
      </c>
      <c r="F162" s="55">
        <v>515772</v>
      </c>
      <c r="G162" s="56" t="str">
        <f>VLOOKUP(C162,clientes!$C$3:$D$60,2,FALSE)</f>
        <v>ADISSEO</v>
      </c>
    </row>
    <row r="163" spans="1:7" x14ac:dyDescent="0.25">
      <c r="A163">
        <v>2021</v>
      </c>
      <c r="B163" t="s">
        <v>136</v>
      </c>
      <c r="C163" t="s">
        <v>155</v>
      </c>
      <c r="D163" t="s">
        <v>16</v>
      </c>
      <c r="E163" t="str">
        <f>VLOOKUP(D163,'Lista de Produtos CLASSIFICAÇÃO'!$A$103:$B$144,2,FALSE)</f>
        <v>Outros</v>
      </c>
      <c r="F163" s="55">
        <v>132556</v>
      </c>
      <c r="G163" s="56" t="str">
        <f>VLOOKUP(C163,clientes!$C$3:$D$60,2,FALSE)</f>
        <v>ADISSEO</v>
      </c>
    </row>
    <row r="164" spans="1:7" x14ac:dyDescent="0.25">
      <c r="A164">
        <v>2021</v>
      </c>
      <c r="B164" t="s">
        <v>136</v>
      </c>
      <c r="C164" t="s">
        <v>199</v>
      </c>
      <c r="D164" t="s">
        <v>16</v>
      </c>
      <c r="E164" t="str">
        <f>VLOOKUP(D164,'Lista de Produtos CLASSIFICAÇÃO'!$A$103:$B$144,2,FALSE)</f>
        <v>Outros</v>
      </c>
      <c r="F164" s="55">
        <v>3316</v>
      </c>
      <c r="G164" s="56" t="str">
        <f>VLOOKUP(C164,clientes!$C$3:$D$60,2,FALSE)</f>
        <v>ADISSEO</v>
      </c>
    </row>
    <row r="165" spans="1:7" x14ac:dyDescent="0.25">
      <c r="A165">
        <v>2021</v>
      </c>
      <c r="B165" t="s">
        <v>136</v>
      </c>
      <c r="C165" t="s">
        <v>157</v>
      </c>
      <c r="D165" t="s">
        <v>49</v>
      </c>
      <c r="E165" t="str">
        <f>VLOOKUP(D165,'Lista de Produtos CLASSIFICAÇÃO'!$A$103:$B$144,2,FALSE)</f>
        <v>Outros</v>
      </c>
      <c r="F165" s="55">
        <v>76113</v>
      </c>
      <c r="G165" s="56" t="str">
        <f>VLOOKUP(C165,clientes!$C$3:$D$60,2,FALSE)</f>
        <v>ADM</v>
      </c>
    </row>
    <row r="166" spans="1:7" x14ac:dyDescent="0.25">
      <c r="A166">
        <v>2021</v>
      </c>
      <c r="B166" t="s">
        <v>136</v>
      </c>
      <c r="C166" t="s">
        <v>158</v>
      </c>
      <c r="D166" t="s">
        <v>120</v>
      </c>
      <c r="E166" t="str">
        <f>VLOOKUP(D166,'Lista de Produtos CLASSIFICAÇÃO'!$A$103:$B$144,2,FALSE)</f>
        <v>Derivados</v>
      </c>
      <c r="F166" s="55">
        <v>6963862</v>
      </c>
      <c r="G166" s="56" t="str">
        <f>VLOOKUP(C166,clientes!$C$3:$D$60,2,FALSE)</f>
        <v>IPIRANGA</v>
      </c>
    </row>
    <row r="167" spans="1:7" x14ac:dyDescent="0.25">
      <c r="A167">
        <v>2021</v>
      </c>
      <c r="B167" t="s">
        <v>136</v>
      </c>
      <c r="C167" t="s">
        <v>206</v>
      </c>
      <c r="D167" t="s">
        <v>120</v>
      </c>
      <c r="E167" t="str">
        <f>VLOOKUP(D167,'Lista de Produtos CLASSIFICAÇÃO'!$A$103:$B$144,2,FALSE)</f>
        <v>Derivados</v>
      </c>
      <c r="F167" s="55">
        <v>3673286</v>
      </c>
      <c r="G167" s="56" t="str">
        <f>VLOOKUP(C167,clientes!$C$3:$D$60,2,FALSE)</f>
        <v>BR</v>
      </c>
    </row>
    <row r="168" spans="1:7" x14ac:dyDescent="0.25">
      <c r="A168">
        <v>2021</v>
      </c>
      <c r="B168" t="s">
        <v>136</v>
      </c>
      <c r="C168" t="s">
        <v>200</v>
      </c>
      <c r="D168" t="s">
        <v>120</v>
      </c>
      <c r="E168" t="str">
        <f>VLOOKUP(D168,'Lista de Produtos CLASSIFICAÇÃO'!$A$103:$B$144,2,FALSE)</f>
        <v>Derivados</v>
      </c>
      <c r="F168" s="55">
        <v>1765906</v>
      </c>
      <c r="G168" s="56" t="str">
        <f>VLOOKUP(C168,clientes!$C$3:$D$60,2,FALSE)</f>
        <v>GREENENERGY</v>
      </c>
    </row>
    <row r="169" spans="1:7" x14ac:dyDescent="0.25">
      <c r="A169">
        <v>2021</v>
      </c>
      <c r="B169" t="s">
        <v>136</v>
      </c>
      <c r="C169" t="s">
        <v>161</v>
      </c>
      <c r="D169" t="s">
        <v>120</v>
      </c>
      <c r="E169" t="str">
        <f>VLOOKUP(D169,'Lista de Produtos CLASSIFICAÇÃO'!$A$103:$B$144,2,FALSE)</f>
        <v>Derivados</v>
      </c>
      <c r="F169" s="55">
        <v>2898808</v>
      </c>
      <c r="G169" s="56" t="str">
        <f>VLOOKUP(C169,clientes!$C$3:$D$60,2,FALSE)</f>
        <v>SUL PLATA</v>
      </c>
    </row>
    <row r="170" spans="1:7" x14ac:dyDescent="0.25">
      <c r="A170">
        <v>2021</v>
      </c>
      <c r="B170" t="s">
        <v>136</v>
      </c>
      <c r="C170" t="s">
        <v>161</v>
      </c>
      <c r="D170" t="s">
        <v>120</v>
      </c>
      <c r="E170" t="str">
        <f>VLOOKUP(D170,'Lista de Produtos CLASSIFICAÇÃO'!$A$103:$B$144,2,FALSE)</f>
        <v>Derivados</v>
      </c>
      <c r="F170" s="55">
        <v>0</v>
      </c>
      <c r="G170" s="56" t="str">
        <f>VLOOKUP(C170,clientes!$C$3:$D$60,2,FALSE)</f>
        <v>SUL PLATA</v>
      </c>
    </row>
    <row r="171" spans="1:7" x14ac:dyDescent="0.25">
      <c r="A171">
        <v>2021</v>
      </c>
      <c r="B171" t="s">
        <v>136</v>
      </c>
      <c r="C171" t="s">
        <v>162</v>
      </c>
      <c r="D171" t="s">
        <v>115</v>
      </c>
      <c r="E171" t="str">
        <f>VLOOKUP(D171,'Lista de Produtos CLASSIFICAÇÃO'!$A$103:$B$144,2,FALSE)</f>
        <v>Soda Caustica</v>
      </c>
      <c r="F171" s="55">
        <v>129223</v>
      </c>
      <c r="G171" s="56" t="str">
        <f>VLOOKUP(C171,clientes!$C$3:$D$60,2,FALSE)</f>
        <v>JBS</v>
      </c>
    </row>
    <row r="172" spans="1:7" x14ac:dyDescent="0.25">
      <c r="A172">
        <v>2021</v>
      </c>
      <c r="B172" t="s">
        <v>136</v>
      </c>
      <c r="C172" t="s">
        <v>163</v>
      </c>
      <c r="D172" t="s">
        <v>115</v>
      </c>
      <c r="E172" t="str">
        <f>VLOOKUP(D172,'Lista de Produtos CLASSIFICAÇÃO'!$A$103:$B$144,2,FALSE)</f>
        <v>Soda Caustica</v>
      </c>
      <c r="F172" s="55">
        <v>305822</v>
      </c>
      <c r="G172" s="56" t="str">
        <f>VLOOKUP(C172,clientes!$C$3:$D$60,2,FALSE)</f>
        <v>TRICON ENERGY</v>
      </c>
    </row>
    <row r="173" spans="1:7" x14ac:dyDescent="0.25">
      <c r="A173">
        <v>2021</v>
      </c>
      <c r="B173" t="s">
        <v>136</v>
      </c>
      <c r="C173" t="s">
        <v>207</v>
      </c>
      <c r="D173" t="s">
        <v>16</v>
      </c>
      <c r="E173" t="str">
        <f>VLOOKUP(D173,'Lista de Produtos CLASSIFICAÇÃO'!$A$103:$B$144,2,FALSE)</f>
        <v>Outros</v>
      </c>
      <c r="F173" s="55">
        <v>194724</v>
      </c>
      <c r="G173" s="56" t="str">
        <f>VLOOKUP(C173,clientes!$C$3:$D$60,2,FALSE)</f>
        <v>NOVUS</v>
      </c>
    </row>
    <row r="174" spans="1:7" x14ac:dyDescent="0.25">
      <c r="A174">
        <v>2021</v>
      </c>
      <c r="B174" t="s">
        <v>136</v>
      </c>
      <c r="C174" t="s">
        <v>165</v>
      </c>
      <c r="D174" t="s">
        <v>123</v>
      </c>
      <c r="E174" t="str">
        <f>VLOOKUP(D174,'Lista de Produtos CLASSIFICAÇÃO'!$A$103:$B$144,2,FALSE)</f>
        <v>Aquecidos</v>
      </c>
      <c r="F174" s="55">
        <v>792025</v>
      </c>
      <c r="G174" s="56" t="str">
        <f>VLOOKUP(C174,clientes!$C$3:$D$60,2,FALSE)</f>
        <v>BRF</v>
      </c>
    </row>
    <row r="175" spans="1:7" x14ac:dyDescent="0.25">
      <c r="A175">
        <v>2021</v>
      </c>
      <c r="B175" t="s">
        <v>136</v>
      </c>
      <c r="C175" t="s">
        <v>162</v>
      </c>
      <c r="D175" t="s">
        <v>123</v>
      </c>
      <c r="E175" t="str">
        <f>VLOOKUP(D175,'Lista de Produtos CLASSIFICAÇÃO'!$A$103:$B$144,2,FALSE)</f>
        <v>Aquecidos</v>
      </c>
      <c r="F175" s="55">
        <v>172294</v>
      </c>
      <c r="G175" s="56" t="str">
        <f>VLOOKUP(C175,clientes!$C$3:$D$60,2,FALSE)</f>
        <v>JBS</v>
      </c>
    </row>
    <row r="176" spans="1:7" x14ac:dyDescent="0.25">
      <c r="A176">
        <v>2021</v>
      </c>
      <c r="B176" t="s">
        <v>136</v>
      </c>
      <c r="C176" t="s">
        <v>166</v>
      </c>
      <c r="D176" t="s">
        <v>123</v>
      </c>
      <c r="E176" t="str">
        <f>VLOOKUP(D176,'Lista de Produtos CLASSIFICAÇÃO'!$A$103:$B$144,2,FALSE)</f>
        <v>Aquecidos</v>
      </c>
      <c r="F176" s="55">
        <v>448348</v>
      </c>
      <c r="G176" s="56" t="str">
        <f>VLOOKUP(C176,clientes!$C$3:$D$60,2,FALSE)</f>
        <v>CARGILL</v>
      </c>
    </row>
    <row r="177" spans="1:7" x14ac:dyDescent="0.25">
      <c r="A177">
        <v>2021</v>
      </c>
      <c r="B177" t="s">
        <v>136</v>
      </c>
      <c r="C177" t="s">
        <v>167</v>
      </c>
      <c r="D177" t="s">
        <v>122</v>
      </c>
      <c r="E177" t="str">
        <f>VLOOKUP(D177,'Lista de Produtos CLASSIFICAÇÃO'!$A$103:$B$144,2,FALSE)</f>
        <v>Óleo Vegetal</v>
      </c>
      <c r="F177" s="55">
        <v>5510191</v>
      </c>
      <c r="G177" s="56" t="str">
        <f>VLOOKUP(C177,clientes!$C$3:$D$60,2,FALSE)</f>
        <v>POOL</v>
      </c>
    </row>
    <row r="178" spans="1:7" x14ac:dyDescent="0.25">
      <c r="A178">
        <v>2021</v>
      </c>
      <c r="B178" t="s">
        <v>136</v>
      </c>
      <c r="C178" t="s">
        <v>168</v>
      </c>
      <c r="D178" t="s">
        <v>122</v>
      </c>
      <c r="E178" t="str">
        <f>VLOOKUP(D178,'Lista de Produtos CLASSIFICAÇÃO'!$A$103:$B$144,2,FALSE)</f>
        <v>Óleo Vegetal</v>
      </c>
      <c r="F178" s="55">
        <v>63587</v>
      </c>
      <c r="G178" s="56" t="str">
        <f>VLOOKUP(C178,clientes!$C$3:$D$60,2,FALSE)</f>
        <v>POOL EXCEDENTE</v>
      </c>
    </row>
    <row r="179" spans="1:7" x14ac:dyDescent="0.25">
      <c r="A179">
        <v>2021</v>
      </c>
      <c r="B179" t="s">
        <v>136</v>
      </c>
      <c r="C179" t="s">
        <v>169</v>
      </c>
      <c r="D179" t="s">
        <v>22</v>
      </c>
      <c r="E179" t="str">
        <f>VLOOKUP(D179,'Lista de Produtos CLASSIFICAÇÃO'!$A$103:$B$144,2,FALSE)</f>
        <v>Metanol</v>
      </c>
      <c r="F179" s="55">
        <v>5136871</v>
      </c>
      <c r="G179" s="56" t="str">
        <f>VLOOKUP(C179,clientes!$C$3:$D$60,2,FALSE)</f>
        <v>METHANEX</v>
      </c>
    </row>
    <row r="180" spans="1:7" x14ac:dyDescent="0.25">
      <c r="A180">
        <v>2021</v>
      </c>
      <c r="B180" t="s">
        <v>136</v>
      </c>
      <c r="C180" t="s">
        <v>170</v>
      </c>
      <c r="D180" t="s">
        <v>22</v>
      </c>
      <c r="E180" t="str">
        <f>VLOOKUP(D180,'Lista de Produtos CLASSIFICAÇÃO'!$A$103:$B$144,2,FALSE)</f>
        <v>Metanol</v>
      </c>
      <c r="F180" s="55">
        <v>3063505</v>
      </c>
      <c r="G180" s="56" t="str">
        <f>VLOOKUP(C180,clientes!$C$3:$D$60,2,FALSE)</f>
        <v>MITSUBISHI</v>
      </c>
    </row>
    <row r="181" spans="1:7" x14ac:dyDescent="0.25">
      <c r="A181">
        <v>2021</v>
      </c>
      <c r="B181" t="s">
        <v>136</v>
      </c>
      <c r="C181" t="s">
        <v>196</v>
      </c>
      <c r="D181" t="s">
        <v>22</v>
      </c>
      <c r="E181" t="str">
        <f>VLOOKUP(D181,'Lista de Produtos CLASSIFICAÇÃO'!$A$103:$B$144,2,FALSE)</f>
        <v>Metanol</v>
      </c>
      <c r="F181" s="55">
        <v>4558035</v>
      </c>
      <c r="G181" s="56" t="str">
        <f>VLOOKUP(C181,clientes!$C$3:$D$60,2,FALSE)</f>
        <v>SCC</v>
      </c>
    </row>
    <row r="182" spans="1:7" x14ac:dyDescent="0.25">
      <c r="A182">
        <v>2021</v>
      </c>
      <c r="B182" t="s">
        <v>136</v>
      </c>
      <c r="C182" t="s">
        <v>196</v>
      </c>
      <c r="D182" t="s">
        <v>22</v>
      </c>
      <c r="E182" t="str">
        <f>VLOOKUP(D182,'Lista de Produtos CLASSIFICAÇÃO'!$A$103:$B$144,2,FALSE)</f>
        <v>Metanol</v>
      </c>
      <c r="F182" s="55">
        <v>302087</v>
      </c>
      <c r="G182" s="56" t="str">
        <f>VLOOKUP(C182,clientes!$C$3:$D$60,2,FALSE)</f>
        <v>SCC</v>
      </c>
    </row>
    <row r="183" spans="1:7" x14ac:dyDescent="0.25">
      <c r="A183">
        <v>2021</v>
      </c>
      <c r="B183" t="s">
        <v>136</v>
      </c>
      <c r="C183" t="s">
        <v>208</v>
      </c>
      <c r="D183" t="s">
        <v>202</v>
      </c>
      <c r="E183" t="str">
        <f>VLOOKUP(D183,'Lista de Produtos CLASSIFICAÇÃO'!$A$103:$B$144,2,FALSE)</f>
        <v>Outros</v>
      </c>
      <c r="F183" s="55">
        <v>332793</v>
      </c>
      <c r="G183" s="56" t="str">
        <f>VLOOKUP(C183,clientes!$C$3:$D$60,2,FALSE)</f>
        <v>HINOVE</v>
      </c>
    </row>
    <row r="184" spans="1:7" x14ac:dyDescent="0.25">
      <c r="A184">
        <v>2021</v>
      </c>
      <c r="B184" t="s">
        <v>136</v>
      </c>
      <c r="C184" t="s">
        <v>172</v>
      </c>
      <c r="D184" t="s">
        <v>124</v>
      </c>
      <c r="E184" t="str">
        <f>VLOOKUP(D184,'Lista de Produtos CLASSIFICAÇÃO'!$A$103:$B$144,2,FALSE)</f>
        <v>Outros</v>
      </c>
      <c r="F184" s="55">
        <v>193830</v>
      </c>
      <c r="G184" s="56" t="str">
        <f>VLOOKUP(C184,clientes!$C$3:$D$60,2,FALSE)</f>
        <v>EVONIK</v>
      </c>
    </row>
    <row r="185" spans="1:7" x14ac:dyDescent="0.25">
      <c r="A185">
        <v>2021</v>
      </c>
      <c r="B185" t="s">
        <v>136</v>
      </c>
      <c r="C185" t="s">
        <v>173</v>
      </c>
      <c r="D185" t="s">
        <v>22</v>
      </c>
      <c r="E185" t="str">
        <f>VLOOKUP(D185,'Lista de Produtos CLASSIFICAÇÃO'!$A$103:$B$144,2,FALSE)</f>
        <v>Metanol</v>
      </c>
      <c r="F185" s="55">
        <v>575140</v>
      </c>
      <c r="G185" s="56" t="str">
        <f>VLOOKUP(C185,clientes!$C$3:$D$60,2,FALSE)</f>
        <v>YPF SOCIEDAD ANONIMA</v>
      </c>
    </row>
    <row r="186" spans="1:7" x14ac:dyDescent="0.25">
      <c r="A186">
        <v>2021</v>
      </c>
      <c r="B186" t="s">
        <v>136</v>
      </c>
      <c r="C186" t="s">
        <v>203</v>
      </c>
      <c r="D186" t="s">
        <v>124</v>
      </c>
      <c r="E186" t="str">
        <f>VLOOKUP(D186,'Lista de Produtos CLASSIFICAÇÃO'!$A$103:$B$144,2,FALSE)</f>
        <v>Outros</v>
      </c>
      <c r="F186" s="55">
        <v>118190</v>
      </c>
      <c r="G186" s="56" t="str">
        <f>VLOOKUP(C186,clientes!$C$3:$D$60,2,FALSE)</f>
        <v>GTM</v>
      </c>
    </row>
    <row r="187" spans="1:7" x14ac:dyDescent="0.25">
      <c r="A187">
        <v>2021</v>
      </c>
      <c r="B187" t="s">
        <v>136</v>
      </c>
      <c r="C187" t="s">
        <v>197</v>
      </c>
      <c r="D187" t="s">
        <v>85</v>
      </c>
      <c r="E187" t="str">
        <f>VLOOKUP(D187,'Lista de Produtos CLASSIFICAÇÃO'!$A$103:$B$144,2,FALSE)</f>
        <v>Outros</v>
      </c>
      <c r="F187" s="55">
        <v>119000</v>
      </c>
      <c r="G187" s="56" t="str">
        <f>VLOOKUP(C187,clientes!$C$3:$D$60,2,FALSE)</f>
        <v>DRT</v>
      </c>
    </row>
    <row r="188" spans="1:7" x14ac:dyDescent="0.25">
      <c r="A188">
        <v>2021</v>
      </c>
      <c r="B188" t="s">
        <v>136</v>
      </c>
      <c r="C188" t="s">
        <v>198</v>
      </c>
      <c r="D188" t="s">
        <v>121</v>
      </c>
      <c r="E188" t="str">
        <f>VLOOKUP(D188,'Lista de Produtos CLASSIFICAÇÃO'!$A$103:$B$144,2,FALSE)</f>
        <v>Biocombustíveis</v>
      </c>
      <c r="F188" s="55">
        <v>0</v>
      </c>
      <c r="G188" s="56" t="str">
        <f>VLOOKUP(C188,clientes!$C$3:$D$60,2,FALSE)</f>
        <v>TEREOS / INPASA / GLENCORE</v>
      </c>
    </row>
    <row r="189" spans="1:7" x14ac:dyDescent="0.25">
      <c r="A189">
        <v>2021</v>
      </c>
      <c r="B189" t="s">
        <v>136</v>
      </c>
      <c r="C189" t="s">
        <v>174</v>
      </c>
      <c r="D189" t="s">
        <v>123</v>
      </c>
      <c r="E189" t="str">
        <f>VLOOKUP(D189,'Lista de Produtos CLASSIFICAÇÃO'!$A$103:$B$144,2,FALSE)</f>
        <v>Aquecidos</v>
      </c>
      <c r="F189" s="55">
        <v>267764</v>
      </c>
      <c r="G189" s="56" t="str">
        <f>VLOOKUP(C189,clientes!$C$3:$D$60,2,FALSE)</f>
        <v>CELENA</v>
      </c>
    </row>
    <row r="190" spans="1:7" x14ac:dyDescent="0.25">
      <c r="A190">
        <v>2021</v>
      </c>
      <c r="B190" t="s">
        <v>136</v>
      </c>
      <c r="C190" t="s">
        <v>175</v>
      </c>
      <c r="D190" t="s">
        <v>123</v>
      </c>
      <c r="E190" t="str">
        <f>VLOOKUP(D190,'Lista de Produtos CLASSIFICAÇÃO'!$A$103:$B$144,2,FALSE)</f>
        <v>Aquecidos</v>
      </c>
      <c r="F190" s="55">
        <v>303588</v>
      </c>
      <c r="G190" s="56" t="str">
        <f>VLOOKUP(C190,clientes!$C$3:$D$60,2,FALSE)</f>
        <v>AAK DO BRASIL</v>
      </c>
    </row>
    <row r="191" spans="1:7" x14ac:dyDescent="0.25">
      <c r="A191">
        <v>2021</v>
      </c>
      <c r="B191" t="s">
        <v>136</v>
      </c>
      <c r="C191" t="s">
        <v>166</v>
      </c>
      <c r="D191" t="s">
        <v>122</v>
      </c>
      <c r="E191" t="str">
        <f>VLOOKUP(D191,'Lista de Produtos CLASSIFICAÇÃO'!$A$103:$B$144,2,FALSE)</f>
        <v>Óleo Vegetal</v>
      </c>
      <c r="F191" s="55">
        <v>200808</v>
      </c>
      <c r="G191" s="56" t="str">
        <f>VLOOKUP(C191,clientes!$C$3:$D$60,2,FALSE)</f>
        <v>CARGILL</v>
      </c>
    </row>
    <row r="192" spans="1:7" x14ac:dyDescent="0.25">
      <c r="A192">
        <v>2021</v>
      </c>
      <c r="B192" t="s">
        <v>136</v>
      </c>
      <c r="C192" t="s">
        <v>176</v>
      </c>
      <c r="D192" t="s">
        <v>123</v>
      </c>
      <c r="E192" t="str">
        <f>VLOOKUP(D192,'Lista de Produtos CLASSIFICAÇÃO'!$A$103:$B$144,2,FALSE)</f>
        <v>Aquecidos</v>
      </c>
      <c r="F192" s="55">
        <v>304688</v>
      </c>
      <c r="G192" s="56" t="str">
        <f>VLOOKUP(C192,clientes!$C$3:$D$60,2,FALSE)</f>
        <v>AGROPALMA</v>
      </c>
    </row>
    <row r="193" spans="1:7" x14ac:dyDescent="0.25">
      <c r="A193">
        <v>2021</v>
      </c>
      <c r="B193" t="s">
        <v>136</v>
      </c>
      <c r="C193" t="s">
        <v>204</v>
      </c>
      <c r="D193" t="s">
        <v>59</v>
      </c>
      <c r="E193" t="str">
        <f>VLOOKUP(D193,'Lista de Produtos CLASSIFICAÇÃO'!$A$103:$B$144,2,FALSE)</f>
        <v>Derivados</v>
      </c>
      <c r="F193" s="55">
        <v>1442809</v>
      </c>
      <c r="G193" s="56" t="str">
        <f>VLOOKUP(C193,clientes!$C$3:$D$60,2,FALSE)</f>
        <v>COPAPE</v>
      </c>
    </row>
    <row r="194" spans="1:7" x14ac:dyDescent="0.25">
      <c r="A194">
        <v>2021</v>
      </c>
      <c r="B194" t="s">
        <v>137</v>
      </c>
      <c r="C194" t="s">
        <v>155</v>
      </c>
      <c r="D194" t="s">
        <v>16</v>
      </c>
      <c r="E194" t="str">
        <f>VLOOKUP(D194,'Lista de Produtos CLASSIFICAÇÃO'!$A$103:$B$144,2,FALSE)</f>
        <v>Outros</v>
      </c>
      <c r="F194" s="55">
        <v>515772</v>
      </c>
      <c r="G194" s="56" t="str">
        <f>VLOOKUP(C194,clientes!$C$3:$D$60,2,FALSE)</f>
        <v>ADISSEO</v>
      </c>
    </row>
    <row r="195" spans="1:7" x14ac:dyDescent="0.25">
      <c r="A195">
        <v>2021</v>
      </c>
      <c r="B195" t="s">
        <v>137</v>
      </c>
      <c r="C195" t="s">
        <v>155</v>
      </c>
      <c r="D195" t="s">
        <v>16</v>
      </c>
      <c r="E195" t="str">
        <f>VLOOKUP(D195,'Lista de Produtos CLASSIFICAÇÃO'!$A$103:$B$144,2,FALSE)</f>
        <v>Outros</v>
      </c>
      <c r="F195" s="55">
        <v>132556</v>
      </c>
      <c r="G195" s="56" t="str">
        <f>VLOOKUP(C195,clientes!$C$3:$D$60,2,FALSE)</f>
        <v>ADISSEO</v>
      </c>
    </row>
    <row r="196" spans="1:7" x14ac:dyDescent="0.25">
      <c r="A196">
        <v>2021</v>
      </c>
      <c r="B196" t="s">
        <v>137</v>
      </c>
      <c r="C196" t="s">
        <v>199</v>
      </c>
      <c r="D196" t="s">
        <v>16</v>
      </c>
      <c r="E196" t="str">
        <f>VLOOKUP(D196,'Lista de Produtos CLASSIFICAÇÃO'!$A$103:$B$144,2,FALSE)</f>
        <v>Outros</v>
      </c>
      <c r="F196" s="55">
        <v>3316</v>
      </c>
      <c r="G196" s="56" t="str">
        <f>VLOOKUP(C196,clientes!$C$3:$D$60,2,FALSE)</f>
        <v>ADISSEO</v>
      </c>
    </row>
    <row r="197" spans="1:7" x14ac:dyDescent="0.25">
      <c r="A197">
        <v>2021</v>
      </c>
      <c r="B197" t="s">
        <v>137</v>
      </c>
      <c r="C197" t="s">
        <v>157</v>
      </c>
      <c r="D197" t="s">
        <v>49</v>
      </c>
      <c r="E197" t="str">
        <f>VLOOKUP(D197,'Lista de Produtos CLASSIFICAÇÃO'!$A$103:$B$144,2,FALSE)</f>
        <v>Outros</v>
      </c>
      <c r="F197" s="55">
        <v>79358</v>
      </c>
      <c r="G197" s="56" t="str">
        <f>VLOOKUP(C197,clientes!$C$3:$D$60,2,FALSE)</f>
        <v>ADM</v>
      </c>
    </row>
    <row r="198" spans="1:7" x14ac:dyDescent="0.25">
      <c r="A198">
        <v>2021</v>
      </c>
      <c r="B198" t="s">
        <v>137</v>
      </c>
      <c r="C198" t="s">
        <v>158</v>
      </c>
      <c r="D198" t="s">
        <v>120</v>
      </c>
      <c r="E198" t="str">
        <f>VLOOKUP(D198,'Lista de Produtos CLASSIFICAÇÃO'!$A$103:$B$144,2,FALSE)</f>
        <v>Derivados</v>
      </c>
      <c r="F198" s="55">
        <v>6963862</v>
      </c>
      <c r="G198" s="56" t="str">
        <f>VLOOKUP(C198,clientes!$C$3:$D$60,2,FALSE)</f>
        <v>IPIRANGA</v>
      </c>
    </row>
    <row r="199" spans="1:7" x14ac:dyDescent="0.25">
      <c r="A199">
        <v>2021</v>
      </c>
      <c r="B199" t="s">
        <v>137</v>
      </c>
      <c r="C199" t="s">
        <v>206</v>
      </c>
      <c r="D199" t="s">
        <v>120</v>
      </c>
      <c r="E199" t="str">
        <f>VLOOKUP(D199,'Lista de Produtos CLASSIFICAÇÃO'!$A$103:$B$144,2,FALSE)</f>
        <v>Derivados</v>
      </c>
      <c r="F199" s="55">
        <v>3673286</v>
      </c>
      <c r="G199" s="56" t="str">
        <f>VLOOKUP(C199,clientes!$C$3:$D$60,2,FALSE)</f>
        <v>BR</v>
      </c>
    </row>
    <row r="200" spans="1:7" x14ac:dyDescent="0.25">
      <c r="A200">
        <v>2021</v>
      </c>
      <c r="B200" t="s">
        <v>137</v>
      </c>
      <c r="C200" t="s">
        <v>200</v>
      </c>
      <c r="D200" t="s">
        <v>120</v>
      </c>
      <c r="E200" t="str">
        <f>VLOOKUP(D200,'Lista de Produtos CLASSIFICAÇÃO'!$A$103:$B$144,2,FALSE)</f>
        <v>Derivados</v>
      </c>
      <c r="F200" s="55">
        <v>1765906</v>
      </c>
      <c r="G200" s="56" t="str">
        <f>VLOOKUP(C200,clientes!$C$3:$D$60,2,FALSE)</f>
        <v>GREENENERGY</v>
      </c>
    </row>
    <row r="201" spans="1:7" x14ac:dyDescent="0.25">
      <c r="A201">
        <v>2021</v>
      </c>
      <c r="B201" t="s">
        <v>137</v>
      </c>
      <c r="C201" t="s">
        <v>161</v>
      </c>
      <c r="D201" t="s">
        <v>120</v>
      </c>
      <c r="E201" t="str">
        <f>VLOOKUP(D201,'Lista de Produtos CLASSIFICAÇÃO'!$A$103:$B$144,2,FALSE)</f>
        <v>Derivados</v>
      </c>
      <c r="F201" s="55">
        <v>0</v>
      </c>
      <c r="G201" s="56" t="str">
        <f>VLOOKUP(C201,clientes!$C$3:$D$60,2,FALSE)</f>
        <v>SUL PLATA</v>
      </c>
    </row>
    <row r="202" spans="1:7" x14ac:dyDescent="0.25">
      <c r="A202">
        <v>2021</v>
      </c>
      <c r="B202" t="s">
        <v>137</v>
      </c>
      <c r="C202" t="s">
        <v>161</v>
      </c>
      <c r="D202" t="s">
        <v>120</v>
      </c>
      <c r="E202" t="str">
        <f>VLOOKUP(D202,'Lista de Produtos CLASSIFICAÇÃO'!$A$103:$B$144,2,FALSE)</f>
        <v>Derivados</v>
      </c>
      <c r="F202" s="55">
        <v>1739285</v>
      </c>
      <c r="G202" s="56" t="str">
        <f>VLOOKUP(C202,clientes!$C$3:$D$60,2,FALSE)</f>
        <v>SUL PLATA</v>
      </c>
    </row>
    <row r="203" spans="1:7" x14ac:dyDescent="0.25">
      <c r="A203">
        <v>2021</v>
      </c>
      <c r="B203" t="s">
        <v>137</v>
      </c>
      <c r="C203" t="s">
        <v>162</v>
      </c>
      <c r="D203" t="s">
        <v>115</v>
      </c>
      <c r="E203" t="str">
        <f>VLOOKUP(D203,'Lista de Produtos CLASSIFICAÇÃO'!$A$103:$B$144,2,FALSE)</f>
        <v>Soda Caustica</v>
      </c>
      <c r="F203" s="55">
        <v>129223</v>
      </c>
      <c r="G203" s="56" t="str">
        <f>VLOOKUP(C203,clientes!$C$3:$D$60,2,FALSE)</f>
        <v>JBS</v>
      </c>
    </row>
    <row r="204" spans="1:7" x14ac:dyDescent="0.25">
      <c r="A204">
        <v>2021</v>
      </c>
      <c r="B204" t="s">
        <v>137</v>
      </c>
      <c r="C204" t="s">
        <v>163</v>
      </c>
      <c r="D204" t="s">
        <v>115</v>
      </c>
      <c r="E204" t="str">
        <f>VLOOKUP(D204,'Lista de Produtos CLASSIFICAÇÃO'!$A$103:$B$144,2,FALSE)</f>
        <v>Soda Caustica</v>
      </c>
      <c r="F204" s="55">
        <v>305822</v>
      </c>
      <c r="G204" s="56" t="str">
        <f>VLOOKUP(C204,clientes!$C$3:$D$60,2,FALSE)</f>
        <v>TRICON ENERGY</v>
      </c>
    </row>
    <row r="205" spans="1:7" x14ac:dyDescent="0.25">
      <c r="A205">
        <v>2021</v>
      </c>
      <c r="B205" t="s">
        <v>137</v>
      </c>
      <c r="C205" t="s">
        <v>207</v>
      </c>
      <c r="D205" t="s">
        <v>16</v>
      </c>
      <c r="E205" t="str">
        <f>VLOOKUP(D205,'Lista de Produtos CLASSIFICAÇÃO'!$A$103:$B$144,2,FALSE)</f>
        <v>Outros</v>
      </c>
      <c r="F205" s="55">
        <v>203290</v>
      </c>
      <c r="G205" s="56" t="str">
        <f>VLOOKUP(C205,clientes!$C$3:$D$60,2,FALSE)</f>
        <v>NOVUS</v>
      </c>
    </row>
    <row r="206" spans="1:7" x14ac:dyDescent="0.25">
      <c r="A206">
        <v>2021</v>
      </c>
      <c r="B206" t="s">
        <v>137</v>
      </c>
      <c r="C206" t="s">
        <v>165</v>
      </c>
      <c r="D206" t="s">
        <v>123</v>
      </c>
      <c r="E206" t="str">
        <f>VLOOKUP(D206,'Lista de Produtos CLASSIFICAÇÃO'!$A$103:$B$144,2,FALSE)</f>
        <v>Aquecidos</v>
      </c>
      <c r="F206" s="55">
        <v>792025</v>
      </c>
      <c r="G206" s="56" t="str">
        <f>VLOOKUP(C206,clientes!$C$3:$D$60,2,FALSE)</f>
        <v>BRF</v>
      </c>
    </row>
    <row r="207" spans="1:7" x14ac:dyDescent="0.25">
      <c r="A207">
        <v>2021</v>
      </c>
      <c r="B207" t="s">
        <v>137</v>
      </c>
      <c r="C207" t="s">
        <v>162</v>
      </c>
      <c r="D207" t="s">
        <v>123</v>
      </c>
      <c r="E207" t="str">
        <f>VLOOKUP(D207,'Lista de Produtos CLASSIFICAÇÃO'!$A$103:$B$144,2,FALSE)</f>
        <v>Aquecidos</v>
      </c>
      <c r="F207" s="55">
        <v>172294</v>
      </c>
      <c r="G207" s="56" t="str">
        <f>VLOOKUP(C207,clientes!$C$3:$D$60,2,FALSE)</f>
        <v>JBS</v>
      </c>
    </row>
    <row r="208" spans="1:7" x14ac:dyDescent="0.25">
      <c r="A208">
        <v>2021</v>
      </c>
      <c r="B208" t="s">
        <v>137</v>
      </c>
      <c r="C208" t="s">
        <v>166</v>
      </c>
      <c r="D208" t="s">
        <v>123</v>
      </c>
      <c r="E208" t="str">
        <f>VLOOKUP(D208,'Lista de Produtos CLASSIFICAÇÃO'!$A$103:$B$144,2,FALSE)</f>
        <v>Aquecidos</v>
      </c>
      <c r="F208" s="55">
        <v>448348</v>
      </c>
      <c r="G208" s="56" t="str">
        <f>VLOOKUP(C208,clientes!$C$3:$D$60,2,FALSE)</f>
        <v>CARGILL</v>
      </c>
    </row>
    <row r="209" spans="1:7" x14ac:dyDescent="0.25">
      <c r="A209">
        <v>2021</v>
      </c>
      <c r="B209" t="s">
        <v>137</v>
      </c>
      <c r="C209" t="s">
        <v>167</v>
      </c>
      <c r="D209" t="s">
        <v>122</v>
      </c>
      <c r="E209" t="str">
        <f>VLOOKUP(D209,'Lista de Produtos CLASSIFICAÇÃO'!$A$103:$B$144,2,FALSE)</f>
        <v>Óleo Vegetal</v>
      </c>
      <c r="F209" s="55">
        <v>7957155</v>
      </c>
      <c r="G209" s="56" t="str">
        <f>VLOOKUP(C209,clientes!$C$3:$D$60,2,FALSE)</f>
        <v>POOL</v>
      </c>
    </row>
    <row r="210" spans="1:7" x14ac:dyDescent="0.25">
      <c r="A210">
        <v>2021</v>
      </c>
      <c r="B210" t="s">
        <v>137</v>
      </c>
      <c r="C210" t="s">
        <v>168</v>
      </c>
      <c r="D210" t="s">
        <v>122</v>
      </c>
      <c r="E210" t="str">
        <f>VLOOKUP(D210,'Lista de Produtos CLASSIFICAÇÃO'!$A$103:$B$144,2,FALSE)</f>
        <v>Óleo Vegetal</v>
      </c>
      <c r="F210" s="55">
        <v>63587</v>
      </c>
      <c r="G210" s="56" t="str">
        <f>VLOOKUP(C210,clientes!$C$3:$D$60,2,FALSE)</f>
        <v>POOL EXCEDENTE</v>
      </c>
    </row>
    <row r="211" spans="1:7" x14ac:dyDescent="0.25">
      <c r="A211">
        <v>2021</v>
      </c>
      <c r="B211" t="s">
        <v>137</v>
      </c>
      <c r="C211" t="s">
        <v>169</v>
      </c>
      <c r="D211" t="s">
        <v>22</v>
      </c>
      <c r="E211" t="str">
        <f>VLOOKUP(D211,'Lista de Produtos CLASSIFICAÇÃO'!$A$103:$B$144,2,FALSE)</f>
        <v>Metanol</v>
      </c>
      <c r="F211" s="55">
        <v>5136871</v>
      </c>
      <c r="G211" s="56" t="str">
        <f>VLOOKUP(C211,clientes!$C$3:$D$60,2,FALSE)</f>
        <v>METHANEX</v>
      </c>
    </row>
    <row r="212" spans="1:7" x14ac:dyDescent="0.25">
      <c r="A212">
        <v>2021</v>
      </c>
      <c r="B212" t="s">
        <v>137</v>
      </c>
      <c r="C212" t="s">
        <v>170</v>
      </c>
      <c r="D212" t="s">
        <v>22</v>
      </c>
      <c r="E212" t="str">
        <f>VLOOKUP(D212,'Lista de Produtos CLASSIFICAÇÃO'!$A$103:$B$144,2,FALSE)</f>
        <v>Metanol</v>
      </c>
      <c r="F212" s="55">
        <v>3063505</v>
      </c>
      <c r="G212" s="56" t="str">
        <f>VLOOKUP(C212,clientes!$C$3:$D$60,2,FALSE)</f>
        <v>MITSUBISHI</v>
      </c>
    </row>
    <row r="213" spans="1:7" x14ac:dyDescent="0.25">
      <c r="A213">
        <v>2021</v>
      </c>
      <c r="B213" t="s">
        <v>137</v>
      </c>
      <c r="C213" t="s">
        <v>196</v>
      </c>
      <c r="D213" t="s">
        <v>22</v>
      </c>
      <c r="E213" t="str">
        <f>VLOOKUP(D213,'Lista de Produtos CLASSIFICAÇÃO'!$A$103:$B$144,2,FALSE)</f>
        <v>Metanol</v>
      </c>
      <c r="F213" s="55">
        <v>4558035</v>
      </c>
      <c r="G213" s="56" t="str">
        <f>VLOOKUP(C213,clientes!$C$3:$D$60,2,FALSE)</f>
        <v>SCC</v>
      </c>
    </row>
    <row r="214" spans="1:7" x14ac:dyDescent="0.25">
      <c r="A214">
        <v>2021</v>
      </c>
      <c r="B214" t="s">
        <v>137</v>
      </c>
      <c r="C214" t="s">
        <v>196</v>
      </c>
      <c r="D214" t="s">
        <v>22</v>
      </c>
      <c r="E214" t="str">
        <f>VLOOKUP(D214,'Lista de Produtos CLASSIFICAÇÃO'!$A$103:$B$144,2,FALSE)</f>
        <v>Metanol</v>
      </c>
      <c r="F214" s="55">
        <v>302087</v>
      </c>
      <c r="G214" s="56" t="str">
        <f>VLOOKUP(C214,clientes!$C$3:$D$60,2,FALSE)</f>
        <v>SCC</v>
      </c>
    </row>
    <row r="215" spans="1:7" x14ac:dyDescent="0.25">
      <c r="A215">
        <v>2021</v>
      </c>
      <c r="B215" t="s">
        <v>137</v>
      </c>
      <c r="C215" t="s">
        <v>208</v>
      </c>
      <c r="D215" t="s">
        <v>202</v>
      </c>
      <c r="E215" t="str">
        <f>VLOOKUP(D215,'Lista de Produtos CLASSIFICAÇÃO'!$A$103:$B$144,2,FALSE)</f>
        <v>Outros</v>
      </c>
      <c r="F215" s="55">
        <v>308366</v>
      </c>
      <c r="G215" s="56" t="str">
        <f>VLOOKUP(C215,clientes!$C$3:$D$60,2,FALSE)</f>
        <v>HINOVE</v>
      </c>
    </row>
    <row r="216" spans="1:7" x14ac:dyDescent="0.25">
      <c r="A216">
        <v>2021</v>
      </c>
      <c r="B216" t="s">
        <v>137</v>
      </c>
      <c r="C216" t="s">
        <v>172</v>
      </c>
      <c r="D216" t="s">
        <v>124</v>
      </c>
      <c r="E216" t="str">
        <f>VLOOKUP(D216,'Lista de Produtos CLASSIFICAÇÃO'!$A$103:$B$144,2,FALSE)</f>
        <v>Outros</v>
      </c>
      <c r="F216" s="55">
        <v>193830</v>
      </c>
      <c r="G216" s="56" t="str">
        <f>VLOOKUP(C216,clientes!$C$3:$D$60,2,FALSE)</f>
        <v>EVONIK</v>
      </c>
    </row>
    <row r="217" spans="1:7" x14ac:dyDescent="0.25">
      <c r="A217">
        <v>2021</v>
      </c>
      <c r="B217" t="s">
        <v>137</v>
      </c>
      <c r="C217" t="s">
        <v>173</v>
      </c>
      <c r="D217" t="s">
        <v>22</v>
      </c>
      <c r="E217" t="str">
        <f>VLOOKUP(D217,'Lista de Produtos CLASSIFICAÇÃO'!$A$103:$B$144,2,FALSE)</f>
        <v>Metanol</v>
      </c>
      <c r="F217" s="55">
        <v>502536</v>
      </c>
      <c r="G217" s="56" t="str">
        <f>VLOOKUP(C217,clientes!$C$3:$D$60,2,FALSE)</f>
        <v>YPF SOCIEDAD ANONIMA</v>
      </c>
    </row>
    <row r="218" spans="1:7" x14ac:dyDescent="0.25">
      <c r="A218">
        <v>2021</v>
      </c>
      <c r="B218" t="s">
        <v>137</v>
      </c>
      <c r="C218" t="s">
        <v>203</v>
      </c>
      <c r="D218" t="s">
        <v>124</v>
      </c>
      <c r="E218" t="str">
        <f>VLOOKUP(D218,'Lista de Produtos CLASSIFICAÇÃO'!$A$103:$B$144,2,FALSE)</f>
        <v>Outros</v>
      </c>
      <c r="F218" s="55">
        <v>118190</v>
      </c>
      <c r="G218" s="56" t="str">
        <f>VLOOKUP(C218,clientes!$C$3:$D$60,2,FALSE)</f>
        <v>GTM</v>
      </c>
    </row>
    <row r="219" spans="1:7" x14ac:dyDescent="0.25">
      <c r="A219">
        <v>2021</v>
      </c>
      <c r="B219" t="s">
        <v>137</v>
      </c>
      <c r="C219" t="s">
        <v>197</v>
      </c>
      <c r="D219" t="s">
        <v>85</v>
      </c>
      <c r="E219" t="str">
        <f>VLOOKUP(D219,'Lista de Produtos CLASSIFICAÇÃO'!$A$103:$B$144,2,FALSE)</f>
        <v>Outros</v>
      </c>
      <c r="F219" s="55">
        <v>119000</v>
      </c>
      <c r="G219" s="56" t="str">
        <f>VLOOKUP(C219,clientes!$C$3:$D$60,2,FALSE)</f>
        <v>DRT</v>
      </c>
    </row>
    <row r="220" spans="1:7" x14ac:dyDescent="0.25">
      <c r="A220">
        <v>2021</v>
      </c>
      <c r="B220" t="s">
        <v>137</v>
      </c>
      <c r="C220" t="s">
        <v>198</v>
      </c>
      <c r="D220" t="s">
        <v>121</v>
      </c>
      <c r="E220" t="str">
        <f>VLOOKUP(D220,'Lista de Produtos CLASSIFICAÇÃO'!$A$103:$B$144,2,FALSE)</f>
        <v>Biocombustíveis</v>
      </c>
      <c r="F220" s="55">
        <v>0</v>
      </c>
      <c r="G220" s="56" t="str">
        <f>VLOOKUP(C220,clientes!$C$3:$D$60,2,FALSE)</f>
        <v>TEREOS / INPASA / GLENCORE</v>
      </c>
    </row>
    <row r="221" spans="1:7" x14ac:dyDescent="0.25">
      <c r="A221">
        <v>2021</v>
      </c>
      <c r="B221" t="s">
        <v>137</v>
      </c>
      <c r="C221" t="s">
        <v>174</v>
      </c>
      <c r="D221" t="s">
        <v>123</v>
      </c>
      <c r="E221" t="str">
        <f>VLOOKUP(D221,'Lista de Produtos CLASSIFICAÇÃO'!$A$103:$B$144,2,FALSE)</f>
        <v>Aquecidos</v>
      </c>
      <c r="F221" s="55">
        <v>267764</v>
      </c>
      <c r="G221" s="56" t="str">
        <f>VLOOKUP(C221,clientes!$C$3:$D$60,2,FALSE)</f>
        <v>CELENA</v>
      </c>
    </row>
    <row r="222" spans="1:7" x14ac:dyDescent="0.25">
      <c r="A222">
        <v>2021</v>
      </c>
      <c r="B222" t="s">
        <v>137</v>
      </c>
      <c r="C222" t="s">
        <v>175</v>
      </c>
      <c r="D222" t="s">
        <v>123</v>
      </c>
      <c r="E222" t="str">
        <f>VLOOKUP(D222,'Lista de Produtos CLASSIFICAÇÃO'!$A$103:$B$144,2,FALSE)</f>
        <v>Aquecidos</v>
      </c>
      <c r="F222" s="55">
        <v>303588</v>
      </c>
      <c r="G222" s="56" t="str">
        <f>VLOOKUP(C222,clientes!$C$3:$D$60,2,FALSE)</f>
        <v>AAK DO BRASIL</v>
      </c>
    </row>
    <row r="223" spans="1:7" x14ac:dyDescent="0.25">
      <c r="A223">
        <v>2021</v>
      </c>
      <c r="B223" t="s">
        <v>137</v>
      </c>
      <c r="C223" t="s">
        <v>166</v>
      </c>
      <c r="D223" t="s">
        <v>122</v>
      </c>
      <c r="E223" t="str">
        <f>VLOOKUP(D223,'Lista de Produtos CLASSIFICAÇÃO'!$A$103:$B$144,2,FALSE)</f>
        <v>Óleo Vegetal</v>
      </c>
      <c r="F223" s="55">
        <v>242252</v>
      </c>
      <c r="G223" s="56" t="str">
        <f>VLOOKUP(C223,clientes!$C$3:$D$60,2,FALSE)</f>
        <v>CARGILL</v>
      </c>
    </row>
    <row r="224" spans="1:7" x14ac:dyDescent="0.25">
      <c r="A224">
        <v>2021</v>
      </c>
      <c r="B224" t="s">
        <v>137</v>
      </c>
      <c r="C224" t="s">
        <v>176</v>
      </c>
      <c r="D224" t="s">
        <v>123</v>
      </c>
      <c r="E224" t="str">
        <f>VLOOKUP(D224,'Lista de Produtos CLASSIFICAÇÃO'!$A$103:$B$144,2,FALSE)</f>
        <v>Aquecidos</v>
      </c>
      <c r="F224" s="55">
        <v>304688</v>
      </c>
      <c r="G224" s="56" t="str">
        <f>VLOOKUP(C224,clientes!$C$3:$D$60,2,FALSE)</f>
        <v>AGROPALMA</v>
      </c>
    </row>
    <row r="225" spans="1:7" x14ac:dyDescent="0.25">
      <c r="A225">
        <v>2021</v>
      </c>
      <c r="B225" t="s">
        <v>137</v>
      </c>
      <c r="C225" t="s">
        <v>204</v>
      </c>
      <c r="D225" t="s">
        <v>59</v>
      </c>
      <c r="E225" t="str">
        <f>VLOOKUP(D225,'Lista de Produtos CLASSIFICAÇÃO'!$A$103:$B$144,2,FALSE)</f>
        <v>Derivados</v>
      </c>
      <c r="F225" s="55">
        <v>1442809</v>
      </c>
      <c r="G225" s="56" t="str">
        <f>VLOOKUP(C225,clientes!$C$3:$D$60,2,FALSE)</f>
        <v>COPAPE</v>
      </c>
    </row>
    <row r="226" spans="1:7" x14ac:dyDescent="0.25">
      <c r="A226">
        <v>2021</v>
      </c>
      <c r="B226" t="s">
        <v>138</v>
      </c>
      <c r="C226" t="s">
        <v>155</v>
      </c>
      <c r="D226" t="s">
        <v>16</v>
      </c>
      <c r="E226" t="str">
        <f>VLOOKUP(D226,'Lista de Produtos CLASSIFICAÇÃO'!$A$103:$B$144,2,FALSE)</f>
        <v>Outros</v>
      </c>
      <c r="F226" s="55">
        <v>515772</v>
      </c>
      <c r="G226" s="56" t="str">
        <f>VLOOKUP(C226,clientes!$C$3:$D$60,2,FALSE)</f>
        <v>ADISSEO</v>
      </c>
    </row>
    <row r="227" spans="1:7" x14ac:dyDescent="0.25">
      <c r="A227">
        <v>2021</v>
      </c>
      <c r="B227" t="s">
        <v>138</v>
      </c>
      <c r="C227" t="s">
        <v>155</v>
      </c>
      <c r="D227" t="s">
        <v>16</v>
      </c>
      <c r="E227" t="str">
        <f>VLOOKUP(D227,'Lista de Produtos CLASSIFICAÇÃO'!$A$103:$B$144,2,FALSE)</f>
        <v>Outros</v>
      </c>
      <c r="F227" s="55">
        <v>132556</v>
      </c>
      <c r="G227" s="56" t="str">
        <f>VLOOKUP(C227,clientes!$C$3:$D$60,2,FALSE)</f>
        <v>ADISSEO</v>
      </c>
    </row>
    <row r="228" spans="1:7" x14ac:dyDescent="0.25">
      <c r="A228">
        <v>2021</v>
      </c>
      <c r="B228" t="s">
        <v>138</v>
      </c>
      <c r="C228" t="s">
        <v>199</v>
      </c>
      <c r="D228" t="s">
        <v>16</v>
      </c>
      <c r="E228" t="str">
        <f>VLOOKUP(D228,'Lista de Produtos CLASSIFICAÇÃO'!$A$103:$B$144,2,FALSE)</f>
        <v>Outros</v>
      </c>
      <c r="F228" s="55">
        <v>3316</v>
      </c>
      <c r="G228" s="56" t="str">
        <f>VLOOKUP(C228,clientes!$C$3:$D$60,2,FALSE)</f>
        <v>ADISSEO</v>
      </c>
    </row>
    <row r="229" spans="1:7" x14ac:dyDescent="0.25">
      <c r="A229">
        <v>2021</v>
      </c>
      <c r="B229" t="s">
        <v>138</v>
      </c>
      <c r="C229" t="s">
        <v>157</v>
      </c>
      <c r="D229" t="s">
        <v>49</v>
      </c>
      <c r="E229" t="str">
        <f>VLOOKUP(D229,'Lista de Produtos CLASSIFICAÇÃO'!$A$103:$B$144,2,FALSE)</f>
        <v>Outros</v>
      </c>
      <c r="F229" s="55">
        <v>79358</v>
      </c>
      <c r="G229" s="56" t="str">
        <f>VLOOKUP(C229,clientes!$C$3:$D$60,2,FALSE)</f>
        <v>ADM</v>
      </c>
    </row>
    <row r="230" spans="1:7" x14ac:dyDescent="0.25">
      <c r="A230">
        <v>2021</v>
      </c>
      <c r="B230" t="s">
        <v>138</v>
      </c>
      <c r="C230" t="s">
        <v>158</v>
      </c>
      <c r="D230" t="s">
        <v>120</v>
      </c>
      <c r="E230" t="str">
        <f>VLOOKUP(D230,'Lista de Produtos CLASSIFICAÇÃO'!$A$103:$B$144,2,FALSE)</f>
        <v>Derivados</v>
      </c>
      <c r="F230" s="55">
        <v>6963862</v>
      </c>
      <c r="G230" s="56" t="str">
        <f>VLOOKUP(C230,clientes!$C$3:$D$60,2,FALSE)</f>
        <v>IPIRANGA</v>
      </c>
    </row>
    <row r="231" spans="1:7" x14ac:dyDescent="0.25">
      <c r="A231">
        <v>2021</v>
      </c>
      <c r="B231" t="s">
        <v>138</v>
      </c>
      <c r="C231" t="s">
        <v>206</v>
      </c>
      <c r="D231" t="s">
        <v>120</v>
      </c>
      <c r="E231" t="str">
        <f>VLOOKUP(D231,'Lista de Produtos CLASSIFICAÇÃO'!$A$103:$B$144,2,FALSE)</f>
        <v>Derivados</v>
      </c>
      <c r="F231" s="55">
        <v>3673286</v>
      </c>
      <c r="G231" s="56" t="str">
        <f>VLOOKUP(C231,clientes!$C$3:$D$60,2,FALSE)</f>
        <v>BR</v>
      </c>
    </row>
    <row r="232" spans="1:7" x14ac:dyDescent="0.25">
      <c r="A232">
        <v>2021</v>
      </c>
      <c r="B232" t="s">
        <v>138</v>
      </c>
      <c r="C232" t="s">
        <v>200</v>
      </c>
      <c r="D232" t="s">
        <v>120</v>
      </c>
      <c r="E232" t="str">
        <f>VLOOKUP(D232,'Lista de Produtos CLASSIFICAÇÃO'!$A$103:$B$144,2,FALSE)</f>
        <v>Derivados</v>
      </c>
      <c r="F232" s="55">
        <v>1765906</v>
      </c>
      <c r="G232" s="56" t="str">
        <f>VLOOKUP(C232,clientes!$C$3:$D$60,2,FALSE)</f>
        <v>GREENENERGY</v>
      </c>
    </row>
    <row r="233" spans="1:7" x14ac:dyDescent="0.25">
      <c r="A233">
        <v>2021</v>
      </c>
      <c r="B233" t="s">
        <v>138</v>
      </c>
      <c r="C233" t="s">
        <v>161</v>
      </c>
      <c r="D233" t="s">
        <v>120</v>
      </c>
      <c r="E233" t="str">
        <f>VLOOKUP(D233,'Lista de Produtos CLASSIFICAÇÃO'!$A$103:$B$144,2,FALSE)</f>
        <v>Derivados</v>
      </c>
      <c r="F233" s="55">
        <v>0</v>
      </c>
      <c r="G233" s="56" t="str">
        <f>VLOOKUP(C233,clientes!$C$3:$D$60,2,FALSE)</f>
        <v>SUL PLATA</v>
      </c>
    </row>
    <row r="234" spans="1:7" x14ac:dyDescent="0.25">
      <c r="A234">
        <v>2021</v>
      </c>
      <c r="B234" t="s">
        <v>138</v>
      </c>
      <c r="C234" t="s">
        <v>161</v>
      </c>
      <c r="D234" t="s">
        <v>120</v>
      </c>
      <c r="E234" t="str">
        <f>VLOOKUP(D234,'Lista de Produtos CLASSIFICAÇÃO'!$A$103:$B$144,2,FALSE)</f>
        <v>Derivados</v>
      </c>
      <c r="F234" s="55">
        <v>1739285</v>
      </c>
      <c r="G234" s="56" t="str">
        <f>VLOOKUP(C234,clientes!$C$3:$D$60,2,FALSE)</f>
        <v>SUL PLATA</v>
      </c>
    </row>
    <row r="235" spans="1:7" x14ac:dyDescent="0.25">
      <c r="A235">
        <v>2021</v>
      </c>
      <c r="B235" t="s">
        <v>138</v>
      </c>
      <c r="C235" t="s">
        <v>162</v>
      </c>
      <c r="D235" t="s">
        <v>115</v>
      </c>
      <c r="E235" t="str">
        <f>VLOOKUP(D235,'Lista de Produtos CLASSIFICAÇÃO'!$A$103:$B$144,2,FALSE)</f>
        <v>Soda Caustica</v>
      </c>
      <c r="F235" s="55">
        <v>129223</v>
      </c>
      <c r="G235" s="56" t="str">
        <f>VLOOKUP(C235,clientes!$C$3:$D$60,2,FALSE)</f>
        <v>JBS</v>
      </c>
    </row>
    <row r="236" spans="1:7" x14ac:dyDescent="0.25">
      <c r="A236">
        <v>2021</v>
      </c>
      <c r="B236" t="s">
        <v>138</v>
      </c>
      <c r="C236" t="s">
        <v>163</v>
      </c>
      <c r="D236" t="s">
        <v>115</v>
      </c>
      <c r="E236" t="str">
        <f>VLOOKUP(D236,'Lista de Produtos CLASSIFICAÇÃO'!$A$103:$B$144,2,FALSE)</f>
        <v>Soda Caustica</v>
      </c>
      <c r="F236" s="55">
        <v>305822</v>
      </c>
      <c r="G236" s="56" t="str">
        <f>VLOOKUP(C236,clientes!$C$3:$D$60,2,FALSE)</f>
        <v>TRICON ENERGY</v>
      </c>
    </row>
    <row r="237" spans="1:7" x14ac:dyDescent="0.25">
      <c r="A237">
        <v>2021</v>
      </c>
      <c r="B237" t="s">
        <v>138</v>
      </c>
      <c r="C237" t="s">
        <v>207</v>
      </c>
      <c r="D237" t="s">
        <v>16</v>
      </c>
      <c r="E237" t="str">
        <f>VLOOKUP(D237,'Lista de Produtos CLASSIFICAÇÃO'!$A$103:$B$144,2,FALSE)</f>
        <v>Outros</v>
      </c>
      <c r="F237" s="55">
        <v>194724</v>
      </c>
      <c r="G237" s="56" t="str">
        <f>VLOOKUP(C237,clientes!$C$3:$D$60,2,FALSE)</f>
        <v>NOVUS</v>
      </c>
    </row>
    <row r="238" spans="1:7" x14ac:dyDescent="0.25">
      <c r="A238">
        <v>2021</v>
      </c>
      <c r="B238" t="s">
        <v>138</v>
      </c>
      <c r="C238" t="s">
        <v>165</v>
      </c>
      <c r="D238" t="s">
        <v>123</v>
      </c>
      <c r="E238" t="str">
        <f>VLOOKUP(D238,'Lista de Produtos CLASSIFICAÇÃO'!$A$103:$B$144,2,FALSE)</f>
        <v>Aquecidos</v>
      </c>
      <c r="F238" s="55">
        <v>792025</v>
      </c>
      <c r="G238" s="56" t="str">
        <f>VLOOKUP(C238,clientes!$C$3:$D$60,2,FALSE)</f>
        <v>BRF</v>
      </c>
    </row>
    <row r="239" spans="1:7" x14ac:dyDescent="0.25">
      <c r="A239">
        <v>2021</v>
      </c>
      <c r="B239" t="s">
        <v>138</v>
      </c>
      <c r="C239" t="s">
        <v>162</v>
      </c>
      <c r="D239" t="s">
        <v>123</v>
      </c>
      <c r="E239" t="str">
        <f>VLOOKUP(D239,'Lista de Produtos CLASSIFICAÇÃO'!$A$103:$B$144,2,FALSE)</f>
        <v>Aquecidos</v>
      </c>
      <c r="F239" s="55">
        <v>172294</v>
      </c>
      <c r="G239" s="56" t="str">
        <f>VLOOKUP(C239,clientes!$C$3:$D$60,2,FALSE)</f>
        <v>JBS</v>
      </c>
    </row>
    <row r="240" spans="1:7" x14ac:dyDescent="0.25">
      <c r="A240">
        <v>2021</v>
      </c>
      <c r="B240" t="s">
        <v>138</v>
      </c>
      <c r="C240" t="s">
        <v>166</v>
      </c>
      <c r="D240" t="s">
        <v>123</v>
      </c>
      <c r="E240" t="str">
        <f>VLOOKUP(D240,'Lista de Produtos CLASSIFICAÇÃO'!$A$103:$B$144,2,FALSE)</f>
        <v>Aquecidos</v>
      </c>
      <c r="F240" s="55">
        <v>448348</v>
      </c>
      <c r="G240" s="56" t="str">
        <f>VLOOKUP(C240,clientes!$C$3:$D$60,2,FALSE)</f>
        <v>CARGILL</v>
      </c>
    </row>
    <row r="241" spans="1:7" x14ac:dyDescent="0.25">
      <c r="A241">
        <v>2021</v>
      </c>
      <c r="B241" t="s">
        <v>138</v>
      </c>
      <c r="C241" t="s">
        <v>167</v>
      </c>
      <c r="D241" t="s">
        <v>122</v>
      </c>
      <c r="E241" t="str">
        <f>VLOOKUP(D241,'Lista de Produtos CLASSIFICAÇÃO'!$A$103:$B$144,2,FALSE)</f>
        <v>Óleo Vegetal</v>
      </c>
      <c r="F241" s="55">
        <v>1925815</v>
      </c>
      <c r="G241" s="56" t="str">
        <f>VLOOKUP(C241,clientes!$C$3:$D$60,2,FALSE)</f>
        <v>POOL</v>
      </c>
    </row>
    <row r="242" spans="1:7" x14ac:dyDescent="0.25">
      <c r="A242">
        <v>2021</v>
      </c>
      <c r="B242" t="s">
        <v>138</v>
      </c>
      <c r="C242" t="s">
        <v>168</v>
      </c>
      <c r="D242" t="s">
        <v>122</v>
      </c>
      <c r="E242" t="str">
        <f>VLOOKUP(D242,'Lista de Produtos CLASSIFICAÇÃO'!$A$103:$B$144,2,FALSE)</f>
        <v>Óleo Vegetal</v>
      </c>
      <c r="F242" s="55">
        <v>63587</v>
      </c>
      <c r="G242" s="56" t="str">
        <f>VLOOKUP(C242,clientes!$C$3:$D$60,2,FALSE)</f>
        <v>POOL EXCEDENTE</v>
      </c>
    </row>
    <row r="243" spans="1:7" x14ac:dyDescent="0.25">
      <c r="A243">
        <v>2021</v>
      </c>
      <c r="B243" t="s">
        <v>138</v>
      </c>
      <c r="C243" t="s">
        <v>169</v>
      </c>
      <c r="D243" t="s">
        <v>22</v>
      </c>
      <c r="E243" t="str">
        <f>VLOOKUP(D243,'Lista de Produtos CLASSIFICAÇÃO'!$A$103:$B$144,2,FALSE)</f>
        <v>Metanol</v>
      </c>
      <c r="F243" s="55">
        <v>5136871</v>
      </c>
      <c r="G243" s="56" t="str">
        <f>VLOOKUP(C243,clientes!$C$3:$D$60,2,FALSE)</f>
        <v>METHANEX</v>
      </c>
    </row>
    <row r="244" spans="1:7" x14ac:dyDescent="0.25">
      <c r="A244">
        <v>2021</v>
      </c>
      <c r="B244" t="s">
        <v>138</v>
      </c>
      <c r="C244" t="s">
        <v>170</v>
      </c>
      <c r="D244" t="s">
        <v>22</v>
      </c>
      <c r="E244" t="str">
        <f>VLOOKUP(D244,'Lista de Produtos CLASSIFICAÇÃO'!$A$103:$B$144,2,FALSE)</f>
        <v>Metanol</v>
      </c>
      <c r="F244" s="55">
        <v>3063505</v>
      </c>
      <c r="G244" s="56" t="str">
        <f>VLOOKUP(C244,clientes!$C$3:$D$60,2,FALSE)</f>
        <v>MITSUBISHI</v>
      </c>
    </row>
    <row r="245" spans="1:7" x14ac:dyDescent="0.25">
      <c r="A245">
        <v>2021</v>
      </c>
      <c r="B245" t="s">
        <v>138</v>
      </c>
      <c r="C245" t="s">
        <v>196</v>
      </c>
      <c r="D245" t="s">
        <v>22</v>
      </c>
      <c r="E245" t="str">
        <f>VLOOKUP(D245,'Lista de Produtos CLASSIFICAÇÃO'!$A$103:$B$144,2,FALSE)</f>
        <v>Metanol</v>
      </c>
      <c r="F245" s="55">
        <v>4558035</v>
      </c>
      <c r="G245" s="56" t="str">
        <f>VLOOKUP(C245,clientes!$C$3:$D$60,2,FALSE)</f>
        <v>SCC</v>
      </c>
    </row>
    <row r="246" spans="1:7" x14ac:dyDescent="0.25">
      <c r="A246">
        <v>2021</v>
      </c>
      <c r="B246" t="s">
        <v>138</v>
      </c>
      <c r="C246" t="s">
        <v>196</v>
      </c>
      <c r="D246" t="s">
        <v>22</v>
      </c>
      <c r="E246" t="str">
        <f>VLOOKUP(D246,'Lista de Produtos CLASSIFICAÇÃO'!$A$103:$B$144,2,FALSE)</f>
        <v>Metanol</v>
      </c>
      <c r="F246" s="55">
        <v>302087</v>
      </c>
      <c r="G246" s="56" t="str">
        <f>VLOOKUP(C246,clientes!$C$3:$D$60,2,FALSE)</f>
        <v>SCC</v>
      </c>
    </row>
    <row r="247" spans="1:7" x14ac:dyDescent="0.25">
      <c r="A247">
        <v>2021</v>
      </c>
      <c r="B247" t="s">
        <v>138</v>
      </c>
      <c r="C247" t="s">
        <v>208</v>
      </c>
      <c r="D247" t="s">
        <v>202</v>
      </c>
      <c r="E247" t="str">
        <f>VLOOKUP(D247,'Lista de Produtos CLASSIFICAÇÃO'!$A$103:$B$144,2,FALSE)</f>
        <v>Outros</v>
      </c>
      <c r="F247" s="55">
        <v>308366</v>
      </c>
      <c r="G247" s="56" t="str">
        <f>VLOOKUP(C247,clientes!$C$3:$D$60,2,FALSE)</f>
        <v>HINOVE</v>
      </c>
    </row>
    <row r="248" spans="1:7" x14ac:dyDescent="0.25">
      <c r="A248">
        <v>2021</v>
      </c>
      <c r="B248" t="s">
        <v>138</v>
      </c>
      <c r="C248" t="s">
        <v>172</v>
      </c>
      <c r="D248" t="s">
        <v>124</v>
      </c>
      <c r="E248" t="str">
        <f>VLOOKUP(D248,'Lista de Produtos CLASSIFICAÇÃO'!$A$103:$B$144,2,FALSE)</f>
        <v>Outros</v>
      </c>
      <c r="F248" s="55">
        <v>193830</v>
      </c>
      <c r="G248" s="56" t="str">
        <f>VLOOKUP(C248,clientes!$C$3:$D$60,2,FALSE)</f>
        <v>EVONIK</v>
      </c>
    </row>
    <row r="249" spans="1:7" x14ac:dyDescent="0.25">
      <c r="A249">
        <v>2021</v>
      </c>
      <c r="B249" t="s">
        <v>138</v>
      </c>
      <c r="C249" t="s">
        <v>173</v>
      </c>
      <c r="D249" t="s">
        <v>22</v>
      </c>
      <c r="E249" t="str">
        <f>VLOOKUP(D249,'Lista de Produtos CLASSIFICAÇÃO'!$A$103:$B$144,2,FALSE)</f>
        <v>Metanol</v>
      </c>
      <c r="F249" s="55">
        <v>502536</v>
      </c>
      <c r="G249" s="56" t="str">
        <f>VLOOKUP(C249,clientes!$C$3:$D$60,2,FALSE)</f>
        <v>YPF SOCIEDAD ANONIMA</v>
      </c>
    </row>
    <row r="250" spans="1:7" x14ac:dyDescent="0.25">
      <c r="A250">
        <v>2021</v>
      </c>
      <c r="B250" t="s">
        <v>138</v>
      </c>
      <c r="C250" t="s">
        <v>203</v>
      </c>
      <c r="D250" t="s">
        <v>124</v>
      </c>
      <c r="E250" t="str">
        <f>VLOOKUP(D250,'Lista de Produtos CLASSIFICAÇÃO'!$A$103:$B$144,2,FALSE)</f>
        <v>Outros</v>
      </c>
      <c r="F250" s="55">
        <v>118190</v>
      </c>
      <c r="G250" s="56" t="str">
        <f>VLOOKUP(C250,clientes!$C$3:$D$60,2,FALSE)</f>
        <v>GTM</v>
      </c>
    </row>
    <row r="251" spans="1:7" x14ac:dyDescent="0.25">
      <c r="A251">
        <v>2021</v>
      </c>
      <c r="B251" t="s">
        <v>138</v>
      </c>
      <c r="C251" t="s">
        <v>197</v>
      </c>
      <c r="D251" t="s">
        <v>85</v>
      </c>
      <c r="E251" t="str">
        <f>VLOOKUP(D251,'Lista de Produtos CLASSIFICAÇÃO'!$A$103:$B$144,2,FALSE)</f>
        <v>Outros</v>
      </c>
      <c r="F251" s="55">
        <v>119000</v>
      </c>
      <c r="G251" s="56" t="str">
        <f>VLOOKUP(C251,clientes!$C$3:$D$60,2,FALSE)</f>
        <v>DRT</v>
      </c>
    </row>
    <row r="252" spans="1:7" x14ac:dyDescent="0.25">
      <c r="A252">
        <v>2021</v>
      </c>
      <c r="B252" t="s">
        <v>138</v>
      </c>
      <c r="C252" t="s">
        <v>198</v>
      </c>
      <c r="D252" t="s">
        <v>121</v>
      </c>
      <c r="E252" t="str">
        <f>VLOOKUP(D252,'Lista de Produtos CLASSIFICAÇÃO'!$A$103:$B$144,2,FALSE)</f>
        <v>Biocombustíveis</v>
      </c>
      <c r="F252" s="55">
        <v>700000</v>
      </c>
      <c r="G252" s="56" t="str">
        <f>VLOOKUP(C252,clientes!$C$3:$D$60,2,FALSE)</f>
        <v>TEREOS / INPASA / GLENCORE</v>
      </c>
    </row>
    <row r="253" spans="1:7" x14ac:dyDescent="0.25">
      <c r="A253">
        <v>2021</v>
      </c>
      <c r="B253" t="s">
        <v>138</v>
      </c>
      <c r="C253" t="s">
        <v>174</v>
      </c>
      <c r="D253" t="s">
        <v>123</v>
      </c>
      <c r="E253" t="str">
        <f>VLOOKUP(D253,'Lista de Produtos CLASSIFICAÇÃO'!$A$103:$B$144,2,FALSE)</f>
        <v>Aquecidos</v>
      </c>
      <c r="F253" s="55">
        <v>267764</v>
      </c>
      <c r="G253" s="56" t="str">
        <f>VLOOKUP(C253,clientes!$C$3:$D$60,2,FALSE)</f>
        <v>CELENA</v>
      </c>
    </row>
    <row r="254" spans="1:7" x14ac:dyDescent="0.25">
      <c r="A254">
        <v>2021</v>
      </c>
      <c r="B254" t="s">
        <v>138</v>
      </c>
      <c r="C254" t="s">
        <v>175</v>
      </c>
      <c r="D254" t="s">
        <v>123</v>
      </c>
      <c r="E254" t="str">
        <f>VLOOKUP(D254,'Lista de Produtos CLASSIFICAÇÃO'!$A$103:$B$144,2,FALSE)</f>
        <v>Aquecidos</v>
      </c>
      <c r="F254" s="55">
        <v>303588</v>
      </c>
      <c r="G254" s="56" t="str">
        <f>VLOOKUP(C254,clientes!$C$3:$D$60,2,FALSE)</f>
        <v>AAK DO BRASIL</v>
      </c>
    </row>
    <row r="255" spans="1:7" x14ac:dyDescent="0.25">
      <c r="A255">
        <v>2021</v>
      </c>
      <c r="B255" t="s">
        <v>138</v>
      </c>
      <c r="C255" t="s">
        <v>166</v>
      </c>
      <c r="D255" t="s">
        <v>122</v>
      </c>
      <c r="E255" t="str">
        <f>VLOOKUP(D255,'Lista de Produtos CLASSIFICAÇÃO'!$A$103:$B$144,2,FALSE)</f>
        <v>Óleo Vegetal</v>
      </c>
      <c r="F255" s="55">
        <v>200808</v>
      </c>
      <c r="G255" s="56" t="str">
        <f>VLOOKUP(C255,clientes!$C$3:$D$60,2,FALSE)</f>
        <v>CARGILL</v>
      </c>
    </row>
    <row r="256" spans="1:7" x14ac:dyDescent="0.25">
      <c r="A256">
        <v>2021</v>
      </c>
      <c r="B256" t="s">
        <v>138</v>
      </c>
      <c r="C256" t="s">
        <v>176</v>
      </c>
      <c r="D256" t="s">
        <v>123</v>
      </c>
      <c r="E256" t="str">
        <f>VLOOKUP(D256,'Lista de Produtos CLASSIFICAÇÃO'!$A$103:$B$144,2,FALSE)</f>
        <v>Aquecidos</v>
      </c>
      <c r="F256" s="55">
        <v>304688</v>
      </c>
      <c r="G256" s="56" t="str">
        <f>VLOOKUP(C256,clientes!$C$3:$D$60,2,FALSE)</f>
        <v>AGROPALMA</v>
      </c>
    </row>
    <row r="257" spans="1:7" x14ac:dyDescent="0.25">
      <c r="A257">
        <v>2021</v>
      </c>
      <c r="B257" t="s">
        <v>138</v>
      </c>
      <c r="C257" t="s">
        <v>204</v>
      </c>
      <c r="D257" t="s">
        <v>59</v>
      </c>
      <c r="E257" t="str">
        <f>VLOOKUP(D257,'Lista de Produtos CLASSIFICAÇÃO'!$A$103:$B$144,2,FALSE)</f>
        <v>Derivados</v>
      </c>
      <c r="F257" s="55">
        <v>1442809</v>
      </c>
      <c r="G257" s="56" t="str">
        <f>VLOOKUP(C257,clientes!$C$3:$D$60,2,FALSE)</f>
        <v>COPAPE</v>
      </c>
    </row>
    <row r="258" spans="1:7" x14ac:dyDescent="0.25">
      <c r="A258">
        <v>2021</v>
      </c>
      <c r="B258" t="s">
        <v>139</v>
      </c>
      <c r="C258" t="s">
        <v>155</v>
      </c>
      <c r="D258" t="s">
        <v>16</v>
      </c>
      <c r="E258" t="str">
        <f>VLOOKUP(D258,'Lista de Produtos CLASSIFICAÇÃO'!$A$103:$B$144,2,FALSE)</f>
        <v>Outros</v>
      </c>
      <c r="F258" s="55">
        <v>515772</v>
      </c>
      <c r="G258" s="56" t="str">
        <f>VLOOKUP(C258,clientes!$C$3:$D$60,2,FALSE)</f>
        <v>ADISSEO</v>
      </c>
    </row>
    <row r="259" spans="1:7" x14ac:dyDescent="0.25">
      <c r="A259">
        <v>2021</v>
      </c>
      <c r="B259" t="s">
        <v>139</v>
      </c>
      <c r="C259" t="s">
        <v>155</v>
      </c>
      <c r="D259" t="s">
        <v>16</v>
      </c>
      <c r="E259" t="str">
        <f>VLOOKUP(D259,'Lista de Produtos CLASSIFICAÇÃO'!$A$103:$B$144,2,FALSE)</f>
        <v>Outros</v>
      </c>
      <c r="F259" s="55">
        <v>132556</v>
      </c>
      <c r="G259" s="56" t="str">
        <f>VLOOKUP(C259,clientes!$C$3:$D$60,2,FALSE)</f>
        <v>ADISSEO</v>
      </c>
    </row>
    <row r="260" spans="1:7" x14ac:dyDescent="0.25">
      <c r="A260">
        <v>2021</v>
      </c>
      <c r="B260" t="s">
        <v>139</v>
      </c>
      <c r="C260" t="s">
        <v>199</v>
      </c>
      <c r="D260" t="s">
        <v>16</v>
      </c>
      <c r="E260" t="str">
        <f>VLOOKUP(D260,'Lista de Produtos CLASSIFICAÇÃO'!$A$103:$B$144,2,FALSE)</f>
        <v>Outros</v>
      </c>
      <c r="F260" s="55">
        <v>3316</v>
      </c>
      <c r="G260" s="56" t="str">
        <f>VLOOKUP(C260,clientes!$C$3:$D$60,2,FALSE)</f>
        <v>ADISSEO</v>
      </c>
    </row>
    <row r="261" spans="1:7" x14ac:dyDescent="0.25">
      <c r="A261">
        <v>2021</v>
      </c>
      <c r="B261" t="s">
        <v>139</v>
      </c>
      <c r="C261" t="s">
        <v>157</v>
      </c>
      <c r="D261" t="s">
        <v>49</v>
      </c>
      <c r="E261" t="str">
        <f>VLOOKUP(D261,'Lista de Produtos CLASSIFICAÇÃO'!$A$103:$B$144,2,FALSE)</f>
        <v>Outros</v>
      </c>
      <c r="F261" s="55">
        <v>79358</v>
      </c>
      <c r="G261" s="56" t="str">
        <f>VLOOKUP(C261,clientes!$C$3:$D$60,2,FALSE)</f>
        <v>ADM</v>
      </c>
    </row>
    <row r="262" spans="1:7" x14ac:dyDescent="0.25">
      <c r="A262">
        <v>2021</v>
      </c>
      <c r="B262" t="s">
        <v>139</v>
      </c>
      <c r="C262" t="s">
        <v>158</v>
      </c>
      <c r="D262" t="s">
        <v>120</v>
      </c>
      <c r="E262" t="str">
        <f>VLOOKUP(D262,'Lista de Produtos CLASSIFICAÇÃO'!$A$103:$B$144,2,FALSE)</f>
        <v>Derivados</v>
      </c>
      <c r="F262" s="55">
        <v>6963862</v>
      </c>
      <c r="G262" s="56" t="str">
        <f>VLOOKUP(C262,clientes!$C$3:$D$60,2,FALSE)</f>
        <v>IPIRANGA</v>
      </c>
    </row>
    <row r="263" spans="1:7" x14ac:dyDescent="0.25">
      <c r="A263">
        <v>2021</v>
      </c>
      <c r="B263" t="s">
        <v>139</v>
      </c>
      <c r="C263" t="s">
        <v>206</v>
      </c>
      <c r="D263" t="s">
        <v>120</v>
      </c>
      <c r="E263" t="str">
        <f>VLOOKUP(D263,'Lista de Produtos CLASSIFICAÇÃO'!$A$103:$B$144,2,FALSE)</f>
        <v>Derivados</v>
      </c>
      <c r="F263" s="55">
        <v>3673286</v>
      </c>
      <c r="G263" s="56" t="str">
        <f>VLOOKUP(C263,clientes!$C$3:$D$60,2,FALSE)</f>
        <v>BR</v>
      </c>
    </row>
    <row r="264" spans="1:7" x14ac:dyDescent="0.25">
      <c r="A264">
        <v>2021</v>
      </c>
      <c r="B264" t="s">
        <v>139</v>
      </c>
      <c r="C264" t="s">
        <v>200</v>
      </c>
      <c r="D264" t="s">
        <v>120</v>
      </c>
      <c r="E264" t="str">
        <f>VLOOKUP(D264,'Lista de Produtos CLASSIFICAÇÃO'!$A$103:$B$144,2,FALSE)</f>
        <v>Derivados</v>
      </c>
      <c r="F264" s="55">
        <v>1765906</v>
      </c>
      <c r="G264" s="56" t="str">
        <f>VLOOKUP(C264,clientes!$C$3:$D$60,2,FALSE)</f>
        <v>GREENENERGY</v>
      </c>
    </row>
    <row r="265" spans="1:7" x14ac:dyDescent="0.25">
      <c r="A265">
        <v>2021</v>
      </c>
      <c r="B265" t="s">
        <v>139</v>
      </c>
      <c r="C265" t="s">
        <v>161</v>
      </c>
      <c r="D265" t="s">
        <v>120</v>
      </c>
      <c r="E265" t="str">
        <f>VLOOKUP(D265,'Lista de Produtos CLASSIFICAÇÃO'!$A$103:$B$144,2,FALSE)</f>
        <v>Derivados</v>
      </c>
      <c r="F265" s="55">
        <v>0</v>
      </c>
      <c r="G265" s="56" t="str">
        <f>VLOOKUP(C265,clientes!$C$3:$D$60,2,FALSE)</f>
        <v>SUL PLATA</v>
      </c>
    </row>
    <row r="266" spans="1:7" x14ac:dyDescent="0.25">
      <c r="A266">
        <v>2021</v>
      </c>
      <c r="B266" t="s">
        <v>139</v>
      </c>
      <c r="C266" t="s">
        <v>161</v>
      </c>
      <c r="D266" t="s">
        <v>120</v>
      </c>
      <c r="E266" t="str">
        <f>VLOOKUP(D266,'Lista de Produtos CLASSIFICAÇÃO'!$A$103:$B$144,2,FALSE)</f>
        <v>Derivados</v>
      </c>
      <c r="F266" s="55">
        <v>1739285</v>
      </c>
      <c r="G266" s="56" t="str">
        <f>VLOOKUP(C266,clientes!$C$3:$D$60,2,FALSE)</f>
        <v>SUL PLATA</v>
      </c>
    </row>
    <row r="267" spans="1:7" x14ac:dyDescent="0.25">
      <c r="A267">
        <v>2021</v>
      </c>
      <c r="B267" t="s">
        <v>139</v>
      </c>
      <c r="C267" t="s">
        <v>162</v>
      </c>
      <c r="D267" t="s">
        <v>115</v>
      </c>
      <c r="E267" t="str">
        <f>VLOOKUP(D267,'Lista de Produtos CLASSIFICAÇÃO'!$A$103:$B$144,2,FALSE)</f>
        <v>Soda Caustica</v>
      </c>
      <c r="F267" s="55">
        <v>129223</v>
      </c>
      <c r="G267" s="56" t="str">
        <f>VLOOKUP(C267,clientes!$C$3:$D$60,2,FALSE)</f>
        <v>JBS</v>
      </c>
    </row>
    <row r="268" spans="1:7" x14ac:dyDescent="0.25">
      <c r="A268">
        <v>2021</v>
      </c>
      <c r="B268" t="s">
        <v>139</v>
      </c>
      <c r="C268" t="s">
        <v>163</v>
      </c>
      <c r="D268" t="s">
        <v>115</v>
      </c>
      <c r="E268" t="str">
        <f>VLOOKUP(D268,'Lista de Produtos CLASSIFICAÇÃO'!$A$103:$B$144,2,FALSE)</f>
        <v>Soda Caustica</v>
      </c>
      <c r="F268" s="55">
        <v>305822</v>
      </c>
      <c r="G268" s="56" t="str">
        <f>VLOOKUP(C268,clientes!$C$3:$D$60,2,FALSE)</f>
        <v>TRICON ENERGY</v>
      </c>
    </row>
    <row r="269" spans="1:7" x14ac:dyDescent="0.25">
      <c r="A269">
        <v>2021</v>
      </c>
      <c r="B269" t="s">
        <v>139</v>
      </c>
      <c r="C269" t="s">
        <v>207</v>
      </c>
      <c r="D269" t="s">
        <v>16</v>
      </c>
      <c r="E269" t="str">
        <f>VLOOKUP(D269,'Lista de Produtos CLASSIFICAÇÃO'!$A$103:$B$144,2,FALSE)</f>
        <v>Outros</v>
      </c>
      <c r="F269" s="55">
        <v>194724</v>
      </c>
      <c r="G269" s="56" t="str">
        <f>VLOOKUP(C269,clientes!$C$3:$D$60,2,FALSE)</f>
        <v>NOVUS</v>
      </c>
    </row>
    <row r="270" spans="1:7" x14ac:dyDescent="0.25">
      <c r="A270">
        <v>2021</v>
      </c>
      <c r="B270" t="s">
        <v>139</v>
      </c>
      <c r="C270" t="s">
        <v>165</v>
      </c>
      <c r="D270" t="s">
        <v>123</v>
      </c>
      <c r="E270" t="str">
        <f>VLOOKUP(D270,'Lista de Produtos CLASSIFICAÇÃO'!$A$103:$B$144,2,FALSE)</f>
        <v>Aquecidos</v>
      </c>
      <c r="F270" s="55">
        <v>792025</v>
      </c>
      <c r="G270" s="56" t="str">
        <f>VLOOKUP(C270,clientes!$C$3:$D$60,2,FALSE)</f>
        <v>BRF</v>
      </c>
    </row>
    <row r="271" spans="1:7" x14ac:dyDescent="0.25">
      <c r="A271">
        <v>2021</v>
      </c>
      <c r="B271" t="s">
        <v>139</v>
      </c>
      <c r="C271" t="s">
        <v>162</v>
      </c>
      <c r="D271" t="s">
        <v>123</v>
      </c>
      <c r="E271" t="str">
        <f>VLOOKUP(D271,'Lista de Produtos CLASSIFICAÇÃO'!$A$103:$B$144,2,FALSE)</f>
        <v>Aquecidos</v>
      </c>
      <c r="F271" s="55">
        <v>172294</v>
      </c>
      <c r="G271" s="56" t="str">
        <f>VLOOKUP(C271,clientes!$C$3:$D$60,2,FALSE)</f>
        <v>JBS</v>
      </c>
    </row>
    <row r="272" spans="1:7" x14ac:dyDescent="0.25">
      <c r="A272">
        <v>2021</v>
      </c>
      <c r="B272" t="s">
        <v>139</v>
      </c>
      <c r="C272" t="s">
        <v>166</v>
      </c>
      <c r="D272" t="s">
        <v>123</v>
      </c>
      <c r="E272" t="str">
        <f>VLOOKUP(D272,'Lista de Produtos CLASSIFICAÇÃO'!$A$103:$B$144,2,FALSE)</f>
        <v>Aquecidos</v>
      </c>
      <c r="F272" s="55">
        <v>448348</v>
      </c>
      <c r="G272" s="56" t="str">
        <f>VLOOKUP(C272,clientes!$C$3:$D$60,2,FALSE)</f>
        <v>CARGILL</v>
      </c>
    </row>
    <row r="273" spans="1:7" x14ac:dyDescent="0.25">
      <c r="A273">
        <v>2021</v>
      </c>
      <c r="B273" t="s">
        <v>139</v>
      </c>
      <c r="C273" t="s">
        <v>167</v>
      </c>
      <c r="D273" t="s">
        <v>122</v>
      </c>
      <c r="E273" t="str">
        <f>VLOOKUP(D273,'Lista de Produtos CLASSIFICAÇÃO'!$A$103:$B$144,2,FALSE)</f>
        <v>Óleo Vegetal</v>
      </c>
      <c r="F273" s="55">
        <v>2276363</v>
      </c>
      <c r="G273" s="56" t="str">
        <f>VLOOKUP(C273,clientes!$C$3:$D$60,2,FALSE)</f>
        <v>POOL</v>
      </c>
    </row>
    <row r="274" spans="1:7" x14ac:dyDescent="0.25">
      <c r="A274">
        <v>2021</v>
      </c>
      <c r="B274" t="s">
        <v>139</v>
      </c>
      <c r="C274" t="s">
        <v>168</v>
      </c>
      <c r="D274" t="s">
        <v>122</v>
      </c>
      <c r="E274" t="str">
        <f>VLOOKUP(D274,'Lista de Produtos CLASSIFICAÇÃO'!$A$103:$B$144,2,FALSE)</f>
        <v>Óleo Vegetal</v>
      </c>
      <c r="F274" s="55">
        <v>63587</v>
      </c>
      <c r="G274" s="56" t="str">
        <f>VLOOKUP(C274,clientes!$C$3:$D$60,2,FALSE)</f>
        <v>POOL EXCEDENTE</v>
      </c>
    </row>
    <row r="275" spans="1:7" x14ac:dyDescent="0.25">
      <c r="A275">
        <v>2021</v>
      </c>
      <c r="B275" t="s">
        <v>139</v>
      </c>
      <c r="C275" t="s">
        <v>169</v>
      </c>
      <c r="D275" t="s">
        <v>22</v>
      </c>
      <c r="E275" t="str">
        <f>VLOOKUP(D275,'Lista de Produtos CLASSIFICAÇÃO'!$A$103:$B$144,2,FALSE)</f>
        <v>Metanol</v>
      </c>
      <c r="F275" s="55">
        <v>5136871</v>
      </c>
      <c r="G275" s="56" t="str">
        <f>VLOOKUP(C275,clientes!$C$3:$D$60,2,FALSE)</f>
        <v>METHANEX</v>
      </c>
    </row>
    <row r="276" spans="1:7" x14ac:dyDescent="0.25">
      <c r="A276">
        <v>2021</v>
      </c>
      <c r="B276" t="s">
        <v>139</v>
      </c>
      <c r="C276" t="s">
        <v>170</v>
      </c>
      <c r="D276" t="s">
        <v>22</v>
      </c>
      <c r="E276" t="str">
        <f>VLOOKUP(D276,'Lista de Produtos CLASSIFICAÇÃO'!$A$103:$B$144,2,FALSE)</f>
        <v>Metanol</v>
      </c>
      <c r="F276" s="55">
        <v>3063505</v>
      </c>
      <c r="G276" s="56" t="str">
        <f>VLOOKUP(C276,clientes!$C$3:$D$60,2,FALSE)</f>
        <v>MITSUBISHI</v>
      </c>
    </row>
    <row r="277" spans="1:7" x14ac:dyDescent="0.25">
      <c r="A277">
        <v>2021</v>
      </c>
      <c r="B277" t="s">
        <v>139</v>
      </c>
      <c r="C277" t="s">
        <v>196</v>
      </c>
      <c r="D277" t="s">
        <v>22</v>
      </c>
      <c r="E277" t="str">
        <f>VLOOKUP(D277,'Lista de Produtos CLASSIFICAÇÃO'!$A$103:$B$144,2,FALSE)</f>
        <v>Metanol</v>
      </c>
      <c r="F277" s="55">
        <v>4558035</v>
      </c>
      <c r="G277" s="56" t="str">
        <f>VLOOKUP(C277,clientes!$C$3:$D$60,2,FALSE)</f>
        <v>SCC</v>
      </c>
    </row>
    <row r="278" spans="1:7" x14ac:dyDescent="0.25">
      <c r="A278">
        <v>2021</v>
      </c>
      <c r="B278" t="s">
        <v>139</v>
      </c>
      <c r="C278" t="s">
        <v>196</v>
      </c>
      <c r="D278" t="s">
        <v>22</v>
      </c>
      <c r="E278" t="str">
        <f>VLOOKUP(D278,'Lista de Produtos CLASSIFICAÇÃO'!$A$103:$B$144,2,FALSE)</f>
        <v>Metanol</v>
      </c>
      <c r="F278" s="55">
        <v>302087</v>
      </c>
      <c r="G278" s="56" t="str">
        <f>VLOOKUP(C278,clientes!$C$3:$D$60,2,FALSE)</f>
        <v>SCC</v>
      </c>
    </row>
    <row r="279" spans="1:7" x14ac:dyDescent="0.25">
      <c r="A279">
        <v>2021</v>
      </c>
      <c r="B279" t="s">
        <v>139</v>
      </c>
      <c r="C279" t="s">
        <v>208</v>
      </c>
      <c r="D279" t="s">
        <v>202</v>
      </c>
      <c r="E279" t="str">
        <f>VLOOKUP(D279,'Lista de Produtos CLASSIFICAÇÃO'!$A$103:$B$144,2,FALSE)</f>
        <v>Outros</v>
      </c>
      <c r="F279" s="55">
        <v>332793</v>
      </c>
      <c r="G279" s="56" t="str">
        <f>VLOOKUP(C279,clientes!$C$3:$D$60,2,FALSE)</f>
        <v>HINOVE</v>
      </c>
    </row>
    <row r="280" spans="1:7" x14ac:dyDescent="0.25">
      <c r="A280">
        <v>2021</v>
      </c>
      <c r="B280" t="s">
        <v>139</v>
      </c>
      <c r="C280" t="s">
        <v>172</v>
      </c>
      <c r="D280" t="s">
        <v>124</v>
      </c>
      <c r="E280" t="str">
        <f>VLOOKUP(D280,'Lista de Produtos CLASSIFICAÇÃO'!$A$103:$B$144,2,FALSE)</f>
        <v>Outros</v>
      </c>
      <c r="F280" s="55">
        <v>193830</v>
      </c>
      <c r="G280" s="56" t="str">
        <f>VLOOKUP(C280,clientes!$C$3:$D$60,2,FALSE)</f>
        <v>EVONIK</v>
      </c>
    </row>
    <row r="281" spans="1:7" x14ac:dyDescent="0.25">
      <c r="A281">
        <v>2021</v>
      </c>
      <c r="B281" t="s">
        <v>139</v>
      </c>
      <c r="C281" t="s">
        <v>173</v>
      </c>
      <c r="D281" t="s">
        <v>22</v>
      </c>
      <c r="E281" t="str">
        <f>VLOOKUP(D281,'Lista de Produtos CLASSIFICAÇÃO'!$A$103:$B$144,2,FALSE)</f>
        <v>Metanol</v>
      </c>
      <c r="F281" s="55">
        <v>575140</v>
      </c>
      <c r="G281" s="56" t="str">
        <f>VLOOKUP(C281,clientes!$C$3:$D$60,2,FALSE)</f>
        <v>YPF SOCIEDAD ANONIMA</v>
      </c>
    </row>
    <row r="282" spans="1:7" x14ac:dyDescent="0.25">
      <c r="A282">
        <v>2021</v>
      </c>
      <c r="B282" t="s">
        <v>139</v>
      </c>
      <c r="C282" t="s">
        <v>203</v>
      </c>
      <c r="D282" t="s">
        <v>124</v>
      </c>
      <c r="E282" t="str">
        <f>VLOOKUP(D282,'Lista de Produtos CLASSIFICAÇÃO'!$A$103:$B$144,2,FALSE)</f>
        <v>Outros</v>
      </c>
      <c r="F282" s="55">
        <v>128809</v>
      </c>
      <c r="G282" s="56" t="str">
        <f>VLOOKUP(C282,clientes!$C$3:$D$60,2,FALSE)</f>
        <v>GTM</v>
      </c>
    </row>
    <row r="283" spans="1:7" x14ac:dyDescent="0.25">
      <c r="A283">
        <v>2021</v>
      </c>
      <c r="B283" t="s">
        <v>139</v>
      </c>
      <c r="C283" t="s">
        <v>197</v>
      </c>
      <c r="D283" t="s">
        <v>85</v>
      </c>
      <c r="E283" t="str">
        <f>VLOOKUP(D283,'Lista de Produtos CLASSIFICAÇÃO'!$A$103:$B$144,2,FALSE)</f>
        <v>Outros</v>
      </c>
      <c r="F283" s="55">
        <v>119000</v>
      </c>
      <c r="G283" s="56" t="str">
        <f>VLOOKUP(C283,clientes!$C$3:$D$60,2,FALSE)</f>
        <v>DRT</v>
      </c>
    </row>
    <row r="284" spans="1:7" x14ac:dyDescent="0.25">
      <c r="A284">
        <v>2021</v>
      </c>
      <c r="B284" t="s">
        <v>139</v>
      </c>
      <c r="C284" t="s">
        <v>198</v>
      </c>
      <c r="D284" t="s">
        <v>121</v>
      </c>
      <c r="E284" t="str">
        <f>VLOOKUP(D284,'Lista de Produtos CLASSIFICAÇÃO'!$A$103:$B$144,2,FALSE)</f>
        <v>Biocombustíveis</v>
      </c>
      <c r="F284" s="55">
        <v>700000</v>
      </c>
      <c r="G284" s="56" t="str">
        <f>VLOOKUP(C284,clientes!$C$3:$D$60,2,FALSE)</f>
        <v>TEREOS / INPASA / GLENCORE</v>
      </c>
    </row>
    <row r="285" spans="1:7" x14ac:dyDescent="0.25">
      <c r="A285">
        <v>2021</v>
      </c>
      <c r="B285" t="s">
        <v>139</v>
      </c>
      <c r="C285" t="s">
        <v>174</v>
      </c>
      <c r="D285" t="s">
        <v>123</v>
      </c>
      <c r="E285" t="str">
        <f>VLOOKUP(D285,'Lista de Produtos CLASSIFICAÇÃO'!$A$103:$B$144,2,FALSE)</f>
        <v>Aquecidos</v>
      </c>
      <c r="F285" s="55">
        <v>267764</v>
      </c>
      <c r="G285" s="56" t="str">
        <f>VLOOKUP(C285,clientes!$C$3:$D$60,2,FALSE)</f>
        <v>CELENA</v>
      </c>
    </row>
    <row r="286" spans="1:7" x14ac:dyDescent="0.25">
      <c r="A286">
        <v>2021</v>
      </c>
      <c r="B286" t="s">
        <v>139</v>
      </c>
      <c r="C286" t="s">
        <v>175</v>
      </c>
      <c r="D286" t="s">
        <v>123</v>
      </c>
      <c r="E286" t="str">
        <f>VLOOKUP(D286,'Lista de Produtos CLASSIFICAÇÃO'!$A$103:$B$144,2,FALSE)</f>
        <v>Aquecidos</v>
      </c>
      <c r="F286" s="55">
        <v>303588</v>
      </c>
      <c r="G286" s="56" t="str">
        <f>VLOOKUP(C286,clientes!$C$3:$D$60,2,FALSE)</f>
        <v>AAK DO BRASIL</v>
      </c>
    </row>
    <row r="287" spans="1:7" x14ac:dyDescent="0.25">
      <c r="A287">
        <v>2021</v>
      </c>
      <c r="B287" t="s">
        <v>139</v>
      </c>
      <c r="C287" t="s">
        <v>166</v>
      </c>
      <c r="D287" t="s">
        <v>122</v>
      </c>
      <c r="E287" t="str">
        <f>VLOOKUP(D287,'Lista de Produtos CLASSIFICAÇÃO'!$A$103:$B$144,2,FALSE)</f>
        <v>Óleo Vegetal</v>
      </c>
      <c r="F287" s="55">
        <v>242252</v>
      </c>
      <c r="G287" s="56" t="str">
        <f>VLOOKUP(C287,clientes!$C$3:$D$60,2,FALSE)</f>
        <v>CARGILL</v>
      </c>
    </row>
    <row r="288" spans="1:7" x14ac:dyDescent="0.25">
      <c r="A288">
        <v>2021</v>
      </c>
      <c r="B288" t="s">
        <v>139</v>
      </c>
      <c r="C288" t="s">
        <v>176</v>
      </c>
      <c r="D288" t="s">
        <v>123</v>
      </c>
      <c r="E288" t="str">
        <f>VLOOKUP(D288,'Lista de Produtos CLASSIFICAÇÃO'!$A$103:$B$144,2,FALSE)</f>
        <v>Aquecidos</v>
      </c>
      <c r="F288" s="55">
        <v>304688</v>
      </c>
      <c r="G288" s="56" t="str">
        <f>VLOOKUP(C288,clientes!$C$3:$D$60,2,FALSE)</f>
        <v>AGROPALMA</v>
      </c>
    </row>
    <row r="289" spans="1:7" x14ac:dyDescent="0.25">
      <c r="A289">
        <v>2021</v>
      </c>
      <c r="B289" t="s">
        <v>139</v>
      </c>
      <c r="C289" t="s">
        <v>204</v>
      </c>
      <c r="D289" t="s">
        <v>59</v>
      </c>
      <c r="E289" t="str">
        <f>VLOOKUP(D289,'Lista de Produtos CLASSIFICAÇÃO'!$A$103:$B$144,2,FALSE)</f>
        <v>Derivados</v>
      </c>
      <c r="F289" s="55">
        <v>1442809</v>
      </c>
      <c r="G289" s="56" t="str">
        <f>VLOOKUP(C289,clientes!$C$3:$D$60,2,FALSE)</f>
        <v>COPAPE</v>
      </c>
    </row>
    <row r="290" spans="1:7" x14ac:dyDescent="0.25">
      <c r="A290">
        <v>2021</v>
      </c>
      <c r="B290" t="s">
        <v>140</v>
      </c>
      <c r="C290" t="s">
        <v>155</v>
      </c>
      <c r="D290" t="s">
        <v>16</v>
      </c>
      <c r="E290" t="str">
        <f>VLOOKUP(D290,'Lista de Produtos CLASSIFICAÇÃO'!$A$103:$B$144,2,FALSE)</f>
        <v>Outros</v>
      </c>
      <c r="F290" s="55">
        <v>515772</v>
      </c>
      <c r="G290" s="56" t="str">
        <f>VLOOKUP(C290,clientes!$C$3:$D$60,2,FALSE)</f>
        <v>ADISSEO</v>
      </c>
    </row>
    <row r="291" spans="1:7" x14ac:dyDescent="0.25">
      <c r="A291">
        <v>2021</v>
      </c>
      <c r="B291" t="s">
        <v>140</v>
      </c>
      <c r="C291" t="s">
        <v>155</v>
      </c>
      <c r="D291" t="s">
        <v>16</v>
      </c>
      <c r="E291" t="str">
        <f>VLOOKUP(D291,'Lista de Produtos CLASSIFICAÇÃO'!$A$103:$B$144,2,FALSE)</f>
        <v>Outros</v>
      </c>
      <c r="F291" s="55">
        <v>132556</v>
      </c>
      <c r="G291" s="56" t="str">
        <f>VLOOKUP(C291,clientes!$C$3:$D$60,2,FALSE)</f>
        <v>ADISSEO</v>
      </c>
    </row>
    <row r="292" spans="1:7" x14ac:dyDescent="0.25">
      <c r="A292">
        <v>2021</v>
      </c>
      <c r="B292" t="s">
        <v>140</v>
      </c>
      <c r="C292" t="s">
        <v>199</v>
      </c>
      <c r="D292" t="s">
        <v>16</v>
      </c>
      <c r="E292" t="str">
        <f>VLOOKUP(D292,'Lista de Produtos CLASSIFICAÇÃO'!$A$103:$B$144,2,FALSE)</f>
        <v>Outros</v>
      </c>
      <c r="F292" s="55">
        <v>3316</v>
      </c>
      <c r="G292" s="56" t="str">
        <f>VLOOKUP(C292,clientes!$C$3:$D$60,2,FALSE)</f>
        <v>ADISSEO</v>
      </c>
    </row>
    <row r="293" spans="1:7" x14ac:dyDescent="0.25">
      <c r="A293">
        <v>2021</v>
      </c>
      <c r="B293" t="s">
        <v>140</v>
      </c>
      <c r="C293" t="s">
        <v>157</v>
      </c>
      <c r="D293" t="s">
        <v>49</v>
      </c>
      <c r="E293" t="str">
        <f>VLOOKUP(D293,'Lista de Produtos CLASSIFICAÇÃO'!$A$103:$B$144,2,FALSE)</f>
        <v>Outros</v>
      </c>
      <c r="F293" s="55">
        <v>79358</v>
      </c>
      <c r="G293" s="56" t="str">
        <f>VLOOKUP(C293,clientes!$C$3:$D$60,2,FALSE)</f>
        <v>ADM</v>
      </c>
    </row>
    <row r="294" spans="1:7" x14ac:dyDescent="0.25">
      <c r="A294">
        <v>2021</v>
      </c>
      <c r="B294" t="s">
        <v>140</v>
      </c>
      <c r="C294" t="s">
        <v>158</v>
      </c>
      <c r="D294" t="s">
        <v>120</v>
      </c>
      <c r="E294" t="str">
        <f>VLOOKUP(D294,'Lista de Produtos CLASSIFICAÇÃO'!$A$103:$B$144,2,FALSE)</f>
        <v>Derivados</v>
      </c>
      <c r="F294" s="55">
        <v>6963862</v>
      </c>
      <c r="G294" s="56" t="str">
        <f>VLOOKUP(C294,clientes!$C$3:$D$60,2,FALSE)</f>
        <v>IPIRANGA</v>
      </c>
    </row>
    <row r="295" spans="1:7" x14ac:dyDescent="0.25">
      <c r="A295">
        <v>2021</v>
      </c>
      <c r="B295" t="s">
        <v>140</v>
      </c>
      <c r="C295" t="s">
        <v>206</v>
      </c>
      <c r="D295" t="s">
        <v>120</v>
      </c>
      <c r="E295" t="str">
        <f>VLOOKUP(D295,'Lista de Produtos CLASSIFICAÇÃO'!$A$103:$B$144,2,FALSE)</f>
        <v>Derivados</v>
      </c>
      <c r="F295" s="55">
        <v>3673286</v>
      </c>
      <c r="G295" s="56" t="str">
        <f>VLOOKUP(C295,clientes!$C$3:$D$60,2,FALSE)</f>
        <v>BR</v>
      </c>
    </row>
    <row r="296" spans="1:7" x14ac:dyDescent="0.25">
      <c r="A296">
        <v>2021</v>
      </c>
      <c r="B296" t="s">
        <v>140</v>
      </c>
      <c r="C296" t="s">
        <v>200</v>
      </c>
      <c r="D296" t="s">
        <v>120</v>
      </c>
      <c r="E296" t="str">
        <f>VLOOKUP(D296,'Lista de Produtos CLASSIFICAÇÃO'!$A$103:$B$144,2,FALSE)</f>
        <v>Derivados</v>
      </c>
      <c r="F296" s="55">
        <v>1765906</v>
      </c>
      <c r="G296" s="56" t="str">
        <f>VLOOKUP(C296,clientes!$C$3:$D$60,2,FALSE)</f>
        <v>GREENENERGY</v>
      </c>
    </row>
    <row r="297" spans="1:7" x14ac:dyDescent="0.25">
      <c r="A297">
        <v>2021</v>
      </c>
      <c r="B297" t="s">
        <v>140</v>
      </c>
      <c r="C297" t="s">
        <v>161</v>
      </c>
      <c r="D297" t="s">
        <v>120</v>
      </c>
      <c r="E297" t="str">
        <f>VLOOKUP(D297,'Lista de Produtos CLASSIFICAÇÃO'!$A$103:$B$144,2,FALSE)</f>
        <v>Derivados</v>
      </c>
      <c r="F297" s="55">
        <v>0</v>
      </c>
      <c r="G297" s="56" t="str">
        <f>VLOOKUP(C297,clientes!$C$3:$D$60,2,FALSE)</f>
        <v>SUL PLATA</v>
      </c>
    </row>
    <row r="298" spans="1:7" x14ac:dyDescent="0.25">
      <c r="A298">
        <v>2021</v>
      </c>
      <c r="B298" t="s">
        <v>140</v>
      </c>
      <c r="C298" t="s">
        <v>161</v>
      </c>
      <c r="D298" t="s">
        <v>120</v>
      </c>
      <c r="E298" t="str">
        <f>VLOOKUP(D298,'Lista de Produtos CLASSIFICAÇÃO'!$A$103:$B$144,2,FALSE)</f>
        <v>Derivados</v>
      </c>
      <c r="F298" s="55">
        <v>1739285</v>
      </c>
      <c r="G298" s="56" t="str">
        <f>VLOOKUP(C298,clientes!$C$3:$D$60,2,FALSE)</f>
        <v>SUL PLATA</v>
      </c>
    </row>
    <row r="299" spans="1:7" x14ac:dyDescent="0.25">
      <c r="A299">
        <v>2021</v>
      </c>
      <c r="B299" t="s">
        <v>140</v>
      </c>
      <c r="C299" t="s">
        <v>162</v>
      </c>
      <c r="D299" t="s">
        <v>115</v>
      </c>
      <c r="E299" t="str">
        <f>VLOOKUP(D299,'Lista de Produtos CLASSIFICAÇÃO'!$A$103:$B$144,2,FALSE)</f>
        <v>Soda Caustica</v>
      </c>
      <c r="F299" s="55">
        <v>134883</v>
      </c>
      <c r="G299" s="56" t="str">
        <f>VLOOKUP(C299,clientes!$C$3:$D$60,2,FALSE)</f>
        <v>JBS</v>
      </c>
    </row>
    <row r="300" spans="1:7" x14ac:dyDescent="0.25">
      <c r="A300">
        <v>2021</v>
      </c>
      <c r="B300" t="s">
        <v>140</v>
      </c>
      <c r="C300" t="s">
        <v>163</v>
      </c>
      <c r="D300" t="s">
        <v>115</v>
      </c>
      <c r="E300" t="str">
        <f>VLOOKUP(D300,'Lista de Produtos CLASSIFICAÇÃO'!$A$103:$B$144,2,FALSE)</f>
        <v>Soda Caustica</v>
      </c>
      <c r="F300" s="55">
        <v>305822</v>
      </c>
      <c r="G300" s="56" t="str">
        <f>VLOOKUP(C300,clientes!$C$3:$D$60,2,FALSE)</f>
        <v>TRICON ENERGY</v>
      </c>
    </row>
    <row r="301" spans="1:7" x14ac:dyDescent="0.25">
      <c r="A301">
        <v>2021</v>
      </c>
      <c r="B301" t="s">
        <v>140</v>
      </c>
      <c r="C301" t="s">
        <v>207</v>
      </c>
      <c r="D301" t="s">
        <v>16</v>
      </c>
      <c r="E301" t="str">
        <f>VLOOKUP(D301,'Lista de Produtos CLASSIFICAÇÃO'!$A$103:$B$144,2,FALSE)</f>
        <v>Outros</v>
      </c>
      <c r="F301" s="55">
        <v>203290</v>
      </c>
      <c r="G301" s="56" t="str">
        <f>VLOOKUP(C301,clientes!$C$3:$D$60,2,FALSE)</f>
        <v>NOVUS</v>
      </c>
    </row>
    <row r="302" spans="1:7" x14ac:dyDescent="0.25">
      <c r="A302">
        <v>2021</v>
      </c>
      <c r="B302" t="s">
        <v>140</v>
      </c>
      <c r="C302" t="s">
        <v>165</v>
      </c>
      <c r="D302" t="s">
        <v>123</v>
      </c>
      <c r="E302" t="str">
        <f>VLOOKUP(D302,'Lista de Produtos CLASSIFICAÇÃO'!$A$103:$B$144,2,FALSE)</f>
        <v>Aquecidos</v>
      </c>
      <c r="F302" s="55">
        <v>792025</v>
      </c>
      <c r="G302" s="56" t="str">
        <f>VLOOKUP(C302,clientes!$C$3:$D$60,2,FALSE)</f>
        <v>BRF</v>
      </c>
    </row>
    <row r="303" spans="1:7" x14ac:dyDescent="0.25">
      <c r="A303">
        <v>2021</v>
      </c>
      <c r="B303" t="s">
        <v>140</v>
      </c>
      <c r="C303" t="s">
        <v>162</v>
      </c>
      <c r="D303" t="s">
        <v>123</v>
      </c>
      <c r="E303" t="str">
        <f>VLOOKUP(D303,'Lista de Produtos CLASSIFICAÇÃO'!$A$103:$B$144,2,FALSE)</f>
        <v>Aquecidos</v>
      </c>
      <c r="F303" s="55">
        <v>179840</v>
      </c>
      <c r="G303" s="56" t="str">
        <f>VLOOKUP(C303,clientes!$C$3:$D$60,2,FALSE)</f>
        <v>JBS</v>
      </c>
    </row>
    <row r="304" spans="1:7" x14ac:dyDescent="0.25">
      <c r="A304">
        <v>2021</v>
      </c>
      <c r="B304" t="s">
        <v>140</v>
      </c>
      <c r="C304" t="s">
        <v>166</v>
      </c>
      <c r="D304" t="s">
        <v>123</v>
      </c>
      <c r="E304" t="str">
        <f>VLOOKUP(D304,'Lista de Produtos CLASSIFICAÇÃO'!$A$103:$B$144,2,FALSE)</f>
        <v>Aquecidos</v>
      </c>
      <c r="F304" s="55">
        <v>448348</v>
      </c>
      <c r="G304" s="56" t="str">
        <f>VLOOKUP(C304,clientes!$C$3:$D$60,2,FALSE)</f>
        <v>CARGILL</v>
      </c>
    </row>
    <row r="305" spans="1:7" x14ac:dyDescent="0.25">
      <c r="A305">
        <v>2021</v>
      </c>
      <c r="B305" t="s">
        <v>140</v>
      </c>
      <c r="C305" t="s">
        <v>167</v>
      </c>
      <c r="D305" t="s">
        <v>122</v>
      </c>
      <c r="E305" t="str">
        <f>VLOOKUP(D305,'Lista de Produtos CLASSIFICAÇÃO'!$A$103:$B$144,2,FALSE)</f>
        <v>Óleo Vegetal</v>
      </c>
      <c r="F305" s="55">
        <v>900261</v>
      </c>
      <c r="G305" s="56" t="str">
        <f>VLOOKUP(C305,clientes!$C$3:$D$60,2,FALSE)</f>
        <v>POOL</v>
      </c>
    </row>
    <row r="306" spans="1:7" x14ac:dyDescent="0.25">
      <c r="A306">
        <v>2021</v>
      </c>
      <c r="B306" t="s">
        <v>140</v>
      </c>
      <c r="C306" t="s">
        <v>168</v>
      </c>
      <c r="D306" t="s">
        <v>122</v>
      </c>
      <c r="E306" t="str">
        <f>VLOOKUP(D306,'Lista de Produtos CLASSIFICAÇÃO'!$A$103:$B$144,2,FALSE)</f>
        <v>Óleo Vegetal</v>
      </c>
      <c r="F306" s="55">
        <v>63587</v>
      </c>
      <c r="G306" s="56" t="str">
        <f>VLOOKUP(C306,clientes!$C$3:$D$60,2,FALSE)</f>
        <v>POOL EXCEDENTE</v>
      </c>
    </row>
    <row r="307" spans="1:7" x14ac:dyDescent="0.25">
      <c r="A307">
        <v>2021</v>
      </c>
      <c r="B307" t="s">
        <v>140</v>
      </c>
      <c r="C307" t="s">
        <v>169</v>
      </c>
      <c r="D307" t="s">
        <v>22</v>
      </c>
      <c r="E307" t="str">
        <f>VLOOKUP(D307,'Lista de Produtos CLASSIFICAÇÃO'!$A$103:$B$144,2,FALSE)</f>
        <v>Metanol</v>
      </c>
      <c r="F307" s="55">
        <v>5136871</v>
      </c>
      <c r="G307" s="56" t="str">
        <f>VLOOKUP(C307,clientes!$C$3:$D$60,2,FALSE)</f>
        <v>METHANEX</v>
      </c>
    </row>
    <row r="308" spans="1:7" x14ac:dyDescent="0.25">
      <c r="A308">
        <v>2021</v>
      </c>
      <c r="B308" t="s">
        <v>140</v>
      </c>
      <c r="C308" t="s">
        <v>170</v>
      </c>
      <c r="D308" t="s">
        <v>22</v>
      </c>
      <c r="E308" t="str">
        <f>VLOOKUP(D308,'Lista de Produtos CLASSIFICAÇÃO'!$A$103:$B$144,2,FALSE)</f>
        <v>Metanol</v>
      </c>
      <c r="F308" s="55">
        <v>3063505</v>
      </c>
      <c r="G308" s="56" t="str">
        <f>VLOOKUP(C308,clientes!$C$3:$D$60,2,FALSE)</f>
        <v>MITSUBISHI</v>
      </c>
    </row>
    <row r="309" spans="1:7" x14ac:dyDescent="0.25">
      <c r="A309">
        <v>2021</v>
      </c>
      <c r="B309" t="s">
        <v>140</v>
      </c>
      <c r="C309" t="s">
        <v>196</v>
      </c>
      <c r="D309" t="s">
        <v>22</v>
      </c>
      <c r="E309" t="str">
        <f>VLOOKUP(D309,'Lista de Produtos CLASSIFICAÇÃO'!$A$103:$B$144,2,FALSE)</f>
        <v>Metanol</v>
      </c>
      <c r="F309" s="55">
        <v>4558035</v>
      </c>
      <c r="G309" s="56" t="str">
        <f>VLOOKUP(C309,clientes!$C$3:$D$60,2,FALSE)</f>
        <v>SCC</v>
      </c>
    </row>
    <row r="310" spans="1:7" x14ac:dyDescent="0.25">
      <c r="A310">
        <v>2021</v>
      </c>
      <c r="B310" t="s">
        <v>140</v>
      </c>
      <c r="C310" t="s">
        <v>196</v>
      </c>
      <c r="D310" t="s">
        <v>22</v>
      </c>
      <c r="E310" t="str">
        <f>VLOOKUP(D310,'Lista de Produtos CLASSIFICAÇÃO'!$A$103:$B$144,2,FALSE)</f>
        <v>Metanol</v>
      </c>
      <c r="F310" s="55">
        <v>302087</v>
      </c>
      <c r="G310" s="56" t="str">
        <f>VLOOKUP(C310,clientes!$C$3:$D$60,2,FALSE)</f>
        <v>SCC</v>
      </c>
    </row>
    <row r="311" spans="1:7" x14ac:dyDescent="0.25">
      <c r="A311">
        <v>2021</v>
      </c>
      <c r="B311" t="s">
        <v>140</v>
      </c>
      <c r="C311" t="s">
        <v>208</v>
      </c>
      <c r="D311" t="s">
        <v>202</v>
      </c>
      <c r="E311" t="str">
        <f>VLOOKUP(D311,'Lista de Produtos CLASSIFICAÇÃO'!$A$103:$B$144,2,FALSE)</f>
        <v>Outros</v>
      </c>
      <c r="F311" s="55">
        <v>308366</v>
      </c>
      <c r="G311" s="56" t="str">
        <f>VLOOKUP(C311,clientes!$C$3:$D$60,2,FALSE)</f>
        <v>HINOVE</v>
      </c>
    </row>
    <row r="312" spans="1:7" x14ac:dyDescent="0.25">
      <c r="A312">
        <v>2021</v>
      </c>
      <c r="B312" t="s">
        <v>140</v>
      </c>
      <c r="C312" t="s">
        <v>172</v>
      </c>
      <c r="D312" t="s">
        <v>124</v>
      </c>
      <c r="E312" t="str">
        <f>VLOOKUP(D312,'Lista de Produtos CLASSIFICAÇÃO'!$A$103:$B$144,2,FALSE)</f>
        <v>Outros</v>
      </c>
      <c r="F312" s="55">
        <v>193830</v>
      </c>
      <c r="G312" s="56" t="str">
        <f>VLOOKUP(C312,clientes!$C$3:$D$60,2,FALSE)</f>
        <v>EVONIK</v>
      </c>
    </row>
    <row r="313" spans="1:7" x14ac:dyDescent="0.25">
      <c r="A313">
        <v>2021</v>
      </c>
      <c r="B313" t="s">
        <v>140</v>
      </c>
      <c r="C313" t="s">
        <v>173</v>
      </c>
      <c r="D313" t="s">
        <v>22</v>
      </c>
      <c r="E313" t="str">
        <f>VLOOKUP(D313,'Lista de Produtos CLASSIFICAÇÃO'!$A$103:$B$144,2,FALSE)</f>
        <v>Metanol</v>
      </c>
      <c r="F313" s="55">
        <v>502536</v>
      </c>
      <c r="G313" s="56" t="str">
        <f>VLOOKUP(C313,clientes!$C$3:$D$60,2,FALSE)</f>
        <v>YPF SOCIEDAD ANONIMA</v>
      </c>
    </row>
    <row r="314" spans="1:7" x14ac:dyDescent="0.25">
      <c r="A314">
        <v>2021</v>
      </c>
      <c r="B314" t="s">
        <v>140</v>
      </c>
      <c r="C314" t="s">
        <v>203</v>
      </c>
      <c r="D314" t="s">
        <v>124</v>
      </c>
      <c r="E314" t="str">
        <f>VLOOKUP(D314,'Lista de Produtos CLASSIFICAÇÃO'!$A$103:$B$144,2,FALSE)</f>
        <v>Outros</v>
      </c>
      <c r="F314" s="55">
        <v>118190</v>
      </c>
      <c r="G314" s="56" t="str">
        <f>VLOOKUP(C314,clientes!$C$3:$D$60,2,FALSE)</f>
        <v>GTM</v>
      </c>
    </row>
    <row r="315" spans="1:7" x14ac:dyDescent="0.25">
      <c r="A315">
        <v>2021</v>
      </c>
      <c r="B315" t="s">
        <v>140</v>
      </c>
      <c r="C315" t="s">
        <v>197</v>
      </c>
      <c r="D315" t="s">
        <v>85</v>
      </c>
      <c r="E315" t="str">
        <f>VLOOKUP(D315,'Lista de Produtos CLASSIFICAÇÃO'!$A$103:$B$144,2,FALSE)</f>
        <v>Outros</v>
      </c>
      <c r="F315" s="55">
        <v>119000</v>
      </c>
      <c r="G315" s="56" t="str">
        <f>VLOOKUP(C315,clientes!$C$3:$D$60,2,FALSE)</f>
        <v>DRT</v>
      </c>
    </row>
    <row r="316" spans="1:7" x14ac:dyDescent="0.25">
      <c r="A316">
        <v>2021</v>
      </c>
      <c r="B316" t="s">
        <v>140</v>
      </c>
      <c r="C316" t="s">
        <v>198</v>
      </c>
      <c r="D316" t="s">
        <v>121</v>
      </c>
      <c r="E316" t="str">
        <f>VLOOKUP(D316,'Lista de Produtos CLASSIFICAÇÃO'!$A$103:$B$144,2,FALSE)</f>
        <v>Biocombustíveis</v>
      </c>
      <c r="F316" s="55">
        <v>700000</v>
      </c>
      <c r="G316" s="56" t="str">
        <f>VLOOKUP(C316,clientes!$C$3:$D$60,2,FALSE)</f>
        <v>TEREOS / INPASA / GLENCORE</v>
      </c>
    </row>
    <row r="317" spans="1:7" x14ac:dyDescent="0.25">
      <c r="A317">
        <v>2021</v>
      </c>
      <c r="B317" t="s">
        <v>140</v>
      </c>
      <c r="C317" t="s">
        <v>174</v>
      </c>
      <c r="D317" t="s">
        <v>123</v>
      </c>
      <c r="E317" t="str">
        <f>VLOOKUP(D317,'Lista de Produtos CLASSIFICAÇÃO'!$A$103:$B$144,2,FALSE)</f>
        <v>Aquecidos</v>
      </c>
      <c r="F317" s="55">
        <v>267764</v>
      </c>
      <c r="G317" s="56" t="str">
        <f>VLOOKUP(C317,clientes!$C$3:$D$60,2,FALSE)</f>
        <v>CELENA</v>
      </c>
    </row>
    <row r="318" spans="1:7" x14ac:dyDescent="0.25">
      <c r="A318">
        <v>2021</v>
      </c>
      <c r="B318" t="s">
        <v>140</v>
      </c>
      <c r="C318" t="s">
        <v>175</v>
      </c>
      <c r="D318" t="s">
        <v>123</v>
      </c>
      <c r="E318" t="str">
        <f>VLOOKUP(D318,'Lista de Produtos CLASSIFICAÇÃO'!$A$103:$B$144,2,FALSE)</f>
        <v>Aquecidos</v>
      </c>
      <c r="F318" s="55">
        <v>303588</v>
      </c>
      <c r="G318" s="56" t="str">
        <f>VLOOKUP(C318,clientes!$C$3:$D$60,2,FALSE)</f>
        <v>AAK DO BRASIL</v>
      </c>
    </row>
    <row r="319" spans="1:7" x14ac:dyDescent="0.25">
      <c r="A319">
        <v>2021</v>
      </c>
      <c r="B319" t="s">
        <v>140</v>
      </c>
      <c r="C319" t="s">
        <v>166</v>
      </c>
      <c r="D319" t="s">
        <v>122</v>
      </c>
      <c r="E319" t="str">
        <f>VLOOKUP(D319,'Lista de Produtos CLASSIFICAÇÃO'!$A$103:$B$144,2,FALSE)</f>
        <v>Óleo Vegetal</v>
      </c>
      <c r="F319" s="55">
        <v>200808</v>
      </c>
      <c r="G319" s="56" t="str">
        <f>VLOOKUP(C319,clientes!$C$3:$D$60,2,FALSE)</f>
        <v>CARGILL</v>
      </c>
    </row>
    <row r="320" spans="1:7" x14ac:dyDescent="0.25">
      <c r="A320">
        <v>2021</v>
      </c>
      <c r="B320" t="s">
        <v>140</v>
      </c>
      <c r="C320" t="s">
        <v>176</v>
      </c>
      <c r="D320" t="s">
        <v>123</v>
      </c>
      <c r="E320" t="str">
        <f>VLOOKUP(D320,'Lista de Produtos CLASSIFICAÇÃO'!$A$103:$B$144,2,FALSE)</f>
        <v>Aquecidos</v>
      </c>
      <c r="F320" s="55">
        <v>304688</v>
      </c>
      <c r="G320" s="56" t="str">
        <f>VLOOKUP(C320,clientes!$C$3:$D$60,2,FALSE)</f>
        <v>AGROPALMA</v>
      </c>
    </row>
    <row r="321" spans="1:7" x14ac:dyDescent="0.25">
      <c r="A321">
        <v>2021</v>
      </c>
      <c r="B321" t="s">
        <v>140</v>
      </c>
      <c r="C321" t="s">
        <v>204</v>
      </c>
      <c r="D321" t="s">
        <v>59</v>
      </c>
      <c r="E321" t="str">
        <f>VLOOKUP(D321,'Lista de Produtos CLASSIFICAÇÃO'!$A$103:$B$144,2,FALSE)</f>
        <v>Derivados</v>
      </c>
      <c r="F321" s="55">
        <v>1442809</v>
      </c>
      <c r="G321" s="56" t="str">
        <f>VLOOKUP(C321,clientes!$C$3:$D$60,2,FALSE)</f>
        <v>COPAPE</v>
      </c>
    </row>
    <row r="322" spans="1:7" x14ac:dyDescent="0.25">
      <c r="A322">
        <v>2021</v>
      </c>
      <c r="B322" t="s">
        <v>141</v>
      </c>
      <c r="C322" t="s">
        <v>155</v>
      </c>
      <c r="D322" t="s">
        <v>16</v>
      </c>
      <c r="E322" t="str">
        <f>VLOOKUP(D322,'Lista de Produtos CLASSIFICAÇÃO'!$A$103:$B$144,2,FALSE)</f>
        <v>Outros</v>
      </c>
      <c r="F322" s="55">
        <v>515772</v>
      </c>
      <c r="G322" s="56" t="str">
        <f>VLOOKUP(C322,clientes!$C$3:$D$60,2,FALSE)</f>
        <v>ADISSEO</v>
      </c>
    </row>
    <row r="323" spans="1:7" x14ac:dyDescent="0.25">
      <c r="A323">
        <v>2021</v>
      </c>
      <c r="B323" t="s">
        <v>141</v>
      </c>
      <c r="C323" t="s">
        <v>155</v>
      </c>
      <c r="D323" t="s">
        <v>16</v>
      </c>
      <c r="E323" t="str">
        <f>VLOOKUP(D323,'Lista de Produtos CLASSIFICAÇÃO'!$A$103:$B$144,2,FALSE)</f>
        <v>Outros</v>
      </c>
      <c r="F323" s="55">
        <v>132556</v>
      </c>
      <c r="G323" s="56" t="str">
        <f>VLOOKUP(C323,clientes!$C$3:$D$60,2,FALSE)</f>
        <v>ADISSEO</v>
      </c>
    </row>
    <row r="324" spans="1:7" x14ac:dyDescent="0.25">
      <c r="A324">
        <v>2021</v>
      </c>
      <c r="B324" t="s">
        <v>141</v>
      </c>
      <c r="C324" t="s">
        <v>199</v>
      </c>
      <c r="D324" t="s">
        <v>16</v>
      </c>
      <c r="E324" t="str">
        <f>VLOOKUP(D324,'Lista de Produtos CLASSIFICAÇÃO'!$A$103:$B$144,2,FALSE)</f>
        <v>Outros</v>
      </c>
      <c r="F324" s="55">
        <v>3316</v>
      </c>
      <c r="G324" s="56" t="str">
        <f>VLOOKUP(C324,clientes!$C$3:$D$60,2,FALSE)</f>
        <v>ADISSEO</v>
      </c>
    </row>
    <row r="325" spans="1:7" x14ac:dyDescent="0.25">
      <c r="A325">
        <v>2021</v>
      </c>
      <c r="B325" t="s">
        <v>141</v>
      </c>
      <c r="C325" t="s">
        <v>157</v>
      </c>
      <c r="D325" t="s">
        <v>49</v>
      </c>
      <c r="E325" t="str">
        <f>VLOOKUP(D325,'Lista de Produtos CLASSIFICAÇÃO'!$A$103:$B$144,2,FALSE)</f>
        <v>Outros</v>
      </c>
      <c r="F325" s="55">
        <v>79358</v>
      </c>
      <c r="G325" s="56" t="str">
        <f>VLOOKUP(C325,clientes!$C$3:$D$60,2,FALSE)</f>
        <v>ADM</v>
      </c>
    </row>
    <row r="326" spans="1:7" x14ac:dyDescent="0.25">
      <c r="A326">
        <v>2021</v>
      </c>
      <c r="B326" t="s">
        <v>141</v>
      </c>
      <c r="C326" t="s">
        <v>158</v>
      </c>
      <c r="D326" t="s">
        <v>120</v>
      </c>
      <c r="E326" t="str">
        <f>VLOOKUP(D326,'Lista de Produtos CLASSIFICAÇÃO'!$A$103:$B$144,2,FALSE)</f>
        <v>Derivados</v>
      </c>
      <c r="F326" s="55">
        <v>6963862</v>
      </c>
      <c r="G326" s="56" t="str">
        <f>VLOOKUP(C326,clientes!$C$3:$D$60,2,FALSE)</f>
        <v>IPIRANGA</v>
      </c>
    </row>
    <row r="327" spans="1:7" x14ac:dyDescent="0.25">
      <c r="A327">
        <v>2021</v>
      </c>
      <c r="B327" t="s">
        <v>141</v>
      </c>
      <c r="C327" t="s">
        <v>206</v>
      </c>
      <c r="D327" t="s">
        <v>120</v>
      </c>
      <c r="E327" t="str">
        <f>VLOOKUP(D327,'Lista de Produtos CLASSIFICAÇÃO'!$A$103:$B$144,2,FALSE)</f>
        <v>Derivados</v>
      </c>
      <c r="F327" s="55">
        <v>3673286</v>
      </c>
      <c r="G327" s="56" t="str">
        <f>VLOOKUP(C327,clientes!$C$3:$D$60,2,FALSE)</f>
        <v>BR</v>
      </c>
    </row>
    <row r="328" spans="1:7" x14ac:dyDescent="0.25">
      <c r="A328">
        <v>2021</v>
      </c>
      <c r="B328" t="s">
        <v>141</v>
      </c>
      <c r="C328" t="s">
        <v>200</v>
      </c>
      <c r="D328" t="s">
        <v>120</v>
      </c>
      <c r="E328" t="str">
        <f>VLOOKUP(D328,'Lista de Produtos CLASSIFICAÇÃO'!$A$103:$B$144,2,FALSE)</f>
        <v>Derivados</v>
      </c>
      <c r="F328" s="55">
        <v>1765906</v>
      </c>
      <c r="G328" s="56" t="str">
        <f>VLOOKUP(C328,clientes!$C$3:$D$60,2,FALSE)</f>
        <v>GREENENERGY</v>
      </c>
    </row>
    <row r="329" spans="1:7" x14ac:dyDescent="0.25">
      <c r="A329">
        <v>2021</v>
      </c>
      <c r="B329" t="s">
        <v>141</v>
      </c>
      <c r="C329" t="s">
        <v>161</v>
      </c>
      <c r="D329" t="s">
        <v>120</v>
      </c>
      <c r="E329" t="str">
        <f>VLOOKUP(D329,'Lista de Produtos CLASSIFICAÇÃO'!$A$103:$B$144,2,FALSE)</f>
        <v>Derivados</v>
      </c>
      <c r="F329" s="55">
        <v>0</v>
      </c>
      <c r="G329" s="56" t="str">
        <f>VLOOKUP(C329,clientes!$C$3:$D$60,2,FALSE)</f>
        <v>SUL PLATA</v>
      </c>
    </row>
    <row r="330" spans="1:7" x14ac:dyDescent="0.25">
      <c r="A330">
        <v>2021</v>
      </c>
      <c r="B330" t="s">
        <v>141</v>
      </c>
      <c r="C330" t="s">
        <v>161</v>
      </c>
      <c r="D330" t="s">
        <v>120</v>
      </c>
      <c r="E330" t="str">
        <f>VLOOKUP(D330,'Lista de Produtos CLASSIFICAÇÃO'!$A$103:$B$144,2,FALSE)</f>
        <v>Derivados</v>
      </c>
      <c r="F330" s="55">
        <v>1739285</v>
      </c>
      <c r="G330" s="56" t="str">
        <f>VLOOKUP(C330,clientes!$C$3:$D$60,2,FALSE)</f>
        <v>SUL PLATA</v>
      </c>
    </row>
    <row r="331" spans="1:7" x14ac:dyDescent="0.25">
      <c r="A331">
        <v>2021</v>
      </c>
      <c r="B331" t="s">
        <v>141</v>
      </c>
      <c r="C331" t="s">
        <v>162</v>
      </c>
      <c r="D331" t="s">
        <v>115</v>
      </c>
      <c r="E331" t="str">
        <f>VLOOKUP(D331,'Lista de Produtos CLASSIFICAÇÃO'!$A$103:$B$144,2,FALSE)</f>
        <v>Soda Caustica</v>
      </c>
      <c r="F331" s="55">
        <v>134883</v>
      </c>
      <c r="G331" s="56" t="str">
        <f>VLOOKUP(C331,clientes!$C$3:$D$60,2,FALSE)</f>
        <v>JBS</v>
      </c>
    </row>
    <row r="332" spans="1:7" x14ac:dyDescent="0.25">
      <c r="A332">
        <v>2021</v>
      </c>
      <c r="B332" t="s">
        <v>141</v>
      </c>
      <c r="C332" t="s">
        <v>163</v>
      </c>
      <c r="D332" t="s">
        <v>115</v>
      </c>
      <c r="E332" t="str">
        <f>VLOOKUP(D332,'Lista de Produtos CLASSIFICAÇÃO'!$A$103:$B$144,2,FALSE)</f>
        <v>Soda Caustica</v>
      </c>
      <c r="F332" s="55">
        <v>305822</v>
      </c>
      <c r="G332" s="56" t="str">
        <f>VLOOKUP(C332,clientes!$C$3:$D$60,2,FALSE)</f>
        <v>TRICON ENERGY</v>
      </c>
    </row>
    <row r="333" spans="1:7" x14ac:dyDescent="0.25">
      <c r="A333">
        <v>2021</v>
      </c>
      <c r="B333" t="s">
        <v>141</v>
      </c>
      <c r="C333" t="s">
        <v>207</v>
      </c>
      <c r="D333" t="s">
        <v>16</v>
      </c>
      <c r="E333" t="str">
        <f>VLOOKUP(D333,'Lista de Produtos CLASSIFICAÇÃO'!$A$103:$B$144,2,FALSE)</f>
        <v>Outros</v>
      </c>
      <c r="F333" s="55">
        <v>194724</v>
      </c>
      <c r="G333" s="56" t="str">
        <f>VLOOKUP(C333,clientes!$C$3:$D$60,2,FALSE)</f>
        <v>NOVUS</v>
      </c>
    </row>
    <row r="334" spans="1:7" x14ac:dyDescent="0.25">
      <c r="A334">
        <v>2021</v>
      </c>
      <c r="B334" t="s">
        <v>141</v>
      </c>
      <c r="C334" t="s">
        <v>165</v>
      </c>
      <c r="D334" t="s">
        <v>123</v>
      </c>
      <c r="E334" t="str">
        <f>VLOOKUP(D334,'Lista de Produtos CLASSIFICAÇÃO'!$A$103:$B$144,2,FALSE)</f>
        <v>Aquecidos</v>
      </c>
      <c r="F334" s="55">
        <v>792025</v>
      </c>
      <c r="G334" s="56" t="str">
        <f>VLOOKUP(C334,clientes!$C$3:$D$60,2,FALSE)</f>
        <v>BRF</v>
      </c>
    </row>
    <row r="335" spans="1:7" x14ac:dyDescent="0.25">
      <c r="A335">
        <v>2021</v>
      </c>
      <c r="B335" t="s">
        <v>141</v>
      </c>
      <c r="C335" t="s">
        <v>162</v>
      </c>
      <c r="D335" t="s">
        <v>123</v>
      </c>
      <c r="E335" t="str">
        <f>VLOOKUP(D335,'Lista de Produtos CLASSIFICAÇÃO'!$A$103:$B$144,2,FALSE)</f>
        <v>Aquecidos</v>
      </c>
      <c r="F335" s="55">
        <v>179840</v>
      </c>
      <c r="G335" s="56" t="str">
        <f>VLOOKUP(C335,clientes!$C$3:$D$60,2,FALSE)</f>
        <v>JBS</v>
      </c>
    </row>
    <row r="336" spans="1:7" x14ac:dyDescent="0.25">
      <c r="A336">
        <v>2021</v>
      </c>
      <c r="B336" t="s">
        <v>141</v>
      </c>
      <c r="C336" t="s">
        <v>166</v>
      </c>
      <c r="D336" t="s">
        <v>123</v>
      </c>
      <c r="E336" t="str">
        <f>VLOOKUP(D336,'Lista de Produtos CLASSIFICAÇÃO'!$A$103:$B$144,2,FALSE)</f>
        <v>Aquecidos</v>
      </c>
      <c r="F336" s="55">
        <v>448348</v>
      </c>
      <c r="G336" s="56" t="str">
        <f>VLOOKUP(C336,clientes!$C$3:$D$60,2,FALSE)</f>
        <v>CARGILL</v>
      </c>
    </row>
    <row r="337" spans="1:7" x14ac:dyDescent="0.25">
      <c r="A337">
        <v>2021</v>
      </c>
      <c r="B337" t="s">
        <v>141</v>
      </c>
      <c r="C337" t="s">
        <v>167</v>
      </c>
      <c r="D337" t="s">
        <v>122</v>
      </c>
      <c r="E337" t="str">
        <f>VLOOKUP(D337,'Lista de Produtos CLASSIFICAÇÃO'!$A$103:$B$144,2,FALSE)</f>
        <v>Óleo Vegetal</v>
      </c>
      <c r="F337" s="55">
        <v>512741</v>
      </c>
      <c r="G337" s="56" t="str">
        <f>VLOOKUP(C337,clientes!$C$3:$D$60,2,FALSE)</f>
        <v>POOL</v>
      </c>
    </row>
    <row r="338" spans="1:7" x14ac:dyDescent="0.25">
      <c r="A338">
        <v>2021</v>
      </c>
      <c r="B338" t="s">
        <v>141</v>
      </c>
      <c r="C338" t="s">
        <v>168</v>
      </c>
      <c r="D338" t="s">
        <v>122</v>
      </c>
      <c r="E338" t="str">
        <f>VLOOKUP(D338,'Lista de Produtos CLASSIFICAÇÃO'!$A$103:$B$144,2,FALSE)</f>
        <v>Óleo Vegetal</v>
      </c>
      <c r="F338" s="55">
        <v>63587</v>
      </c>
      <c r="G338" s="56" t="str">
        <f>VLOOKUP(C338,clientes!$C$3:$D$60,2,FALSE)</f>
        <v>POOL EXCEDENTE</v>
      </c>
    </row>
    <row r="339" spans="1:7" x14ac:dyDescent="0.25">
      <c r="A339">
        <v>2021</v>
      </c>
      <c r="B339" t="s">
        <v>141</v>
      </c>
      <c r="C339" t="s">
        <v>169</v>
      </c>
      <c r="D339" t="s">
        <v>22</v>
      </c>
      <c r="E339" t="str">
        <f>VLOOKUP(D339,'Lista de Produtos CLASSIFICAÇÃO'!$A$103:$B$144,2,FALSE)</f>
        <v>Metanol</v>
      </c>
      <c r="F339" s="55">
        <v>5136871</v>
      </c>
      <c r="G339" s="56" t="str">
        <f>VLOOKUP(C339,clientes!$C$3:$D$60,2,FALSE)</f>
        <v>METHANEX</v>
      </c>
    </row>
    <row r="340" spans="1:7" x14ac:dyDescent="0.25">
      <c r="A340">
        <v>2021</v>
      </c>
      <c r="B340" t="s">
        <v>141</v>
      </c>
      <c r="C340" t="s">
        <v>170</v>
      </c>
      <c r="D340" t="s">
        <v>22</v>
      </c>
      <c r="E340" t="str">
        <f>VLOOKUP(D340,'Lista de Produtos CLASSIFICAÇÃO'!$A$103:$B$144,2,FALSE)</f>
        <v>Metanol</v>
      </c>
      <c r="F340" s="55">
        <v>3063505</v>
      </c>
      <c r="G340" s="56" t="str">
        <f>VLOOKUP(C340,clientes!$C$3:$D$60,2,FALSE)</f>
        <v>MITSUBISHI</v>
      </c>
    </row>
    <row r="341" spans="1:7" x14ac:dyDescent="0.25">
      <c r="A341">
        <v>2021</v>
      </c>
      <c r="B341" t="s">
        <v>141</v>
      </c>
      <c r="C341" t="s">
        <v>196</v>
      </c>
      <c r="D341" t="s">
        <v>22</v>
      </c>
      <c r="E341" t="str">
        <f>VLOOKUP(D341,'Lista de Produtos CLASSIFICAÇÃO'!$A$103:$B$144,2,FALSE)</f>
        <v>Metanol</v>
      </c>
      <c r="F341" s="55">
        <v>4558035</v>
      </c>
      <c r="G341" s="56" t="str">
        <f>VLOOKUP(C341,clientes!$C$3:$D$60,2,FALSE)</f>
        <v>SCC</v>
      </c>
    </row>
    <row r="342" spans="1:7" x14ac:dyDescent="0.25">
      <c r="A342">
        <v>2021</v>
      </c>
      <c r="B342" t="s">
        <v>141</v>
      </c>
      <c r="C342" t="s">
        <v>196</v>
      </c>
      <c r="D342" t="s">
        <v>22</v>
      </c>
      <c r="E342" t="str">
        <f>VLOOKUP(D342,'Lista de Produtos CLASSIFICAÇÃO'!$A$103:$B$144,2,FALSE)</f>
        <v>Metanol</v>
      </c>
      <c r="F342" s="55">
        <v>302087</v>
      </c>
      <c r="G342" s="56" t="str">
        <f>VLOOKUP(C342,clientes!$C$3:$D$60,2,FALSE)</f>
        <v>SCC</v>
      </c>
    </row>
    <row r="343" spans="1:7" x14ac:dyDescent="0.25">
      <c r="A343">
        <v>2021</v>
      </c>
      <c r="B343" t="s">
        <v>141</v>
      </c>
      <c r="C343" t="s">
        <v>208</v>
      </c>
      <c r="D343" t="s">
        <v>202</v>
      </c>
      <c r="E343" t="str">
        <f>VLOOKUP(D343,'Lista de Produtos CLASSIFICAÇÃO'!$A$103:$B$144,2,FALSE)</f>
        <v>Outros</v>
      </c>
      <c r="F343" s="55">
        <v>308366</v>
      </c>
      <c r="G343" s="56" t="str">
        <f>VLOOKUP(C343,clientes!$C$3:$D$60,2,FALSE)</f>
        <v>HINOVE</v>
      </c>
    </row>
    <row r="344" spans="1:7" x14ac:dyDescent="0.25">
      <c r="A344">
        <v>2021</v>
      </c>
      <c r="B344" t="s">
        <v>141</v>
      </c>
      <c r="C344" t="s">
        <v>172</v>
      </c>
      <c r="D344" t="s">
        <v>124</v>
      </c>
      <c r="E344" t="str">
        <f>VLOOKUP(D344,'Lista de Produtos CLASSIFICAÇÃO'!$A$103:$B$144,2,FALSE)</f>
        <v>Outros</v>
      </c>
      <c r="F344" s="55">
        <v>193830</v>
      </c>
      <c r="G344" s="56" t="str">
        <f>VLOOKUP(C344,clientes!$C$3:$D$60,2,FALSE)</f>
        <v>EVONIK</v>
      </c>
    </row>
    <row r="345" spans="1:7" x14ac:dyDescent="0.25">
      <c r="A345">
        <v>2021</v>
      </c>
      <c r="B345" t="s">
        <v>141</v>
      </c>
      <c r="C345" t="s">
        <v>173</v>
      </c>
      <c r="D345" t="s">
        <v>22</v>
      </c>
      <c r="E345" t="str">
        <f>VLOOKUP(D345,'Lista de Produtos CLASSIFICAÇÃO'!$A$103:$B$144,2,FALSE)</f>
        <v>Metanol</v>
      </c>
      <c r="F345" s="55">
        <v>502536</v>
      </c>
      <c r="G345" s="56" t="str">
        <f>VLOOKUP(C345,clientes!$C$3:$D$60,2,FALSE)</f>
        <v>YPF SOCIEDAD ANONIMA</v>
      </c>
    </row>
    <row r="346" spans="1:7" x14ac:dyDescent="0.25">
      <c r="A346">
        <v>2021</v>
      </c>
      <c r="B346" t="s">
        <v>141</v>
      </c>
      <c r="C346" t="s">
        <v>203</v>
      </c>
      <c r="D346" t="s">
        <v>124</v>
      </c>
      <c r="E346" t="str">
        <f>VLOOKUP(D346,'Lista de Produtos CLASSIFICAÇÃO'!$A$103:$B$144,2,FALSE)</f>
        <v>Outros</v>
      </c>
      <c r="F346" s="55">
        <v>118190</v>
      </c>
      <c r="G346" s="56" t="str">
        <f>VLOOKUP(C346,clientes!$C$3:$D$60,2,FALSE)</f>
        <v>GTM</v>
      </c>
    </row>
    <row r="347" spans="1:7" x14ac:dyDescent="0.25">
      <c r="A347">
        <v>2021</v>
      </c>
      <c r="B347" t="s">
        <v>141</v>
      </c>
      <c r="C347" t="s">
        <v>197</v>
      </c>
      <c r="D347" t="s">
        <v>85</v>
      </c>
      <c r="E347" t="str">
        <f>VLOOKUP(D347,'Lista de Produtos CLASSIFICAÇÃO'!$A$103:$B$144,2,FALSE)</f>
        <v>Outros</v>
      </c>
      <c r="F347" s="55">
        <v>119000</v>
      </c>
      <c r="G347" s="56" t="str">
        <f>VLOOKUP(C347,clientes!$C$3:$D$60,2,FALSE)</f>
        <v>DRT</v>
      </c>
    </row>
    <row r="348" spans="1:7" x14ac:dyDescent="0.25">
      <c r="A348">
        <v>2021</v>
      </c>
      <c r="B348" t="s">
        <v>141</v>
      </c>
      <c r="C348" t="s">
        <v>198</v>
      </c>
      <c r="D348" t="s">
        <v>121</v>
      </c>
      <c r="E348" t="str">
        <f>VLOOKUP(D348,'Lista de Produtos CLASSIFICAÇÃO'!$A$103:$B$144,2,FALSE)</f>
        <v>Biocombustíveis</v>
      </c>
      <c r="F348" s="55">
        <v>0</v>
      </c>
      <c r="G348" s="56" t="str">
        <f>VLOOKUP(C348,clientes!$C$3:$D$60,2,FALSE)</f>
        <v>TEREOS / INPASA / GLENCORE</v>
      </c>
    </row>
    <row r="349" spans="1:7" x14ac:dyDescent="0.25">
      <c r="A349">
        <v>2021</v>
      </c>
      <c r="B349" t="s">
        <v>141</v>
      </c>
      <c r="C349" t="s">
        <v>174</v>
      </c>
      <c r="D349" t="s">
        <v>123</v>
      </c>
      <c r="E349" t="str">
        <f>VLOOKUP(D349,'Lista de Produtos CLASSIFICAÇÃO'!$A$103:$B$144,2,FALSE)</f>
        <v>Aquecidos</v>
      </c>
      <c r="F349" s="55">
        <v>267764</v>
      </c>
      <c r="G349" s="56" t="str">
        <f>VLOOKUP(C349,clientes!$C$3:$D$60,2,FALSE)</f>
        <v>CELENA</v>
      </c>
    </row>
    <row r="350" spans="1:7" x14ac:dyDescent="0.25">
      <c r="A350">
        <v>2021</v>
      </c>
      <c r="B350" t="s">
        <v>141</v>
      </c>
      <c r="C350" t="s">
        <v>175</v>
      </c>
      <c r="D350" t="s">
        <v>123</v>
      </c>
      <c r="E350" t="str">
        <f>VLOOKUP(D350,'Lista de Produtos CLASSIFICAÇÃO'!$A$103:$B$144,2,FALSE)</f>
        <v>Aquecidos</v>
      </c>
      <c r="F350" s="55">
        <v>303588</v>
      </c>
      <c r="G350" s="56" t="str">
        <f>VLOOKUP(C350,clientes!$C$3:$D$60,2,FALSE)</f>
        <v>AAK DO BRASIL</v>
      </c>
    </row>
    <row r="351" spans="1:7" x14ac:dyDescent="0.25">
      <c r="A351">
        <v>2021</v>
      </c>
      <c r="B351" t="s">
        <v>141</v>
      </c>
      <c r="C351" t="s">
        <v>166</v>
      </c>
      <c r="D351" t="s">
        <v>122</v>
      </c>
      <c r="E351" t="str">
        <f>VLOOKUP(D351,'Lista de Produtos CLASSIFICAÇÃO'!$A$103:$B$144,2,FALSE)</f>
        <v>Óleo Vegetal</v>
      </c>
      <c r="F351" s="55">
        <v>242252</v>
      </c>
      <c r="G351" s="56" t="str">
        <f>VLOOKUP(C351,clientes!$C$3:$D$60,2,FALSE)</f>
        <v>CARGILL</v>
      </c>
    </row>
    <row r="352" spans="1:7" x14ac:dyDescent="0.25">
      <c r="A352">
        <v>2021</v>
      </c>
      <c r="B352" t="s">
        <v>141</v>
      </c>
      <c r="C352" t="s">
        <v>176</v>
      </c>
      <c r="D352" t="s">
        <v>123</v>
      </c>
      <c r="E352" t="str">
        <f>VLOOKUP(D352,'Lista de Produtos CLASSIFICAÇÃO'!$A$103:$B$144,2,FALSE)</f>
        <v>Aquecidos</v>
      </c>
      <c r="F352" s="55">
        <v>304688</v>
      </c>
      <c r="G352" s="56" t="str">
        <f>VLOOKUP(C352,clientes!$C$3:$D$60,2,FALSE)</f>
        <v>AGROPALMA</v>
      </c>
    </row>
    <row r="353" spans="1:7" x14ac:dyDescent="0.25">
      <c r="A353">
        <v>2021</v>
      </c>
      <c r="B353" t="s">
        <v>141</v>
      </c>
      <c r="C353" t="s">
        <v>204</v>
      </c>
      <c r="D353" t="s">
        <v>59</v>
      </c>
      <c r="E353" t="str">
        <f>VLOOKUP(D353,'Lista de Produtos CLASSIFICAÇÃO'!$A$103:$B$144,2,FALSE)</f>
        <v>Derivados</v>
      </c>
      <c r="F353" s="55">
        <v>1442809</v>
      </c>
      <c r="G353" s="56" t="str">
        <f>VLOOKUP(C353,clientes!$C$3:$D$60,2,FALSE)</f>
        <v>COPAPE</v>
      </c>
    </row>
    <row r="354" spans="1:7" x14ac:dyDescent="0.25">
      <c r="A354">
        <v>2021</v>
      </c>
      <c r="B354" t="s">
        <v>142</v>
      </c>
      <c r="C354" t="s">
        <v>155</v>
      </c>
      <c r="D354" t="s">
        <v>16</v>
      </c>
      <c r="E354" t="str">
        <f>VLOOKUP(D354,'Lista de Produtos CLASSIFICAÇÃO'!$A$103:$B$144,2,FALSE)</f>
        <v>Outros</v>
      </c>
      <c r="F354" s="55">
        <v>515772</v>
      </c>
      <c r="G354" s="56" t="str">
        <f>VLOOKUP(C354,clientes!$C$3:$D$60,2,FALSE)</f>
        <v>ADISSEO</v>
      </c>
    </row>
    <row r="355" spans="1:7" x14ac:dyDescent="0.25">
      <c r="A355">
        <v>2021</v>
      </c>
      <c r="B355" t="s">
        <v>142</v>
      </c>
      <c r="C355" t="s">
        <v>155</v>
      </c>
      <c r="D355" t="s">
        <v>16</v>
      </c>
      <c r="E355" t="str">
        <f>VLOOKUP(D355,'Lista de Produtos CLASSIFICAÇÃO'!$A$103:$B$144,2,FALSE)</f>
        <v>Outros</v>
      </c>
      <c r="F355" s="55">
        <v>132556</v>
      </c>
      <c r="G355" s="56" t="str">
        <f>VLOOKUP(C355,clientes!$C$3:$D$60,2,FALSE)</f>
        <v>ADISSEO</v>
      </c>
    </row>
    <row r="356" spans="1:7" x14ac:dyDescent="0.25">
      <c r="A356">
        <v>2021</v>
      </c>
      <c r="B356" t="s">
        <v>142</v>
      </c>
      <c r="C356" t="s">
        <v>199</v>
      </c>
      <c r="D356" t="s">
        <v>16</v>
      </c>
      <c r="E356" t="str">
        <f>VLOOKUP(D356,'Lista de Produtos CLASSIFICAÇÃO'!$A$103:$B$144,2,FALSE)</f>
        <v>Outros</v>
      </c>
      <c r="F356" s="55">
        <v>3316</v>
      </c>
      <c r="G356" s="56" t="str">
        <f>VLOOKUP(C356,clientes!$C$3:$D$60,2,FALSE)</f>
        <v>ADISSEO</v>
      </c>
    </row>
    <row r="357" spans="1:7" x14ac:dyDescent="0.25">
      <c r="A357">
        <v>2021</v>
      </c>
      <c r="B357" t="s">
        <v>142</v>
      </c>
      <c r="C357" t="s">
        <v>157</v>
      </c>
      <c r="D357" t="s">
        <v>49</v>
      </c>
      <c r="E357" t="str">
        <f>VLOOKUP(D357,'Lista de Produtos CLASSIFICAÇÃO'!$A$103:$B$144,2,FALSE)</f>
        <v>Outros</v>
      </c>
      <c r="F357" s="55">
        <v>79358</v>
      </c>
      <c r="G357" s="56" t="str">
        <f>VLOOKUP(C357,clientes!$C$3:$D$60,2,FALSE)</f>
        <v>ADM</v>
      </c>
    </row>
    <row r="358" spans="1:7" x14ac:dyDescent="0.25">
      <c r="A358">
        <v>2021</v>
      </c>
      <c r="B358" t="s">
        <v>142</v>
      </c>
      <c r="C358" t="s">
        <v>158</v>
      </c>
      <c r="D358" t="s">
        <v>120</v>
      </c>
      <c r="E358" t="str">
        <f>VLOOKUP(D358,'Lista de Produtos CLASSIFICAÇÃO'!$A$103:$B$144,2,FALSE)</f>
        <v>Derivados</v>
      </c>
      <c r="F358" s="55">
        <v>6963862</v>
      </c>
      <c r="G358" s="56" t="str">
        <f>VLOOKUP(C358,clientes!$C$3:$D$60,2,FALSE)</f>
        <v>IPIRANGA</v>
      </c>
    </row>
    <row r="359" spans="1:7" x14ac:dyDescent="0.25">
      <c r="A359">
        <v>2021</v>
      </c>
      <c r="B359" t="s">
        <v>142</v>
      </c>
      <c r="C359" t="s">
        <v>206</v>
      </c>
      <c r="D359" t="s">
        <v>120</v>
      </c>
      <c r="E359" t="str">
        <f>VLOOKUP(D359,'Lista de Produtos CLASSIFICAÇÃO'!$A$103:$B$144,2,FALSE)</f>
        <v>Derivados</v>
      </c>
      <c r="F359" s="55">
        <v>3673286</v>
      </c>
      <c r="G359" s="56" t="str">
        <f>VLOOKUP(C359,clientes!$C$3:$D$60,2,FALSE)</f>
        <v>BR</v>
      </c>
    </row>
    <row r="360" spans="1:7" x14ac:dyDescent="0.25">
      <c r="A360">
        <v>2021</v>
      </c>
      <c r="B360" t="s">
        <v>142</v>
      </c>
      <c r="C360" t="s">
        <v>200</v>
      </c>
      <c r="D360" t="s">
        <v>120</v>
      </c>
      <c r="E360" t="str">
        <f>VLOOKUP(D360,'Lista de Produtos CLASSIFICAÇÃO'!$A$103:$B$144,2,FALSE)</f>
        <v>Derivados</v>
      </c>
      <c r="F360" s="55">
        <v>1765906</v>
      </c>
      <c r="G360" s="56" t="str">
        <f>VLOOKUP(C360,clientes!$C$3:$D$60,2,FALSE)</f>
        <v>GREENENERGY</v>
      </c>
    </row>
    <row r="361" spans="1:7" x14ac:dyDescent="0.25">
      <c r="A361">
        <v>2021</v>
      </c>
      <c r="B361" t="s">
        <v>142</v>
      </c>
      <c r="C361" t="s">
        <v>161</v>
      </c>
      <c r="D361" t="s">
        <v>120</v>
      </c>
      <c r="E361" t="str">
        <f>VLOOKUP(D361,'Lista de Produtos CLASSIFICAÇÃO'!$A$103:$B$144,2,FALSE)</f>
        <v>Derivados</v>
      </c>
      <c r="F361" s="55">
        <v>0</v>
      </c>
      <c r="G361" s="56" t="str">
        <f>VLOOKUP(C361,clientes!$C$3:$D$60,2,FALSE)</f>
        <v>SUL PLATA</v>
      </c>
    </row>
    <row r="362" spans="1:7" x14ac:dyDescent="0.25">
      <c r="A362">
        <v>2021</v>
      </c>
      <c r="B362" t="s">
        <v>142</v>
      </c>
      <c r="C362" t="s">
        <v>161</v>
      </c>
      <c r="D362" t="s">
        <v>120</v>
      </c>
      <c r="E362" t="str">
        <f>VLOOKUP(D362,'Lista de Produtos CLASSIFICAÇÃO'!$A$103:$B$144,2,FALSE)</f>
        <v>Derivados</v>
      </c>
      <c r="F362" s="55">
        <v>1739285</v>
      </c>
      <c r="G362" s="56" t="str">
        <f>VLOOKUP(C362,clientes!$C$3:$D$60,2,FALSE)</f>
        <v>SUL PLATA</v>
      </c>
    </row>
    <row r="363" spans="1:7" x14ac:dyDescent="0.25">
      <c r="A363">
        <v>2021</v>
      </c>
      <c r="B363" t="s">
        <v>142</v>
      </c>
      <c r="C363" t="s">
        <v>162</v>
      </c>
      <c r="D363" t="s">
        <v>115</v>
      </c>
      <c r="E363" t="str">
        <f>VLOOKUP(D363,'Lista de Produtos CLASSIFICAÇÃO'!$A$103:$B$144,2,FALSE)</f>
        <v>Soda Caustica</v>
      </c>
      <c r="F363" s="55">
        <v>134883</v>
      </c>
      <c r="G363" s="56" t="str">
        <f>VLOOKUP(C363,clientes!$C$3:$D$60,2,FALSE)</f>
        <v>JBS</v>
      </c>
    </row>
    <row r="364" spans="1:7" x14ac:dyDescent="0.25">
      <c r="A364">
        <v>2021</v>
      </c>
      <c r="B364" t="s">
        <v>142</v>
      </c>
      <c r="C364" t="s">
        <v>163</v>
      </c>
      <c r="D364" t="s">
        <v>115</v>
      </c>
      <c r="E364" t="str">
        <f>VLOOKUP(D364,'Lista de Produtos CLASSIFICAÇÃO'!$A$103:$B$144,2,FALSE)</f>
        <v>Soda Caustica</v>
      </c>
      <c r="F364" s="55">
        <v>305822</v>
      </c>
      <c r="G364" s="56" t="str">
        <f>VLOOKUP(C364,clientes!$C$3:$D$60,2,FALSE)</f>
        <v>TRICON ENERGY</v>
      </c>
    </row>
    <row r="365" spans="1:7" x14ac:dyDescent="0.25">
      <c r="A365">
        <v>2021</v>
      </c>
      <c r="B365" t="s">
        <v>142</v>
      </c>
      <c r="C365" t="s">
        <v>207</v>
      </c>
      <c r="D365" t="s">
        <v>16</v>
      </c>
      <c r="E365" t="str">
        <f>VLOOKUP(D365,'Lista de Produtos CLASSIFICAÇÃO'!$A$103:$B$144,2,FALSE)</f>
        <v>Outros</v>
      </c>
      <c r="F365" s="55">
        <v>203290</v>
      </c>
      <c r="G365" s="56" t="str">
        <f>VLOOKUP(C365,clientes!$C$3:$D$60,2,FALSE)</f>
        <v>NOVUS</v>
      </c>
    </row>
    <row r="366" spans="1:7" x14ac:dyDescent="0.25">
      <c r="A366">
        <v>2021</v>
      </c>
      <c r="B366" t="s">
        <v>142</v>
      </c>
      <c r="C366" t="s">
        <v>165</v>
      </c>
      <c r="D366" t="s">
        <v>123</v>
      </c>
      <c r="E366" t="str">
        <f>VLOOKUP(D366,'Lista de Produtos CLASSIFICAÇÃO'!$A$103:$B$144,2,FALSE)</f>
        <v>Aquecidos</v>
      </c>
      <c r="F366" s="55">
        <v>792025</v>
      </c>
      <c r="G366" s="56" t="str">
        <f>VLOOKUP(C366,clientes!$C$3:$D$60,2,FALSE)</f>
        <v>BRF</v>
      </c>
    </row>
    <row r="367" spans="1:7" x14ac:dyDescent="0.25">
      <c r="A367">
        <v>2021</v>
      </c>
      <c r="B367" t="s">
        <v>142</v>
      </c>
      <c r="C367" t="s">
        <v>162</v>
      </c>
      <c r="D367" t="s">
        <v>123</v>
      </c>
      <c r="E367" t="str">
        <f>VLOOKUP(D367,'Lista de Produtos CLASSIFICAÇÃO'!$A$103:$B$144,2,FALSE)</f>
        <v>Aquecidos</v>
      </c>
      <c r="F367" s="55">
        <v>179840</v>
      </c>
      <c r="G367" s="56" t="str">
        <f>VLOOKUP(C367,clientes!$C$3:$D$60,2,FALSE)</f>
        <v>JBS</v>
      </c>
    </row>
    <row r="368" spans="1:7" x14ac:dyDescent="0.25">
      <c r="A368">
        <v>2021</v>
      </c>
      <c r="B368" t="s">
        <v>142</v>
      </c>
      <c r="C368" t="s">
        <v>166</v>
      </c>
      <c r="D368" t="s">
        <v>123</v>
      </c>
      <c r="E368" t="str">
        <f>VLOOKUP(D368,'Lista de Produtos CLASSIFICAÇÃO'!$A$103:$B$144,2,FALSE)</f>
        <v>Aquecidos</v>
      </c>
      <c r="F368" s="55">
        <v>448348</v>
      </c>
      <c r="G368" s="56" t="str">
        <f>VLOOKUP(C368,clientes!$C$3:$D$60,2,FALSE)</f>
        <v>CARGILL</v>
      </c>
    </row>
    <row r="369" spans="1:7" x14ac:dyDescent="0.25">
      <c r="A369">
        <v>2021</v>
      </c>
      <c r="B369" t="s">
        <v>142</v>
      </c>
      <c r="C369" t="s">
        <v>167</v>
      </c>
      <c r="D369" t="s">
        <v>122</v>
      </c>
      <c r="E369" t="str">
        <f>VLOOKUP(D369,'Lista de Produtos CLASSIFICAÇÃO'!$A$103:$B$144,2,FALSE)</f>
        <v>Óleo Vegetal</v>
      </c>
      <c r="F369" s="55">
        <v>512741</v>
      </c>
      <c r="G369" s="56" t="str">
        <f>VLOOKUP(C369,clientes!$C$3:$D$60,2,FALSE)</f>
        <v>POOL</v>
      </c>
    </row>
    <row r="370" spans="1:7" x14ac:dyDescent="0.25">
      <c r="A370">
        <v>2021</v>
      </c>
      <c r="B370" t="s">
        <v>142</v>
      </c>
      <c r="C370" t="s">
        <v>168</v>
      </c>
      <c r="D370" t="s">
        <v>122</v>
      </c>
      <c r="E370" t="str">
        <f>VLOOKUP(D370,'Lista de Produtos CLASSIFICAÇÃO'!$A$103:$B$144,2,FALSE)</f>
        <v>Óleo Vegetal</v>
      </c>
      <c r="F370" s="55">
        <v>63587</v>
      </c>
      <c r="G370" s="56" t="str">
        <f>VLOOKUP(C370,clientes!$C$3:$D$60,2,FALSE)</f>
        <v>POOL EXCEDENTE</v>
      </c>
    </row>
    <row r="371" spans="1:7" x14ac:dyDescent="0.25">
      <c r="A371">
        <v>2021</v>
      </c>
      <c r="B371" t="s">
        <v>142</v>
      </c>
      <c r="C371" t="s">
        <v>169</v>
      </c>
      <c r="D371" t="s">
        <v>22</v>
      </c>
      <c r="E371" t="str">
        <f>VLOOKUP(D371,'Lista de Produtos CLASSIFICAÇÃO'!$A$103:$B$144,2,FALSE)</f>
        <v>Metanol</v>
      </c>
      <c r="F371" s="55">
        <v>5136871</v>
      </c>
      <c r="G371" s="56" t="str">
        <f>VLOOKUP(C371,clientes!$C$3:$D$60,2,FALSE)</f>
        <v>METHANEX</v>
      </c>
    </row>
    <row r="372" spans="1:7" x14ac:dyDescent="0.25">
      <c r="A372">
        <v>2021</v>
      </c>
      <c r="B372" t="s">
        <v>142</v>
      </c>
      <c r="C372" t="s">
        <v>170</v>
      </c>
      <c r="D372" t="s">
        <v>22</v>
      </c>
      <c r="E372" t="str">
        <f>VLOOKUP(D372,'Lista de Produtos CLASSIFICAÇÃO'!$A$103:$B$144,2,FALSE)</f>
        <v>Metanol</v>
      </c>
      <c r="F372" s="55">
        <v>3063505</v>
      </c>
      <c r="G372" s="56" t="str">
        <f>VLOOKUP(C372,clientes!$C$3:$D$60,2,FALSE)</f>
        <v>MITSUBISHI</v>
      </c>
    </row>
    <row r="373" spans="1:7" x14ac:dyDescent="0.25">
      <c r="A373">
        <v>2021</v>
      </c>
      <c r="B373" t="s">
        <v>142</v>
      </c>
      <c r="C373" t="s">
        <v>196</v>
      </c>
      <c r="D373" t="s">
        <v>22</v>
      </c>
      <c r="E373" t="str">
        <f>VLOOKUP(D373,'Lista de Produtos CLASSIFICAÇÃO'!$A$103:$B$144,2,FALSE)</f>
        <v>Metanol</v>
      </c>
      <c r="F373" s="55">
        <v>4558035</v>
      </c>
      <c r="G373" s="56" t="str">
        <f>VLOOKUP(C373,clientes!$C$3:$D$60,2,FALSE)</f>
        <v>SCC</v>
      </c>
    </row>
    <row r="374" spans="1:7" x14ac:dyDescent="0.25">
      <c r="A374">
        <v>2021</v>
      </c>
      <c r="B374" t="s">
        <v>142</v>
      </c>
      <c r="C374" t="s">
        <v>196</v>
      </c>
      <c r="D374" t="s">
        <v>22</v>
      </c>
      <c r="E374" t="str">
        <f>VLOOKUP(D374,'Lista de Produtos CLASSIFICAÇÃO'!$A$103:$B$144,2,FALSE)</f>
        <v>Metanol</v>
      </c>
      <c r="F374" s="55">
        <v>302087</v>
      </c>
      <c r="G374" s="56" t="str">
        <f>VLOOKUP(C374,clientes!$C$3:$D$60,2,FALSE)</f>
        <v>SCC</v>
      </c>
    </row>
    <row r="375" spans="1:7" x14ac:dyDescent="0.25">
      <c r="A375">
        <v>2021</v>
      </c>
      <c r="B375" t="s">
        <v>142</v>
      </c>
      <c r="C375" t="s">
        <v>208</v>
      </c>
      <c r="D375" t="s">
        <v>202</v>
      </c>
      <c r="E375" t="str">
        <f>VLOOKUP(D375,'Lista de Produtos CLASSIFICAÇÃO'!$A$103:$B$144,2,FALSE)</f>
        <v>Outros</v>
      </c>
      <c r="F375" s="55">
        <v>308366</v>
      </c>
      <c r="G375" s="56" t="str">
        <f>VLOOKUP(C375,clientes!$C$3:$D$60,2,FALSE)</f>
        <v>HINOVE</v>
      </c>
    </row>
    <row r="376" spans="1:7" x14ac:dyDescent="0.25">
      <c r="A376">
        <v>2021</v>
      </c>
      <c r="B376" t="s">
        <v>142</v>
      </c>
      <c r="C376" t="s">
        <v>172</v>
      </c>
      <c r="D376" t="s">
        <v>124</v>
      </c>
      <c r="E376" t="str">
        <f>VLOOKUP(D376,'Lista de Produtos CLASSIFICAÇÃO'!$A$103:$B$144,2,FALSE)</f>
        <v>Outros</v>
      </c>
      <c r="F376" s="55">
        <v>193830</v>
      </c>
      <c r="G376" s="56" t="str">
        <f>VLOOKUP(C376,clientes!$C$3:$D$60,2,FALSE)</f>
        <v>EVONIK</v>
      </c>
    </row>
    <row r="377" spans="1:7" x14ac:dyDescent="0.25">
      <c r="A377">
        <v>2021</v>
      </c>
      <c r="B377" t="s">
        <v>142</v>
      </c>
      <c r="C377" t="s">
        <v>173</v>
      </c>
      <c r="D377" t="s">
        <v>22</v>
      </c>
      <c r="E377" t="str">
        <f>VLOOKUP(D377,'Lista de Produtos CLASSIFICAÇÃO'!$A$103:$B$144,2,FALSE)</f>
        <v>Metanol</v>
      </c>
      <c r="F377" s="55">
        <v>575140</v>
      </c>
      <c r="G377" s="56" t="str">
        <f>VLOOKUP(C377,clientes!$C$3:$D$60,2,FALSE)</f>
        <v>YPF SOCIEDAD ANONIMA</v>
      </c>
    </row>
    <row r="378" spans="1:7" x14ac:dyDescent="0.25">
      <c r="A378">
        <v>2021</v>
      </c>
      <c r="B378" t="s">
        <v>142</v>
      </c>
      <c r="C378" t="s">
        <v>203</v>
      </c>
      <c r="D378" t="s">
        <v>124</v>
      </c>
      <c r="E378" t="str">
        <f>VLOOKUP(D378,'Lista de Produtos CLASSIFICAÇÃO'!$A$103:$B$144,2,FALSE)</f>
        <v>Outros</v>
      </c>
      <c r="F378" s="55">
        <v>128809</v>
      </c>
      <c r="G378" s="56" t="str">
        <f>VLOOKUP(C378,clientes!$C$3:$D$60,2,FALSE)</f>
        <v>GTM</v>
      </c>
    </row>
    <row r="379" spans="1:7" x14ac:dyDescent="0.25">
      <c r="A379">
        <v>2021</v>
      </c>
      <c r="B379" t="s">
        <v>142</v>
      </c>
      <c r="C379" t="s">
        <v>197</v>
      </c>
      <c r="D379" t="s">
        <v>85</v>
      </c>
      <c r="E379" t="str">
        <f>VLOOKUP(D379,'Lista de Produtos CLASSIFICAÇÃO'!$A$103:$B$144,2,FALSE)</f>
        <v>Outros</v>
      </c>
      <c r="F379" s="55">
        <v>119000</v>
      </c>
      <c r="G379" s="56" t="str">
        <f>VLOOKUP(C379,clientes!$C$3:$D$60,2,FALSE)</f>
        <v>DRT</v>
      </c>
    </row>
    <row r="380" spans="1:7" x14ac:dyDescent="0.25">
      <c r="A380">
        <v>2021</v>
      </c>
      <c r="B380" t="s">
        <v>142</v>
      </c>
      <c r="C380" t="s">
        <v>198</v>
      </c>
      <c r="D380" t="s">
        <v>121</v>
      </c>
      <c r="E380" t="str">
        <f>VLOOKUP(D380,'Lista de Produtos CLASSIFICAÇÃO'!$A$103:$B$144,2,FALSE)</f>
        <v>Biocombustíveis</v>
      </c>
      <c r="F380" s="55">
        <v>0</v>
      </c>
      <c r="G380" s="56" t="str">
        <f>VLOOKUP(C380,clientes!$C$3:$D$60,2,FALSE)</f>
        <v>TEREOS / INPASA / GLENCORE</v>
      </c>
    </row>
    <row r="381" spans="1:7" x14ac:dyDescent="0.25">
      <c r="A381">
        <v>2021</v>
      </c>
      <c r="B381" t="s">
        <v>142</v>
      </c>
      <c r="C381" t="s">
        <v>174</v>
      </c>
      <c r="D381" t="s">
        <v>123</v>
      </c>
      <c r="E381" t="str">
        <f>VLOOKUP(D381,'Lista de Produtos CLASSIFICAÇÃO'!$A$103:$B$144,2,FALSE)</f>
        <v>Aquecidos</v>
      </c>
      <c r="F381" s="55">
        <v>267764</v>
      </c>
      <c r="G381" s="56" t="str">
        <f>VLOOKUP(C381,clientes!$C$3:$D$60,2,FALSE)</f>
        <v>CELENA</v>
      </c>
    </row>
    <row r="382" spans="1:7" x14ac:dyDescent="0.25">
      <c r="A382">
        <v>2021</v>
      </c>
      <c r="B382" t="s">
        <v>142</v>
      </c>
      <c r="C382" t="s">
        <v>175</v>
      </c>
      <c r="D382" t="s">
        <v>123</v>
      </c>
      <c r="E382" t="str">
        <f>VLOOKUP(D382,'Lista de Produtos CLASSIFICAÇÃO'!$A$103:$B$144,2,FALSE)</f>
        <v>Aquecidos</v>
      </c>
      <c r="F382" s="55">
        <v>303588</v>
      </c>
      <c r="G382" s="56" t="str">
        <f>VLOOKUP(C382,clientes!$C$3:$D$60,2,FALSE)</f>
        <v>AAK DO BRASIL</v>
      </c>
    </row>
    <row r="383" spans="1:7" x14ac:dyDescent="0.25">
      <c r="A383">
        <v>2021</v>
      </c>
      <c r="B383" t="s">
        <v>142</v>
      </c>
      <c r="C383" t="s">
        <v>166</v>
      </c>
      <c r="D383" t="s">
        <v>122</v>
      </c>
      <c r="E383" t="str">
        <f>VLOOKUP(D383,'Lista de Produtos CLASSIFICAÇÃO'!$A$103:$B$144,2,FALSE)</f>
        <v>Óleo Vegetal</v>
      </c>
      <c r="F383" s="55">
        <v>200808</v>
      </c>
      <c r="G383" s="56" t="str">
        <f>VLOOKUP(C383,clientes!$C$3:$D$60,2,FALSE)</f>
        <v>CARGILL</v>
      </c>
    </row>
    <row r="384" spans="1:7" x14ac:dyDescent="0.25">
      <c r="A384">
        <v>2021</v>
      </c>
      <c r="B384" t="s">
        <v>142</v>
      </c>
      <c r="C384" t="s">
        <v>176</v>
      </c>
      <c r="D384" t="s">
        <v>123</v>
      </c>
      <c r="E384" t="str">
        <f>VLOOKUP(D384,'Lista de Produtos CLASSIFICAÇÃO'!$A$103:$B$144,2,FALSE)</f>
        <v>Aquecidos</v>
      </c>
      <c r="F384" s="55">
        <v>304688</v>
      </c>
      <c r="G384" s="56" t="str">
        <f>VLOOKUP(C384,clientes!$C$3:$D$60,2,FALSE)</f>
        <v>AGROPALMA</v>
      </c>
    </row>
    <row r="385" spans="1:7" x14ac:dyDescent="0.25">
      <c r="A385">
        <v>2021</v>
      </c>
      <c r="B385" t="s">
        <v>142</v>
      </c>
      <c r="C385" t="s">
        <v>204</v>
      </c>
      <c r="D385" t="s">
        <v>59</v>
      </c>
      <c r="E385" t="str">
        <f>VLOOKUP(D385,'Lista de Produtos CLASSIFICAÇÃO'!$A$103:$B$144,2,FALSE)</f>
        <v>Derivados</v>
      </c>
      <c r="F385" s="55">
        <v>1442809</v>
      </c>
      <c r="G385" s="56" t="str">
        <f>VLOOKUP(C385,clientes!$C$3:$D$60,2,FALSE)</f>
        <v>COPAPE</v>
      </c>
    </row>
    <row r="386" spans="1:7" x14ac:dyDescent="0.25">
      <c r="A386">
        <v>2022</v>
      </c>
      <c r="B386" t="s">
        <v>143</v>
      </c>
      <c r="C386" s="56" t="s">
        <v>155</v>
      </c>
      <c r="D386" t="s">
        <v>16</v>
      </c>
      <c r="E386" t="str">
        <f>VLOOKUP(D386,'Lista de Produtos CLASSIFICAÇÃO'!$A$103:$B$144,2,FALSE)</f>
        <v>Outros</v>
      </c>
      <c r="F386" s="55">
        <v>716278</v>
      </c>
      <c r="G386" s="56" t="str">
        <f>VLOOKUP(C386,clientes!$C$3:$D$60,2,FALSE)</f>
        <v>ADISSEO</v>
      </c>
    </row>
    <row r="387" spans="1:7" x14ac:dyDescent="0.25">
      <c r="A387">
        <v>2022</v>
      </c>
      <c r="B387" t="s">
        <v>143</v>
      </c>
      <c r="C387" s="56" t="s">
        <v>156</v>
      </c>
      <c r="D387" t="s">
        <v>123</v>
      </c>
      <c r="E387" t="str">
        <f>VLOOKUP(D387,'Lista de Produtos CLASSIFICAÇÃO'!$A$103:$B$144,2,FALSE)</f>
        <v>Aquecidos</v>
      </c>
      <c r="F387" s="55">
        <v>316411</v>
      </c>
      <c r="G387" s="56" t="str">
        <f>VLOOKUP(C387,clientes!$C$3:$D$60,2,FALSE)</f>
        <v>BUNGE</v>
      </c>
    </row>
    <row r="388" spans="1:7" x14ac:dyDescent="0.25">
      <c r="A388">
        <v>2022</v>
      </c>
      <c r="B388" t="s">
        <v>143</v>
      </c>
      <c r="C388" s="56" t="s">
        <v>199</v>
      </c>
      <c r="D388" t="s">
        <v>16</v>
      </c>
      <c r="E388" t="str">
        <f>VLOOKUP(D388,'Lista de Produtos CLASSIFICAÇÃO'!$A$103:$B$144,2,FALSE)</f>
        <v>Outros</v>
      </c>
      <c r="F388" s="55">
        <v>3580</v>
      </c>
      <c r="G388" s="56" t="str">
        <f>VLOOKUP(C388,clientes!$C$3:$D$60,2,FALSE)</f>
        <v>ADISSEO</v>
      </c>
    </row>
    <row r="389" spans="1:7" x14ac:dyDescent="0.25">
      <c r="A389">
        <v>2022</v>
      </c>
      <c r="B389" t="s">
        <v>143</v>
      </c>
      <c r="C389" s="56" t="s">
        <v>157</v>
      </c>
      <c r="D389" t="s">
        <v>122</v>
      </c>
      <c r="E389" t="str">
        <f>VLOOKUP(D389,'Lista de Produtos CLASSIFICAÇÃO'!$A$103:$B$144,2,FALSE)</f>
        <v>Óleo Vegetal</v>
      </c>
      <c r="F389" s="55">
        <v>103392</v>
      </c>
      <c r="G389" s="56" t="str">
        <f>VLOOKUP(C389,clientes!$C$3:$D$60,2,FALSE)</f>
        <v>ADM</v>
      </c>
    </row>
    <row r="390" spans="1:7" x14ac:dyDescent="0.25">
      <c r="A390">
        <v>2022</v>
      </c>
      <c r="B390" t="s">
        <v>143</v>
      </c>
      <c r="C390" s="56" t="s">
        <v>158</v>
      </c>
      <c r="D390" t="s">
        <v>120</v>
      </c>
      <c r="E390" t="str">
        <f>VLOOKUP(D390,'Lista de Produtos CLASSIFICAÇÃO'!$A$103:$B$144,2,FALSE)</f>
        <v>Derivados</v>
      </c>
      <c r="F390" s="55">
        <v>5509666</v>
      </c>
      <c r="G390" s="56" t="str">
        <f>VLOOKUP(C390,clientes!$C$3:$D$60,2,FALSE)</f>
        <v>IPIRANGA</v>
      </c>
    </row>
    <row r="391" spans="1:7" x14ac:dyDescent="0.25">
      <c r="A391">
        <v>2022</v>
      </c>
      <c r="B391" t="s">
        <v>143</v>
      </c>
      <c r="C391" s="56" t="s">
        <v>159</v>
      </c>
      <c r="D391" t="s">
        <v>120</v>
      </c>
      <c r="E391" t="str">
        <f>VLOOKUP(D391,'Lista de Produtos CLASSIFICAÇÃO'!$A$103:$B$144,2,FALSE)</f>
        <v>Derivados</v>
      </c>
      <c r="F391" s="55">
        <v>2451242</v>
      </c>
      <c r="G391" s="56" t="str">
        <f>VLOOKUP(C391,clientes!$C$3:$D$60,2,FALSE)</f>
        <v>RAIZEN</v>
      </c>
    </row>
    <row r="392" spans="1:7" x14ac:dyDescent="0.25">
      <c r="A392">
        <v>2022</v>
      </c>
      <c r="B392" t="s">
        <v>143</v>
      </c>
      <c r="C392" s="56" t="s">
        <v>200</v>
      </c>
      <c r="D392" t="s">
        <v>120</v>
      </c>
      <c r="E392" t="str">
        <f>VLOOKUP(D392,'Lista de Produtos CLASSIFICAÇÃO'!$A$103:$B$144,2,FALSE)</f>
        <v>Derivados</v>
      </c>
      <c r="F392" s="55">
        <v>1004795</v>
      </c>
      <c r="G392" s="56" t="str">
        <f>VLOOKUP(C392,clientes!$C$3:$D$60,2,FALSE)</f>
        <v>GREENENERGY</v>
      </c>
    </row>
    <row r="393" spans="1:7" x14ac:dyDescent="0.25">
      <c r="A393">
        <v>2022</v>
      </c>
      <c r="B393" t="s">
        <v>143</v>
      </c>
      <c r="C393" s="56" t="s">
        <v>161</v>
      </c>
      <c r="D393" t="s">
        <v>120</v>
      </c>
      <c r="E393" t="str">
        <f>VLOOKUP(D393,'Lista de Produtos CLASSIFICAÇÃO'!$A$103:$B$144,2,FALSE)</f>
        <v>Derivados</v>
      </c>
      <c r="F393" s="55">
        <v>2053242</v>
      </c>
      <c r="G393" s="56" t="str">
        <f>VLOOKUP(C393,clientes!$C$3:$D$60,2,FALSE)</f>
        <v>SUL PLATA</v>
      </c>
    </row>
    <row r="394" spans="1:7" x14ac:dyDescent="0.25">
      <c r="A394">
        <v>2022</v>
      </c>
      <c r="B394" t="s">
        <v>143</v>
      </c>
      <c r="C394" s="56" t="s">
        <v>195</v>
      </c>
      <c r="D394" t="s">
        <v>115</v>
      </c>
      <c r="E394" t="str">
        <f>VLOOKUP(D394,'Lista de Produtos CLASSIFICAÇÃO'!$A$103:$B$144,2,FALSE)</f>
        <v>Soda Caustica</v>
      </c>
      <c r="F394" s="55">
        <v>81453</v>
      </c>
      <c r="G394" s="56" t="str">
        <f>VLOOKUP(C394,clientes!$C$3:$D$60,2,FALSE)</f>
        <v>PROJESAN</v>
      </c>
    </row>
    <row r="395" spans="1:7" x14ac:dyDescent="0.25">
      <c r="A395">
        <v>2022</v>
      </c>
      <c r="B395" t="s">
        <v>143</v>
      </c>
      <c r="C395" s="56" t="s">
        <v>162</v>
      </c>
      <c r="D395" t="s">
        <v>115</v>
      </c>
      <c r="E395" t="str">
        <f>VLOOKUP(D395,'Lista de Produtos CLASSIFICAÇÃO'!$A$103:$B$144,2,FALSE)</f>
        <v>Soda Caustica</v>
      </c>
      <c r="F395" s="55">
        <v>144366</v>
      </c>
      <c r="G395" s="56" t="str">
        <f>VLOOKUP(C395,clientes!$C$3:$D$60,2,FALSE)</f>
        <v>JBS</v>
      </c>
    </row>
    <row r="396" spans="1:7" x14ac:dyDescent="0.25">
      <c r="A396">
        <v>2022</v>
      </c>
      <c r="B396" t="s">
        <v>143</v>
      </c>
      <c r="C396" s="56" t="s">
        <v>163</v>
      </c>
      <c r="D396" t="s">
        <v>115</v>
      </c>
      <c r="E396" t="str">
        <f>VLOOKUP(D396,'Lista de Produtos CLASSIFICAÇÃO'!$A$103:$B$144,2,FALSE)</f>
        <v>Soda Caustica</v>
      </c>
      <c r="F396" s="55">
        <v>531095</v>
      </c>
      <c r="G396" s="56" t="str">
        <f>VLOOKUP(C396,clientes!$C$3:$D$60,2,FALSE)</f>
        <v>TRICON ENERGY</v>
      </c>
    </row>
    <row r="397" spans="1:7" x14ac:dyDescent="0.25">
      <c r="A397">
        <v>2022</v>
      </c>
      <c r="B397" t="s">
        <v>143</v>
      </c>
      <c r="C397" s="56" t="s">
        <v>164</v>
      </c>
      <c r="D397" t="s">
        <v>115</v>
      </c>
      <c r="E397" t="str">
        <f>VLOOKUP(D397,'Lista de Produtos CLASSIFICAÇÃO'!$A$103:$B$144,2,FALSE)</f>
        <v>Soda Caustica</v>
      </c>
      <c r="F397" s="55">
        <v>300314</v>
      </c>
      <c r="G397" s="56" t="str">
        <f>VLOOKUP(C397,clientes!$C$3:$D$60,2,FALSE)</f>
        <v>BRASKEM</v>
      </c>
    </row>
    <row r="398" spans="1:7" x14ac:dyDescent="0.25">
      <c r="A398">
        <v>2022</v>
      </c>
      <c r="B398" t="s">
        <v>143</v>
      </c>
      <c r="C398" s="56" t="s">
        <v>165</v>
      </c>
      <c r="D398" t="s">
        <v>123</v>
      </c>
      <c r="E398" t="str">
        <f>VLOOKUP(D398,'Lista de Produtos CLASSIFICAÇÃO'!$A$103:$B$144,2,FALSE)</f>
        <v>Aquecidos</v>
      </c>
      <c r="F398" s="55">
        <v>839921</v>
      </c>
      <c r="G398" s="56" t="str">
        <f>VLOOKUP(C398,clientes!$C$3:$D$60,2,FALSE)</f>
        <v>BRF</v>
      </c>
    </row>
    <row r="399" spans="1:7" x14ac:dyDescent="0.25">
      <c r="A399">
        <v>2022</v>
      </c>
      <c r="B399" t="s">
        <v>143</v>
      </c>
      <c r="C399" s="56" t="s">
        <v>162</v>
      </c>
      <c r="D399" t="s">
        <v>123</v>
      </c>
      <c r="E399" t="str">
        <f>VLOOKUP(D399,'Lista de Produtos CLASSIFICAÇÃO'!$A$103:$B$144,2,FALSE)</f>
        <v>Aquecidos</v>
      </c>
      <c r="F399" s="55">
        <v>320414</v>
      </c>
      <c r="G399" s="56" t="str">
        <f>VLOOKUP(C399,clientes!$C$3:$D$60,2,FALSE)</f>
        <v>JBS</v>
      </c>
    </row>
    <row r="400" spans="1:7" x14ac:dyDescent="0.25">
      <c r="A400">
        <v>2022</v>
      </c>
      <c r="B400" t="s">
        <v>143</v>
      </c>
      <c r="C400" s="56" t="s">
        <v>166</v>
      </c>
      <c r="D400" t="s">
        <v>123</v>
      </c>
      <c r="E400" t="str">
        <f>VLOOKUP(D400,'Lista de Produtos CLASSIFICAÇÃO'!$A$103:$B$144,2,FALSE)</f>
        <v>Aquecidos</v>
      </c>
      <c r="F400" s="55">
        <v>497038</v>
      </c>
      <c r="G400" s="56" t="str">
        <f>VLOOKUP(C400,clientes!$C$3:$D$60,2,FALSE)</f>
        <v>CARGILL</v>
      </c>
    </row>
    <row r="401" spans="1:7" x14ac:dyDescent="0.25">
      <c r="A401">
        <v>2022</v>
      </c>
      <c r="B401" t="s">
        <v>143</v>
      </c>
      <c r="C401" s="56" t="s">
        <v>167</v>
      </c>
      <c r="D401" t="s">
        <v>122</v>
      </c>
      <c r="E401" t="str">
        <f>VLOOKUP(D401,'Lista de Produtos CLASSIFICAÇÃO'!$A$103:$B$144,2,FALSE)</f>
        <v>Óleo Vegetal</v>
      </c>
      <c r="F401" s="55">
        <v>2618652</v>
      </c>
      <c r="G401" s="56" t="str">
        <f>VLOOKUP(C401,clientes!$C$3:$D$60,2,FALSE)</f>
        <v>POOL</v>
      </c>
    </row>
    <row r="402" spans="1:7" x14ac:dyDescent="0.25">
      <c r="A402">
        <v>2022</v>
      </c>
      <c r="B402" t="s">
        <v>143</v>
      </c>
      <c r="C402" s="56" t="s">
        <v>168</v>
      </c>
      <c r="D402" t="s">
        <v>122</v>
      </c>
      <c r="E402" t="str">
        <f>VLOOKUP(D402,'Lista de Produtos CLASSIFICAÇÃO'!$A$103:$B$144,2,FALSE)</f>
        <v>Óleo Vegetal</v>
      </c>
      <c r="F402" s="55">
        <v>98005</v>
      </c>
      <c r="G402" s="56" t="str">
        <f>VLOOKUP(C402,clientes!$C$3:$D$60,2,FALSE)</f>
        <v>POOL EXCEDENTE</v>
      </c>
    </row>
    <row r="403" spans="1:7" x14ac:dyDescent="0.25">
      <c r="A403">
        <v>2022</v>
      </c>
      <c r="B403" t="s">
        <v>143</v>
      </c>
      <c r="C403" s="56" t="s">
        <v>169</v>
      </c>
      <c r="D403" t="s">
        <v>22</v>
      </c>
      <c r="E403" t="str">
        <f>VLOOKUP(D403,'Lista de Produtos CLASSIFICAÇÃO'!$A$103:$B$144,2,FALSE)</f>
        <v>Metanol</v>
      </c>
      <c r="F403" s="55">
        <v>5845875</v>
      </c>
      <c r="G403" s="56" t="str">
        <f>VLOOKUP(C403,clientes!$C$3:$D$60,2,FALSE)</f>
        <v>METHANEX</v>
      </c>
    </row>
    <row r="404" spans="1:7" x14ac:dyDescent="0.25">
      <c r="A404">
        <v>2022</v>
      </c>
      <c r="B404" t="s">
        <v>143</v>
      </c>
      <c r="C404" s="56" t="s">
        <v>170</v>
      </c>
      <c r="D404" t="s">
        <v>22</v>
      </c>
      <c r="E404" t="str">
        <f>VLOOKUP(D404,'Lista de Produtos CLASSIFICAÇÃO'!$A$103:$B$144,2,FALSE)</f>
        <v>Metanol</v>
      </c>
      <c r="F404" s="55">
        <v>3497206</v>
      </c>
      <c r="G404" s="56" t="str">
        <f>VLOOKUP(C404,clientes!$C$3:$D$60,2,FALSE)</f>
        <v>MITSUBISHI</v>
      </c>
    </row>
    <row r="405" spans="1:7" x14ac:dyDescent="0.25">
      <c r="A405">
        <v>2022</v>
      </c>
      <c r="B405" t="s">
        <v>143</v>
      </c>
      <c r="C405" s="56" t="s">
        <v>196</v>
      </c>
      <c r="D405" t="s">
        <v>22</v>
      </c>
      <c r="E405" t="str">
        <f>VLOOKUP(D405,'Lista de Produtos CLASSIFICAÇÃO'!$A$103:$B$144,2,FALSE)</f>
        <v>Metanol</v>
      </c>
      <c r="F405" s="55">
        <v>5636979</v>
      </c>
      <c r="G405" s="56" t="str">
        <f>VLOOKUP(C405,clientes!$C$3:$D$60,2,FALSE)</f>
        <v>SCC</v>
      </c>
    </row>
    <row r="406" spans="1:7" x14ac:dyDescent="0.25">
      <c r="A406">
        <v>2022</v>
      </c>
      <c r="B406" t="s">
        <v>143</v>
      </c>
      <c r="C406" s="56" t="s">
        <v>196</v>
      </c>
      <c r="D406" t="s">
        <v>22</v>
      </c>
      <c r="E406" t="str">
        <f>VLOOKUP(D406,'Lista de Produtos CLASSIFICAÇÃO'!$A$103:$B$144,2,FALSE)</f>
        <v>Metanol</v>
      </c>
      <c r="F406" s="55">
        <v>0</v>
      </c>
      <c r="G406" s="56" t="str">
        <f>VLOOKUP(C406,clientes!$C$3:$D$60,2,FALSE)</f>
        <v>SCC</v>
      </c>
    </row>
    <row r="407" spans="1:7" x14ac:dyDescent="0.25">
      <c r="A407">
        <v>2022</v>
      </c>
      <c r="B407" t="s">
        <v>143</v>
      </c>
      <c r="C407" s="56" t="s">
        <v>201</v>
      </c>
      <c r="D407" t="s">
        <v>202</v>
      </c>
      <c r="E407" t="str">
        <f>VLOOKUP(D407,'Lista de Produtos CLASSIFICAÇÃO'!$A$103:$B$144,2,FALSE)</f>
        <v>Outros</v>
      </c>
      <c r="F407" s="55">
        <v>369684</v>
      </c>
      <c r="G407" s="56" t="str">
        <f>VLOOKUP(C407,clientes!$C$3:$D$60,2,FALSE)</f>
        <v>TERRENA</v>
      </c>
    </row>
    <row r="408" spans="1:7" x14ac:dyDescent="0.25">
      <c r="A408">
        <v>2022</v>
      </c>
      <c r="B408" t="s">
        <v>143</v>
      </c>
      <c r="C408" s="56" t="s">
        <v>172</v>
      </c>
      <c r="D408" t="s">
        <v>124</v>
      </c>
      <c r="E408" t="str">
        <f>VLOOKUP(D408,'Lista de Produtos CLASSIFICAÇÃO'!$A$103:$B$144,2,FALSE)</f>
        <v>Outros</v>
      </c>
      <c r="F408" s="55">
        <v>222688</v>
      </c>
      <c r="G408" s="56" t="str">
        <f>VLOOKUP(C408,clientes!$C$3:$D$60,2,FALSE)</f>
        <v>EVONIK</v>
      </c>
    </row>
    <row r="409" spans="1:7" x14ac:dyDescent="0.25">
      <c r="A409">
        <v>2022</v>
      </c>
      <c r="B409" t="s">
        <v>143</v>
      </c>
      <c r="C409" s="56" t="s">
        <v>173</v>
      </c>
      <c r="D409" t="s">
        <v>22</v>
      </c>
      <c r="E409" t="str">
        <f>VLOOKUP(D409,'Lista de Produtos CLASSIFICAÇÃO'!$A$103:$B$144,2,FALSE)</f>
        <v>Metanol</v>
      </c>
      <c r="F409" s="55">
        <v>588985</v>
      </c>
      <c r="G409" s="56" t="str">
        <f>VLOOKUP(C409,clientes!$C$3:$D$60,2,FALSE)</f>
        <v>YPF SOCIEDAD ANONIMA</v>
      </c>
    </row>
    <row r="410" spans="1:7" x14ac:dyDescent="0.25">
      <c r="A410">
        <v>2022</v>
      </c>
      <c r="B410" t="s">
        <v>143</v>
      </c>
      <c r="C410" s="56" t="s">
        <v>203</v>
      </c>
      <c r="D410" t="s">
        <v>124</v>
      </c>
      <c r="E410" t="str">
        <f>VLOOKUP(D410,'Lista de Produtos CLASSIFICAÇÃO'!$A$103:$B$144,2,FALSE)</f>
        <v>Outros</v>
      </c>
      <c r="F410" s="55">
        <v>106241</v>
      </c>
      <c r="G410" s="56" t="str">
        <f>VLOOKUP(C410,clientes!$C$3:$D$60,2,FALSE)</f>
        <v>GTM</v>
      </c>
    </row>
    <row r="411" spans="1:7" x14ac:dyDescent="0.25">
      <c r="A411">
        <v>2022</v>
      </c>
      <c r="B411" t="s">
        <v>143</v>
      </c>
      <c r="C411" s="56" t="s">
        <v>197</v>
      </c>
      <c r="D411" t="s">
        <v>85</v>
      </c>
      <c r="E411" t="str">
        <f>VLOOKUP(D411,'Lista de Produtos CLASSIFICAÇÃO'!$A$103:$B$144,2,FALSE)</f>
        <v>Outros</v>
      </c>
      <c r="F411" s="55">
        <v>119000</v>
      </c>
      <c r="G411" s="56" t="str">
        <f>VLOOKUP(C411,clientes!$C$3:$D$60,2,FALSE)</f>
        <v>DRT</v>
      </c>
    </row>
    <row r="412" spans="1:7" x14ac:dyDescent="0.25">
      <c r="A412">
        <v>2022</v>
      </c>
      <c r="B412" t="s">
        <v>143</v>
      </c>
      <c r="C412" s="56" t="s">
        <v>198</v>
      </c>
      <c r="D412" t="s">
        <v>121</v>
      </c>
      <c r="E412" t="str">
        <f>VLOOKUP(D412,'Lista de Produtos CLASSIFICAÇÃO'!$A$103:$B$144,2,FALSE)</f>
        <v>Biocombustíveis</v>
      </c>
      <c r="F412" s="55">
        <v>0</v>
      </c>
      <c r="G412" s="56" t="str">
        <f>VLOOKUP(C412,clientes!$C$3:$D$60,2,FALSE)</f>
        <v>TEREOS / INPASA / GLENCORE</v>
      </c>
    </row>
    <row r="413" spans="1:7" x14ac:dyDescent="0.25">
      <c r="A413">
        <v>2022</v>
      </c>
      <c r="B413" t="s">
        <v>143</v>
      </c>
      <c r="C413" s="56" t="s">
        <v>174</v>
      </c>
      <c r="D413" t="s">
        <v>123</v>
      </c>
      <c r="E413" t="str">
        <f>VLOOKUP(D413,'Lista de Produtos CLASSIFICAÇÃO'!$A$103:$B$144,2,FALSE)</f>
        <v>Aquecidos</v>
      </c>
      <c r="F413" s="55">
        <v>677215</v>
      </c>
      <c r="G413" s="56" t="str">
        <f>VLOOKUP(C413,clientes!$C$3:$D$60,2,FALSE)</f>
        <v>CELENA</v>
      </c>
    </row>
    <row r="414" spans="1:7" x14ac:dyDescent="0.25">
      <c r="A414">
        <v>2022</v>
      </c>
      <c r="B414" t="s">
        <v>143</v>
      </c>
      <c r="C414" s="56" t="s">
        <v>175</v>
      </c>
      <c r="D414" t="s">
        <v>123</v>
      </c>
      <c r="E414" t="str">
        <f>VLOOKUP(D414,'Lista de Produtos CLASSIFICAÇÃO'!$A$103:$B$144,2,FALSE)</f>
        <v>Aquecidos</v>
      </c>
      <c r="F414" s="55">
        <v>440802</v>
      </c>
      <c r="G414" s="56" t="str">
        <f>VLOOKUP(C414,clientes!$C$3:$D$60,2,FALSE)</f>
        <v>AAK DO BRASIL</v>
      </c>
    </row>
    <row r="415" spans="1:7" x14ac:dyDescent="0.25">
      <c r="A415">
        <v>2022</v>
      </c>
      <c r="B415" t="s">
        <v>143</v>
      </c>
      <c r="C415" s="56" t="s">
        <v>166</v>
      </c>
      <c r="D415" t="s">
        <v>122</v>
      </c>
      <c r="E415" t="str">
        <f>VLOOKUP(D415,'Lista de Produtos CLASSIFICAÇÃO'!$A$103:$B$144,2,FALSE)</f>
        <v>Óleo Vegetal</v>
      </c>
      <c r="F415" s="55">
        <v>267726</v>
      </c>
      <c r="G415" s="56" t="str">
        <f>VLOOKUP(C415,clientes!$C$3:$D$60,2,FALSE)</f>
        <v>CARGILL</v>
      </c>
    </row>
    <row r="416" spans="1:7" x14ac:dyDescent="0.25">
      <c r="A416">
        <v>2022</v>
      </c>
      <c r="B416" t="s">
        <v>143</v>
      </c>
      <c r="C416" s="56" t="s">
        <v>176</v>
      </c>
      <c r="D416" t="s">
        <v>123</v>
      </c>
      <c r="E416" t="str">
        <f>VLOOKUP(D416,'Lista de Produtos CLASSIFICAÇÃO'!$A$103:$B$144,2,FALSE)</f>
        <v>Aquecidos</v>
      </c>
      <c r="F416" s="55">
        <v>336129</v>
      </c>
      <c r="G416" s="56" t="str">
        <f>VLOOKUP(C416,clientes!$C$3:$D$60,2,FALSE)</f>
        <v>AGROPALMA</v>
      </c>
    </row>
    <row r="417" spans="1:7" x14ac:dyDescent="0.25">
      <c r="A417">
        <v>2022</v>
      </c>
      <c r="B417" t="s">
        <v>143</v>
      </c>
      <c r="C417" s="56" t="s">
        <v>204</v>
      </c>
      <c r="D417" t="s">
        <v>59</v>
      </c>
      <c r="E417" t="str">
        <f>VLOOKUP(D417,'Lista de Produtos CLASSIFICAÇÃO'!$A$103:$B$144,2,FALSE)</f>
        <v>Derivados</v>
      </c>
      <c r="F417" s="55">
        <v>559643</v>
      </c>
      <c r="G417" s="56" t="str">
        <f>VLOOKUP(C417,clientes!$C$3:$D$60,2,FALSE)</f>
        <v>COPAPE</v>
      </c>
    </row>
    <row r="418" spans="1:7" x14ac:dyDescent="0.25">
      <c r="A418">
        <v>2022</v>
      </c>
      <c r="B418" t="s">
        <v>143</v>
      </c>
      <c r="C418" s="56" t="s">
        <v>177</v>
      </c>
      <c r="D418" t="s">
        <v>115</v>
      </c>
      <c r="E418" t="str">
        <f>VLOOKUP(D418,'Lista de Produtos CLASSIFICAÇÃO'!$A$103:$B$144,2,FALSE)</f>
        <v>Soda Caustica</v>
      </c>
      <c r="F418" s="55">
        <v>321373</v>
      </c>
      <c r="G418" s="56" t="str">
        <f>VLOOKUP(C418,clientes!$C$3:$D$60,2,FALSE)</f>
        <v>BRENNTAG</v>
      </c>
    </row>
    <row r="419" spans="1:7" x14ac:dyDescent="0.25">
      <c r="A419">
        <v>2022</v>
      </c>
      <c r="B419" t="s">
        <v>143</v>
      </c>
      <c r="C419" s="56" t="s">
        <v>178</v>
      </c>
      <c r="D419" t="s">
        <v>115</v>
      </c>
      <c r="E419" t="str">
        <f>VLOOKUP(D419,'Lista de Produtos CLASSIFICAÇÃO'!$A$103:$B$144,2,FALSE)</f>
        <v>Soda Caustica</v>
      </c>
      <c r="F419" s="55">
        <v>0</v>
      </c>
      <c r="G419" s="56" t="str">
        <f>VLOOKUP(C419,clientes!$C$3:$D$60,2,FALSE)</f>
        <v>OLIN BLUE CUBE</v>
      </c>
    </row>
    <row r="420" spans="1:7" x14ac:dyDescent="0.25">
      <c r="A420">
        <v>2022</v>
      </c>
      <c r="B420" t="s">
        <v>205</v>
      </c>
      <c r="C420" t="s">
        <v>155</v>
      </c>
      <c r="D420" t="s">
        <v>16</v>
      </c>
      <c r="E420" t="str">
        <f>VLOOKUP(D420,'Lista de Produtos CLASSIFICAÇÃO'!$A$103:$B$144,2,FALSE)</f>
        <v>Outros</v>
      </c>
      <c r="F420" s="55">
        <v>716278</v>
      </c>
      <c r="G420" s="56" t="str">
        <f>VLOOKUP(C420,clientes!$C$3:$D$60,2,FALSE)</f>
        <v>ADISSEO</v>
      </c>
    </row>
    <row r="421" spans="1:7" x14ac:dyDescent="0.25">
      <c r="A421">
        <v>2022</v>
      </c>
      <c r="B421" t="s">
        <v>205</v>
      </c>
      <c r="C421" t="s">
        <v>156</v>
      </c>
      <c r="D421" t="s">
        <v>123</v>
      </c>
      <c r="E421" t="str">
        <f>VLOOKUP(D421,'Lista de Produtos CLASSIFICAÇÃO'!$A$103:$B$144,2,FALSE)</f>
        <v>Aquecidos</v>
      </c>
      <c r="F421" s="55">
        <v>316411</v>
      </c>
      <c r="G421" s="56" t="str">
        <f>VLOOKUP(C421,clientes!$C$3:$D$60,2,FALSE)</f>
        <v>BUNGE</v>
      </c>
    </row>
    <row r="422" spans="1:7" x14ac:dyDescent="0.25">
      <c r="A422">
        <v>2022</v>
      </c>
      <c r="B422" t="s">
        <v>205</v>
      </c>
      <c r="C422" t="s">
        <v>199</v>
      </c>
      <c r="D422" t="s">
        <v>16</v>
      </c>
      <c r="E422" t="str">
        <f>VLOOKUP(D422,'Lista de Produtos CLASSIFICAÇÃO'!$A$103:$B$144,2,FALSE)</f>
        <v>Outros</v>
      </c>
      <c r="F422" s="55">
        <v>3580</v>
      </c>
      <c r="G422" s="56" t="str">
        <f>VLOOKUP(C422,clientes!$C$3:$D$60,2,FALSE)</f>
        <v>ADISSEO</v>
      </c>
    </row>
    <row r="423" spans="1:7" x14ac:dyDescent="0.25">
      <c r="A423">
        <v>2022</v>
      </c>
      <c r="B423" t="s">
        <v>205</v>
      </c>
      <c r="C423" t="s">
        <v>157</v>
      </c>
      <c r="D423" t="s">
        <v>122</v>
      </c>
      <c r="E423" t="str">
        <f>VLOOKUP(D423,'Lista de Produtos CLASSIFICAÇÃO'!$A$103:$B$144,2,FALSE)</f>
        <v>Óleo Vegetal</v>
      </c>
      <c r="F423" s="55">
        <v>103392</v>
      </c>
      <c r="G423" s="56" t="str">
        <f>VLOOKUP(C423,clientes!$C$3:$D$60,2,FALSE)</f>
        <v>ADM</v>
      </c>
    </row>
    <row r="424" spans="1:7" x14ac:dyDescent="0.25">
      <c r="A424">
        <v>2022</v>
      </c>
      <c r="B424" t="s">
        <v>205</v>
      </c>
      <c r="C424" t="s">
        <v>158</v>
      </c>
      <c r="D424" t="s">
        <v>120</v>
      </c>
      <c r="E424" t="str">
        <f>VLOOKUP(D424,'Lista de Produtos CLASSIFICAÇÃO'!$A$103:$B$144,2,FALSE)</f>
        <v>Derivados</v>
      </c>
      <c r="F424" s="55">
        <v>5884397</v>
      </c>
      <c r="G424" s="56" t="str">
        <f>VLOOKUP(C424,clientes!$C$3:$D$60,2,FALSE)</f>
        <v>IPIRANGA</v>
      </c>
    </row>
    <row r="425" spans="1:7" x14ac:dyDescent="0.25">
      <c r="A425">
        <v>2022</v>
      </c>
      <c r="B425" t="s">
        <v>205</v>
      </c>
      <c r="C425" t="s">
        <v>159</v>
      </c>
      <c r="D425" t="s">
        <v>120</v>
      </c>
      <c r="E425" t="str">
        <f>VLOOKUP(D425,'Lista de Produtos CLASSIFICAÇÃO'!$A$103:$B$144,2,FALSE)</f>
        <v>Derivados</v>
      </c>
      <c r="F425" s="55">
        <v>2879842</v>
      </c>
      <c r="G425" s="56" t="str">
        <f>VLOOKUP(C425,clientes!$C$3:$D$60,2,FALSE)</f>
        <v>RAIZEN</v>
      </c>
    </row>
    <row r="426" spans="1:7" x14ac:dyDescent="0.25">
      <c r="A426">
        <v>2022</v>
      </c>
      <c r="B426" t="s">
        <v>205</v>
      </c>
      <c r="C426" t="s">
        <v>200</v>
      </c>
      <c r="D426" t="s">
        <v>120</v>
      </c>
      <c r="E426" t="str">
        <f>VLOOKUP(D426,'Lista de Produtos CLASSIFICAÇÃO'!$A$103:$B$144,2,FALSE)</f>
        <v>Derivados</v>
      </c>
      <c r="F426" s="55">
        <v>1004795</v>
      </c>
      <c r="G426" s="56" t="str">
        <f>VLOOKUP(C426,clientes!$C$3:$D$60,2,FALSE)</f>
        <v>GREENENERGY</v>
      </c>
    </row>
    <row r="427" spans="1:7" x14ac:dyDescent="0.25">
      <c r="A427">
        <v>2022</v>
      </c>
      <c r="B427" t="s">
        <v>205</v>
      </c>
      <c r="C427" t="s">
        <v>161</v>
      </c>
      <c r="D427" t="s">
        <v>120</v>
      </c>
      <c r="E427" t="str">
        <f>VLOOKUP(D427,'Lista de Produtos CLASSIFICAÇÃO'!$A$103:$B$144,2,FALSE)</f>
        <v>Derivados</v>
      </c>
      <c r="F427" s="55">
        <v>2053242</v>
      </c>
      <c r="G427" s="56" t="str">
        <f>VLOOKUP(C427,clientes!$C$3:$D$60,2,FALSE)</f>
        <v>SUL PLATA</v>
      </c>
    </row>
    <row r="428" spans="1:7" x14ac:dyDescent="0.25">
      <c r="A428">
        <v>2022</v>
      </c>
      <c r="B428" t="s">
        <v>205</v>
      </c>
      <c r="C428" t="s">
        <v>195</v>
      </c>
      <c r="D428" t="s">
        <v>115</v>
      </c>
      <c r="E428" t="str">
        <f>VLOOKUP(D428,'Lista de Produtos CLASSIFICAÇÃO'!$A$103:$B$144,2,FALSE)</f>
        <v>Soda Caustica</v>
      </c>
      <c r="F428" s="55">
        <v>70663</v>
      </c>
      <c r="G428" s="56" t="str">
        <f>VLOOKUP(C428,clientes!$C$3:$D$60,2,FALSE)</f>
        <v>PROJESAN</v>
      </c>
    </row>
    <row r="429" spans="1:7" x14ac:dyDescent="0.25">
      <c r="A429">
        <v>2022</v>
      </c>
      <c r="B429" t="s">
        <v>205</v>
      </c>
      <c r="C429" t="s">
        <v>162</v>
      </c>
      <c r="D429" t="s">
        <v>115</v>
      </c>
      <c r="E429" t="str">
        <f>VLOOKUP(D429,'Lista de Produtos CLASSIFICAÇÃO'!$A$103:$B$144,2,FALSE)</f>
        <v>Soda Caustica</v>
      </c>
      <c r="F429" s="55">
        <v>144366</v>
      </c>
      <c r="G429" s="56" t="str">
        <f>VLOOKUP(C429,clientes!$C$3:$D$60,2,FALSE)</f>
        <v>JBS</v>
      </c>
    </row>
    <row r="430" spans="1:7" x14ac:dyDescent="0.25">
      <c r="A430">
        <v>2022</v>
      </c>
      <c r="B430" t="s">
        <v>205</v>
      </c>
      <c r="C430" t="s">
        <v>163</v>
      </c>
      <c r="D430" t="s">
        <v>115</v>
      </c>
      <c r="E430" t="str">
        <f>VLOOKUP(D430,'Lista de Produtos CLASSIFICAÇÃO'!$A$103:$B$144,2,FALSE)</f>
        <v>Soda Caustica</v>
      </c>
      <c r="F430" s="55">
        <v>531095</v>
      </c>
      <c r="G430" s="56" t="str">
        <f>VLOOKUP(C430,clientes!$C$3:$D$60,2,FALSE)</f>
        <v>TRICON ENERGY</v>
      </c>
    </row>
    <row r="431" spans="1:7" x14ac:dyDescent="0.25">
      <c r="A431">
        <v>2022</v>
      </c>
      <c r="B431" t="s">
        <v>205</v>
      </c>
      <c r="C431" t="s">
        <v>164</v>
      </c>
      <c r="D431" t="s">
        <v>115</v>
      </c>
      <c r="E431" t="str">
        <f>VLOOKUP(D431,'Lista de Produtos CLASSIFICAÇÃO'!$A$103:$B$144,2,FALSE)</f>
        <v>Soda Caustica</v>
      </c>
      <c r="F431" s="55">
        <v>274629</v>
      </c>
      <c r="G431" s="56" t="str">
        <f>VLOOKUP(C431,clientes!$C$3:$D$60,2,FALSE)</f>
        <v>BRASKEM</v>
      </c>
    </row>
    <row r="432" spans="1:7" x14ac:dyDescent="0.25">
      <c r="A432">
        <v>2022</v>
      </c>
      <c r="B432" t="s">
        <v>205</v>
      </c>
      <c r="C432" t="s">
        <v>165</v>
      </c>
      <c r="D432" t="s">
        <v>123</v>
      </c>
      <c r="E432" t="str">
        <f>VLOOKUP(D432,'Lista de Produtos CLASSIFICAÇÃO'!$A$103:$B$144,2,FALSE)</f>
        <v>Aquecidos</v>
      </c>
      <c r="F432" s="55">
        <v>839921</v>
      </c>
      <c r="G432" s="56" t="str">
        <f>VLOOKUP(C432,clientes!$C$3:$D$60,2,FALSE)</f>
        <v>BRF</v>
      </c>
    </row>
    <row r="433" spans="1:7" x14ac:dyDescent="0.25">
      <c r="A433">
        <v>2022</v>
      </c>
      <c r="B433" t="s">
        <v>205</v>
      </c>
      <c r="C433" t="s">
        <v>162</v>
      </c>
      <c r="D433" t="s">
        <v>123</v>
      </c>
      <c r="E433" t="str">
        <f>VLOOKUP(D433,'Lista de Produtos CLASSIFICAÇÃO'!$A$103:$B$144,2,FALSE)</f>
        <v>Aquecidos</v>
      </c>
      <c r="F433" s="55">
        <v>320414</v>
      </c>
      <c r="G433" s="56" t="str">
        <f>VLOOKUP(C433,clientes!$C$3:$D$60,2,FALSE)</f>
        <v>JBS</v>
      </c>
    </row>
    <row r="434" spans="1:7" x14ac:dyDescent="0.25">
      <c r="A434">
        <v>2022</v>
      </c>
      <c r="B434" t="s">
        <v>205</v>
      </c>
      <c r="C434" t="s">
        <v>166</v>
      </c>
      <c r="D434" t="s">
        <v>123</v>
      </c>
      <c r="E434" t="str">
        <f>VLOOKUP(D434,'Lista de Produtos CLASSIFICAÇÃO'!$A$103:$B$144,2,FALSE)</f>
        <v>Aquecidos</v>
      </c>
      <c r="F434" s="55">
        <v>497038</v>
      </c>
      <c r="G434" s="56" t="str">
        <f>VLOOKUP(C434,clientes!$C$3:$D$60,2,FALSE)</f>
        <v>CARGILL</v>
      </c>
    </row>
    <row r="435" spans="1:7" x14ac:dyDescent="0.25">
      <c r="A435">
        <v>2022</v>
      </c>
      <c r="B435" t="s">
        <v>205</v>
      </c>
      <c r="C435" t="s">
        <v>167</v>
      </c>
      <c r="D435" t="s">
        <v>122</v>
      </c>
      <c r="E435" t="str">
        <f>VLOOKUP(D435,'Lista de Produtos CLASSIFICAÇÃO'!$A$103:$B$144,2,FALSE)</f>
        <v>Óleo Vegetal</v>
      </c>
      <c r="F435" s="55">
        <v>3666113</v>
      </c>
      <c r="G435" s="56" t="str">
        <f>VLOOKUP(C435,clientes!$C$3:$D$60,2,FALSE)</f>
        <v>POOL</v>
      </c>
    </row>
    <row r="436" spans="1:7" x14ac:dyDescent="0.25">
      <c r="A436">
        <v>2022</v>
      </c>
      <c r="B436" t="s">
        <v>205</v>
      </c>
      <c r="C436" t="s">
        <v>168</v>
      </c>
      <c r="D436" t="s">
        <v>122</v>
      </c>
      <c r="E436" t="str">
        <f>VLOOKUP(D436,'Lista de Produtos CLASSIFICAÇÃO'!$A$103:$B$144,2,FALSE)</f>
        <v>Óleo Vegetal</v>
      </c>
      <c r="F436" s="55">
        <v>98005</v>
      </c>
      <c r="G436" s="56" t="str">
        <f>VLOOKUP(C436,clientes!$C$3:$D$60,2,FALSE)</f>
        <v>POOL EXCEDENTE</v>
      </c>
    </row>
    <row r="437" spans="1:7" x14ac:dyDescent="0.25">
      <c r="A437">
        <v>2022</v>
      </c>
      <c r="B437" t="s">
        <v>205</v>
      </c>
      <c r="C437" t="s">
        <v>169</v>
      </c>
      <c r="D437" t="s">
        <v>22</v>
      </c>
      <c r="E437" t="str">
        <f>VLOOKUP(D437,'Lista de Produtos CLASSIFICAÇÃO'!$A$103:$B$144,2,FALSE)</f>
        <v>Metanol</v>
      </c>
      <c r="F437" s="55">
        <v>5845875</v>
      </c>
      <c r="G437" s="56" t="str">
        <f>VLOOKUP(C437,clientes!$C$3:$D$60,2,FALSE)</f>
        <v>METHANEX</v>
      </c>
    </row>
    <row r="438" spans="1:7" x14ac:dyDescent="0.25">
      <c r="A438">
        <v>2022</v>
      </c>
      <c r="B438" t="s">
        <v>205</v>
      </c>
      <c r="C438" t="s">
        <v>170</v>
      </c>
      <c r="D438" t="s">
        <v>22</v>
      </c>
      <c r="E438" t="str">
        <f>VLOOKUP(D438,'Lista de Produtos CLASSIFICAÇÃO'!$A$103:$B$144,2,FALSE)</f>
        <v>Metanol</v>
      </c>
      <c r="F438" s="55">
        <v>3497206</v>
      </c>
      <c r="G438" s="56" t="str">
        <f>VLOOKUP(C438,clientes!$C$3:$D$60,2,FALSE)</f>
        <v>MITSUBISHI</v>
      </c>
    </row>
    <row r="439" spans="1:7" x14ac:dyDescent="0.25">
      <c r="A439">
        <v>2022</v>
      </c>
      <c r="B439" t="s">
        <v>205</v>
      </c>
      <c r="C439" t="s">
        <v>196</v>
      </c>
      <c r="D439" t="s">
        <v>22</v>
      </c>
      <c r="E439" t="str">
        <f>VLOOKUP(D439,'Lista de Produtos CLASSIFICAÇÃO'!$A$103:$B$144,2,FALSE)</f>
        <v>Metanol</v>
      </c>
      <c r="F439" s="55">
        <v>5636979</v>
      </c>
      <c r="G439" s="56" t="str">
        <f>VLOOKUP(C439,clientes!$C$3:$D$60,2,FALSE)</f>
        <v>SCC</v>
      </c>
    </row>
    <row r="440" spans="1:7" x14ac:dyDescent="0.25">
      <c r="A440">
        <v>2022</v>
      </c>
      <c r="B440" t="s">
        <v>205</v>
      </c>
      <c r="C440" t="s">
        <v>196</v>
      </c>
      <c r="D440" t="s">
        <v>22</v>
      </c>
      <c r="E440" t="str">
        <f>VLOOKUP(D440,'Lista de Produtos CLASSIFICAÇÃO'!$A$103:$B$144,2,FALSE)</f>
        <v>Metanol</v>
      </c>
      <c r="F440" s="55">
        <v>0</v>
      </c>
      <c r="G440" s="56" t="str">
        <f>VLOOKUP(C440,clientes!$C$3:$D$60,2,FALSE)</f>
        <v>SCC</v>
      </c>
    </row>
    <row r="441" spans="1:7" x14ac:dyDescent="0.25">
      <c r="A441">
        <v>2022</v>
      </c>
      <c r="B441" t="s">
        <v>205</v>
      </c>
      <c r="C441" t="s">
        <v>201</v>
      </c>
      <c r="D441" t="s">
        <v>202</v>
      </c>
      <c r="E441" t="str">
        <f>VLOOKUP(D441,'Lista de Produtos CLASSIFICAÇÃO'!$A$103:$B$144,2,FALSE)</f>
        <v>Outros</v>
      </c>
      <c r="F441" s="55">
        <v>369684</v>
      </c>
      <c r="G441" s="56" t="str">
        <f>VLOOKUP(C441,clientes!$C$3:$D$60,2,FALSE)</f>
        <v>TERRENA</v>
      </c>
    </row>
    <row r="442" spans="1:7" x14ac:dyDescent="0.25">
      <c r="A442">
        <v>2022</v>
      </c>
      <c r="B442" t="s">
        <v>205</v>
      </c>
      <c r="C442" t="s">
        <v>172</v>
      </c>
      <c r="D442" t="s">
        <v>124</v>
      </c>
      <c r="E442" t="str">
        <f>VLOOKUP(D442,'Lista de Produtos CLASSIFICAÇÃO'!$A$103:$B$144,2,FALSE)</f>
        <v>Outros</v>
      </c>
      <c r="F442" s="55">
        <v>222688</v>
      </c>
      <c r="G442" s="56" t="str">
        <f>VLOOKUP(C442,clientes!$C$3:$D$60,2,FALSE)</f>
        <v>EVONIK</v>
      </c>
    </row>
    <row r="443" spans="1:7" x14ac:dyDescent="0.25">
      <c r="A443">
        <v>2022</v>
      </c>
      <c r="B443" t="s">
        <v>205</v>
      </c>
      <c r="C443" t="s">
        <v>173</v>
      </c>
      <c r="D443" t="s">
        <v>22</v>
      </c>
      <c r="E443" t="str">
        <f>VLOOKUP(D443,'Lista de Produtos CLASSIFICAÇÃO'!$A$103:$B$144,2,FALSE)</f>
        <v>Metanol</v>
      </c>
      <c r="F443" s="55">
        <v>588985</v>
      </c>
      <c r="G443" s="56" t="str">
        <f>VLOOKUP(C443,clientes!$C$3:$D$60,2,FALSE)</f>
        <v>YPF SOCIEDAD ANONIMA</v>
      </c>
    </row>
    <row r="444" spans="1:7" x14ac:dyDescent="0.25">
      <c r="A444">
        <v>2022</v>
      </c>
      <c r="B444" t="s">
        <v>205</v>
      </c>
      <c r="C444" t="s">
        <v>203</v>
      </c>
      <c r="D444" t="s">
        <v>124</v>
      </c>
      <c r="E444" t="str">
        <f>VLOOKUP(D444,'Lista de Produtos CLASSIFICAÇÃO'!$A$103:$B$144,2,FALSE)</f>
        <v>Outros</v>
      </c>
      <c r="F444" s="55">
        <v>147795</v>
      </c>
      <c r="G444" s="56" t="str">
        <f>VLOOKUP(C444,clientes!$C$3:$D$60,2,FALSE)</f>
        <v>GTM</v>
      </c>
    </row>
    <row r="445" spans="1:7" x14ac:dyDescent="0.25">
      <c r="A445">
        <v>2022</v>
      </c>
      <c r="B445" t="s">
        <v>205</v>
      </c>
      <c r="C445" t="s">
        <v>197</v>
      </c>
      <c r="D445" t="s">
        <v>85</v>
      </c>
      <c r="E445" t="str">
        <f>VLOOKUP(D445,'Lista de Produtos CLASSIFICAÇÃO'!$A$103:$B$144,2,FALSE)</f>
        <v>Outros</v>
      </c>
      <c r="F445" s="55">
        <v>119000</v>
      </c>
      <c r="G445" s="56" t="str">
        <f>VLOOKUP(C445,clientes!$C$3:$D$60,2,FALSE)</f>
        <v>DRT</v>
      </c>
    </row>
    <row r="446" spans="1:7" x14ac:dyDescent="0.25">
      <c r="A446">
        <v>2022</v>
      </c>
      <c r="B446" t="s">
        <v>205</v>
      </c>
      <c r="C446" t="s">
        <v>198</v>
      </c>
      <c r="D446" t="s">
        <v>121</v>
      </c>
      <c r="E446" t="str">
        <f>VLOOKUP(D446,'Lista de Produtos CLASSIFICAÇÃO'!$A$103:$B$144,2,FALSE)</f>
        <v>Biocombustíveis</v>
      </c>
      <c r="F446" s="55">
        <v>0</v>
      </c>
      <c r="G446" s="56" t="str">
        <f>VLOOKUP(C446,clientes!$C$3:$D$60,2,FALSE)</f>
        <v>TEREOS / INPASA / GLENCORE</v>
      </c>
    </row>
    <row r="447" spans="1:7" x14ac:dyDescent="0.25">
      <c r="A447">
        <v>2022</v>
      </c>
      <c r="B447" t="s">
        <v>205</v>
      </c>
      <c r="C447" t="s">
        <v>174</v>
      </c>
      <c r="D447" t="s">
        <v>123</v>
      </c>
      <c r="E447" t="str">
        <f>VLOOKUP(D447,'Lista de Produtos CLASSIFICAÇÃO'!$A$103:$B$144,2,FALSE)</f>
        <v>Aquecidos</v>
      </c>
      <c r="F447" s="55">
        <v>677215</v>
      </c>
      <c r="G447" s="56" t="str">
        <f>VLOOKUP(C447,clientes!$C$3:$D$60,2,FALSE)</f>
        <v>CELENA</v>
      </c>
    </row>
    <row r="448" spans="1:7" x14ac:dyDescent="0.25">
      <c r="A448">
        <v>2022</v>
      </c>
      <c r="B448" t="s">
        <v>205</v>
      </c>
      <c r="C448" t="s">
        <v>175</v>
      </c>
      <c r="D448" t="s">
        <v>123</v>
      </c>
      <c r="E448" t="str">
        <f>VLOOKUP(D448,'Lista de Produtos CLASSIFICAÇÃO'!$A$103:$B$144,2,FALSE)</f>
        <v>Aquecidos</v>
      </c>
      <c r="F448" s="55">
        <v>440802</v>
      </c>
      <c r="G448" s="56" t="str">
        <f>VLOOKUP(C448,clientes!$C$3:$D$60,2,FALSE)</f>
        <v>AAK DO BRASIL</v>
      </c>
    </row>
    <row r="449" spans="1:7" x14ac:dyDescent="0.25">
      <c r="A449">
        <v>2022</v>
      </c>
      <c r="B449" t="s">
        <v>205</v>
      </c>
      <c r="C449" t="s">
        <v>166</v>
      </c>
      <c r="D449" t="s">
        <v>122</v>
      </c>
      <c r="E449" t="str">
        <f>VLOOKUP(D449,'Lista de Produtos CLASSIFICAÇÃO'!$A$103:$B$144,2,FALSE)</f>
        <v>Óleo Vegetal</v>
      </c>
      <c r="F449" s="55">
        <v>221530</v>
      </c>
      <c r="G449" s="56" t="str">
        <f>VLOOKUP(C449,clientes!$C$3:$D$60,2,FALSE)</f>
        <v>CARGILL</v>
      </c>
    </row>
    <row r="450" spans="1:7" x14ac:dyDescent="0.25">
      <c r="A450">
        <v>2022</v>
      </c>
      <c r="B450" t="s">
        <v>205</v>
      </c>
      <c r="C450" t="s">
        <v>176</v>
      </c>
      <c r="D450" t="s">
        <v>123</v>
      </c>
      <c r="E450" t="str">
        <f>VLOOKUP(D450,'Lista de Produtos CLASSIFICAÇÃO'!$A$103:$B$144,2,FALSE)</f>
        <v>Aquecidos</v>
      </c>
      <c r="F450" s="55">
        <v>336129</v>
      </c>
      <c r="G450" s="56" t="str">
        <f>VLOOKUP(C450,clientes!$C$3:$D$60,2,FALSE)</f>
        <v>AGROPALMA</v>
      </c>
    </row>
    <row r="451" spans="1:7" x14ac:dyDescent="0.25">
      <c r="A451">
        <v>2022</v>
      </c>
      <c r="B451" t="s">
        <v>205</v>
      </c>
      <c r="C451" t="s">
        <v>204</v>
      </c>
      <c r="D451" t="s">
        <v>59</v>
      </c>
      <c r="E451" t="str">
        <f>VLOOKUP(D451,'Lista de Produtos CLASSIFICAÇÃO'!$A$103:$B$144,2,FALSE)</f>
        <v>Derivados</v>
      </c>
      <c r="F451" s="55">
        <v>559643</v>
      </c>
      <c r="G451" s="56" t="str">
        <f>VLOOKUP(C451,clientes!$C$3:$D$60,2,FALSE)</f>
        <v>COPAPE</v>
      </c>
    </row>
    <row r="452" spans="1:7" x14ac:dyDescent="0.25">
      <c r="A452">
        <v>2022</v>
      </c>
      <c r="B452" t="s">
        <v>205</v>
      </c>
      <c r="C452" t="s">
        <v>177</v>
      </c>
      <c r="D452" t="s">
        <v>115</v>
      </c>
      <c r="E452" t="str">
        <f>VLOOKUP(D452,'Lista de Produtos CLASSIFICAÇÃO'!$A$103:$B$144,2,FALSE)</f>
        <v>Soda Caustica</v>
      </c>
      <c r="F452" s="55">
        <v>321373</v>
      </c>
      <c r="G452" s="56" t="str">
        <f>VLOOKUP(C452,clientes!$C$3:$D$60,2,FALSE)</f>
        <v>BRENNTAG</v>
      </c>
    </row>
    <row r="453" spans="1:7" x14ac:dyDescent="0.25">
      <c r="A453">
        <v>2022</v>
      </c>
      <c r="B453" t="s">
        <v>205</v>
      </c>
      <c r="C453" t="s">
        <v>178</v>
      </c>
      <c r="D453" t="s">
        <v>115</v>
      </c>
      <c r="E453" t="str">
        <f>VLOOKUP(D453,'Lista de Produtos CLASSIFICAÇÃO'!$A$103:$B$144,2,FALSE)</f>
        <v>Soda Caustica</v>
      </c>
      <c r="F453" s="55">
        <v>858863</v>
      </c>
      <c r="G453" s="56" t="str">
        <f>VLOOKUP(C453,clientes!$C$3:$D$60,2,FALSE)</f>
        <v>OLIN BLUE CUBE</v>
      </c>
    </row>
    <row r="454" spans="1:7" x14ac:dyDescent="0.25">
      <c r="A454">
        <v>2022</v>
      </c>
      <c r="B454" t="s">
        <v>133</v>
      </c>
      <c r="C454" s="56" t="s">
        <v>155</v>
      </c>
      <c r="D454" t="s">
        <v>16</v>
      </c>
      <c r="E454" t="str">
        <f>VLOOKUP(D454,'Lista de Produtos CLASSIFICAÇÃO'!$A$103:$B$144,2,FALSE)</f>
        <v>Outros</v>
      </c>
      <c r="F454" s="55">
        <v>716278</v>
      </c>
      <c r="G454" s="56" t="str">
        <f>VLOOKUP(C454,clientes!$C$3:$D$60,2,FALSE)</f>
        <v>ADISSEO</v>
      </c>
    </row>
    <row r="455" spans="1:7" x14ac:dyDescent="0.25">
      <c r="A455">
        <v>2022</v>
      </c>
      <c r="B455" t="s">
        <v>133</v>
      </c>
      <c r="C455" s="56" t="s">
        <v>156</v>
      </c>
      <c r="D455" t="s">
        <v>123</v>
      </c>
      <c r="E455" t="str">
        <f>VLOOKUP(D455,'Lista de Produtos CLASSIFICAÇÃO'!$A$103:$B$144,2,FALSE)</f>
        <v>Aquecidos</v>
      </c>
      <c r="F455" s="55">
        <v>316411</v>
      </c>
      <c r="G455" s="56" t="str">
        <f>VLOOKUP(C455,clientes!$C$3:$D$60,2,FALSE)</f>
        <v>BUNGE</v>
      </c>
    </row>
    <row r="456" spans="1:7" x14ac:dyDescent="0.25">
      <c r="A456">
        <v>2022</v>
      </c>
      <c r="B456" t="s">
        <v>133</v>
      </c>
      <c r="C456" s="56" t="s">
        <v>199</v>
      </c>
      <c r="D456" t="s">
        <v>16</v>
      </c>
      <c r="E456" t="str">
        <f>VLOOKUP(D456,'Lista de Produtos CLASSIFICAÇÃO'!$A$103:$B$144,2,FALSE)</f>
        <v>Outros</v>
      </c>
      <c r="F456" s="55">
        <v>3580</v>
      </c>
      <c r="G456" s="56" t="str">
        <f>VLOOKUP(C456,clientes!$C$3:$D$60,2,FALSE)</f>
        <v>ADISSEO</v>
      </c>
    </row>
    <row r="457" spans="1:7" x14ac:dyDescent="0.25">
      <c r="A457">
        <v>2022</v>
      </c>
      <c r="B457" t="s">
        <v>133</v>
      </c>
      <c r="C457" s="56" t="s">
        <v>157</v>
      </c>
      <c r="D457" t="s">
        <v>122</v>
      </c>
      <c r="E457" t="str">
        <f>VLOOKUP(D457,'Lista de Produtos CLASSIFICAÇÃO'!$A$103:$B$144,2,FALSE)</f>
        <v>Óleo Vegetal</v>
      </c>
      <c r="F457" s="55">
        <v>103392</v>
      </c>
      <c r="G457" s="56" t="str">
        <f>VLOOKUP(C457,clientes!$C$3:$D$60,2,FALSE)</f>
        <v>ADM</v>
      </c>
    </row>
    <row r="458" spans="1:7" x14ac:dyDescent="0.25">
      <c r="A458">
        <v>2022</v>
      </c>
      <c r="B458" t="s">
        <v>133</v>
      </c>
      <c r="C458" s="56" t="s">
        <v>158</v>
      </c>
      <c r="D458" t="s">
        <v>120</v>
      </c>
      <c r="E458" t="str">
        <f>VLOOKUP(D458,'Lista de Produtos CLASSIFICAÇÃO'!$A$103:$B$144,2,FALSE)</f>
        <v>Derivados</v>
      </c>
      <c r="F458" s="55">
        <v>5509666</v>
      </c>
      <c r="G458" s="56" t="str">
        <f>VLOOKUP(C458,clientes!$C$3:$D$60,2,FALSE)</f>
        <v>IPIRANGA</v>
      </c>
    </row>
    <row r="459" spans="1:7" x14ac:dyDescent="0.25">
      <c r="A459">
        <v>2022</v>
      </c>
      <c r="B459" t="s">
        <v>133</v>
      </c>
      <c r="C459" s="56" t="s">
        <v>159</v>
      </c>
      <c r="D459" t="s">
        <v>120</v>
      </c>
      <c r="E459" t="str">
        <f>VLOOKUP(D459,'Lista de Produtos CLASSIFICAÇÃO'!$A$103:$B$144,2,FALSE)</f>
        <v>Derivados</v>
      </c>
      <c r="F459" s="55">
        <v>2451242</v>
      </c>
      <c r="G459" s="56" t="str">
        <f>VLOOKUP(C459,clientes!$C$3:$D$60,2,FALSE)</f>
        <v>RAIZEN</v>
      </c>
    </row>
    <row r="460" spans="1:7" x14ac:dyDescent="0.25">
      <c r="A460">
        <v>2022</v>
      </c>
      <c r="B460" t="s">
        <v>133</v>
      </c>
      <c r="C460" s="56" t="s">
        <v>200</v>
      </c>
      <c r="D460" t="s">
        <v>120</v>
      </c>
      <c r="E460" t="str">
        <f>VLOOKUP(D460,'Lista de Produtos CLASSIFICAÇÃO'!$A$103:$B$144,2,FALSE)</f>
        <v>Derivados</v>
      </c>
      <c r="F460" s="55">
        <v>1004795</v>
      </c>
      <c r="G460" s="56" t="str">
        <f>VLOOKUP(C460,clientes!$C$3:$D$60,2,FALSE)</f>
        <v>GREENENERGY</v>
      </c>
    </row>
    <row r="461" spans="1:7" x14ac:dyDescent="0.25">
      <c r="A461">
        <v>2022</v>
      </c>
      <c r="B461" t="s">
        <v>133</v>
      </c>
      <c r="C461" s="56" t="s">
        <v>161</v>
      </c>
      <c r="D461" t="s">
        <v>120</v>
      </c>
      <c r="E461" t="str">
        <f>VLOOKUP(D461,'Lista de Produtos CLASSIFICAÇÃO'!$A$103:$B$144,2,FALSE)</f>
        <v>Derivados</v>
      </c>
      <c r="F461" s="55">
        <v>2428323</v>
      </c>
      <c r="G461" s="56" t="str">
        <f>VLOOKUP(C461,clientes!$C$3:$D$60,2,FALSE)</f>
        <v>SUL PLATA</v>
      </c>
    </row>
    <row r="462" spans="1:7" x14ac:dyDescent="0.25">
      <c r="A462">
        <v>2022</v>
      </c>
      <c r="B462" t="s">
        <v>133</v>
      </c>
      <c r="C462" s="56" t="s">
        <v>195</v>
      </c>
      <c r="D462" t="s">
        <v>115</v>
      </c>
      <c r="E462" t="str">
        <f>VLOOKUP(D462,'Lista de Produtos CLASSIFICAÇÃO'!$A$103:$B$144,2,FALSE)</f>
        <v>Soda Caustica</v>
      </c>
      <c r="F462" s="55">
        <v>81453</v>
      </c>
      <c r="G462" s="56" t="str">
        <f>VLOOKUP(C462,clientes!$C$3:$D$60,2,FALSE)</f>
        <v>PROJESAN</v>
      </c>
    </row>
    <row r="463" spans="1:7" x14ac:dyDescent="0.25">
      <c r="A463">
        <v>2022</v>
      </c>
      <c r="B463" t="s">
        <v>133</v>
      </c>
      <c r="C463" s="56" t="s">
        <v>162</v>
      </c>
      <c r="D463" t="s">
        <v>115</v>
      </c>
      <c r="E463" t="str">
        <f>VLOOKUP(D463,'Lista de Produtos CLASSIFICAÇÃO'!$A$103:$B$144,2,FALSE)</f>
        <v>Soda Caustica</v>
      </c>
      <c r="F463" s="55">
        <v>144366</v>
      </c>
      <c r="G463" s="56" t="str">
        <f>VLOOKUP(C463,clientes!$C$3:$D$60,2,FALSE)</f>
        <v>JBS</v>
      </c>
    </row>
    <row r="464" spans="1:7" x14ac:dyDescent="0.25">
      <c r="A464">
        <v>2022</v>
      </c>
      <c r="B464" t="s">
        <v>133</v>
      </c>
      <c r="C464" s="56" t="s">
        <v>163</v>
      </c>
      <c r="D464" t="s">
        <v>115</v>
      </c>
      <c r="E464" t="str">
        <f>VLOOKUP(D464,'Lista de Produtos CLASSIFICAÇÃO'!$A$103:$B$144,2,FALSE)</f>
        <v>Soda Caustica</v>
      </c>
      <c r="F464" s="55">
        <v>531095</v>
      </c>
      <c r="G464" s="56" t="str">
        <f>VLOOKUP(C464,clientes!$C$3:$D$60,2,FALSE)</f>
        <v>TRICON ENERGY</v>
      </c>
    </row>
    <row r="465" spans="1:7" x14ac:dyDescent="0.25">
      <c r="A465">
        <v>2022</v>
      </c>
      <c r="B465" t="s">
        <v>133</v>
      </c>
      <c r="C465" s="56" t="s">
        <v>164</v>
      </c>
      <c r="D465" t="s">
        <v>115</v>
      </c>
      <c r="E465" t="str">
        <f>VLOOKUP(D465,'Lista de Produtos CLASSIFICAÇÃO'!$A$103:$B$144,2,FALSE)</f>
        <v>Soda Caustica</v>
      </c>
      <c r="F465" s="55">
        <v>300314</v>
      </c>
      <c r="G465" s="56" t="str">
        <f>VLOOKUP(C465,clientes!$C$3:$D$60,2,FALSE)</f>
        <v>BRASKEM</v>
      </c>
    </row>
    <row r="466" spans="1:7" x14ac:dyDescent="0.25">
      <c r="A466">
        <v>2022</v>
      </c>
      <c r="B466" t="s">
        <v>133</v>
      </c>
      <c r="C466" s="56" t="s">
        <v>165</v>
      </c>
      <c r="D466" t="s">
        <v>123</v>
      </c>
      <c r="E466" t="str">
        <f>VLOOKUP(D466,'Lista de Produtos CLASSIFICAÇÃO'!$A$103:$B$144,2,FALSE)</f>
        <v>Aquecidos</v>
      </c>
      <c r="F466" s="55">
        <v>839921</v>
      </c>
      <c r="G466" s="56" t="str">
        <f>VLOOKUP(C466,clientes!$C$3:$D$60,2,FALSE)</f>
        <v>BRF</v>
      </c>
    </row>
    <row r="467" spans="1:7" x14ac:dyDescent="0.25">
      <c r="A467">
        <v>2022</v>
      </c>
      <c r="B467" t="s">
        <v>133</v>
      </c>
      <c r="C467" s="56" t="s">
        <v>162</v>
      </c>
      <c r="D467" t="s">
        <v>123</v>
      </c>
      <c r="E467" t="str">
        <f>VLOOKUP(D467,'Lista de Produtos CLASSIFICAÇÃO'!$A$103:$B$144,2,FALSE)</f>
        <v>Aquecidos</v>
      </c>
      <c r="F467" s="55">
        <v>320414</v>
      </c>
      <c r="G467" s="56" t="str">
        <f>VLOOKUP(C467,clientes!$C$3:$D$60,2,FALSE)</f>
        <v>JBS</v>
      </c>
    </row>
    <row r="468" spans="1:7" x14ac:dyDescent="0.25">
      <c r="A468">
        <v>2022</v>
      </c>
      <c r="B468" t="s">
        <v>133</v>
      </c>
      <c r="C468" s="56" t="s">
        <v>166</v>
      </c>
      <c r="D468" t="s">
        <v>123</v>
      </c>
      <c r="E468" t="str">
        <f>VLOOKUP(D468,'Lista de Produtos CLASSIFICAÇÃO'!$A$103:$B$144,2,FALSE)</f>
        <v>Aquecidos</v>
      </c>
      <c r="F468" s="55">
        <v>497038</v>
      </c>
      <c r="G468" s="56" t="str">
        <f>VLOOKUP(C468,clientes!$C$3:$D$60,2,FALSE)</f>
        <v>CARGILL</v>
      </c>
    </row>
    <row r="469" spans="1:7" x14ac:dyDescent="0.25">
      <c r="A469">
        <v>2022</v>
      </c>
      <c r="B469" t="s">
        <v>133</v>
      </c>
      <c r="C469" s="56" t="s">
        <v>167</v>
      </c>
      <c r="D469" t="s">
        <v>122</v>
      </c>
      <c r="E469" t="str">
        <f>VLOOKUP(D469,'Lista de Produtos CLASSIFICAÇÃO'!$A$103:$B$144,2,FALSE)</f>
        <v>Óleo Vegetal</v>
      </c>
      <c r="F469" s="55">
        <v>4713574</v>
      </c>
      <c r="G469" s="56" t="str">
        <f>VLOOKUP(C469,clientes!$C$3:$D$60,2,FALSE)</f>
        <v>POOL</v>
      </c>
    </row>
    <row r="470" spans="1:7" x14ac:dyDescent="0.25">
      <c r="A470">
        <v>2022</v>
      </c>
      <c r="B470" t="s">
        <v>133</v>
      </c>
      <c r="C470" s="56" t="s">
        <v>168</v>
      </c>
      <c r="D470" t="s">
        <v>122</v>
      </c>
      <c r="E470" t="str">
        <f>VLOOKUP(D470,'Lista de Produtos CLASSIFICAÇÃO'!$A$103:$B$144,2,FALSE)</f>
        <v>Óleo Vegetal</v>
      </c>
      <c r="F470" s="55">
        <v>98005</v>
      </c>
      <c r="G470" s="56" t="str">
        <f>VLOOKUP(C470,clientes!$C$3:$D$60,2,FALSE)</f>
        <v>POOL EXCEDENTE</v>
      </c>
    </row>
    <row r="471" spans="1:7" x14ac:dyDescent="0.25">
      <c r="A471">
        <v>2022</v>
      </c>
      <c r="B471" t="s">
        <v>133</v>
      </c>
      <c r="C471" s="56" t="s">
        <v>169</v>
      </c>
      <c r="D471" t="s">
        <v>22</v>
      </c>
      <c r="E471" t="str">
        <f>VLOOKUP(D471,'Lista de Produtos CLASSIFICAÇÃO'!$A$103:$B$144,2,FALSE)</f>
        <v>Metanol</v>
      </c>
      <c r="F471" s="55">
        <v>5845875</v>
      </c>
      <c r="G471" s="56" t="str">
        <f>VLOOKUP(C471,clientes!$C$3:$D$60,2,FALSE)</f>
        <v>METHANEX</v>
      </c>
    </row>
    <row r="472" spans="1:7" x14ac:dyDescent="0.25">
      <c r="A472">
        <v>2022</v>
      </c>
      <c r="B472" t="s">
        <v>133</v>
      </c>
      <c r="C472" s="56" t="s">
        <v>170</v>
      </c>
      <c r="D472" t="s">
        <v>22</v>
      </c>
      <c r="E472" t="str">
        <f>VLOOKUP(D472,'Lista de Produtos CLASSIFICAÇÃO'!$A$103:$B$144,2,FALSE)</f>
        <v>Metanol</v>
      </c>
      <c r="F472" s="55">
        <v>3497206</v>
      </c>
      <c r="G472" s="56" t="str">
        <f>VLOOKUP(C472,clientes!$C$3:$D$60,2,FALSE)</f>
        <v>MITSUBISHI</v>
      </c>
    </row>
    <row r="473" spans="1:7" x14ac:dyDescent="0.25">
      <c r="A473">
        <v>2022</v>
      </c>
      <c r="B473" t="s">
        <v>133</v>
      </c>
      <c r="C473" s="56" t="s">
        <v>196</v>
      </c>
      <c r="D473" t="s">
        <v>22</v>
      </c>
      <c r="E473" t="str">
        <f>VLOOKUP(D473,'Lista de Produtos CLASSIFICAÇÃO'!$A$103:$B$144,2,FALSE)</f>
        <v>Metanol</v>
      </c>
      <c r="F473" s="55">
        <v>5636979</v>
      </c>
      <c r="G473" s="56" t="str">
        <f>VLOOKUP(C473,clientes!$C$3:$D$60,2,FALSE)</f>
        <v>SCC</v>
      </c>
    </row>
    <row r="474" spans="1:7" x14ac:dyDescent="0.25">
      <c r="A474">
        <v>2022</v>
      </c>
      <c r="B474" t="s">
        <v>133</v>
      </c>
      <c r="C474" s="56" t="s">
        <v>196</v>
      </c>
      <c r="D474" t="s">
        <v>22</v>
      </c>
      <c r="E474" t="str">
        <f>VLOOKUP(D474,'Lista de Produtos CLASSIFICAÇÃO'!$A$103:$B$144,2,FALSE)</f>
        <v>Metanol</v>
      </c>
      <c r="F474" s="55">
        <v>0</v>
      </c>
      <c r="G474" s="56" t="str">
        <f>VLOOKUP(C474,clientes!$C$3:$D$60,2,FALSE)</f>
        <v>SCC</v>
      </c>
    </row>
    <row r="475" spans="1:7" x14ac:dyDescent="0.25">
      <c r="A475">
        <v>2022</v>
      </c>
      <c r="B475" t="s">
        <v>133</v>
      </c>
      <c r="C475" s="56" t="s">
        <v>201</v>
      </c>
      <c r="D475" t="s">
        <v>202</v>
      </c>
      <c r="E475" t="str">
        <f>VLOOKUP(D475,'Lista de Produtos CLASSIFICAÇÃO'!$A$103:$B$144,2,FALSE)</f>
        <v>Outros</v>
      </c>
      <c r="F475" s="55">
        <v>396976</v>
      </c>
      <c r="G475" s="56" t="str">
        <f>VLOOKUP(C475,clientes!$C$3:$D$60,2,FALSE)</f>
        <v>TERRENA</v>
      </c>
    </row>
    <row r="476" spans="1:7" x14ac:dyDescent="0.25">
      <c r="A476">
        <v>2022</v>
      </c>
      <c r="B476" t="s">
        <v>133</v>
      </c>
      <c r="C476" s="56" t="s">
        <v>172</v>
      </c>
      <c r="D476" t="s">
        <v>124</v>
      </c>
      <c r="E476" t="str">
        <f>VLOOKUP(D476,'Lista de Produtos CLASSIFICAÇÃO'!$A$103:$B$144,2,FALSE)</f>
        <v>Outros</v>
      </c>
      <c r="F476" s="55">
        <v>222688</v>
      </c>
      <c r="G476" s="56" t="str">
        <f>VLOOKUP(C476,clientes!$C$3:$D$60,2,FALSE)</f>
        <v>EVONIK</v>
      </c>
    </row>
    <row r="477" spans="1:7" x14ac:dyDescent="0.25">
      <c r="A477">
        <v>2022</v>
      </c>
      <c r="B477" t="s">
        <v>133</v>
      </c>
      <c r="C477" s="56" t="s">
        <v>173</v>
      </c>
      <c r="D477" t="s">
        <v>22</v>
      </c>
      <c r="E477" t="str">
        <f>VLOOKUP(D477,'Lista de Produtos CLASSIFICAÇÃO'!$A$103:$B$144,2,FALSE)</f>
        <v>Metanol</v>
      </c>
      <c r="F477" s="55">
        <v>668745</v>
      </c>
      <c r="G477" s="56" t="str">
        <f>VLOOKUP(C477,clientes!$C$3:$D$60,2,FALSE)</f>
        <v>YPF SOCIEDAD ANONIMA</v>
      </c>
    </row>
    <row r="478" spans="1:7" x14ac:dyDescent="0.25">
      <c r="A478">
        <v>2022</v>
      </c>
      <c r="B478" t="s">
        <v>133</v>
      </c>
      <c r="C478" s="56" t="s">
        <v>203</v>
      </c>
      <c r="D478" t="s">
        <v>124</v>
      </c>
      <c r="E478" t="str">
        <f>VLOOKUP(D478,'Lista de Produtos CLASSIFICAÇÃO'!$A$103:$B$144,2,FALSE)</f>
        <v>Outros</v>
      </c>
      <c r="F478" s="55">
        <v>135958</v>
      </c>
      <c r="G478" s="56" t="str">
        <f>VLOOKUP(C478,clientes!$C$3:$D$60,2,FALSE)</f>
        <v>GTM</v>
      </c>
    </row>
    <row r="479" spans="1:7" x14ac:dyDescent="0.25">
      <c r="A479">
        <v>2022</v>
      </c>
      <c r="B479" t="s">
        <v>133</v>
      </c>
      <c r="C479" s="56" t="s">
        <v>197</v>
      </c>
      <c r="D479" t="s">
        <v>85</v>
      </c>
      <c r="E479" t="str">
        <f>VLOOKUP(D479,'Lista de Produtos CLASSIFICAÇÃO'!$A$103:$B$144,2,FALSE)</f>
        <v>Outros</v>
      </c>
      <c r="F479" s="55">
        <v>119000</v>
      </c>
      <c r="G479" s="56" t="str">
        <f>VLOOKUP(C479,clientes!$C$3:$D$60,2,FALSE)</f>
        <v>DRT</v>
      </c>
    </row>
    <row r="480" spans="1:7" x14ac:dyDescent="0.25">
      <c r="A480">
        <v>2022</v>
      </c>
      <c r="B480" t="s">
        <v>133</v>
      </c>
      <c r="C480" s="56" t="s">
        <v>198</v>
      </c>
      <c r="D480" t="s">
        <v>121</v>
      </c>
      <c r="E480" t="str">
        <f>VLOOKUP(D480,'Lista de Produtos CLASSIFICAÇÃO'!$A$103:$B$144,2,FALSE)</f>
        <v>Biocombustíveis</v>
      </c>
      <c r="F480" s="55">
        <v>0</v>
      </c>
      <c r="G480" s="56" t="str">
        <f>VLOOKUP(C480,clientes!$C$3:$D$60,2,FALSE)</f>
        <v>TEREOS / INPASA / GLENCORE</v>
      </c>
    </row>
    <row r="481" spans="1:7" x14ac:dyDescent="0.25">
      <c r="A481">
        <v>2022</v>
      </c>
      <c r="B481" t="s">
        <v>133</v>
      </c>
      <c r="C481" s="56" t="s">
        <v>174</v>
      </c>
      <c r="D481" t="s">
        <v>123</v>
      </c>
      <c r="E481" t="str">
        <f>VLOOKUP(D481,'Lista de Produtos CLASSIFICAÇÃO'!$A$103:$B$144,2,FALSE)</f>
        <v>Aquecidos</v>
      </c>
      <c r="F481" s="55">
        <v>677215</v>
      </c>
      <c r="G481" s="56" t="str">
        <f>VLOOKUP(C481,clientes!$C$3:$D$60,2,FALSE)</f>
        <v>CELENA</v>
      </c>
    </row>
    <row r="482" spans="1:7" x14ac:dyDescent="0.25">
      <c r="A482">
        <v>2022</v>
      </c>
      <c r="B482" t="s">
        <v>133</v>
      </c>
      <c r="C482" s="56" t="s">
        <v>175</v>
      </c>
      <c r="D482" t="s">
        <v>123</v>
      </c>
      <c r="E482" t="str">
        <f>VLOOKUP(D482,'Lista de Produtos CLASSIFICAÇÃO'!$A$103:$B$144,2,FALSE)</f>
        <v>Aquecidos</v>
      </c>
      <c r="F482" s="55">
        <v>440802</v>
      </c>
      <c r="G482" s="56" t="str">
        <f>VLOOKUP(C482,clientes!$C$3:$D$60,2,FALSE)</f>
        <v>AAK DO BRASIL</v>
      </c>
    </row>
    <row r="483" spans="1:7" x14ac:dyDescent="0.25">
      <c r="A483">
        <v>2022</v>
      </c>
      <c r="B483" t="s">
        <v>133</v>
      </c>
      <c r="C483" s="56" t="s">
        <v>166</v>
      </c>
      <c r="D483" t="s">
        <v>122</v>
      </c>
      <c r="E483" t="str">
        <f>VLOOKUP(D483,'Lista de Produtos CLASSIFICAÇÃO'!$A$103:$B$144,2,FALSE)</f>
        <v>Óleo Vegetal</v>
      </c>
      <c r="F483" s="55">
        <v>267726</v>
      </c>
      <c r="G483" s="56" t="str">
        <f>VLOOKUP(C483,clientes!$C$3:$D$60,2,FALSE)</f>
        <v>CARGILL</v>
      </c>
    </row>
    <row r="484" spans="1:7" x14ac:dyDescent="0.25">
      <c r="A484">
        <v>2022</v>
      </c>
      <c r="B484" t="s">
        <v>133</v>
      </c>
      <c r="C484" s="56" t="s">
        <v>176</v>
      </c>
      <c r="D484" t="s">
        <v>123</v>
      </c>
      <c r="E484" t="str">
        <f>VLOOKUP(D484,'Lista de Produtos CLASSIFICAÇÃO'!$A$103:$B$144,2,FALSE)</f>
        <v>Aquecidos</v>
      </c>
      <c r="F484" s="55">
        <v>336129</v>
      </c>
      <c r="G484" s="56" t="str">
        <f>VLOOKUP(C484,clientes!$C$3:$D$60,2,FALSE)</f>
        <v>AGROPALMA</v>
      </c>
    </row>
    <row r="485" spans="1:7" x14ac:dyDescent="0.25">
      <c r="A485">
        <v>2022</v>
      </c>
      <c r="B485" t="s">
        <v>133</v>
      </c>
      <c r="C485" s="56" t="s">
        <v>204</v>
      </c>
      <c r="D485" t="s">
        <v>59</v>
      </c>
      <c r="E485" t="str">
        <f>VLOOKUP(D485,'Lista de Produtos CLASSIFICAÇÃO'!$A$103:$B$144,2,FALSE)</f>
        <v>Derivados</v>
      </c>
      <c r="F485" s="55">
        <v>559643</v>
      </c>
      <c r="G485" s="56" t="str">
        <f>VLOOKUP(C485,clientes!$C$3:$D$60,2,FALSE)</f>
        <v>COPAPE</v>
      </c>
    </row>
    <row r="486" spans="1:7" x14ac:dyDescent="0.25">
      <c r="A486">
        <v>2022</v>
      </c>
      <c r="B486" t="s">
        <v>133</v>
      </c>
      <c r="C486" s="56" t="s">
        <v>177</v>
      </c>
      <c r="D486" t="s">
        <v>115</v>
      </c>
      <c r="E486" t="str">
        <f>VLOOKUP(D486,'Lista de Produtos CLASSIFICAÇÃO'!$A$103:$B$144,2,FALSE)</f>
        <v>Soda Caustica</v>
      </c>
      <c r="F486" s="55">
        <v>321373</v>
      </c>
      <c r="G486" s="56" t="str">
        <f>VLOOKUP(C486,clientes!$C$3:$D$60,2,FALSE)</f>
        <v>BRENNTAG</v>
      </c>
    </row>
    <row r="487" spans="1:7" x14ac:dyDescent="0.25">
      <c r="A487">
        <v>2022</v>
      </c>
      <c r="B487" t="s">
        <v>133</v>
      </c>
      <c r="C487" s="56" t="s">
        <v>178</v>
      </c>
      <c r="D487" t="s">
        <v>115</v>
      </c>
      <c r="E487" t="str">
        <f>VLOOKUP(D487,'Lista de Produtos CLASSIFICAÇÃO'!$A$103:$B$144,2,FALSE)</f>
        <v>Soda Caustica</v>
      </c>
      <c r="F487" s="55">
        <v>858863</v>
      </c>
      <c r="G487" s="56" t="str">
        <f>VLOOKUP(C487,clientes!$C$3:$D$60,2,FALSE)</f>
        <v>OLIN BLUE CUBE</v>
      </c>
    </row>
    <row r="488" spans="1:7" x14ac:dyDescent="0.25">
      <c r="A488">
        <v>2022</v>
      </c>
      <c r="B488" t="s">
        <v>134</v>
      </c>
      <c r="C488" t="s">
        <v>155</v>
      </c>
      <c r="D488" t="s">
        <v>16</v>
      </c>
      <c r="E488" t="str">
        <f>VLOOKUP(D488,'Lista de Produtos CLASSIFICAÇÃO'!$A$103:$B$144,2,FALSE)</f>
        <v>Outros</v>
      </c>
      <c r="F488" s="55">
        <v>716278</v>
      </c>
      <c r="G488" s="56" t="str">
        <f>VLOOKUP(C488,clientes!$C$3:$D$60,2,FALSE)</f>
        <v>ADISSEO</v>
      </c>
    </row>
    <row r="489" spans="1:7" x14ac:dyDescent="0.25">
      <c r="A489">
        <v>2022</v>
      </c>
      <c r="B489" t="s">
        <v>134</v>
      </c>
      <c r="C489" t="s">
        <v>156</v>
      </c>
      <c r="D489" t="s">
        <v>123</v>
      </c>
      <c r="E489" t="str">
        <f>VLOOKUP(D489,'Lista de Produtos CLASSIFICAÇÃO'!$A$103:$B$144,2,FALSE)</f>
        <v>Aquecidos</v>
      </c>
      <c r="F489" s="55">
        <v>316411</v>
      </c>
      <c r="G489" s="56" t="str">
        <f>VLOOKUP(C489,clientes!$C$3:$D$60,2,FALSE)</f>
        <v>BUNGE</v>
      </c>
    </row>
    <row r="490" spans="1:7" x14ac:dyDescent="0.25">
      <c r="A490">
        <v>2022</v>
      </c>
      <c r="B490" t="s">
        <v>134</v>
      </c>
      <c r="C490" t="s">
        <v>199</v>
      </c>
      <c r="D490" t="s">
        <v>16</v>
      </c>
      <c r="E490" t="str">
        <f>VLOOKUP(D490,'Lista de Produtos CLASSIFICAÇÃO'!$A$103:$B$144,2,FALSE)</f>
        <v>Outros</v>
      </c>
      <c r="F490" s="55">
        <v>3580</v>
      </c>
      <c r="G490" s="56" t="str">
        <f>VLOOKUP(C490,clientes!$C$3:$D$60,2,FALSE)</f>
        <v>ADISSEO</v>
      </c>
    </row>
    <row r="491" spans="1:7" x14ac:dyDescent="0.25">
      <c r="A491">
        <v>2022</v>
      </c>
      <c r="B491" t="s">
        <v>134</v>
      </c>
      <c r="C491" t="s">
        <v>157</v>
      </c>
      <c r="D491" t="s">
        <v>122</v>
      </c>
      <c r="E491" t="str">
        <f>VLOOKUP(D491,'Lista de Produtos CLASSIFICAÇÃO'!$A$103:$B$144,2,FALSE)</f>
        <v>Óleo Vegetal</v>
      </c>
      <c r="F491" s="55">
        <v>103392</v>
      </c>
      <c r="G491" s="56" t="str">
        <f>VLOOKUP(C491,clientes!$C$3:$D$60,2,FALSE)</f>
        <v>ADM</v>
      </c>
    </row>
    <row r="492" spans="1:7" x14ac:dyDescent="0.25">
      <c r="A492">
        <v>2022</v>
      </c>
      <c r="B492" t="s">
        <v>134</v>
      </c>
      <c r="C492" t="s">
        <v>158</v>
      </c>
      <c r="D492" t="s">
        <v>120</v>
      </c>
      <c r="E492" t="str">
        <f>VLOOKUP(D492,'Lista de Produtos CLASSIFICAÇÃO'!$A$103:$B$144,2,FALSE)</f>
        <v>Derivados</v>
      </c>
      <c r="F492" s="55">
        <v>5884397</v>
      </c>
      <c r="G492" s="56" t="str">
        <f>VLOOKUP(C492,clientes!$C$3:$D$60,2,FALSE)</f>
        <v>IPIRANGA</v>
      </c>
    </row>
    <row r="493" spans="1:7" x14ac:dyDescent="0.25">
      <c r="A493">
        <v>2022</v>
      </c>
      <c r="B493" t="s">
        <v>134</v>
      </c>
      <c r="C493" t="s">
        <v>159</v>
      </c>
      <c r="D493" t="s">
        <v>120</v>
      </c>
      <c r="E493" t="str">
        <f>VLOOKUP(D493,'Lista de Produtos CLASSIFICAÇÃO'!$A$103:$B$144,2,FALSE)</f>
        <v>Derivados</v>
      </c>
      <c r="F493" s="55">
        <v>2879842</v>
      </c>
      <c r="G493" s="56" t="str">
        <f>VLOOKUP(C493,clientes!$C$3:$D$60,2,FALSE)</f>
        <v>RAIZEN</v>
      </c>
    </row>
    <row r="494" spans="1:7" x14ac:dyDescent="0.25">
      <c r="A494">
        <v>2022</v>
      </c>
      <c r="B494" t="s">
        <v>134</v>
      </c>
      <c r="C494" t="s">
        <v>200</v>
      </c>
      <c r="D494" t="s">
        <v>120</v>
      </c>
      <c r="E494" t="str">
        <f>VLOOKUP(D494,'Lista de Produtos CLASSIFICAÇÃO'!$A$103:$B$144,2,FALSE)</f>
        <v>Derivados</v>
      </c>
      <c r="F494" s="55">
        <v>1004795</v>
      </c>
      <c r="G494" s="56" t="str">
        <f>VLOOKUP(C494,clientes!$C$3:$D$60,2,FALSE)</f>
        <v>GREENENERGY</v>
      </c>
    </row>
    <row r="495" spans="1:7" x14ac:dyDescent="0.25">
      <c r="A495">
        <v>2022</v>
      </c>
      <c r="B495" t="s">
        <v>134</v>
      </c>
      <c r="C495" t="s">
        <v>161</v>
      </c>
      <c r="D495" t="s">
        <v>120</v>
      </c>
      <c r="E495" t="str">
        <f>VLOOKUP(D495,'Lista de Produtos CLASSIFICAÇÃO'!$A$103:$B$144,2,FALSE)</f>
        <v>Derivados</v>
      </c>
      <c r="F495" s="55">
        <v>2053242</v>
      </c>
      <c r="G495" s="56" t="str">
        <f>VLOOKUP(C495,clientes!$C$3:$D$60,2,FALSE)</f>
        <v>SUL PLATA</v>
      </c>
    </row>
    <row r="496" spans="1:7" x14ac:dyDescent="0.25">
      <c r="A496">
        <v>2022</v>
      </c>
      <c r="B496" t="s">
        <v>134</v>
      </c>
      <c r="C496" t="s">
        <v>195</v>
      </c>
      <c r="D496" t="s">
        <v>115</v>
      </c>
      <c r="E496" t="str">
        <f>VLOOKUP(D496,'Lista de Produtos CLASSIFICAÇÃO'!$A$103:$B$144,2,FALSE)</f>
        <v>Soda Caustica</v>
      </c>
      <c r="F496" s="55">
        <v>70663</v>
      </c>
      <c r="G496" s="56" t="str">
        <f>VLOOKUP(C496,clientes!$C$3:$D$60,2,FALSE)</f>
        <v>PROJESAN</v>
      </c>
    </row>
    <row r="497" spans="1:7" x14ac:dyDescent="0.25">
      <c r="A497">
        <v>2022</v>
      </c>
      <c r="B497" t="s">
        <v>134</v>
      </c>
      <c r="C497" t="s">
        <v>162</v>
      </c>
      <c r="D497" t="s">
        <v>115</v>
      </c>
      <c r="E497" t="str">
        <f>VLOOKUP(D497,'Lista de Produtos CLASSIFICAÇÃO'!$A$103:$B$144,2,FALSE)</f>
        <v>Soda Caustica</v>
      </c>
      <c r="F497" s="55">
        <v>144366</v>
      </c>
      <c r="G497" s="56" t="str">
        <f>VLOOKUP(C497,clientes!$C$3:$D$60,2,FALSE)</f>
        <v>JBS</v>
      </c>
    </row>
    <row r="498" spans="1:7" x14ac:dyDescent="0.25">
      <c r="A498">
        <v>2022</v>
      </c>
      <c r="B498" t="s">
        <v>134</v>
      </c>
      <c r="C498" t="s">
        <v>163</v>
      </c>
      <c r="D498" t="s">
        <v>115</v>
      </c>
      <c r="E498" t="str">
        <f>VLOOKUP(D498,'Lista de Produtos CLASSIFICAÇÃO'!$A$103:$B$144,2,FALSE)</f>
        <v>Soda Caustica</v>
      </c>
      <c r="F498" s="55">
        <v>531095</v>
      </c>
      <c r="G498" s="56" t="str">
        <f>VLOOKUP(C498,clientes!$C$3:$D$60,2,FALSE)</f>
        <v>TRICON ENERGY</v>
      </c>
    </row>
    <row r="499" spans="1:7" x14ac:dyDescent="0.25">
      <c r="A499">
        <v>2022</v>
      </c>
      <c r="B499" t="s">
        <v>134</v>
      </c>
      <c r="C499" t="s">
        <v>164</v>
      </c>
      <c r="D499" t="s">
        <v>115</v>
      </c>
      <c r="E499" t="str">
        <f>VLOOKUP(D499,'Lista de Produtos CLASSIFICAÇÃO'!$A$103:$B$144,2,FALSE)</f>
        <v>Soda Caustica</v>
      </c>
      <c r="F499" s="55">
        <v>274629</v>
      </c>
      <c r="G499" s="56" t="str">
        <f>VLOOKUP(C499,clientes!$C$3:$D$60,2,FALSE)</f>
        <v>BRASKEM</v>
      </c>
    </row>
    <row r="500" spans="1:7" x14ac:dyDescent="0.25">
      <c r="A500">
        <v>2022</v>
      </c>
      <c r="B500" t="s">
        <v>134</v>
      </c>
      <c r="C500" t="s">
        <v>165</v>
      </c>
      <c r="D500" t="s">
        <v>123</v>
      </c>
      <c r="E500" t="str">
        <f>VLOOKUP(D500,'Lista de Produtos CLASSIFICAÇÃO'!$A$103:$B$144,2,FALSE)</f>
        <v>Aquecidos</v>
      </c>
      <c r="F500" s="55">
        <v>839921</v>
      </c>
      <c r="G500" s="56" t="str">
        <f>VLOOKUP(C500,clientes!$C$3:$D$60,2,FALSE)</f>
        <v>BRF</v>
      </c>
    </row>
    <row r="501" spans="1:7" x14ac:dyDescent="0.25">
      <c r="A501">
        <v>2022</v>
      </c>
      <c r="B501" t="s">
        <v>134</v>
      </c>
      <c r="C501" t="s">
        <v>162</v>
      </c>
      <c r="D501" t="s">
        <v>123</v>
      </c>
      <c r="E501" t="str">
        <f>VLOOKUP(D501,'Lista de Produtos CLASSIFICAÇÃO'!$A$103:$B$144,2,FALSE)</f>
        <v>Aquecidos</v>
      </c>
      <c r="F501" s="55">
        <v>320414</v>
      </c>
      <c r="G501" s="56" t="str">
        <f>VLOOKUP(C501,clientes!$C$3:$D$60,2,FALSE)</f>
        <v>JBS</v>
      </c>
    </row>
    <row r="502" spans="1:7" x14ac:dyDescent="0.25">
      <c r="A502">
        <v>2022</v>
      </c>
      <c r="B502" t="s">
        <v>134</v>
      </c>
      <c r="C502" t="s">
        <v>166</v>
      </c>
      <c r="D502" t="s">
        <v>123</v>
      </c>
      <c r="E502" t="str">
        <f>VLOOKUP(D502,'Lista de Produtos CLASSIFICAÇÃO'!$A$103:$B$144,2,FALSE)</f>
        <v>Aquecidos</v>
      </c>
      <c r="F502" s="55">
        <v>497038</v>
      </c>
      <c r="G502" s="56" t="str">
        <f>VLOOKUP(C502,clientes!$C$3:$D$60,2,FALSE)</f>
        <v>CARGILL</v>
      </c>
    </row>
    <row r="503" spans="1:7" x14ac:dyDescent="0.25">
      <c r="A503">
        <v>2022</v>
      </c>
      <c r="B503" t="s">
        <v>134</v>
      </c>
      <c r="C503" t="s">
        <v>167</v>
      </c>
      <c r="D503" t="s">
        <v>122</v>
      </c>
      <c r="E503" t="str">
        <f>VLOOKUP(D503,'Lista de Produtos CLASSIFICAÇÃO'!$A$103:$B$144,2,FALSE)</f>
        <v>Óleo Vegetal</v>
      </c>
      <c r="F503" s="55">
        <v>6284766</v>
      </c>
      <c r="G503" s="56" t="str">
        <f>VLOOKUP(C503,clientes!$C$3:$D$60,2,FALSE)</f>
        <v>POOL</v>
      </c>
    </row>
    <row r="504" spans="1:7" x14ac:dyDescent="0.25">
      <c r="A504">
        <v>2022</v>
      </c>
      <c r="B504" t="s">
        <v>134</v>
      </c>
      <c r="C504" t="s">
        <v>168</v>
      </c>
      <c r="D504" t="s">
        <v>122</v>
      </c>
      <c r="E504" t="str">
        <f>VLOOKUP(D504,'Lista de Produtos CLASSIFICAÇÃO'!$A$103:$B$144,2,FALSE)</f>
        <v>Óleo Vegetal</v>
      </c>
      <c r="F504" s="55">
        <v>98005</v>
      </c>
      <c r="G504" s="56" t="str">
        <f>VLOOKUP(C504,clientes!$C$3:$D$60,2,FALSE)</f>
        <v>POOL EXCEDENTE</v>
      </c>
    </row>
    <row r="505" spans="1:7" x14ac:dyDescent="0.25">
      <c r="A505">
        <v>2022</v>
      </c>
      <c r="B505" t="s">
        <v>134</v>
      </c>
      <c r="C505" t="s">
        <v>169</v>
      </c>
      <c r="D505" t="s">
        <v>22</v>
      </c>
      <c r="E505" t="str">
        <f>VLOOKUP(D505,'Lista de Produtos CLASSIFICAÇÃO'!$A$103:$B$144,2,FALSE)</f>
        <v>Metanol</v>
      </c>
      <c r="F505" s="55">
        <v>5845875</v>
      </c>
      <c r="G505" s="56" t="str">
        <f>VLOOKUP(C505,clientes!$C$3:$D$60,2,FALSE)</f>
        <v>METHANEX</v>
      </c>
    </row>
    <row r="506" spans="1:7" x14ac:dyDescent="0.25">
      <c r="A506">
        <v>2022</v>
      </c>
      <c r="B506" t="s">
        <v>134</v>
      </c>
      <c r="C506" t="s">
        <v>170</v>
      </c>
      <c r="D506" t="s">
        <v>22</v>
      </c>
      <c r="E506" t="str">
        <f>VLOOKUP(D506,'Lista de Produtos CLASSIFICAÇÃO'!$A$103:$B$144,2,FALSE)</f>
        <v>Metanol</v>
      </c>
      <c r="F506" s="55">
        <v>3497206</v>
      </c>
      <c r="G506" s="56" t="str">
        <f>VLOOKUP(C506,clientes!$C$3:$D$60,2,FALSE)</f>
        <v>MITSUBISHI</v>
      </c>
    </row>
    <row r="507" spans="1:7" x14ac:dyDescent="0.25">
      <c r="A507">
        <v>2022</v>
      </c>
      <c r="B507" t="s">
        <v>134</v>
      </c>
      <c r="C507" t="s">
        <v>196</v>
      </c>
      <c r="D507" t="s">
        <v>22</v>
      </c>
      <c r="E507" t="str">
        <f>VLOOKUP(D507,'Lista de Produtos CLASSIFICAÇÃO'!$A$103:$B$144,2,FALSE)</f>
        <v>Metanol</v>
      </c>
      <c r="F507" s="55">
        <v>5636979</v>
      </c>
      <c r="G507" s="56" t="str">
        <f>VLOOKUP(C507,clientes!$C$3:$D$60,2,FALSE)</f>
        <v>SCC</v>
      </c>
    </row>
    <row r="508" spans="1:7" x14ac:dyDescent="0.25">
      <c r="A508">
        <v>2022</v>
      </c>
      <c r="B508" t="s">
        <v>134</v>
      </c>
      <c r="C508" t="s">
        <v>196</v>
      </c>
      <c r="D508" t="s">
        <v>22</v>
      </c>
      <c r="E508" t="str">
        <f>VLOOKUP(D508,'Lista de Produtos CLASSIFICAÇÃO'!$A$103:$B$144,2,FALSE)</f>
        <v>Metanol</v>
      </c>
      <c r="F508" s="55">
        <v>0</v>
      </c>
      <c r="G508" s="56" t="str">
        <f>VLOOKUP(C508,clientes!$C$3:$D$60,2,FALSE)</f>
        <v>SCC</v>
      </c>
    </row>
    <row r="509" spans="1:7" x14ac:dyDescent="0.25">
      <c r="A509">
        <v>2022</v>
      </c>
      <c r="B509" t="s">
        <v>134</v>
      </c>
      <c r="C509" t="s">
        <v>201</v>
      </c>
      <c r="D509" t="s">
        <v>202</v>
      </c>
      <c r="E509" t="str">
        <f>VLOOKUP(D509,'Lista de Produtos CLASSIFICAÇÃO'!$A$103:$B$144,2,FALSE)</f>
        <v>Outros</v>
      </c>
      <c r="F509" s="55">
        <v>369684</v>
      </c>
      <c r="G509" s="56" t="str">
        <f>VLOOKUP(C509,clientes!$C$3:$D$60,2,FALSE)</f>
        <v>TERRENA</v>
      </c>
    </row>
    <row r="510" spans="1:7" x14ac:dyDescent="0.25">
      <c r="A510">
        <v>2022</v>
      </c>
      <c r="B510" t="s">
        <v>134</v>
      </c>
      <c r="C510" t="s">
        <v>172</v>
      </c>
      <c r="D510" t="s">
        <v>124</v>
      </c>
      <c r="E510" t="str">
        <f>VLOOKUP(D510,'Lista de Produtos CLASSIFICAÇÃO'!$A$103:$B$144,2,FALSE)</f>
        <v>Outros</v>
      </c>
      <c r="F510" s="55">
        <v>222688</v>
      </c>
      <c r="G510" s="56" t="str">
        <f>VLOOKUP(C510,clientes!$C$3:$D$60,2,FALSE)</f>
        <v>EVONIK</v>
      </c>
    </row>
    <row r="511" spans="1:7" x14ac:dyDescent="0.25">
      <c r="A511">
        <v>2022</v>
      </c>
      <c r="B511" t="s">
        <v>134</v>
      </c>
      <c r="C511" t="s">
        <v>173</v>
      </c>
      <c r="D511" t="s">
        <v>22</v>
      </c>
      <c r="E511" t="str">
        <f>VLOOKUP(D511,'Lista de Produtos CLASSIFICAÇÃO'!$A$103:$B$144,2,FALSE)</f>
        <v>Metanol</v>
      </c>
      <c r="F511" s="55">
        <v>588985</v>
      </c>
      <c r="G511" s="56" t="str">
        <f>VLOOKUP(C511,clientes!$C$3:$D$60,2,FALSE)</f>
        <v>YPF SOCIEDAD ANONIMA</v>
      </c>
    </row>
    <row r="512" spans="1:7" x14ac:dyDescent="0.25">
      <c r="A512">
        <v>2022</v>
      </c>
      <c r="B512" t="s">
        <v>134</v>
      </c>
      <c r="C512" t="s">
        <v>203</v>
      </c>
      <c r="D512" t="s">
        <v>124</v>
      </c>
      <c r="E512" t="str">
        <f>VLOOKUP(D512,'Lista de Produtos CLASSIFICAÇÃO'!$A$103:$B$144,2,FALSE)</f>
        <v>Outros</v>
      </c>
      <c r="F512" s="55">
        <v>135958</v>
      </c>
      <c r="G512" s="56" t="str">
        <f>VLOOKUP(C512,clientes!$C$3:$D$60,2,FALSE)</f>
        <v>GTM</v>
      </c>
    </row>
    <row r="513" spans="1:7" x14ac:dyDescent="0.25">
      <c r="A513">
        <v>2022</v>
      </c>
      <c r="B513" t="s">
        <v>134</v>
      </c>
      <c r="C513" t="s">
        <v>197</v>
      </c>
      <c r="D513" t="s">
        <v>85</v>
      </c>
      <c r="E513" t="str">
        <f>VLOOKUP(D513,'Lista de Produtos CLASSIFICAÇÃO'!$A$103:$B$144,2,FALSE)</f>
        <v>Outros</v>
      </c>
      <c r="F513" s="55">
        <v>119000</v>
      </c>
      <c r="G513" s="56" t="str">
        <f>VLOOKUP(C513,clientes!$C$3:$D$60,2,FALSE)</f>
        <v>DRT</v>
      </c>
    </row>
    <row r="514" spans="1:7" x14ac:dyDescent="0.25">
      <c r="A514">
        <v>2022</v>
      </c>
      <c r="B514" t="s">
        <v>134</v>
      </c>
      <c r="C514" t="s">
        <v>198</v>
      </c>
      <c r="D514" t="s">
        <v>121</v>
      </c>
      <c r="E514" t="str">
        <f>VLOOKUP(D514,'Lista de Produtos CLASSIFICAÇÃO'!$A$103:$B$144,2,FALSE)</f>
        <v>Biocombustíveis</v>
      </c>
      <c r="F514" s="55">
        <v>0</v>
      </c>
      <c r="G514" s="56" t="str">
        <f>VLOOKUP(C514,clientes!$C$3:$D$60,2,FALSE)</f>
        <v>TEREOS / INPASA / GLENCORE</v>
      </c>
    </row>
    <row r="515" spans="1:7" x14ac:dyDescent="0.25">
      <c r="A515">
        <v>2022</v>
      </c>
      <c r="B515" t="s">
        <v>134</v>
      </c>
      <c r="C515" t="s">
        <v>174</v>
      </c>
      <c r="D515" t="s">
        <v>123</v>
      </c>
      <c r="E515" t="str">
        <f>VLOOKUP(D515,'Lista de Produtos CLASSIFICAÇÃO'!$A$103:$B$144,2,FALSE)</f>
        <v>Aquecidos</v>
      </c>
      <c r="F515" s="55">
        <v>677215</v>
      </c>
      <c r="G515" s="56" t="str">
        <f>VLOOKUP(C515,clientes!$C$3:$D$60,2,FALSE)</f>
        <v>CELENA</v>
      </c>
    </row>
    <row r="516" spans="1:7" x14ac:dyDescent="0.25">
      <c r="A516">
        <v>2022</v>
      </c>
      <c r="B516" t="s">
        <v>134</v>
      </c>
      <c r="C516" t="s">
        <v>175</v>
      </c>
      <c r="D516" t="s">
        <v>123</v>
      </c>
      <c r="E516" t="str">
        <f>VLOOKUP(D516,'Lista de Produtos CLASSIFICAÇÃO'!$A$103:$B$144,2,FALSE)</f>
        <v>Aquecidos</v>
      </c>
      <c r="F516" s="55">
        <v>440802</v>
      </c>
      <c r="G516" s="56" t="str">
        <f>VLOOKUP(C516,clientes!$C$3:$D$60,2,FALSE)</f>
        <v>AAK DO BRASIL</v>
      </c>
    </row>
    <row r="517" spans="1:7" x14ac:dyDescent="0.25">
      <c r="A517">
        <v>2022</v>
      </c>
      <c r="B517" t="s">
        <v>134</v>
      </c>
      <c r="C517" t="s">
        <v>166</v>
      </c>
      <c r="D517" t="s">
        <v>122</v>
      </c>
      <c r="E517" t="str">
        <f>VLOOKUP(D517,'Lista de Produtos CLASSIFICAÇÃO'!$A$103:$B$144,2,FALSE)</f>
        <v>Óleo Vegetal</v>
      </c>
      <c r="F517" s="55">
        <v>221530</v>
      </c>
      <c r="G517" s="56" t="str">
        <f>VLOOKUP(C517,clientes!$C$3:$D$60,2,FALSE)</f>
        <v>CARGILL</v>
      </c>
    </row>
    <row r="518" spans="1:7" x14ac:dyDescent="0.25">
      <c r="A518">
        <v>2022</v>
      </c>
      <c r="B518" t="s">
        <v>134</v>
      </c>
      <c r="C518" t="s">
        <v>176</v>
      </c>
      <c r="D518" t="s">
        <v>123</v>
      </c>
      <c r="E518" t="str">
        <f>VLOOKUP(D518,'Lista de Produtos CLASSIFICAÇÃO'!$A$103:$B$144,2,FALSE)</f>
        <v>Aquecidos</v>
      </c>
      <c r="F518" s="55">
        <v>336129</v>
      </c>
      <c r="G518" s="56" t="str">
        <f>VLOOKUP(C518,clientes!$C$3:$D$60,2,FALSE)</f>
        <v>AGROPALMA</v>
      </c>
    </row>
    <row r="519" spans="1:7" x14ac:dyDescent="0.25">
      <c r="A519">
        <v>2022</v>
      </c>
      <c r="B519" t="s">
        <v>134</v>
      </c>
      <c r="C519" t="s">
        <v>204</v>
      </c>
      <c r="D519" t="s">
        <v>59</v>
      </c>
      <c r="E519" t="str">
        <f>VLOOKUP(D519,'Lista de Produtos CLASSIFICAÇÃO'!$A$103:$B$144,2,FALSE)</f>
        <v>Derivados</v>
      </c>
      <c r="F519" s="55">
        <v>0</v>
      </c>
      <c r="G519" s="56" t="str">
        <f>VLOOKUP(C519,clientes!$C$3:$D$60,2,FALSE)</f>
        <v>COPAPE</v>
      </c>
    </row>
    <row r="520" spans="1:7" x14ac:dyDescent="0.25">
      <c r="A520">
        <v>2022</v>
      </c>
      <c r="B520" t="s">
        <v>134</v>
      </c>
      <c r="C520" t="s">
        <v>177</v>
      </c>
      <c r="D520" t="s">
        <v>115</v>
      </c>
      <c r="E520" t="str">
        <f>VLOOKUP(D520,'Lista de Produtos CLASSIFICAÇÃO'!$A$103:$B$144,2,FALSE)</f>
        <v>Soda Caustica</v>
      </c>
      <c r="F520" s="55">
        <v>321373</v>
      </c>
      <c r="G520" s="56" t="str">
        <f>VLOOKUP(C520,clientes!$C$3:$D$60,2,FALSE)</f>
        <v>BRENNTAG</v>
      </c>
    </row>
    <row r="521" spans="1:7" x14ac:dyDescent="0.25">
      <c r="A521">
        <v>2022</v>
      </c>
      <c r="B521" t="s">
        <v>134</v>
      </c>
      <c r="C521" t="s">
        <v>178</v>
      </c>
      <c r="D521" t="s">
        <v>115</v>
      </c>
      <c r="E521" t="str">
        <f>VLOOKUP(D521,'Lista de Produtos CLASSIFICAÇÃO'!$A$103:$B$144,2,FALSE)</f>
        <v>Soda Caustica</v>
      </c>
      <c r="F521" s="55">
        <v>858863</v>
      </c>
      <c r="G521" s="56" t="str">
        <f>VLOOKUP(C521,clientes!$C$3:$D$60,2,FALSE)</f>
        <v>OLIN BLUE CUBE</v>
      </c>
    </row>
    <row r="522" spans="1:7" x14ac:dyDescent="0.25">
      <c r="A522">
        <v>2022</v>
      </c>
      <c r="B522" t="s">
        <v>135</v>
      </c>
      <c r="C522" s="56" t="s">
        <v>155</v>
      </c>
      <c r="D522" t="s">
        <v>16</v>
      </c>
      <c r="E522" t="str">
        <f>VLOOKUP(D522,'Lista de Produtos CLASSIFICAÇÃO'!$A$103:$B$144,2,FALSE)</f>
        <v>Outros</v>
      </c>
      <c r="F522" s="55">
        <v>716278</v>
      </c>
      <c r="G522" s="56" t="str">
        <f>VLOOKUP(C522,clientes!$C$3:$D$60,2,FALSE)</f>
        <v>ADISSEO</v>
      </c>
    </row>
    <row r="523" spans="1:7" x14ac:dyDescent="0.25">
      <c r="A523">
        <v>2022</v>
      </c>
      <c r="B523" t="s">
        <v>135</v>
      </c>
      <c r="C523" s="56" t="s">
        <v>156</v>
      </c>
      <c r="D523" t="s">
        <v>123</v>
      </c>
      <c r="E523" t="str">
        <f>VLOOKUP(D523,'Lista de Produtos CLASSIFICAÇÃO'!$A$103:$B$144,2,FALSE)</f>
        <v>Aquecidos</v>
      </c>
      <c r="F523" s="55">
        <v>316411</v>
      </c>
      <c r="G523" s="56" t="str">
        <f>VLOOKUP(C523,clientes!$C$3:$D$60,2,FALSE)</f>
        <v>BUNGE</v>
      </c>
    </row>
    <row r="524" spans="1:7" x14ac:dyDescent="0.25">
      <c r="A524">
        <v>2022</v>
      </c>
      <c r="B524" t="s">
        <v>135</v>
      </c>
      <c r="C524" s="56" t="s">
        <v>199</v>
      </c>
      <c r="D524" t="s">
        <v>16</v>
      </c>
      <c r="E524" t="str">
        <f>VLOOKUP(D524,'Lista de Produtos CLASSIFICAÇÃO'!$A$103:$B$144,2,FALSE)</f>
        <v>Outros</v>
      </c>
      <c r="F524" s="55">
        <v>3580</v>
      </c>
      <c r="G524" s="56" t="str">
        <f>VLOOKUP(C524,clientes!$C$3:$D$60,2,FALSE)</f>
        <v>ADISSEO</v>
      </c>
    </row>
    <row r="525" spans="1:7" x14ac:dyDescent="0.25">
      <c r="A525">
        <v>2022</v>
      </c>
      <c r="B525" t="s">
        <v>135</v>
      </c>
      <c r="C525" s="56" t="s">
        <v>157</v>
      </c>
      <c r="D525" t="s">
        <v>122</v>
      </c>
      <c r="E525" t="str">
        <f>VLOOKUP(D525,'Lista de Produtos CLASSIFICAÇÃO'!$A$103:$B$144,2,FALSE)</f>
        <v>Óleo Vegetal</v>
      </c>
      <c r="F525" s="55">
        <v>103392</v>
      </c>
      <c r="G525" s="56" t="str">
        <f>VLOOKUP(C525,clientes!$C$3:$D$60,2,FALSE)</f>
        <v>ADM</v>
      </c>
    </row>
    <row r="526" spans="1:7" x14ac:dyDescent="0.25">
      <c r="A526">
        <v>2022</v>
      </c>
      <c r="B526" t="s">
        <v>135</v>
      </c>
      <c r="C526" s="56" t="s">
        <v>158</v>
      </c>
      <c r="D526" t="s">
        <v>120</v>
      </c>
      <c r="E526" t="str">
        <f>VLOOKUP(D526,'Lista de Produtos CLASSIFICAÇÃO'!$A$103:$B$144,2,FALSE)</f>
        <v>Derivados</v>
      </c>
      <c r="F526" s="55">
        <v>5509666</v>
      </c>
      <c r="G526" s="56" t="str">
        <f>VLOOKUP(C526,clientes!$C$3:$D$60,2,FALSE)</f>
        <v>IPIRANGA</v>
      </c>
    </row>
    <row r="527" spans="1:7" x14ac:dyDescent="0.25">
      <c r="A527">
        <v>2022</v>
      </c>
      <c r="B527" t="s">
        <v>135</v>
      </c>
      <c r="C527" s="56" t="s">
        <v>159</v>
      </c>
      <c r="D527" t="s">
        <v>120</v>
      </c>
      <c r="E527" t="str">
        <f>VLOOKUP(D527,'Lista de Produtos CLASSIFICAÇÃO'!$A$103:$B$144,2,FALSE)</f>
        <v>Derivados</v>
      </c>
      <c r="F527" s="55">
        <v>2451242</v>
      </c>
      <c r="G527" s="56" t="str">
        <f>VLOOKUP(C527,clientes!$C$3:$D$60,2,FALSE)</f>
        <v>RAIZEN</v>
      </c>
    </row>
    <row r="528" spans="1:7" x14ac:dyDescent="0.25">
      <c r="A528">
        <v>2022</v>
      </c>
      <c r="B528" t="s">
        <v>135</v>
      </c>
      <c r="C528" s="56" t="s">
        <v>200</v>
      </c>
      <c r="D528" t="s">
        <v>120</v>
      </c>
      <c r="E528" t="str">
        <f>VLOOKUP(D528,'Lista de Produtos CLASSIFICAÇÃO'!$A$103:$B$144,2,FALSE)</f>
        <v>Derivados</v>
      </c>
      <c r="F528" s="55">
        <v>1004795</v>
      </c>
      <c r="G528" s="56" t="str">
        <f>VLOOKUP(C528,clientes!$C$3:$D$60,2,FALSE)</f>
        <v>GREENENERGY</v>
      </c>
    </row>
    <row r="529" spans="1:7" x14ac:dyDescent="0.25">
      <c r="A529">
        <v>2022</v>
      </c>
      <c r="B529" t="s">
        <v>135</v>
      </c>
      <c r="C529" s="56" t="s">
        <v>161</v>
      </c>
      <c r="D529" t="s">
        <v>120</v>
      </c>
      <c r="E529" t="str">
        <f>VLOOKUP(D529,'Lista de Produtos CLASSIFICAÇÃO'!$A$103:$B$144,2,FALSE)</f>
        <v>Derivados</v>
      </c>
      <c r="F529" s="55">
        <v>2053242</v>
      </c>
      <c r="G529" s="56" t="str">
        <f>VLOOKUP(C529,clientes!$C$3:$D$60,2,FALSE)</f>
        <v>SUL PLATA</v>
      </c>
    </row>
    <row r="530" spans="1:7" x14ac:dyDescent="0.25">
      <c r="A530">
        <v>2022</v>
      </c>
      <c r="B530" t="s">
        <v>135</v>
      </c>
      <c r="C530" s="56" t="s">
        <v>195</v>
      </c>
      <c r="D530" t="s">
        <v>115</v>
      </c>
      <c r="E530" t="str">
        <f>VLOOKUP(D530,'Lista de Produtos CLASSIFICAÇÃO'!$A$103:$B$144,2,FALSE)</f>
        <v>Soda Caustica</v>
      </c>
      <c r="F530" s="55">
        <v>81453</v>
      </c>
      <c r="G530" s="56" t="str">
        <f>VLOOKUP(C530,clientes!$C$3:$D$60,2,FALSE)</f>
        <v>PROJESAN</v>
      </c>
    </row>
    <row r="531" spans="1:7" x14ac:dyDescent="0.25">
      <c r="A531">
        <v>2022</v>
      </c>
      <c r="B531" t="s">
        <v>135</v>
      </c>
      <c r="C531" s="56" t="s">
        <v>162</v>
      </c>
      <c r="D531" t="s">
        <v>115</v>
      </c>
      <c r="E531" t="str">
        <f>VLOOKUP(D531,'Lista de Produtos CLASSIFICAÇÃO'!$A$103:$B$144,2,FALSE)</f>
        <v>Soda Caustica</v>
      </c>
      <c r="F531" s="55">
        <v>144366</v>
      </c>
      <c r="G531" s="56" t="str">
        <f>VLOOKUP(C531,clientes!$C$3:$D$60,2,FALSE)</f>
        <v>JBS</v>
      </c>
    </row>
    <row r="532" spans="1:7" x14ac:dyDescent="0.25">
      <c r="A532">
        <v>2022</v>
      </c>
      <c r="B532" t="s">
        <v>135</v>
      </c>
      <c r="C532" s="56" t="s">
        <v>163</v>
      </c>
      <c r="D532" t="s">
        <v>115</v>
      </c>
      <c r="E532" t="str">
        <f>VLOOKUP(D532,'Lista de Produtos CLASSIFICAÇÃO'!$A$103:$B$144,2,FALSE)</f>
        <v>Soda Caustica</v>
      </c>
      <c r="F532" s="55">
        <v>531095</v>
      </c>
      <c r="G532" s="56" t="str">
        <f>VLOOKUP(C532,clientes!$C$3:$D$60,2,FALSE)</f>
        <v>TRICON ENERGY</v>
      </c>
    </row>
    <row r="533" spans="1:7" x14ac:dyDescent="0.25">
      <c r="A533">
        <v>2022</v>
      </c>
      <c r="B533" t="s">
        <v>135</v>
      </c>
      <c r="C533" s="56" t="s">
        <v>164</v>
      </c>
      <c r="D533" t="s">
        <v>115</v>
      </c>
      <c r="E533" t="str">
        <f>VLOOKUP(D533,'Lista de Produtos CLASSIFICAÇÃO'!$A$103:$B$144,2,FALSE)</f>
        <v>Soda Caustica</v>
      </c>
      <c r="F533" s="55">
        <v>300314</v>
      </c>
      <c r="G533" s="56" t="str">
        <f>VLOOKUP(C533,clientes!$C$3:$D$60,2,FALSE)</f>
        <v>BRASKEM</v>
      </c>
    </row>
    <row r="534" spans="1:7" x14ac:dyDescent="0.25">
      <c r="A534">
        <v>2022</v>
      </c>
      <c r="B534" t="s">
        <v>135</v>
      </c>
      <c r="C534" s="56" t="s">
        <v>165</v>
      </c>
      <c r="D534" t="s">
        <v>123</v>
      </c>
      <c r="E534" t="str">
        <f>VLOOKUP(D534,'Lista de Produtos CLASSIFICAÇÃO'!$A$103:$B$144,2,FALSE)</f>
        <v>Aquecidos</v>
      </c>
      <c r="F534" s="55">
        <v>916942</v>
      </c>
      <c r="G534" s="56" t="str">
        <f>VLOOKUP(C534,clientes!$C$3:$D$60,2,FALSE)</f>
        <v>BRF</v>
      </c>
    </row>
    <row r="535" spans="1:7" x14ac:dyDescent="0.25">
      <c r="A535">
        <v>2022</v>
      </c>
      <c r="B535" t="s">
        <v>135</v>
      </c>
      <c r="C535" s="56" t="s">
        <v>162</v>
      </c>
      <c r="D535" t="s">
        <v>123</v>
      </c>
      <c r="E535" t="str">
        <f>VLOOKUP(D535,'Lista de Produtos CLASSIFICAÇÃO'!$A$103:$B$144,2,FALSE)</f>
        <v>Aquecidos</v>
      </c>
      <c r="F535" s="55">
        <v>320414</v>
      </c>
      <c r="G535" s="56" t="str">
        <f>VLOOKUP(C535,clientes!$C$3:$D$60,2,FALSE)</f>
        <v>JBS</v>
      </c>
    </row>
    <row r="536" spans="1:7" x14ac:dyDescent="0.25">
      <c r="A536">
        <v>2022</v>
      </c>
      <c r="B536" t="s">
        <v>135</v>
      </c>
      <c r="C536" s="56" t="s">
        <v>166</v>
      </c>
      <c r="D536" t="s">
        <v>123</v>
      </c>
      <c r="E536" t="str">
        <f>VLOOKUP(D536,'Lista de Produtos CLASSIFICAÇÃO'!$A$103:$B$144,2,FALSE)</f>
        <v>Aquecidos</v>
      </c>
      <c r="F536" s="55">
        <v>497038</v>
      </c>
      <c r="G536" s="56" t="str">
        <f>VLOOKUP(C536,clientes!$C$3:$D$60,2,FALSE)</f>
        <v>CARGILL</v>
      </c>
    </row>
    <row r="537" spans="1:7" x14ac:dyDescent="0.25">
      <c r="A537">
        <v>2022</v>
      </c>
      <c r="B537" t="s">
        <v>135</v>
      </c>
      <c r="C537" s="56" t="s">
        <v>167</v>
      </c>
      <c r="D537" t="s">
        <v>122</v>
      </c>
      <c r="E537" t="str">
        <f>VLOOKUP(D537,'Lista de Produtos CLASSIFICAÇÃO'!$A$103:$B$144,2,FALSE)</f>
        <v>Óleo Vegetal</v>
      </c>
      <c r="F537" s="55">
        <v>6284766</v>
      </c>
      <c r="G537" s="56" t="str">
        <f>VLOOKUP(C537,clientes!$C$3:$D$60,2,FALSE)</f>
        <v>POOL</v>
      </c>
    </row>
    <row r="538" spans="1:7" x14ac:dyDescent="0.25">
      <c r="A538">
        <v>2022</v>
      </c>
      <c r="B538" t="s">
        <v>135</v>
      </c>
      <c r="C538" s="56" t="s">
        <v>168</v>
      </c>
      <c r="D538" t="s">
        <v>122</v>
      </c>
      <c r="E538" t="str">
        <f>VLOOKUP(D538,'Lista de Produtos CLASSIFICAÇÃO'!$A$103:$B$144,2,FALSE)</f>
        <v>Óleo Vegetal</v>
      </c>
      <c r="F538" s="55">
        <v>98005</v>
      </c>
      <c r="G538" s="56" t="str">
        <f>VLOOKUP(C538,clientes!$C$3:$D$60,2,FALSE)</f>
        <v>POOL EXCEDENTE</v>
      </c>
    </row>
    <row r="539" spans="1:7" x14ac:dyDescent="0.25">
      <c r="A539">
        <v>2022</v>
      </c>
      <c r="B539" t="s">
        <v>135</v>
      </c>
      <c r="C539" s="56" t="s">
        <v>169</v>
      </c>
      <c r="D539" t="s">
        <v>22</v>
      </c>
      <c r="E539" t="str">
        <f>VLOOKUP(D539,'Lista de Produtos CLASSIFICAÇÃO'!$A$103:$B$144,2,FALSE)</f>
        <v>Metanol</v>
      </c>
      <c r="F539" s="55">
        <v>5845875</v>
      </c>
      <c r="G539" s="56" t="str">
        <f>VLOOKUP(C539,clientes!$C$3:$D$60,2,FALSE)</f>
        <v>METHANEX</v>
      </c>
    </row>
    <row r="540" spans="1:7" x14ac:dyDescent="0.25">
      <c r="A540">
        <v>2022</v>
      </c>
      <c r="B540" t="s">
        <v>135</v>
      </c>
      <c r="C540" s="56" t="s">
        <v>170</v>
      </c>
      <c r="D540" t="s">
        <v>22</v>
      </c>
      <c r="E540" t="str">
        <f>VLOOKUP(D540,'Lista de Produtos CLASSIFICAÇÃO'!$A$103:$B$144,2,FALSE)</f>
        <v>Metanol</v>
      </c>
      <c r="F540" s="55">
        <v>3497206</v>
      </c>
      <c r="G540" s="56" t="str">
        <f>VLOOKUP(C540,clientes!$C$3:$D$60,2,FALSE)</f>
        <v>MITSUBISHI</v>
      </c>
    </row>
    <row r="541" spans="1:7" x14ac:dyDescent="0.25">
      <c r="A541">
        <v>2022</v>
      </c>
      <c r="B541" t="s">
        <v>135</v>
      </c>
      <c r="C541" s="56" t="s">
        <v>196</v>
      </c>
      <c r="D541" t="s">
        <v>22</v>
      </c>
      <c r="E541" t="str">
        <f>VLOOKUP(D541,'Lista de Produtos CLASSIFICAÇÃO'!$A$103:$B$144,2,FALSE)</f>
        <v>Metanol</v>
      </c>
      <c r="F541" s="55">
        <v>5636979</v>
      </c>
      <c r="G541" s="56" t="str">
        <f>VLOOKUP(C541,clientes!$C$3:$D$60,2,FALSE)</f>
        <v>SCC</v>
      </c>
    </row>
    <row r="542" spans="1:7" x14ac:dyDescent="0.25">
      <c r="A542">
        <v>2022</v>
      </c>
      <c r="B542" t="s">
        <v>135</v>
      </c>
      <c r="C542" s="56" t="s">
        <v>196</v>
      </c>
      <c r="D542" t="s">
        <v>22</v>
      </c>
      <c r="E542" t="str">
        <f>VLOOKUP(D542,'Lista de Produtos CLASSIFICAÇÃO'!$A$103:$B$144,2,FALSE)</f>
        <v>Metanol</v>
      </c>
      <c r="F542" s="55">
        <v>0</v>
      </c>
      <c r="G542" s="56" t="str">
        <f>VLOOKUP(C542,clientes!$C$3:$D$60,2,FALSE)</f>
        <v>SCC</v>
      </c>
    </row>
    <row r="543" spans="1:7" x14ac:dyDescent="0.25">
      <c r="A543">
        <v>2022</v>
      </c>
      <c r="B543" t="s">
        <v>135</v>
      </c>
      <c r="C543" s="56" t="s">
        <v>201</v>
      </c>
      <c r="D543" t="s">
        <v>202</v>
      </c>
      <c r="E543" t="str">
        <f>VLOOKUP(D543,'Lista de Produtos CLASSIFICAÇÃO'!$A$103:$B$144,2,FALSE)</f>
        <v>Outros</v>
      </c>
      <c r="F543" s="55">
        <v>369684</v>
      </c>
      <c r="G543" s="56" t="str">
        <f>VLOOKUP(C543,clientes!$C$3:$D$60,2,FALSE)</f>
        <v>TERRENA</v>
      </c>
    </row>
    <row r="544" spans="1:7" x14ac:dyDescent="0.25">
      <c r="A544">
        <v>2022</v>
      </c>
      <c r="B544" t="s">
        <v>135</v>
      </c>
      <c r="C544" s="56" t="s">
        <v>172</v>
      </c>
      <c r="D544" t="s">
        <v>124</v>
      </c>
      <c r="E544" t="str">
        <f>VLOOKUP(D544,'Lista de Produtos CLASSIFICAÇÃO'!$A$103:$B$144,2,FALSE)</f>
        <v>Outros</v>
      </c>
      <c r="F544" s="55">
        <v>222688</v>
      </c>
      <c r="G544" s="56" t="str">
        <f>VLOOKUP(C544,clientes!$C$3:$D$60,2,FALSE)</f>
        <v>EVONIK</v>
      </c>
    </row>
    <row r="545" spans="1:7" x14ac:dyDescent="0.25">
      <c r="A545">
        <v>2022</v>
      </c>
      <c r="B545" t="s">
        <v>135</v>
      </c>
      <c r="C545" s="56" t="s">
        <v>173</v>
      </c>
      <c r="D545" t="s">
        <v>22</v>
      </c>
      <c r="E545" t="str">
        <f>VLOOKUP(D545,'Lista de Produtos CLASSIFICAÇÃO'!$A$103:$B$144,2,FALSE)</f>
        <v>Metanol</v>
      </c>
      <c r="F545" s="55">
        <v>588985</v>
      </c>
      <c r="G545" s="56" t="str">
        <f>VLOOKUP(C545,clientes!$C$3:$D$60,2,FALSE)</f>
        <v>YPF SOCIEDAD ANONIMA</v>
      </c>
    </row>
    <row r="546" spans="1:7" x14ac:dyDescent="0.25">
      <c r="A546">
        <v>2022</v>
      </c>
      <c r="B546" t="s">
        <v>135</v>
      </c>
      <c r="C546" s="56" t="s">
        <v>203</v>
      </c>
      <c r="D546" t="s">
        <v>124</v>
      </c>
      <c r="E546" t="str">
        <f>VLOOKUP(D546,'Lista de Produtos CLASSIFICAÇÃO'!$A$103:$B$144,2,FALSE)</f>
        <v>Outros</v>
      </c>
      <c r="F546" s="55">
        <v>147795</v>
      </c>
      <c r="G546" s="56" t="str">
        <f>VLOOKUP(C546,clientes!$C$3:$D$60,2,FALSE)</f>
        <v>GTM</v>
      </c>
    </row>
    <row r="547" spans="1:7" x14ac:dyDescent="0.25">
      <c r="A547">
        <v>2022</v>
      </c>
      <c r="B547" t="s">
        <v>135</v>
      </c>
      <c r="C547" s="56" t="s">
        <v>197</v>
      </c>
      <c r="D547" t="s">
        <v>85</v>
      </c>
      <c r="E547" t="str">
        <f>VLOOKUP(D547,'Lista de Produtos CLASSIFICAÇÃO'!$A$103:$B$144,2,FALSE)</f>
        <v>Outros</v>
      </c>
      <c r="F547" s="55">
        <v>119000</v>
      </c>
      <c r="G547" s="56" t="str">
        <f>VLOOKUP(C547,clientes!$C$3:$D$60,2,FALSE)</f>
        <v>DRT</v>
      </c>
    </row>
    <row r="548" spans="1:7" x14ac:dyDescent="0.25">
      <c r="A548">
        <v>2022</v>
      </c>
      <c r="B548" t="s">
        <v>135</v>
      </c>
      <c r="C548" s="56" t="s">
        <v>198</v>
      </c>
      <c r="D548" t="s">
        <v>121</v>
      </c>
      <c r="E548" t="str">
        <f>VLOOKUP(D548,'Lista de Produtos CLASSIFICAÇÃO'!$A$103:$B$144,2,FALSE)</f>
        <v>Biocombustíveis</v>
      </c>
      <c r="F548" s="55">
        <v>0</v>
      </c>
      <c r="G548" s="56" t="str">
        <f>VLOOKUP(C548,clientes!$C$3:$D$60,2,FALSE)</f>
        <v>TEREOS / INPASA / GLENCORE</v>
      </c>
    </row>
    <row r="549" spans="1:7" x14ac:dyDescent="0.25">
      <c r="A549">
        <v>2022</v>
      </c>
      <c r="B549" t="s">
        <v>135</v>
      </c>
      <c r="C549" s="56" t="s">
        <v>174</v>
      </c>
      <c r="D549" t="s">
        <v>123</v>
      </c>
      <c r="E549" t="str">
        <f>VLOOKUP(D549,'Lista de Produtos CLASSIFICAÇÃO'!$A$103:$B$144,2,FALSE)</f>
        <v>Aquecidos</v>
      </c>
      <c r="F549" s="55">
        <v>677215</v>
      </c>
      <c r="G549" s="56" t="str">
        <f>VLOOKUP(C549,clientes!$C$3:$D$60,2,FALSE)</f>
        <v>CELENA</v>
      </c>
    </row>
    <row r="550" spans="1:7" x14ac:dyDescent="0.25">
      <c r="A550">
        <v>2022</v>
      </c>
      <c r="B550" t="s">
        <v>135</v>
      </c>
      <c r="C550" s="56" t="s">
        <v>175</v>
      </c>
      <c r="D550" t="s">
        <v>123</v>
      </c>
      <c r="E550" t="str">
        <f>VLOOKUP(D550,'Lista de Produtos CLASSIFICAÇÃO'!$A$103:$B$144,2,FALSE)</f>
        <v>Aquecidos</v>
      </c>
      <c r="F550" s="55">
        <v>440802</v>
      </c>
      <c r="G550" s="56" t="str">
        <f>VLOOKUP(C550,clientes!$C$3:$D$60,2,FALSE)</f>
        <v>AAK DO BRASIL</v>
      </c>
    </row>
    <row r="551" spans="1:7" x14ac:dyDescent="0.25">
      <c r="A551">
        <v>2022</v>
      </c>
      <c r="B551" t="s">
        <v>135</v>
      </c>
      <c r="C551" s="56" t="s">
        <v>166</v>
      </c>
      <c r="D551" t="s">
        <v>122</v>
      </c>
      <c r="E551" t="str">
        <f>VLOOKUP(D551,'Lista de Produtos CLASSIFICAÇÃO'!$A$103:$B$144,2,FALSE)</f>
        <v>Óleo Vegetal</v>
      </c>
      <c r="F551" s="55">
        <v>267726</v>
      </c>
      <c r="G551" s="56" t="str">
        <f>VLOOKUP(C551,clientes!$C$3:$D$60,2,FALSE)</f>
        <v>CARGILL</v>
      </c>
    </row>
    <row r="552" spans="1:7" x14ac:dyDescent="0.25">
      <c r="A552">
        <v>2022</v>
      </c>
      <c r="B552" t="s">
        <v>135</v>
      </c>
      <c r="C552" s="56" t="s">
        <v>176</v>
      </c>
      <c r="D552" t="s">
        <v>123</v>
      </c>
      <c r="E552" t="str">
        <f>VLOOKUP(D552,'Lista de Produtos CLASSIFICAÇÃO'!$A$103:$B$144,2,FALSE)</f>
        <v>Aquecidos</v>
      </c>
      <c r="F552" s="55">
        <v>336129</v>
      </c>
      <c r="G552" s="56" t="str">
        <f>VLOOKUP(C552,clientes!$C$3:$D$60,2,FALSE)</f>
        <v>AGROPALMA</v>
      </c>
    </row>
    <row r="553" spans="1:7" x14ac:dyDescent="0.25">
      <c r="A553">
        <v>2022</v>
      </c>
      <c r="B553" t="s">
        <v>135</v>
      </c>
      <c r="C553" s="56" t="s">
        <v>204</v>
      </c>
      <c r="D553" t="s">
        <v>59</v>
      </c>
      <c r="E553" t="str">
        <f>VLOOKUP(D553,'Lista de Produtos CLASSIFICAÇÃO'!$A$103:$B$144,2,FALSE)</f>
        <v>Derivados</v>
      </c>
      <c r="F553" s="55">
        <v>0</v>
      </c>
      <c r="G553" s="56" t="str">
        <f>VLOOKUP(C553,clientes!$C$3:$D$60,2,FALSE)</f>
        <v>COPAPE</v>
      </c>
    </row>
    <row r="554" spans="1:7" x14ac:dyDescent="0.25">
      <c r="A554">
        <v>2022</v>
      </c>
      <c r="B554" t="s">
        <v>135</v>
      </c>
      <c r="C554" s="56" t="s">
        <v>177</v>
      </c>
      <c r="D554" t="s">
        <v>115</v>
      </c>
      <c r="E554" t="str">
        <f>VLOOKUP(D554,'Lista de Produtos CLASSIFICAÇÃO'!$A$103:$B$144,2,FALSE)</f>
        <v>Soda Caustica</v>
      </c>
      <c r="F554" s="55">
        <v>321373</v>
      </c>
      <c r="G554" s="56" t="str">
        <f>VLOOKUP(C554,clientes!$C$3:$D$60,2,FALSE)</f>
        <v>BRENNTAG</v>
      </c>
    </row>
    <row r="555" spans="1:7" x14ac:dyDescent="0.25">
      <c r="A555">
        <v>2022</v>
      </c>
      <c r="B555" t="s">
        <v>135</v>
      </c>
      <c r="C555" s="56" t="s">
        <v>178</v>
      </c>
      <c r="D555" t="s">
        <v>115</v>
      </c>
      <c r="E555" t="str">
        <f>VLOOKUP(D555,'Lista de Produtos CLASSIFICAÇÃO'!$A$103:$B$144,2,FALSE)</f>
        <v>Soda Caustica</v>
      </c>
      <c r="F555" s="55">
        <v>858863</v>
      </c>
      <c r="G555" s="56" t="str">
        <f>VLOOKUP(C555,clientes!$C$3:$D$60,2,FALSE)</f>
        <v>OLIN BLUE CUBE</v>
      </c>
    </row>
    <row r="556" spans="1:7" x14ac:dyDescent="0.25">
      <c r="A556">
        <v>2022</v>
      </c>
      <c r="B556" t="s">
        <v>136</v>
      </c>
      <c r="C556" t="s">
        <v>155</v>
      </c>
      <c r="D556" t="s">
        <v>16</v>
      </c>
      <c r="E556" t="str">
        <f>VLOOKUP(D556,'Lista de Produtos CLASSIFICAÇÃO'!$A$103:$B$144,2,FALSE)</f>
        <v>Outros</v>
      </c>
      <c r="F556" s="55">
        <v>716278</v>
      </c>
      <c r="G556" s="56" t="str">
        <f>VLOOKUP(C556,clientes!$C$3:$D$60,2,FALSE)</f>
        <v>ADISSEO</v>
      </c>
    </row>
    <row r="557" spans="1:7" x14ac:dyDescent="0.25">
      <c r="A557">
        <v>2022</v>
      </c>
      <c r="B557" t="s">
        <v>136</v>
      </c>
      <c r="C557" t="s">
        <v>156</v>
      </c>
      <c r="D557" t="s">
        <v>123</v>
      </c>
      <c r="E557" t="str">
        <f>VLOOKUP(D557,'Lista de Produtos CLASSIFICAÇÃO'!$A$103:$B$144,2,FALSE)</f>
        <v>Aquecidos</v>
      </c>
      <c r="F557" s="55">
        <v>316411</v>
      </c>
      <c r="G557" s="56" t="str">
        <f>VLOOKUP(C557,clientes!$C$3:$D$60,2,FALSE)</f>
        <v>BUNGE</v>
      </c>
    </row>
    <row r="558" spans="1:7" x14ac:dyDescent="0.25">
      <c r="A558">
        <v>2022</v>
      </c>
      <c r="B558" t="s">
        <v>136</v>
      </c>
      <c r="C558" t="s">
        <v>199</v>
      </c>
      <c r="D558" t="s">
        <v>16</v>
      </c>
      <c r="E558" t="str">
        <f>VLOOKUP(D558,'Lista de Produtos CLASSIFICAÇÃO'!$A$103:$B$144,2,FALSE)</f>
        <v>Outros</v>
      </c>
      <c r="F558" s="55">
        <v>3580</v>
      </c>
      <c r="G558" s="56" t="str">
        <f>VLOOKUP(C558,clientes!$C$3:$D$60,2,FALSE)</f>
        <v>ADISSEO</v>
      </c>
    </row>
    <row r="559" spans="1:7" x14ac:dyDescent="0.25">
      <c r="A559">
        <v>2022</v>
      </c>
      <c r="B559" t="s">
        <v>136</v>
      </c>
      <c r="C559" t="s">
        <v>157</v>
      </c>
      <c r="D559" t="s">
        <v>122</v>
      </c>
      <c r="E559" t="str">
        <f>VLOOKUP(D559,'Lista de Produtos CLASSIFICAÇÃO'!$A$103:$B$144,2,FALSE)</f>
        <v>Óleo Vegetal</v>
      </c>
      <c r="F559" s="55">
        <v>103392</v>
      </c>
      <c r="G559" s="56" t="str">
        <f>VLOOKUP(C559,clientes!$C$3:$D$60,2,FALSE)</f>
        <v>ADM</v>
      </c>
    </row>
    <row r="560" spans="1:7" x14ac:dyDescent="0.25">
      <c r="A560">
        <v>2022</v>
      </c>
      <c r="B560" t="s">
        <v>136</v>
      </c>
      <c r="C560" t="s">
        <v>158</v>
      </c>
      <c r="D560" t="s">
        <v>120</v>
      </c>
      <c r="E560" t="str">
        <f>VLOOKUP(D560,'Lista de Produtos CLASSIFICAÇÃO'!$A$103:$B$144,2,FALSE)</f>
        <v>Derivados</v>
      </c>
      <c r="F560" s="55">
        <v>5884397</v>
      </c>
      <c r="G560" s="56" t="str">
        <f>VLOOKUP(C560,clientes!$C$3:$D$60,2,FALSE)</f>
        <v>IPIRANGA</v>
      </c>
    </row>
    <row r="561" spans="1:7" x14ac:dyDescent="0.25">
      <c r="A561">
        <v>2022</v>
      </c>
      <c r="B561" t="s">
        <v>136</v>
      </c>
      <c r="C561" t="s">
        <v>159</v>
      </c>
      <c r="D561" t="s">
        <v>120</v>
      </c>
      <c r="E561" t="str">
        <f>VLOOKUP(D561,'Lista de Produtos CLASSIFICAÇÃO'!$A$103:$B$144,2,FALSE)</f>
        <v>Derivados</v>
      </c>
      <c r="F561" s="55">
        <v>2879842</v>
      </c>
      <c r="G561" s="56" t="str">
        <f>VLOOKUP(C561,clientes!$C$3:$D$60,2,FALSE)</f>
        <v>RAIZEN</v>
      </c>
    </row>
    <row r="562" spans="1:7" x14ac:dyDescent="0.25">
      <c r="A562">
        <v>2022</v>
      </c>
      <c r="B562" t="s">
        <v>136</v>
      </c>
      <c r="C562" t="s">
        <v>200</v>
      </c>
      <c r="D562" t="s">
        <v>120</v>
      </c>
      <c r="E562" t="str">
        <f>VLOOKUP(D562,'Lista de Produtos CLASSIFICAÇÃO'!$A$103:$B$144,2,FALSE)</f>
        <v>Derivados</v>
      </c>
      <c r="F562" s="55">
        <v>1004795</v>
      </c>
      <c r="G562" s="56" t="str">
        <f>VLOOKUP(C562,clientes!$C$3:$D$60,2,FALSE)</f>
        <v>GREENENERGY</v>
      </c>
    </row>
    <row r="563" spans="1:7" x14ac:dyDescent="0.25">
      <c r="A563">
        <v>2022</v>
      </c>
      <c r="B563" t="s">
        <v>136</v>
      </c>
      <c r="C563" t="s">
        <v>161</v>
      </c>
      <c r="D563" t="s">
        <v>120</v>
      </c>
      <c r="E563" t="str">
        <f>VLOOKUP(D563,'Lista de Produtos CLASSIFICAÇÃO'!$A$103:$B$144,2,FALSE)</f>
        <v>Derivados</v>
      </c>
      <c r="F563" s="55">
        <v>2428323</v>
      </c>
      <c r="G563" s="56" t="str">
        <f>VLOOKUP(C563,clientes!$C$3:$D$60,2,FALSE)</f>
        <v>SUL PLATA</v>
      </c>
    </row>
    <row r="564" spans="1:7" x14ac:dyDescent="0.25">
      <c r="A564">
        <v>2022</v>
      </c>
      <c r="B564" t="s">
        <v>136</v>
      </c>
      <c r="C564" t="s">
        <v>195</v>
      </c>
      <c r="D564" t="s">
        <v>115</v>
      </c>
      <c r="E564" t="str">
        <f>VLOOKUP(D564,'Lista de Produtos CLASSIFICAÇÃO'!$A$103:$B$144,2,FALSE)</f>
        <v>Soda Caustica</v>
      </c>
      <c r="F564" s="55">
        <v>70663</v>
      </c>
      <c r="G564" s="56" t="str">
        <f>VLOOKUP(C564,clientes!$C$3:$D$60,2,FALSE)</f>
        <v>PROJESAN</v>
      </c>
    </row>
    <row r="565" spans="1:7" x14ac:dyDescent="0.25">
      <c r="A565">
        <v>2022</v>
      </c>
      <c r="B565" t="s">
        <v>136</v>
      </c>
      <c r="C565" t="s">
        <v>162</v>
      </c>
      <c r="D565" t="s">
        <v>115</v>
      </c>
      <c r="E565" t="str">
        <f>VLOOKUP(D565,'Lista de Produtos CLASSIFICAÇÃO'!$A$103:$B$144,2,FALSE)</f>
        <v>Soda Caustica</v>
      </c>
      <c r="F565" s="55">
        <v>144366</v>
      </c>
      <c r="G565" s="56" t="str">
        <f>VLOOKUP(C565,clientes!$C$3:$D$60,2,FALSE)</f>
        <v>JBS</v>
      </c>
    </row>
    <row r="566" spans="1:7" x14ac:dyDescent="0.25">
      <c r="A566">
        <v>2022</v>
      </c>
      <c r="B566" t="s">
        <v>136</v>
      </c>
      <c r="C566" t="s">
        <v>163</v>
      </c>
      <c r="D566" t="s">
        <v>115</v>
      </c>
      <c r="E566" t="str">
        <f>VLOOKUP(D566,'Lista de Produtos CLASSIFICAÇÃO'!$A$103:$B$144,2,FALSE)</f>
        <v>Soda Caustica</v>
      </c>
      <c r="F566" s="55">
        <v>531095</v>
      </c>
      <c r="G566" s="56" t="str">
        <f>VLOOKUP(C566,clientes!$C$3:$D$60,2,FALSE)</f>
        <v>TRICON ENERGY</v>
      </c>
    </row>
    <row r="567" spans="1:7" x14ac:dyDescent="0.25">
      <c r="A567">
        <v>2022</v>
      </c>
      <c r="B567" t="s">
        <v>136</v>
      </c>
      <c r="C567" t="s">
        <v>164</v>
      </c>
      <c r="D567" t="s">
        <v>115</v>
      </c>
      <c r="E567" t="str">
        <f>VLOOKUP(D567,'Lista de Produtos CLASSIFICAÇÃO'!$A$103:$B$144,2,FALSE)</f>
        <v>Soda Caustica</v>
      </c>
      <c r="F567" s="55">
        <v>299813</v>
      </c>
      <c r="G567" s="56" t="str">
        <f>VLOOKUP(C567,clientes!$C$3:$D$60,2,FALSE)</f>
        <v>BRASKEM</v>
      </c>
    </row>
    <row r="568" spans="1:7" x14ac:dyDescent="0.25">
      <c r="A568">
        <v>2022</v>
      </c>
      <c r="B568" t="s">
        <v>136</v>
      </c>
      <c r="C568" t="s">
        <v>165</v>
      </c>
      <c r="D568" t="s">
        <v>123</v>
      </c>
      <c r="E568" t="str">
        <f>VLOOKUP(D568,'Lista de Produtos CLASSIFICAÇÃO'!$A$103:$B$144,2,FALSE)</f>
        <v>Aquecidos</v>
      </c>
      <c r="F568" s="55">
        <v>916942</v>
      </c>
      <c r="G568" s="56" t="str">
        <f>VLOOKUP(C568,clientes!$C$3:$D$60,2,FALSE)</f>
        <v>BRF</v>
      </c>
    </row>
    <row r="569" spans="1:7" x14ac:dyDescent="0.25">
      <c r="A569">
        <v>2022</v>
      </c>
      <c r="B569" t="s">
        <v>136</v>
      </c>
      <c r="C569" t="s">
        <v>162</v>
      </c>
      <c r="D569" t="s">
        <v>123</v>
      </c>
      <c r="E569" t="str">
        <f>VLOOKUP(D569,'Lista de Produtos CLASSIFICAÇÃO'!$A$103:$B$144,2,FALSE)</f>
        <v>Aquecidos</v>
      </c>
      <c r="F569" s="55">
        <v>320414</v>
      </c>
      <c r="G569" s="56" t="str">
        <f>VLOOKUP(C569,clientes!$C$3:$D$60,2,FALSE)</f>
        <v>JBS</v>
      </c>
    </row>
    <row r="570" spans="1:7" x14ac:dyDescent="0.25">
      <c r="A570">
        <v>2022</v>
      </c>
      <c r="B570" t="s">
        <v>136</v>
      </c>
      <c r="C570" t="s">
        <v>166</v>
      </c>
      <c r="D570" t="s">
        <v>123</v>
      </c>
      <c r="E570" t="str">
        <f>VLOOKUP(D570,'Lista de Produtos CLASSIFICAÇÃO'!$A$103:$B$144,2,FALSE)</f>
        <v>Aquecidos</v>
      </c>
      <c r="F570" s="55">
        <v>497038</v>
      </c>
      <c r="G570" s="56" t="str">
        <f>VLOOKUP(C570,clientes!$C$3:$D$60,2,FALSE)</f>
        <v>CARGILL</v>
      </c>
    </row>
    <row r="571" spans="1:7" x14ac:dyDescent="0.25">
      <c r="A571">
        <v>2022</v>
      </c>
      <c r="B571" t="s">
        <v>136</v>
      </c>
      <c r="C571" t="s">
        <v>167</v>
      </c>
      <c r="D571" t="s">
        <v>122</v>
      </c>
      <c r="E571" t="str">
        <f>VLOOKUP(D571,'Lista de Produtos CLASSIFICAÇÃO'!$A$103:$B$144,2,FALSE)</f>
        <v>Óleo Vegetal</v>
      </c>
      <c r="F571" s="55">
        <v>6284766</v>
      </c>
      <c r="G571" s="56" t="str">
        <f>VLOOKUP(C571,clientes!$C$3:$D$60,2,FALSE)</f>
        <v>POOL</v>
      </c>
    </row>
    <row r="572" spans="1:7" x14ac:dyDescent="0.25">
      <c r="A572">
        <v>2022</v>
      </c>
      <c r="B572" t="s">
        <v>136</v>
      </c>
      <c r="C572" t="s">
        <v>168</v>
      </c>
      <c r="D572" t="s">
        <v>122</v>
      </c>
      <c r="E572" t="str">
        <f>VLOOKUP(D572,'Lista de Produtos CLASSIFICAÇÃO'!$A$103:$B$144,2,FALSE)</f>
        <v>Óleo Vegetal</v>
      </c>
      <c r="F572" s="55">
        <v>98005</v>
      </c>
      <c r="G572" s="56" t="str">
        <f>VLOOKUP(C572,clientes!$C$3:$D$60,2,FALSE)</f>
        <v>POOL EXCEDENTE</v>
      </c>
    </row>
    <row r="573" spans="1:7" x14ac:dyDescent="0.25">
      <c r="A573">
        <v>2022</v>
      </c>
      <c r="B573" t="s">
        <v>136</v>
      </c>
      <c r="C573" t="s">
        <v>169</v>
      </c>
      <c r="D573" t="s">
        <v>22</v>
      </c>
      <c r="E573" t="str">
        <f>VLOOKUP(D573,'Lista de Produtos CLASSIFICAÇÃO'!$A$103:$B$144,2,FALSE)</f>
        <v>Metanol</v>
      </c>
      <c r="F573" s="55">
        <v>5845875</v>
      </c>
      <c r="G573" s="56" t="str">
        <f>VLOOKUP(C573,clientes!$C$3:$D$60,2,FALSE)</f>
        <v>METHANEX</v>
      </c>
    </row>
    <row r="574" spans="1:7" x14ac:dyDescent="0.25">
      <c r="A574">
        <v>2022</v>
      </c>
      <c r="B574" t="s">
        <v>136</v>
      </c>
      <c r="C574" t="s">
        <v>170</v>
      </c>
      <c r="D574" t="s">
        <v>22</v>
      </c>
      <c r="E574" t="str">
        <f>VLOOKUP(D574,'Lista de Produtos CLASSIFICAÇÃO'!$A$103:$B$144,2,FALSE)</f>
        <v>Metanol</v>
      </c>
      <c r="F574" s="55">
        <v>3497206</v>
      </c>
      <c r="G574" s="56" t="str">
        <f>VLOOKUP(C574,clientes!$C$3:$D$60,2,FALSE)</f>
        <v>MITSUBISHI</v>
      </c>
    </row>
    <row r="575" spans="1:7" x14ac:dyDescent="0.25">
      <c r="A575">
        <v>2022</v>
      </c>
      <c r="B575" t="s">
        <v>136</v>
      </c>
      <c r="C575" t="s">
        <v>196</v>
      </c>
      <c r="D575" t="s">
        <v>22</v>
      </c>
      <c r="E575" t="str">
        <f>VLOOKUP(D575,'Lista de Produtos CLASSIFICAÇÃO'!$A$103:$B$144,2,FALSE)</f>
        <v>Metanol</v>
      </c>
      <c r="F575" s="55">
        <v>5636979</v>
      </c>
      <c r="G575" s="56" t="str">
        <f>VLOOKUP(C575,clientes!$C$3:$D$60,2,FALSE)</f>
        <v>SCC</v>
      </c>
    </row>
    <row r="576" spans="1:7" x14ac:dyDescent="0.25">
      <c r="A576">
        <v>2022</v>
      </c>
      <c r="B576" t="s">
        <v>136</v>
      </c>
      <c r="C576" t="s">
        <v>196</v>
      </c>
      <c r="D576" t="s">
        <v>22</v>
      </c>
      <c r="E576" t="str">
        <f>VLOOKUP(D576,'Lista de Produtos CLASSIFICAÇÃO'!$A$103:$B$144,2,FALSE)</f>
        <v>Metanol</v>
      </c>
      <c r="F576" s="55">
        <v>347917</v>
      </c>
      <c r="G576" s="56" t="str">
        <f>VLOOKUP(C576,clientes!$C$3:$D$60,2,FALSE)</f>
        <v>SCC</v>
      </c>
    </row>
    <row r="577" spans="1:7" x14ac:dyDescent="0.25">
      <c r="A577">
        <v>2022</v>
      </c>
      <c r="B577" t="s">
        <v>136</v>
      </c>
      <c r="C577" t="s">
        <v>201</v>
      </c>
      <c r="D577" t="s">
        <v>202</v>
      </c>
      <c r="E577" t="str">
        <f>VLOOKUP(D577,'Lista de Produtos CLASSIFICAÇÃO'!$A$103:$B$144,2,FALSE)</f>
        <v>Outros</v>
      </c>
      <c r="F577" s="55">
        <v>396976</v>
      </c>
      <c r="G577" s="56" t="str">
        <f>VLOOKUP(C577,clientes!$C$3:$D$60,2,FALSE)</f>
        <v>TERRENA</v>
      </c>
    </row>
    <row r="578" spans="1:7" x14ac:dyDescent="0.25">
      <c r="A578">
        <v>2022</v>
      </c>
      <c r="B578" t="s">
        <v>136</v>
      </c>
      <c r="C578" t="s">
        <v>172</v>
      </c>
      <c r="D578" t="s">
        <v>124</v>
      </c>
      <c r="E578" t="str">
        <f>VLOOKUP(D578,'Lista de Produtos CLASSIFICAÇÃO'!$A$103:$B$144,2,FALSE)</f>
        <v>Outros</v>
      </c>
      <c r="F578" s="55">
        <v>222688</v>
      </c>
      <c r="G578" s="56" t="str">
        <f>VLOOKUP(C578,clientes!$C$3:$D$60,2,FALSE)</f>
        <v>EVONIK</v>
      </c>
    </row>
    <row r="579" spans="1:7" x14ac:dyDescent="0.25">
      <c r="A579">
        <v>2022</v>
      </c>
      <c r="B579" t="s">
        <v>136</v>
      </c>
      <c r="C579" t="s">
        <v>173</v>
      </c>
      <c r="D579" t="s">
        <v>22</v>
      </c>
      <c r="E579" t="str">
        <f>VLOOKUP(D579,'Lista de Produtos CLASSIFICAÇÃO'!$A$103:$B$144,2,FALSE)</f>
        <v>Metanol</v>
      </c>
      <c r="F579" s="55">
        <v>668745</v>
      </c>
      <c r="G579" s="56" t="str">
        <f>VLOOKUP(C579,clientes!$C$3:$D$60,2,FALSE)</f>
        <v>YPF SOCIEDAD ANONIMA</v>
      </c>
    </row>
    <row r="580" spans="1:7" x14ac:dyDescent="0.25">
      <c r="A580">
        <v>2022</v>
      </c>
      <c r="B580" t="s">
        <v>136</v>
      </c>
      <c r="C580" t="s">
        <v>203</v>
      </c>
      <c r="D580" t="s">
        <v>124</v>
      </c>
      <c r="E580" t="str">
        <f>VLOOKUP(D580,'Lista de Produtos CLASSIFICAÇÃO'!$A$103:$B$144,2,FALSE)</f>
        <v>Outros</v>
      </c>
      <c r="F580" s="55">
        <v>135958</v>
      </c>
      <c r="G580" s="56" t="str">
        <f>VLOOKUP(C580,clientes!$C$3:$D$60,2,FALSE)</f>
        <v>GTM</v>
      </c>
    </row>
    <row r="581" spans="1:7" x14ac:dyDescent="0.25">
      <c r="A581">
        <v>2022</v>
      </c>
      <c r="B581" t="s">
        <v>136</v>
      </c>
      <c r="C581" t="s">
        <v>197</v>
      </c>
      <c r="D581" t="s">
        <v>85</v>
      </c>
      <c r="E581" t="str">
        <f>VLOOKUP(D581,'Lista de Produtos CLASSIFICAÇÃO'!$A$103:$B$144,2,FALSE)</f>
        <v>Outros</v>
      </c>
      <c r="F581" s="55">
        <v>119000</v>
      </c>
      <c r="G581" s="56" t="str">
        <f>VLOOKUP(C581,clientes!$C$3:$D$60,2,FALSE)</f>
        <v>DRT</v>
      </c>
    </row>
    <row r="582" spans="1:7" x14ac:dyDescent="0.25">
      <c r="A582">
        <v>2022</v>
      </c>
      <c r="B582" t="s">
        <v>136</v>
      </c>
      <c r="C582" t="s">
        <v>198</v>
      </c>
      <c r="D582" t="s">
        <v>121</v>
      </c>
      <c r="E582" t="str">
        <f>VLOOKUP(D582,'Lista de Produtos CLASSIFICAÇÃO'!$A$103:$B$144,2,FALSE)</f>
        <v>Biocombustíveis</v>
      </c>
      <c r="F582" s="55">
        <v>700000</v>
      </c>
      <c r="G582" s="56" t="str">
        <f>VLOOKUP(C582,clientes!$C$3:$D$60,2,FALSE)</f>
        <v>TEREOS / INPASA / GLENCORE</v>
      </c>
    </row>
    <row r="583" spans="1:7" x14ac:dyDescent="0.25">
      <c r="A583">
        <v>2022</v>
      </c>
      <c r="B583" t="s">
        <v>136</v>
      </c>
      <c r="C583" t="s">
        <v>174</v>
      </c>
      <c r="D583" t="s">
        <v>123</v>
      </c>
      <c r="E583" t="str">
        <f>VLOOKUP(D583,'Lista de Produtos CLASSIFICAÇÃO'!$A$103:$B$144,2,FALSE)</f>
        <v>Aquecidos</v>
      </c>
      <c r="F583" s="55">
        <v>677215</v>
      </c>
      <c r="G583" s="56" t="str">
        <f>VLOOKUP(C583,clientes!$C$3:$D$60,2,FALSE)</f>
        <v>CELENA</v>
      </c>
    </row>
    <row r="584" spans="1:7" x14ac:dyDescent="0.25">
      <c r="A584">
        <v>2022</v>
      </c>
      <c r="B584" t="s">
        <v>136</v>
      </c>
      <c r="C584" t="s">
        <v>175</v>
      </c>
      <c r="D584" t="s">
        <v>123</v>
      </c>
      <c r="E584" t="str">
        <f>VLOOKUP(D584,'Lista de Produtos CLASSIFICAÇÃO'!$A$103:$B$144,2,FALSE)</f>
        <v>Aquecidos</v>
      </c>
      <c r="F584" s="55">
        <v>440802</v>
      </c>
      <c r="G584" s="56" t="str">
        <f>VLOOKUP(C584,clientes!$C$3:$D$60,2,FALSE)</f>
        <v>AAK DO BRASIL</v>
      </c>
    </row>
    <row r="585" spans="1:7" x14ac:dyDescent="0.25">
      <c r="A585">
        <v>2022</v>
      </c>
      <c r="B585" t="s">
        <v>136</v>
      </c>
      <c r="C585" t="s">
        <v>166</v>
      </c>
      <c r="D585" t="s">
        <v>122</v>
      </c>
      <c r="E585" t="str">
        <f>VLOOKUP(D585,'Lista de Produtos CLASSIFICAÇÃO'!$A$103:$B$144,2,FALSE)</f>
        <v>Óleo Vegetal</v>
      </c>
      <c r="F585" s="55">
        <v>221530</v>
      </c>
      <c r="G585" s="56" t="str">
        <f>VLOOKUP(C585,clientes!$C$3:$D$60,2,FALSE)</f>
        <v>CARGILL</v>
      </c>
    </row>
    <row r="586" spans="1:7" x14ac:dyDescent="0.25">
      <c r="A586">
        <v>2022</v>
      </c>
      <c r="B586" t="s">
        <v>136</v>
      </c>
      <c r="C586" t="s">
        <v>176</v>
      </c>
      <c r="D586" t="s">
        <v>123</v>
      </c>
      <c r="E586" t="str">
        <f>VLOOKUP(D586,'Lista de Produtos CLASSIFICAÇÃO'!$A$103:$B$144,2,FALSE)</f>
        <v>Aquecidos</v>
      </c>
      <c r="F586" s="55">
        <v>336129</v>
      </c>
      <c r="G586" s="56" t="str">
        <f>VLOOKUP(C586,clientes!$C$3:$D$60,2,FALSE)</f>
        <v>AGROPALMA</v>
      </c>
    </row>
    <row r="587" spans="1:7" x14ac:dyDescent="0.25">
      <c r="A587">
        <v>2022</v>
      </c>
      <c r="B587" t="s">
        <v>136</v>
      </c>
      <c r="C587" t="s">
        <v>204</v>
      </c>
      <c r="D587" t="s">
        <v>59</v>
      </c>
      <c r="E587" t="str">
        <f>VLOOKUP(D587,'Lista de Produtos CLASSIFICAÇÃO'!$A$103:$B$144,2,FALSE)</f>
        <v>Derivados</v>
      </c>
      <c r="F587" s="55">
        <v>0</v>
      </c>
      <c r="G587" s="56" t="str">
        <f>VLOOKUP(C587,clientes!$C$3:$D$60,2,FALSE)</f>
        <v>COPAPE</v>
      </c>
    </row>
    <row r="588" spans="1:7" x14ac:dyDescent="0.25">
      <c r="A588">
        <v>2022</v>
      </c>
      <c r="B588" t="s">
        <v>136</v>
      </c>
      <c r="C588" t="s">
        <v>177</v>
      </c>
      <c r="D588" t="s">
        <v>115</v>
      </c>
      <c r="E588" t="str">
        <f>VLOOKUP(D588,'Lista de Produtos CLASSIFICAÇÃO'!$A$103:$B$144,2,FALSE)</f>
        <v>Soda Caustica</v>
      </c>
      <c r="F588" s="55">
        <v>321373</v>
      </c>
      <c r="G588" s="56" t="str">
        <f>VLOOKUP(C588,clientes!$C$3:$D$60,2,FALSE)</f>
        <v>BRENNTAG</v>
      </c>
    </row>
    <row r="589" spans="1:7" x14ac:dyDescent="0.25">
      <c r="A589">
        <v>2022</v>
      </c>
      <c r="B589" t="s">
        <v>136</v>
      </c>
      <c r="C589" t="s">
        <v>178</v>
      </c>
      <c r="D589" t="s">
        <v>115</v>
      </c>
      <c r="E589" t="str">
        <f>VLOOKUP(D589,'Lista de Produtos CLASSIFICAÇÃO'!$A$103:$B$144,2,FALSE)</f>
        <v>Soda Caustica</v>
      </c>
      <c r="F589" s="55">
        <v>858863</v>
      </c>
      <c r="G589" s="56" t="str">
        <f>VLOOKUP(C589,clientes!$C$3:$D$60,2,FALSE)</f>
        <v>OLIN BLUE CUBE</v>
      </c>
    </row>
    <row r="590" spans="1:7" x14ac:dyDescent="0.25">
      <c r="A590">
        <v>2022</v>
      </c>
      <c r="B590" t="s">
        <v>137</v>
      </c>
      <c r="C590" s="56" t="s">
        <v>155</v>
      </c>
      <c r="D590" t="s">
        <v>16</v>
      </c>
      <c r="E590" t="str">
        <f>VLOOKUP(D590,'Lista de Produtos CLASSIFICAÇÃO'!$A$103:$B$144,2,FALSE)</f>
        <v>Outros</v>
      </c>
      <c r="F590" s="55">
        <v>716278</v>
      </c>
      <c r="G590" s="56" t="str">
        <f>VLOOKUP(C590,clientes!$C$3:$D$60,2,FALSE)</f>
        <v>ADISSEO</v>
      </c>
    </row>
    <row r="591" spans="1:7" x14ac:dyDescent="0.25">
      <c r="A591">
        <v>2022</v>
      </c>
      <c r="B591" t="s">
        <v>137</v>
      </c>
      <c r="C591" s="56" t="s">
        <v>156</v>
      </c>
      <c r="D591" t="s">
        <v>123</v>
      </c>
      <c r="E591" t="str">
        <f>VLOOKUP(D591,'Lista de Produtos CLASSIFICAÇÃO'!$A$103:$B$144,2,FALSE)</f>
        <v>Aquecidos</v>
      </c>
      <c r="F591" s="55">
        <v>316411</v>
      </c>
      <c r="G591" s="56" t="str">
        <f>VLOOKUP(C591,clientes!$C$3:$D$60,2,FALSE)</f>
        <v>BUNGE</v>
      </c>
    </row>
    <row r="592" spans="1:7" x14ac:dyDescent="0.25">
      <c r="A592">
        <v>2022</v>
      </c>
      <c r="B592" t="s">
        <v>137</v>
      </c>
      <c r="C592" s="56" t="s">
        <v>199</v>
      </c>
      <c r="D592" t="s">
        <v>16</v>
      </c>
      <c r="E592" t="str">
        <f>VLOOKUP(D592,'Lista de Produtos CLASSIFICAÇÃO'!$A$103:$B$144,2,FALSE)</f>
        <v>Outros</v>
      </c>
      <c r="F592" s="55">
        <v>3580</v>
      </c>
      <c r="G592" s="56" t="str">
        <f>VLOOKUP(C592,clientes!$C$3:$D$60,2,FALSE)</f>
        <v>ADISSEO</v>
      </c>
    </row>
    <row r="593" spans="1:7" x14ac:dyDescent="0.25">
      <c r="A593">
        <v>2022</v>
      </c>
      <c r="B593" t="s">
        <v>137</v>
      </c>
      <c r="C593" s="56" t="s">
        <v>157</v>
      </c>
      <c r="D593" t="s">
        <v>122</v>
      </c>
      <c r="E593" t="str">
        <f>VLOOKUP(D593,'Lista de Produtos CLASSIFICAÇÃO'!$A$103:$B$144,2,FALSE)</f>
        <v>Óleo Vegetal</v>
      </c>
      <c r="F593" s="55">
        <v>112688</v>
      </c>
      <c r="G593" s="56" t="str">
        <f>VLOOKUP(C593,clientes!$C$3:$D$60,2,FALSE)</f>
        <v>ADM</v>
      </c>
    </row>
    <row r="594" spans="1:7" x14ac:dyDescent="0.25">
      <c r="A594">
        <v>2022</v>
      </c>
      <c r="B594" t="s">
        <v>137</v>
      </c>
      <c r="C594" s="56" t="s">
        <v>158</v>
      </c>
      <c r="D594" t="s">
        <v>120</v>
      </c>
      <c r="E594" t="str">
        <f>VLOOKUP(D594,'Lista de Produtos CLASSIFICAÇÃO'!$A$103:$B$144,2,FALSE)</f>
        <v>Derivados</v>
      </c>
      <c r="F594" s="55">
        <v>5509666</v>
      </c>
      <c r="G594" s="56" t="str">
        <f>VLOOKUP(C594,clientes!$C$3:$D$60,2,FALSE)</f>
        <v>IPIRANGA</v>
      </c>
    </row>
    <row r="595" spans="1:7" x14ac:dyDescent="0.25">
      <c r="A595">
        <v>2022</v>
      </c>
      <c r="B595" t="s">
        <v>137</v>
      </c>
      <c r="C595" s="56" t="s">
        <v>159</v>
      </c>
      <c r="D595" t="s">
        <v>120</v>
      </c>
      <c r="E595" t="str">
        <f>VLOOKUP(D595,'Lista de Produtos CLASSIFICAÇÃO'!$A$103:$B$144,2,FALSE)</f>
        <v>Derivados</v>
      </c>
      <c r="F595" s="55">
        <v>2451242</v>
      </c>
      <c r="G595" s="56" t="str">
        <f>VLOOKUP(C595,clientes!$C$3:$D$60,2,FALSE)</f>
        <v>RAIZEN</v>
      </c>
    </row>
    <row r="596" spans="1:7" x14ac:dyDescent="0.25">
      <c r="A596">
        <v>2022</v>
      </c>
      <c r="B596" t="s">
        <v>137</v>
      </c>
      <c r="C596" s="56" t="s">
        <v>200</v>
      </c>
      <c r="D596" t="s">
        <v>120</v>
      </c>
      <c r="E596" t="str">
        <f>VLOOKUP(D596,'Lista de Produtos CLASSIFICAÇÃO'!$A$103:$B$144,2,FALSE)</f>
        <v>Derivados</v>
      </c>
      <c r="F596" s="55">
        <v>1004795</v>
      </c>
      <c r="G596" s="56" t="str">
        <f>VLOOKUP(C596,clientes!$C$3:$D$60,2,FALSE)</f>
        <v>GREENENERGY</v>
      </c>
    </row>
    <row r="597" spans="1:7" x14ac:dyDescent="0.25">
      <c r="A597">
        <v>2022</v>
      </c>
      <c r="B597" t="s">
        <v>137</v>
      </c>
      <c r="C597" s="56" t="s">
        <v>161</v>
      </c>
      <c r="D597" t="s">
        <v>120</v>
      </c>
      <c r="E597" t="str">
        <f>VLOOKUP(D597,'Lista de Produtos CLASSIFICAÇÃO'!$A$103:$B$144,2,FALSE)</f>
        <v>Derivados</v>
      </c>
      <c r="F597" s="55">
        <v>2053242</v>
      </c>
      <c r="G597" s="56" t="str">
        <f>VLOOKUP(C597,clientes!$C$3:$D$60,2,FALSE)</f>
        <v>SUL PLATA</v>
      </c>
    </row>
    <row r="598" spans="1:7" x14ac:dyDescent="0.25">
      <c r="A598">
        <v>2022</v>
      </c>
      <c r="B598" t="s">
        <v>137</v>
      </c>
      <c r="C598" s="56" t="s">
        <v>195</v>
      </c>
      <c r="D598" t="s">
        <v>115</v>
      </c>
      <c r="E598" t="str">
        <f>VLOOKUP(D598,'Lista de Produtos CLASSIFICAÇÃO'!$A$103:$B$144,2,FALSE)</f>
        <v>Soda Caustica</v>
      </c>
      <c r="F598" s="55">
        <v>81453</v>
      </c>
      <c r="G598" s="56" t="str">
        <f>VLOOKUP(C598,clientes!$C$3:$D$60,2,FALSE)</f>
        <v>PROJESAN</v>
      </c>
    </row>
    <row r="599" spans="1:7" x14ac:dyDescent="0.25">
      <c r="A599">
        <v>2022</v>
      </c>
      <c r="B599" t="s">
        <v>137</v>
      </c>
      <c r="C599" s="56" t="s">
        <v>162</v>
      </c>
      <c r="D599" t="s">
        <v>115</v>
      </c>
      <c r="E599" t="str">
        <f>VLOOKUP(D599,'Lista de Produtos CLASSIFICAÇÃO'!$A$103:$B$144,2,FALSE)</f>
        <v>Soda Caustica</v>
      </c>
      <c r="F599" s="55">
        <v>144366</v>
      </c>
      <c r="G599" s="56" t="str">
        <f>VLOOKUP(C599,clientes!$C$3:$D$60,2,FALSE)</f>
        <v>JBS</v>
      </c>
    </row>
    <row r="600" spans="1:7" x14ac:dyDescent="0.25">
      <c r="A600">
        <v>2022</v>
      </c>
      <c r="B600" t="s">
        <v>137</v>
      </c>
      <c r="C600" s="56" t="s">
        <v>163</v>
      </c>
      <c r="D600" t="s">
        <v>115</v>
      </c>
      <c r="E600" t="str">
        <f>VLOOKUP(D600,'Lista de Produtos CLASSIFICAÇÃO'!$A$103:$B$144,2,FALSE)</f>
        <v>Soda Caustica</v>
      </c>
      <c r="F600" s="55">
        <v>531095</v>
      </c>
      <c r="G600" s="56" t="str">
        <f>VLOOKUP(C600,clientes!$C$3:$D$60,2,FALSE)</f>
        <v>TRICON ENERGY</v>
      </c>
    </row>
    <row r="601" spans="1:7" x14ac:dyDescent="0.25">
      <c r="A601">
        <v>2022</v>
      </c>
      <c r="B601" t="s">
        <v>137</v>
      </c>
      <c r="C601" s="56" t="s">
        <v>164</v>
      </c>
      <c r="D601" t="s">
        <v>115</v>
      </c>
      <c r="E601" t="str">
        <f>VLOOKUP(D601,'Lista de Produtos CLASSIFICAÇÃO'!$A$103:$B$144,2,FALSE)</f>
        <v>Soda Caustica</v>
      </c>
      <c r="F601" s="55">
        <v>327852</v>
      </c>
      <c r="G601" s="56" t="str">
        <f>VLOOKUP(C601,clientes!$C$3:$D$60,2,FALSE)</f>
        <v>BRASKEM</v>
      </c>
    </row>
    <row r="602" spans="1:7" x14ac:dyDescent="0.25">
      <c r="A602">
        <v>2022</v>
      </c>
      <c r="B602" t="s">
        <v>137</v>
      </c>
      <c r="C602" s="56" t="s">
        <v>165</v>
      </c>
      <c r="D602" t="s">
        <v>123</v>
      </c>
      <c r="E602" t="str">
        <f>VLOOKUP(D602,'Lista de Produtos CLASSIFICAÇÃO'!$A$103:$B$144,2,FALSE)</f>
        <v>Aquecidos</v>
      </c>
      <c r="F602" s="55">
        <v>916942</v>
      </c>
      <c r="G602" s="56" t="str">
        <f>VLOOKUP(C602,clientes!$C$3:$D$60,2,FALSE)</f>
        <v>BRF</v>
      </c>
    </row>
    <row r="603" spans="1:7" x14ac:dyDescent="0.25">
      <c r="A603">
        <v>2022</v>
      </c>
      <c r="B603" t="s">
        <v>137</v>
      </c>
      <c r="C603" s="56" t="s">
        <v>162</v>
      </c>
      <c r="D603" t="s">
        <v>123</v>
      </c>
      <c r="E603" t="str">
        <f>VLOOKUP(D603,'Lista de Produtos CLASSIFICAÇÃO'!$A$103:$B$144,2,FALSE)</f>
        <v>Aquecidos</v>
      </c>
      <c r="F603" s="55">
        <v>320414</v>
      </c>
      <c r="G603" s="56" t="str">
        <f>VLOOKUP(C603,clientes!$C$3:$D$60,2,FALSE)</f>
        <v>JBS</v>
      </c>
    </row>
    <row r="604" spans="1:7" x14ac:dyDescent="0.25">
      <c r="A604">
        <v>2022</v>
      </c>
      <c r="B604" t="s">
        <v>137</v>
      </c>
      <c r="C604" s="56" t="s">
        <v>166</v>
      </c>
      <c r="D604" t="s">
        <v>123</v>
      </c>
      <c r="E604" t="str">
        <f>VLOOKUP(D604,'Lista de Produtos CLASSIFICAÇÃO'!$A$103:$B$144,2,FALSE)</f>
        <v>Aquecidos</v>
      </c>
      <c r="F604" s="55">
        <v>497038</v>
      </c>
      <c r="G604" s="56" t="str">
        <f>VLOOKUP(C604,clientes!$C$3:$D$60,2,FALSE)</f>
        <v>CARGILL</v>
      </c>
    </row>
    <row r="605" spans="1:7" x14ac:dyDescent="0.25">
      <c r="A605">
        <v>2022</v>
      </c>
      <c r="B605" t="s">
        <v>137</v>
      </c>
      <c r="C605" s="56" t="s">
        <v>167</v>
      </c>
      <c r="D605" t="s">
        <v>122</v>
      </c>
      <c r="E605" t="str">
        <f>VLOOKUP(D605,'Lista de Produtos CLASSIFICAÇÃO'!$A$103:$B$144,2,FALSE)</f>
        <v>Óleo Vegetal</v>
      </c>
      <c r="F605" s="55">
        <v>6284766</v>
      </c>
      <c r="G605" s="56" t="str">
        <f>VLOOKUP(C605,clientes!$C$3:$D$60,2,FALSE)</f>
        <v>POOL</v>
      </c>
    </row>
    <row r="606" spans="1:7" x14ac:dyDescent="0.25">
      <c r="A606">
        <v>2022</v>
      </c>
      <c r="B606" t="s">
        <v>137</v>
      </c>
      <c r="C606" s="56" t="s">
        <v>168</v>
      </c>
      <c r="D606" t="s">
        <v>122</v>
      </c>
      <c r="E606" t="str">
        <f>VLOOKUP(D606,'Lista de Produtos CLASSIFICAÇÃO'!$A$103:$B$144,2,FALSE)</f>
        <v>Óleo Vegetal</v>
      </c>
      <c r="F606" s="55">
        <v>98005</v>
      </c>
      <c r="G606" s="56" t="str">
        <f>VLOOKUP(C606,clientes!$C$3:$D$60,2,FALSE)</f>
        <v>POOL EXCEDENTE</v>
      </c>
    </row>
    <row r="607" spans="1:7" x14ac:dyDescent="0.25">
      <c r="A607">
        <v>2022</v>
      </c>
      <c r="B607" t="s">
        <v>137</v>
      </c>
      <c r="C607" s="56" t="s">
        <v>169</v>
      </c>
      <c r="D607" t="s">
        <v>22</v>
      </c>
      <c r="E607" t="str">
        <f>VLOOKUP(D607,'Lista de Produtos CLASSIFICAÇÃO'!$A$103:$B$144,2,FALSE)</f>
        <v>Metanol</v>
      </c>
      <c r="F607" s="55">
        <v>5845875</v>
      </c>
      <c r="G607" s="56" t="str">
        <f>VLOOKUP(C607,clientes!$C$3:$D$60,2,FALSE)</f>
        <v>METHANEX</v>
      </c>
    </row>
    <row r="608" spans="1:7" x14ac:dyDescent="0.25">
      <c r="A608">
        <v>2022</v>
      </c>
      <c r="B608" t="s">
        <v>137</v>
      </c>
      <c r="C608" s="56" t="s">
        <v>170</v>
      </c>
      <c r="D608" t="s">
        <v>22</v>
      </c>
      <c r="E608" t="str">
        <f>VLOOKUP(D608,'Lista de Produtos CLASSIFICAÇÃO'!$A$103:$B$144,2,FALSE)</f>
        <v>Metanol</v>
      </c>
      <c r="F608" s="55">
        <v>3497206</v>
      </c>
      <c r="G608" s="56" t="str">
        <f>VLOOKUP(C608,clientes!$C$3:$D$60,2,FALSE)</f>
        <v>MITSUBISHI</v>
      </c>
    </row>
    <row r="609" spans="1:7" x14ac:dyDescent="0.25">
      <c r="A609">
        <v>2022</v>
      </c>
      <c r="B609" t="s">
        <v>137</v>
      </c>
      <c r="C609" s="56" t="s">
        <v>196</v>
      </c>
      <c r="D609" t="s">
        <v>22</v>
      </c>
      <c r="E609" t="str">
        <f>VLOOKUP(D609,'Lista de Produtos CLASSIFICAÇÃO'!$A$103:$B$144,2,FALSE)</f>
        <v>Metanol</v>
      </c>
      <c r="F609" s="55">
        <v>5636979</v>
      </c>
      <c r="G609" s="56" t="str">
        <f>VLOOKUP(C609,clientes!$C$3:$D$60,2,FALSE)</f>
        <v>SCC</v>
      </c>
    </row>
    <row r="610" spans="1:7" x14ac:dyDescent="0.25">
      <c r="A610">
        <v>2022</v>
      </c>
      <c r="B610" t="s">
        <v>137</v>
      </c>
      <c r="C610" s="56" t="s">
        <v>196</v>
      </c>
      <c r="D610" t="s">
        <v>22</v>
      </c>
      <c r="E610" t="str">
        <f>VLOOKUP(D610,'Lista de Produtos CLASSIFICAÇÃO'!$A$103:$B$144,2,FALSE)</f>
        <v>Metanol</v>
      </c>
      <c r="F610" s="55">
        <v>347917</v>
      </c>
      <c r="G610" s="56" t="str">
        <f>VLOOKUP(C610,clientes!$C$3:$D$60,2,FALSE)</f>
        <v>SCC</v>
      </c>
    </row>
    <row r="611" spans="1:7" x14ac:dyDescent="0.25">
      <c r="A611">
        <v>2022</v>
      </c>
      <c r="B611" t="s">
        <v>137</v>
      </c>
      <c r="C611" s="56" t="s">
        <v>201</v>
      </c>
      <c r="D611" t="s">
        <v>202</v>
      </c>
      <c r="E611" t="str">
        <f>VLOOKUP(D611,'Lista de Produtos CLASSIFICAÇÃO'!$A$103:$B$144,2,FALSE)</f>
        <v>Outros</v>
      </c>
      <c r="F611" s="55">
        <v>369684</v>
      </c>
      <c r="G611" s="56" t="str">
        <f>VLOOKUP(C611,clientes!$C$3:$D$60,2,FALSE)</f>
        <v>TERRENA</v>
      </c>
    </row>
    <row r="612" spans="1:7" x14ac:dyDescent="0.25">
      <c r="A612">
        <v>2022</v>
      </c>
      <c r="B612" t="s">
        <v>137</v>
      </c>
      <c r="C612" s="56" t="s">
        <v>172</v>
      </c>
      <c r="D612" t="s">
        <v>124</v>
      </c>
      <c r="E612" t="str">
        <f>VLOOKUP(D612,'Lista de Produtos CLASSIFICAÇÃO'!$A$103:$B$144,2,FALSE)</f>
        <v>Outros</v>
      </c>
      <c r="F612" s="55">
        <v>222688</v>
      </c>
      <c r="G612" s="56" t="str">
        <f>VLOOKUP(C612,clientes!$C$3:$D$60,2,FALSE)</f>
        <v>EVONIK</v>
      </c>
    </row>
    <row r="613" spans="1:7" x14ac:dyDescent="0.25">
      <c r="A613">
        <v>2022</v>
      </c>
      <c r="B613" t="s">
        <v>137</v>
      </c>
      <c r="C613" s="56" t="s">
        <v>173</v>
      </c>
      <c r="D613" t="s">
        <v>22</v>
      </c>
      <c r="E613" t="str">
        <f>VLOOKUP(D613,'Lista de Produtos CLASSIFICAÇÃO'!$A$103:$B$144,2,FALSE)</f>
        <v>Metanol</v>
      </c>
      <c r="F613" s="55">
        <v>588985</v>
      </c>
      <c r="G613" s="56" t="str">
        <f>VLOOKUP(C613,clientes!$C$3:$D$60,2,FALSE)</f>
        <v>YPF SOCIEDAD ANONIMA</v>
      </c>
    </row>
    <row r="614" spans="1:7" x14ac:dyDescent="0.25">
      <c r="A614">
        <v>2022</v>
      </c>
      <c r="B614" t="s">
        <v>137</v>
      </c>
      <c r="C614" s="56" t="s">
        <v>203</v>
      </c>
      <c r="D614" t="s">
        <v>124</v>
      </c>
      <c r="E614" t="str">
        <f>VLOOKUP(D614,'Lista de Produtos CLASSIFICAÇÃO'!$A$103:$B$144,2,FALSE)</f>
        <v>Outros</v>
      </c>
      <c r="F614" s="55">
        <v>135958</v>
      </c>
      <c r="G614" s="56" t="str">
        <f>VLOOKUP(C614,clientes!$C$3:$D$60,2,FALSE)</f>
        <v>GTM</v>
      </c>
    </row>
    <row r="615" spans="1:7" x14ac:dyDescent="0.25">
      <c r="A615">
        <v>2022</v>
      </c>
      <c r="B615" t="s">
        <v>137</v>
      </c>
      <c r="C615" s="56" t="s">
        <v>197</v>
      </c>
      <c r="D615" t="s">
        <v>85</v>
      </c>
      <c r="E615" t="str">
        <f>VLOOKUP(D615,'Lista de Produtos CLASSIFICAÇÃO'!$A$103:$B$144,2,FALSE)</f>
        <v>Outros</v>
      </c>
      <c r="F615" s="55">
        <v>119000</v>
      </c>
      <c r="G615" s="56" t="str">
        <f>VLOOKUP(C615,clientes!$C$3:$D$60,2,FALSE)</f>
        <v>DRT</v>
      </c>
    </row>
    <row r="616" spans="1:7" x14ac:dyDescent="0.25">
      <c r="A616">
        <v>2022</v>
      </c>
      <c r="B616" t="s">
        <v>137</v>
      </c>
      <c r="C616" s="56" t="s">
        <v>198</v>
      </c>
      <c r="D616" t="s">
        <v>121</v>
      </c>
      <c r="E616" t="str">
        <f>VLOOKUP(D616,'Lista de Produtos CLASSIFICAÇÃO'!$A$103:$B$144,2,FALSE)</f>
        <v>Biocombustíveis</v>
      </c>
      <c r="F616" s="55">
        <v>700000</v>
      </c>
      <c r="G616" s="56" t="str">
        <f>VLOOKUP(C616,clientes!$C$3:$D$60,2,FALSE)</f>
        <v>TEREOS / INPASA / GLENCORE</v>
      </c>
    </row>
    <row r="617" spans="1:7" x14ac:dyDescent="0.25">
      <c r="A617">
        <v>2022</v>
      </c>
      <c r="B617" t="s">
        <v>137</v>
      </c>
      <c r="C617" s="56" t="s">
        <v>174</v>
      </c>
      <c r="D617" t="s">
        <v>123</v>
      </c>
      <c r="E617" t="str">
        <f>VLOOKUP(D617,'Lista de Produtos CLASSIFICAÇÃO'!$A$103:$B$144,2,FALSE)</f>
        <v>Aquecidos</v>
      </c>
      <c r="F617" s="55">
        <v>677215</v>
      </c>
      <c r="G617" s="56" t="str">
        <f>VLOOKUP(C617,clientes!$C$3:$D$60,2,FALSE)</f>
        <v>CELENA</v>
      </c>
    </row>
    <row r="618" spans="1:7" x14ac:dyDescent="0.25">
      <c r="A618">
        <v>2022</v>
      </c>
      <c r="B618" t="s">
        <v>137</v>
      </c>
      <c r="C618" s="56" t="s">
        <v>175</v>
      </c>
      <c r="D618" t="s">
        <v>123</v>
      </c>
      <c r="E618" t="str">
        <f>VLOOKUP(D618,'Lista de Produtos CLASSIFICAÇÃO'!$A$103:$B$144,2,FALSE)</f>
        <v>Aquecidos</v>
      </c>
      <c r="F618" s="55">
        <v>440802</v>
      </c>
      <c r="G618" s="56" t="str">
        <f>VLOOKUP(C618,clientes!$C$3:$D$60,2,FALSE)</f>
        <v>AAK DO BRASIL</v>
      </c>
    </row>
    <row r="619" spans="1:7" x14ac:dyDescent="0.25">
      <c r="A619">
        <v>2022</v>
      </c>
      <c r="B619" t="s">
        <v>137</v>
      </c>
      <c r="C619" s="56" t="s">
        <v>166</v>
      </c>
      <c r="D619" t="s">
        <v>122</v>
      </c>
      <c r="E619" t="str">
        <f>VLOOKUP(D619,'Lista de Produtos CLASSIFICAÇÃO'!$A$103:$B$144,2,FALSE)</f>
        <v>Óleo Vegetal</v>
      </c>
      <c r="F619" s="55">
        <v>267726</v>
      </c>
      <c r="G619" s="56" t="str">
        <f>VLOOKUP(C619,clientes!$C$3:$D$60,2,FALSE)</f>
        <v>CARGILL</v>
      </c>
    </row>
    <row r="620" spans="1:7" x14ac:dyDescent="0.25">
      <c r="A620">
        <v>2022</v>
      </c>
      <c r="B620" t="s">
        <v>137</v>
      </c>
      <c r="C620" s="56" t="s">
        <v>176</v>
      </c>
      <c r="D620" t="s">
        <v>123</v>
      </c>
      <c r="E620" t="str">
        <f>VLOOKUP(D620,'Lista de Produtos CLASSIFICAÇÃO'!$A$103:$B$144,2,FALSE)</f>
        <v>Aquecidos</v>
      </c>
      <c r="F620" s="55">
        <v>336129</v>
      </c>
      <c r="G620" s="56" t="str">
        <f>VLOOKUP(C620,clientes!$C$3:$D$60,2,FALSE)</f>
        <v>AGROPALMA</v>
      </c>
    </row>
    <row r="621" spans="1:7" x14ac:dyDescent="0.25">
      <c r="A621">
        <v>2022</v>
      </c>
      <c r="B621" t="s">
        <v>137</v>
      </c>
      <c r="C621" s="56" t="s">
        <v>204</v>
      </c>
      <c r="D621" t="s">
        <v>59</v>
      </c>
      <c r="E621" t="str">
        <f>VLOOKUP(D621,'Lista de Produtos CLASSIFICAÇÃO'!$A$103:$B$144,2,FALSE)</f>
        <v>Derivados</v>
      </c>
      <c r="F621" s="55">
        <v>0</v>
      </c>
      <c r="G621" s="56" t="str">
        <f>VLOOKUP(C621,clientes!$C$3:$D$60,2,FALSE)</f>
        <v>COPAPE</v>
      </c>
    </row>
    <row r="622" spans="1:7" x14ac:dyDescent="0.25">
      <c r="A622">
        <v>2022</v>
      </c>
      <c r="B622" t="s">
        <v>137</v>
      </c>
      <c r="C622" s="56" t="s">
        <v>177</v>
      </c>
      <c r="D622" t="s">
        <v>115</v>
      </c>
      <c r="E622" t="str">
        <f>VLOOKUP(D622,'Lista de Produtos CLASSIFICAÇÃO'!$A$103:$B$144,2,FALSE)</f>
        <v>Soda Caustica</v>
      </c>
      <c r="F622" s="55">
        <v>321373</v>
      </c>
      <c r="G622" s="56" t="str">
        <f>VLOOKUP(C622,clientes!$C$3:$D$60,2,FALSE)</f>
        <v>BRENNTAG</v>
      </c>
    </row>
    <row r="623" spans="1:7" x14ac:dyDescent="0.25">
      <c r="A623">
        <v>2022</v>
      </c>
      <c r="B623" t="s">
        <v>137</v>
      </c>
      <c r="C623" s="56" t="s">
        <v>178</v>
      </c>
      <c r="D623" t="s">
        <v>115</v>
      </c>
      <c r="E623" t="str">
        <f>VLOOKUP(D623,'Lista de Produtos CLASSIFICAÇÃO'!$A$103:$B$144,2,FALSE)</f>
        <v>Soda Caustica</v>
      </c>
      <c r="F623" s="55">
        <v>858863</v>
      </c>
      <c r="G623" s="56" t="str">
        <f>VLOOKUP(C623,clientes!$C$3:$D$60,2,FALSE)</f>
        <v>OLIN BLUE CUBE</v>
      </c>
    </row>
    <row r="624" spans="1:7" x14ac:dyDescent="0.25">
      <c r="A624">
        <v>2022</v>
      </c>
      <c r="B624" t="s">
        <v>138</v>
      </c>
      <c r="C624" t="s">
        <v>155</v>
      </c>
      <c r="D624" t="s">
        <v>16</v>
      </c>
      <c r="E624" t="str">
        <f>VLOOKUP(D624,'Lista de Produtos CLASSIFICAÇÃO'!$A$103:$B$144,2,FALSE)</f>
        <v>Outros</v>
      </c>
      <c r="F624" s="55">
        <v>716278</v>
      </c>
      <c r="G624" s="56" t="str">
        <f>VLOOKUP(C624,clientes!$C$3:$D$60,2,FALSE)</f>
        <v>ADISSEO</v>
      </c>
    </row>
    <row r="625" spans="1:7" x14ac:dyDescent="0.25">
      <c r="A625">
        <v>2022</v>
      </c>
      <c r="B625" t="s">
        <v>138</v>
      </c>
      <c r="C625" t="s">
        <v>156</v>
      </c>
      <c r="D625" t="s">
        <v>123</v>
      </c>
      <c r="E625" t="str">
        <f>VLOOKUP(D625,'Lista de Produtos CLASSIFICAÇÃO'!$A$103:$B$144,2,FALSE)</f>
        <v>Aquecidos</v>
      </c>
      <c r="F625" s="55">
        <v>316411</v>
      </c>
      <c r="G625" s="56" t="str">
        <f>VLOOKUP(C625,clientes!$C$3:$D$60,2,FALSE)</f>
        <v>BUNGE</v>
      </c>
    </row>
    <row r="626" spans="1:7" x14ac:dyDescent="0.25">
      <c r="A626">
        <v>2022</v>
      </c>
      <c r="B626" t="s">
        <v>138</v>
      </c>
      <c r="C626" t="s">
        <v>199</v>
      </c>
      <c r="D626" t="s">
        <v>16</v>
      </c>
      <c r="E626" t="str">
        <f>VLOOKUP(D626,'Lista de Produtos CLASSIFICAÇÃO'!$A$103:$B$144,2,FALSE)</f>
        <v>Outros</v>
      </c>
      <c r="F626" s="55">
        <v>3580</v>
      </c>
      <c r="G626" s="56" t="str">
        <f>VLOOKUP(C626,clientes!$C$3:$D$60,2,FALSE)</f>
        <v>ADISSEO</v>
      </c>
    </row>
    <row r="627" spans="1:7" x14ac:dyDescent="0.25">
      <c r="A627">
        <v>2022</v>
      </c>
      <c r="B627" t="s">
        <v>138</v>
      </c>
      <c r="C627" t="s">
        <v>157</v>
      </c>
      <c r="D627" t="s">
        <v>122</v>
      </c>
      <c r="E627" t="str">
        <f>VLOOKUP(D627,'Lista de Produtos CLASSIFICAÇÃO'!$A$103:$B$144,2,FALSE)</f>
        <v>Óleo Vegetal</v>
      </c>
      <c r="F627" s="55">
        <v>112688</v>
      </c>
      <c r="G627" s="56" t="str">
        <f>VLOOKUP(C627,clientes!$C$3:$D$60,2,FALSE)</f>
        <v>ADM</v>
      </c>
    </row>
    <row r="628" spans="1:7" x14ac:dyDescent="0.25">
      <c r="A628">
        <v>2022</v>
      </c>
      <c r="B628" t="s">
        <v>138</v>
      </c>
      <c r="C628" t="s">
        <v>158</v>
      </c>
      <c r="D628" t="s">
        <v>120</v>
      </c>
      <c r="E628" t="str">
        <f>VLOOKUP(D628,'Lista de Produtos CLASSIFICAÇÃO'!$A$103:$B$144,2,FALSE)</f>
        <v>Derivados</v>
      </c>
      <c r="F628" s="55">
        <v>5884397</v>
      </c>
      <c r="G628" s="56" t="str">
        <f>VLOOKUP(C628,clientes!$C$3:$D$60,2,FALSE)</f>
        <v>IPIRANGA</v>
      </c>
    </row>
    <row r="629" spans="1:7" x14ac:dyDescent="0.25">
      <c r="A629">
        <v>2022</v>
      </c>
      <c r="B629" t="s">
        <v>138</v>
      </c>
      <c r="C629" t="s">
        <v>159</v>
      </c>
      <c r="D629" t="s">
        <v>120</v>
      </c>
      <c r="E629" t="str">
        <f>VLOOKUP(D629,'Lista de Produtos CLASSIFICAÇÃO'!$A$103:$B$144,2,FALSE)</f>
        <v>Derivados</v>
      </c>
      <c r="F629" s="55">
        <v>2879842</v>
      </c>
      <c r="G629" s="56" t="str">
        <f>VLOOKUP(C629,clientes!$C$3:$D$60,2,FALSE)</f>
        <v>RAIZEN</v>
      </c>
    </row>
    <row r="630" spans="1:7" x14ac:dyDescent="0.25">
      <c r="A630">
        <v>2022</v>
      </c>
      <c r="B630" t="s">
        <v>138</v>
      </c>
      <c r="C630" t="s">
        <v>200</v>
      </c>
      <c r="D630" t="s">
        <v>120</v>
      </c>
      <c r="E630" t="str">
        <f>VLOOKUP(D630,'Lista de Produtos CLASSIFICAÇÃO'!$A$103:$B$144,2,FALSE)</f>
        <v>Derivados</v>
      </c>
      <c r="F630" s="55">
        <v>1004795</v>
      </c>
      <c r="G630" s="56" t="str">
        <f>VLOOKUP(C630,clientes!$C$3:$D$60,2,FALSE)</f>
        <v>GREENENERGY</v>
      </c>
    </row>
    <row r="631" spans="1:7" x14ac:dyDescent="0.25">
      <c r="A631">
        <v>2022</v>
      </c>
      <c r="B631" t="s">
        <v>138</v>
      </c>
      <c r="C631" t="s">
        <v>161</v>
      </c>
      <c r="D631" t="s">
        <v>120</v>
      </c>
      <c r="E631" t="str">
        <f>VLOOKUP(D631,'Lista de Produtos CLASSIFICAÇÃO'!$A$103:$B$144,2,FALSE)</f>
        <v>Derivados</v>
      </c>
      <c r="F631" s="55">
        <v>2053242</v>
      </c>
      <c r="G631" s="56" t="str">
        <f>VLOOKUP(C631,clientes!$C$3:$D$60,2,FALSE)</f>
        <v>SUL PLATA</v>
      </c>
    </row>
    <row r="632" spans="1:7" x14ac:dyDescent="0.25">
      <c r="A632">
        <v>2022</v>
      </c>
      <c r="B632" t="s">
        <v>138</v>
      </c>
      <c r="C632" t="s">
        <v>195</v>
      </c>
      <c r="D632" t="s">
        <v>115</v>
      </c>
      <c r="E632" t="str">
        <f>VLOOKUP(D632,'Lista de Produtos CLASSIFICAÇÃO'!$A$103:$B$144,2,FALSE)</f>
        <v>Soda Caustica</v>
      </c>
      <c r="F632" s="55">
        <v>70663</v>
      </c>
      <c r="G632" s="56" t="str">
        <f>VLOOKUP(C632,clientes!$C$3:$D$60,2,FALSE)</f>
        <v>PROJESAN</v>
      </c>
    </row>
    <row r="633" spans="1:7" x14ac:dyDescent="0.25">
      <c r="A633">
        <v>2022</v>
      </c>
      <c r="B633" t="s">
        <v>138</v>
      </c>
      <c r="C633" t="s">
        <v>162</v>
      </c>
      <c r="D633" t="s">
        <v>115</v>
      </c>
      <c r="E633" t="str">
        <f>VLOOKUP(D633,'Lista de Produtos CLASSIFICAÇÃO'!$A$103:$B$144,2,FALSE)</f>
        <v>Soda Caustica</v>
      </c>
      <c r="F633" s="55">
        <v>144366</v>
      </c>
      <c r="G633" s="56" t="str">
        <f>VLOOKUP(C633,clientes!$C$3:$D$60,2,FALSE)</f>
        <v>JBS</v>
      </c>
    </row>
    <row r="634" spans="1:7" x14ac:dyDescent="0.25">
      <c r="A634">
        <v>2022</v>
      </c>
      <c r="B634" t="s">
        <v>138</v>
      </c>
      <c r="C634" t="s">
        <v>163</v>
      </c>
      <c r="D634" t="s">
        <v>115</v>
      </c>
      <c r="E634" t="str">
        <f>VLOOKUP(D634,'Lista de Produtos CLASSIFICAÇÃO'!$A$103:$B$144,2,FALSE)</f>
        <v>Soda Caustica</v>
      </c>
      <c r="F634" s="55">
        <v>531095</v>
      </c>
      <c r="G634" s="56" t="str">
        <f>VLOOKUP(C634,clientes!$C$3:$D$60,2,FALSE)</f>
        <v>TRICON ENERGY</v>
      </c>
    </row>
    <row r="635" spans="1:7" x14ac:dyDescent="0.25">
      <c r="A635">
        <v>2022</v>
      </c>
      <c r="B635" t="s">
        <v>138</v>
      </c>
      <c r="C635" t="s">
        <v>164</v>
      </c>
      <c r="D635" t="s">
        <v>115</v>
      </c>
      <c r="E635" t="str">
        <f>VLOOKUP(D635,'Lista de Produtos CLASSIFICAÇÃO'!$A$103:$B$144,2,FALSE)</f>
        <v>Soda Caustica</v>
      </c>
      <c r="F635" s="55">
        <v>299813</v>
      </c>
      <c r="G635" s="56" t="str">
        <f>VLOOKUP(C635,clientes!$C$3:$D$60,2,FALSE)</f>
        <v>BRASKEM</v>
      </c>
    </row>
    <row r="636" spans="1:7" x14ac:dyDescent="0.25">
      <c r="A636">
        <v>2022</v>
      </c>
      <c r="B636" t="s">
        <v>138</v>
      </c>
      <c r="C636" t="s">
        <v>165</v>
      </c>
      <c r="D636" t="s">
        <v>123</v>
      </c>
      <c r="E636" t="str">
        <f>VLOOKUP(D636,'Lista de Produtos CLASSIFICAÇÃO'!$A$103:$B$144,2,FALSE)</f>
        <v>Aquecidos</v>
      </c>
      <c r="F636" s="55">
        <v>916942</v>
      </c>
      <c r="G636" s="56" t="str">
        <f>VLOOKUP(C636,clientes!$C$3:$D$60,2,FALSE)</f>
        <v>BRF</v>
      </c>
    </row>
    <row r="637" spans="1:7" x14ac:dyDescent="0.25">
      <c r="A637">
        <v>2022</v>
      </c>
      <c r="B637" t="s">
        <v>138</v>
      </c>
      <c r="C637" t="s">
        <v>162</v>
      </c>
      <c r="D637" t="s">
        <v>123</v>
      </c>
      <c r="E637" t="str">
        <f>VLOOKUP(D637,'Lista de Produtos CLASSIFICAÇÃO'!$A$103:$B$144,2,FALSE)</f>
        <v>Aquecidos</v>
      </c>
      <c r="F637" s="55">
        <v>320414</v>
      </c>
      <c r="G637" s="56" t="str">
        <f>VLOOKUP(C637,clientes!$C$3:$D$60,2,FALSE)</f>
        <v>JBS</v>
      </c>
    </row>
    <row r="638" spans="1:7" x14ac:dyDescent="0.25">
      <c r="A638">
        <v>2022</v>
      </c>
      <c r="B638" t="s">
        <v>138</v>
      </c>
      <c r="C638" t="s">
        <v>166</v>
      </c>
      <c r="D638" t="s">
        <v>123</v>
      </c>
      <c r="E638" t="str">
        <f>VLOOKUP(D638,'Lista de Produtos CLASSIFICAÇÃO'!$A$103:$B$144,2,FALSE)</f>
        <v>Aquecidos</v>
      </c>
      <c r="F638" s="55">
        <v>497038</v>
      </c>
      <c r="G638" s="56" t="str">
        <f>VLOOKUP(C638,clientes!$C$3:$D$60,2,FALSE)</f>
        <v>CARGILL</v>
      </c>
    </row>
    <row r="639" spans="1:7" x14ac:dyDescent="0.25">
      <c r="A639">
        <v>2022</v>
      </c>
      <c r="B639" t="s">
        <v>138</v>
      </c>
      <c r="C639" t="s">
        <v>167</v>
      </c>
      <c r="D639" t="s">
        <v>122</v>
      </c>
      <c r="E639" t="str">
        <f>VLOOKUP(D639,'Lista de Produtos CLASSIFICAÇÃO'!$A$103:$B$144,2,FALSE)</f>
        <v>Óleo Vegetal</v>
      </c>
      <c r="F639" s="55">
        <v>5761035</v>
      </c>
      <c r="G639" s="56" t="str">
        <f>VLOOKUP(C639,clientes!$C$3:$D$60,2,FALSE)</f>
        <v>POOL</v>
      </c>
    </row>
    <row r="640" spans="1:7" x14ac:dyDescent="0.25">
      <c r="A640">
        <v>2022</v>
      </c>
      <c r="B640" t="s">
        <v>138</v>
      </c>
      <c r="C640" t="s">
        <v>168</v>
      </c>
      <c r="D640" t="s">
        <v>122</v>
      </c>
      <c r="E640" t="str">
        <f>VLOOKUP(D640,'Lista de Produtos CLASSIFICAÇÃO'!$A$103:$B$144,2,FALSE)</f>
        <v>Óleo Vegetal</v>
      </c>
      <c r="F640" s="55">
        <v>98005</v>
      </c>
      <c r="G640" s="56" t="str">
        <f>VLOOKUP(C640,clientes!$C$3:$D$60,2,FALSE)</f>
        <v>POOL EXCEDENTE</v>
      </c>
    </row>
    <row r="641" spans="1:7" x14ac:dyDescent="0.25">
      <c r="A641">
        <v>2022</v>
      </c>
      <c r="B641" t="s">
        <v>138</v>
      </c>
      <c r="C641" t="s">
        <v>169</v>
      </c>
      <c r="D641" t="s">
        <v>22</v>
      </c>
      <c r="E641" t="str">
        <f>VLOOKUP(D641,'Lista de Produtos CLASSIFICAÇÃO'!$A$103:$B$144,2,FALSE)</f>
        <v>Metanol</v>
      </c>
      <c r="F641" s="55">
        <v>5845875</v>
      </c>
      <c r="G641" s="56" t="str">
        <f>VLOOKUP(C641,clientes!$C$3:$D$60,2,FALSE)</f>
        <v>METHANEX</v>
      </c>
    </row>
    <row r="642" spans="1:7" x14ac:dyDescent="0.25">
      <c r="A642">
        <v>2022</v>
      </c>
      <c r="B642" t="s">
        <v>138</v>
      </c>
      <c r="C642" t="s">
        <v>170</v>
      </c>
      <c r="D642" t="s">
        <v>22</v>
      </c>
      <c r="E642" t="str">
        <f>VLOOKUP(D642,'Lista de Produtos CLASSIFICAÇÃO'!$A$103:$B$144,2,FALSE)</f>
        <v>Metanol</v>
      </c>
      <c r="F642" s="55">
        <v>3497206</v>
      </c>
      <c r="G642" s="56" t="str">
        <f>VLOOKUP(C642,clientes!$C$3:$D$60,2,FALSE)</f>
        <v>MITSUBISHI</v>
      </c>
    </row>
    <row r="643" spans="1:7" x14ac:dyDescent="0.25">
      <c r="A643">
        <v>2022</v>
      </c>
      <c r="B643" t="s">
        <v>138</v>
      </c>
      <c r="C643" t="s">
        <v>196</v>
      </c>
      <c r="D643" t="s">
        <v>22</v>
      </c>
      <c r="E643" t="str">
        <f>VLOOKUP(D643,'Lista de Produtos CLASSIFICAÇÃO'!$A$103:$B$144,2,FALSE)</f>
        <v>Metanol</v>
      </c>
      <c r="F643" s="55">
        <v>5636979</v>
      </c>
      <c r="G643" s="56" t="str">
        <f>VLOOKUP(C643,clientes!$C$3:$D$60,2,FALSE)</f>
        <v>SCC</v>
      </c>
    </row>
    <row r="644" spans="1:7" x14ac:dyDescent="0.25">
      <c r="A644">
        <v>2022</v>
      </c>
      <c r="B644" t="s">
        <v>138</v>
      </c>
      <c r="C644" t="s">
        <v>196</v>
      </c>
      <c r="D644" t="s">
        <v>22</v>
      </c>
      <c r="E644" t="str">
        <f>VLOOKUP(D644,'Lista de Produtos CLASSIFICAÇÃO'!$A$103:$B$144,2,FALSE)</f>
        <v>Metanol</v>
      </c>
      <c r="F644" s="55">
        <v>347917</v>
      </c>
      <c r="G644" s="56" t="str">
        <f>VLOOKUP(C644,clientes!$C$3:$D$60,2,FALSE)</f>
        <v>SCC</v>
      </c>
    </row>
    <row r="645" spans="1:7" x14ac:dyDescent="0.25">
      <c r="A645">
        <v>2022</v>
      </c>
      <c r="B645" t="s">
        <v>138</v>
      </c>
      <c r="C645" t="s">
        <v>201</v>
      </c>
      <c r="D645" t="s">
        <v>202</v>
      </c>
      <c r="E645" t="str">
        <f>VLOOKUP(D645,'Lista de Produtos CLASSIFICAÇÃO'!$A$103:$B$144,2,FALSE)</f>
        <v>Outros</v>
      </c>
      <c r="F645" s="55">
        <v>369684</v>
      </c>
      <c r="G645" s="56" t="str">
        <f>VLOOKUP(C645,clientes!$C$3:$D$60,2,FALSE)</f>
        <v>TERRENA</v>
      </c>
    </row>
    <row r="646" spans="1:7" x14ac:dyDescent="0.25">
      <c r="A646">
        <v>2022</v>
      </c>
      <c r="B646" t="s">
        <v>138</v>
      </c>
      <c r="C646" t="s">
        <v>172</v>
      </c>
      <c r="D646" t="s">
        <v>124</v>
      </c>
      <c r="E646" t="str">
        <f>VLOOKUP(D646,'Lista de Produtos CLASSIFICAÇÃO'!$A$103:$B$144,2,FALSE)</f>
        <v>Outros</v>
      </c>
      <c r="F646" s="55">
        <v>222688</v>
      </c>
      <c r="G646" s="56" t="str">
        <f>VLOOKUP(C646,clientes!$C$3:$D$60,2,FALSE)</f>
        <v>EVONIK</v>
      </c>
    </row>
    <row r="647" spans="1:7" x14ac:dyDescent="0.25">
      <c r="A647">
        <v>2022</v>
      </c>
      <c r="B647" t="s">
        <v>138</v>
      </c>
      <c r="C647" t="s">
        <v>173</v>
      </c>
      <c r="D647" t="s">
        <v>22</v>
      </c>
      <c r="E647" t="str">
        <f>VLOOKUP(D647,'Lista de Produtos CLASSIFICAÇÃO'!$A$103:$B$144,2,FALSE)</f>
        <v>Metanol</v>
      </c>
      <c r="F647" s="55">
        <v>588985</v>
      </c>
      <c r="G647" s="56" t="str">
        <f>VLOOKUP(C647,clientes!$C$3:$D$60,2,FALSE)</f>
        <v>YPF SOCIEDAD ANONIMA</v>
      </c>
    </row>
    <row r="648" spans="1:7" x14ac:dyDescent="0.25">
      <c r="A648">
        <v>2022</v>
      </c>
      <c r="B648" t="s">
        <v>138</v>
      </c>
      <c r="C648" t="s">
        <v>203</v>
      </c>
      <c r="D648" t="s">
        <v>124</v>
      </c>
      <c r="E648" t="str">
        <f>VLOOKUP(D648,'Lista de Produtos CLASSIFICAÇÃO'!$A$103:$B$144,2,FALSE)</f>
        <v>Outros</v>
      </c>
      <c r="F648" s="55">
        <v>135958</v>
      </c>
      <c r="G648" s="56" t="str">
        <f>VLOOKUP(C648,clientes!$C$3:$D$60,2,FALSE)</f>
        <v>GTM</v>
      </c>
    </row>
    <row r="649" spans="1:7" x14ac:dyDescent="0.25">
      <c r="A649">
        <v>2022</v>
      </c>
      <c r="B649" t="s">
        <v>138</v>
      </c>
      <c r="C649" t="s">
        <v>197</v>
      </c>
      <c r="D649" t="s">
        <v>85</v>
      </c>
      <c r="E649" t="str">
        <f>VLOOKUP(D649,'Lista de Produtos CLASSIFICAÇÃO'!$A$103:$B$144,2,FALSE)</f>
        <v>Outros</v>
      </c>
      <c r="F649" s="55">
        <v>119000</v>
      </c>
      <c r="G649" s="56" t="str">
        <f>VLOOKUP(C649,clientes!$C$3:$D$60,2,FALSE)</f>
        <v>DRT</v>
      </c>
    </row>
    <row r="650" spans="1:7" x14ac:dyDescent="0.25">
      <c r="A650">
        <v>2022</v>
      </c>
      <c r="B650" t="s">
        <v>138</v>
      </c>
      <c r="C650" t="s">
        <v>198</v>
      </c>
      <c r="D650" t="s">
        <v>121</v>
      </c>
      <c r="E650" t="str">
        <f>VLOOKUP(D650,'Lista de Produtos CLASSIFICAÇÃO'!$A$103:$B$144,2,FALSE)</f>
        <v>Biocombustíveis</v>
      </c>
      <c r="F650" s="55">
        <v>700000</v>
      </c>
      <c r="G650" s="56" t="str">
        <f>VLOOKUP(C650,clientes!$C$3:$D$60,2,FALSE)</f>
        <v>TEREOS / INPASA / GLENCORE</v>
      </c>
    </row>
    <row r="651" spans="1:7" x14ac:dyDescent="0.25">
      <c r="A651">
        <v>2022</v>
      </c>
      <c r="B651" t="s">
        <v>138</v>
      </c>
      <c r="C651" t="s">
        <v>174</v>
      </c>
      <c r="D651" t="s">
        <v>123</v>
      </c>
      <c r="E651" t="str">
        <f>VLOOKUP(D651,'Lista de Produtos CLASSIFICAÇÃO'!$A$103:$B$144,2,FALSE)</f>
        <v>Aquecidos</v>
      </c>
      <c r="F651" s="55">
        <v>677215</v>
      </c>
      <c r="G651" s="56" t="str">
        <f>VLOOKUP(C651,clientes!$C$3:$D$60,2,FALSE)</f>
        <v>CELENA</v>
      </c>
    </row>
    <row r="652" spans="1:7" x14ac:dyDescent="0.25">
      <c r="A652">
        <v>2022</v>
      </c>
      <c r="B652" t="s">
        <v>138</v>
      </c>
      <c r="C652" t="s">
        <v>175</v>
      </c>
      <c r="D652" t="s">
        <v>123</v>
      </c>
      <c r="E652" t="str">
        <f>VLOOKUP(D652,'Lista de Produtos CLASSIFICAÇÃO'!$A$103:$B$144,2,FALSE)</f>
        <v>Aquecidos</v>
      </c>
      <c r="F652" s="55">
        <v>440802</v>
      </c>
      <c r="G652" s="56" t="str">
        <f>VLOOKUP(C652,clientes!$C$3:$D$60,2,FALSE)</f>
        <v>AAK DO BRASIL</v>
      </c>
    </row>
    <row r="653" spans="1:7" x14ac:dyDescent="0.25">
      <c r="A653">
        <v>2022</v>
      </c>
      <c r="B653" t="s">
        <v>138</v>
      </c>
      <c r="C653" t="s">
        <v>166</v>
      </c>
      <c r="D653" t="s">
        <v>122</v>
      </c>
      <c r="E653" t="str">
        <f>VLOOKUP(D653,'Lista de Produtos CLASSIFICAÇÃO'!$A$103:$B$144,2,FALSE)</f>
        <v>Óleo Vegetal</v>
      </c>
      <c r="F653" s="55">
        <v>221530</v>
      </c>
      <c r="G653" s="56" t="str">
        <f>VLOOKUP(C653,clientes!$C$3:$D$60,2,FALSE)</f>
        <v>CARGILL</v>
      </c>
    </row>
    <row r="654" spans="1:7" x14ac:dyDescent="0.25">
      <c r="A654">
        <v>2022</v>
      </c>
      <c r="B654" t="s">
        <v>138</v>
      </c>
      <c r="C654" t="s">
        <v>176</v>
      </c>
      <c r="D654" t="s">
        <v>123</v>
      </c>
      <c r="E654" t="str">
        <f>VLOOKUP(D654,'Lista de Produtos CLASSIFICAÇÃO'!$A$103:$B$144,2,FALSE)</f>
        <v>Aquecidos</v>
      </c>
      <c r="F654" s="55">
        <v>336129</v>
      </c>
      <c r="G654" s="56" t="str">
        <f>VLOOKUP(C654,clientes!$C$3:$D$60,2,FALSE)</f>
        <v>AGROPALMA</v>
      </c>
    </row>
    <row r="655" spans="1:7" x14ac:dyDescent="0.25">
      <c r="A655">
        <v>2022</v>
      </c>
      <c r="B655" t="s">
        <v>138</v>
      </c>
      <c r="C655" t="s">
        <v>204</v>
      </c>
      <c r="D655" t="s">
        <v>59</v>
      </c>
      <c r="E655" t="str">
        <f>VLOOKUP(D655,'Lista de Produtos CLASSIFICAÇÃO'!$A$103:$B$144,2,FALSE)</f>
        <v>Derivados</v>
      </c>
      <c r="F655" s="55">
        <v>0</v>
      </c>
      <c r="G655" s="56" t="str">
        <f>VLOOKUP(C655,clientes!$C$3:$D$60,2,FALSE)</f>
        <v>COPAPE</v>
      </c>
    </row>
    <row r="656" spans="1:7" x14ac:dyDescent="0.25">
      <c r="A656">
        <v>2022</v>
      </c>
      <c r="B656" t="s">
        <v>138</v>
      </c>
      <c r="C656" t="s">
        <v>177</v>
      </c>
      <c r="D656" t="s">
        <v>115</v>
      </c>
      <c r="E656" t="str">
        <f>VLOOKUP(D656,'Lista de Produtos CLASSIFICAÇÃO'!$A$103:$B$144,2,FALSE)</f>
        <v>Soda Caustica</v>
      </c>
      <c r="F656" s="55">
        <v>321373</v>
      </c>
      <c r="G656" s="56" t="str">
        <f>VLOOKUP(C656,clientes!$C$3:$D$60,2,FALSE)</f>
        <v>BRENNTAG</v>
      </c>
    </row>
    <row r="657" spans="1:7" x14ac:dyDescent="0.25">
      <c r="A657">
        <v>2022</v>
      </c>
      <c r="B657" t="s">
        <v>138</v>
      </c>
      <c r="C657" t="s">
        <v>178</v>
      </c>
      <c r="D657" t="s">
        <v>115</v>
      </c>
      <c r="E657" t="str">
        <f>VLOOKUP(D657,'Lista de Produtos CLASSIFICAÇÃO'!$A$103:$B$144,2,FALSE)</f>
        <v>Soda Caustica</v>
      </c>
      <c r="F657" s="55">
        <v>858863</v>
      </c>
      <c r="G657" s="56" t="str">
        <f>VLOOKUP(C657,clientes!$C$3:$D$60,2,FALSE)</f>
        <v>OLIN BLUE CUBE</v>
      </c>
    </row>
    <row r="658" spans="1:7" x14ac:dyDescent="0.25">
      <c r="A658">
        <v>2022</v>
      </c>
      <c r="B658" t="s">
        <v>139</v>
      </c>
      <c r="C658" s="56" t="s">
        <v>155</v>
      </c>
      <c r="D658" t="s">
        <v>16</v>
      </c>
      <c r="E658" t="str">
        <f>VLOOKUP(D658,'Lista de Produtos CLASSIFICAÇÃO'!$A$103:$B$144,2,FALSE)</f>
        <v>Outros</v>
      </c>
      <c r="F658" s="55">
        <v>716278</v>
      </c>
      <c r="G658" s="56" t="str">
        <f>VLOOKUP(C658,clientes!$C$3:$D$60,2,FALSE)</f>
        <v>ADISSEO</v>
      </c>
    </row>
    <row r="659" spans="1:7" x14ac:dyDescent="0.25">
      <c r="A659">
        <v>2022</v>
      </c>
      <c r="B659" t="s">
        <v>139</v>
      </c>
      <c r="C659" s="56" t="s">
        <v>156</v>
      </c>
      <c r="D659" t="s">
        <v>123</v>
      </c>
      <c r="E659" t="str">
        <f>VLOOKUP(D659,'Lista de Produtos CLASSIFICAÇÃO'!$A$103:$B$144,2,FALSE)</f>
        <v>Aquecidos</v>
      </c>
      <c r="F659" s="55">
        <v>345426</v>
      </c>
      <c r="G659" s="56" t="str">
        <f>VLOOKUP(C659,clientes!$C$3:$D$60,2,FALSE)</f>
        <v>BUNGE</v>
      </c>
    </row>
    <row r="660" spans="1:7" x14ac:dyDescent="0.25">
      <c r="A660">
        <v>2022</v>
      </c>
      <c r="B660" t="s">
        <v>139</v>
      </c>
      <c r="C660" s="56" t="s">
        <v>199</v>
      </c>
      <c r="D660" t="s">
        <v>16</v>
      </c>
      <c r="E660" t="str">
        <f>VLOOKUP(D660,'Lista de Produtos CLASSIFICAÇÃO'!$A$103:$B$144,2,FALSE)</f>
        <v>Outros</v>
      </c>
      <c r="F660" s="55">
        <v>3580</v>
      </c>
      <c r="G660" s="56" t="str">
        <f>VLOOKUP(C660,clientes!$C$3:$D$60,2,FALSE)</f>
        <v>ADISSEO</v>
      </c>
    </row>
    <row r="661" spans="1:7" x14ac:dyDescent="0.25">
      <c r="A661">
        <v>2022</v>
      </c>
      <c r="B661" t="s">
        <v>139</v>
      </c>
      <c r="C661" s="56" t="s">
        <v>157</v>
      </c>
      <c r="D661" t="s">
        <v>122</v>
      </c>
      <c r="E661" t="str">
        <f>VLOOKUP(D661,'Lista de Produtos CLASSIFICAÇÃO'!$A$103:$B$144,2,FALSE)</f>
        <v>Óleo Vegetal</v>
      </c>
      <c r="F661" s="55">
        <v>112688</v>
      </c>
      <c r="G661" s="56" t="str">
        <f>VLOOKUP(C661,clientes!$C$3:$D$60,2,FALSE)</f>
        <v>ADM</v>
      </c>
    </row>
    <row r="662" spans="1:7" x14ac:dyDescent="0.25">
      <c r="A662">
        <v>2022</v>
      </c>
      <c r="B662" t="s">
        <v>139</v>
      </c>
      <c r="C662" s="56" t="s">
        <v>158</v>
      </c>
      <c r="D662" t="s">
        <v>120</v>
      </c>
      <c r="E662" t="str">
        <f>VLOOKUP(D662,'Lista de Produtos CLASSIFICAÇÃO'!$A$103:$B$144,2,FALSE)</f>
        <v>Derivados</v>
      </c>
      <c r="F662" s="55">
        <v>5509666</v>
      </c>
      <c r="G662" s="56" t="str">
        <f>VLOOKUP(C662,clientes!$C$3:$D$60,2,FALSE)</f>
        <v>IPIRANGA</v>
      </c>
    </row>
    <row r="663" spans="1:7" x14ac:dyDescent="0.25">
      <c r="A663">
        <v>2022</v>
      </c>
      <c r="B663" t="s">
        <v>139</v>
      </c>
      <c r="C663" s="56" t="s">
        <v>159</v>
      </c>
      <c r="D663" t="s">
        <v>120</v>
      </c>
      <c r="E663" t="str">
        <f>VLOOKUP(D663,'Lista de Produtos CLASSIFICAÇÃO'!$A$103:$B$144,2,FALSE)</f>
        <v>Derivados</v>
      </c>
      <c r="F663" s="55">
        <v>2451242</v>
      </c>
      <c r="G663" s="56" t="str">
        <f>VLOOKUP(C663,clientes!$C$3:$D$60,2,FALSE)</f>
        <v>RAIZEN</v>
      </c>
    </row>
    <row r="664" spans="1:7" x14ac:dyDescent="0.25">
      <c r="A664">
        <v>2022</v>
      </c>
      <c r="B664" t="s">
        <v>139</v>
      </c>
      <c r="C664" s="56" t="s">
        <v>200</v>
      </c>
      <c r="D664" t="s">
        <v>120</v>
      </c>
      <c r="E664" t="str">
        <f>VLOOKUP(D664,'Lista de Produtos CLASSIFICAÇÃO'!$A$103:$B$144,2,FALSE)</f>
        <v>Derivados</v>
      </c>
      <c r="F664" s="55">
        <v>1004795</v>
      </c>
      <c r="G664" s="56" t="str">
        <f>VLOOKUP(C664,clientes!$C$3:$D$60,2,FALSE)</f>
        <v>GREENENERGY</v>
      </c>
    </row>
    <row r="665" spans="1:7" x14ac:dyDescent="0.25">
      <c r="A665">
        <v>2022</v>
      </c>
      <c r="B665" t="s">
        <v>139</v>
      </c>
      <c r="C665" s="56" t="s">
        <v>161</v>
      </c>
      <c r="D665" t="s">
        <v>120</v>
      </c>
      <c r="E665" t="str">
        <f>VLOOKUP(D665,'Lista de Produtos CLASSIFICAÇÃO'!$A$103:$B$144,2,FALSE)</f>
        <v>Derivados</v>
      </c>
      <c r="F665" s="55">
        <v>2428323</v>
      </c>
      <c r="G665" s="56" t="str">
        <f>VLOOKUP(C665,clientes!$C$3:$D$60,2,FALSE)</f>
        <v>SUL PLATA</v>
      </c>
    </row>
    <row r="666" spans="1:7" x14ac:dyDescent="0.25">
      <c r="A666">
        <v>2022</v>
      </c>
      <c r="B666" t="s">
        <v>139</v>
      </c>
      <c r="C666" s="56" t="s">
        <v>195</v>
      </c>
      <c r="D666" t="s">
        <v>115</v>
      </c>
      <c r="E666" t="str">
        <f>VLOOKUP(D666,'Lista de Produtos CLASSIFICAÇÃO'!$A$103:$B$144,2,FALSE)</f>
        <v>Soda Caustica</v>
      </c>
      <c r="F666" s="55">
        <v>81453</v>
      </c>
      <c r="G666" s="56" t="str">
        <f>VLOOKUP(C666,clientes!$C$3:$D$60,2,FALSE)</f>
        <v>PROJESAN</v>
      </c>
    </row>
    <row r="667" spans="1:7" x14ac:dyDescent="0.25">
      <c r="A667">
        <v>2022</v>
      </c>
      <c r="B667" t="s">
        <v>139</v>
      </c>
      <c r="C667" s="56" t="s">
        <v>162</v>
      </c>
      <c r="D667" t="s">
        <v>115</v>
      </c>
      <c r="E667" t="str">
        <f>VLOOKUP(D667,'Lista de Produtos CLASSIFICAÇÃO'!$A$103:$B$144,2,FALSE)</f>
        <v>Soda Caustica</v>
      </c>
      <c r="F667" s="55">
        <v>144366</v>
      </c>
      <c r="G667" s="56" t="str">
        <f>VLOOKUP(C667,clientes!$C$3:$D$60,2,FALSE)</f>
        <v>JBS</v>
      </c>
    </row>
    <row r="668" spans="1:7" x14ac:dyDescent="0.25">
      <c r="A668">
        <v>2022</v>
      </c>
      <c r="B668" t="s">
        <v>139</v>
      </c>
      <c r="C668" s="56" t="s">
        <v>163</v>
      </c>
      <c r="D668" t="s">
        <v>115</v>
      </c>
      <c r="E668" t="str">
        <f>VLOOKUP(D668,'Lista de Produtos CLASSIFICAÇÃO'!$A$103:$B$144,2,FALSE)</f>
        <v>Soda Caustica</v>
      </c>
      <c r="F668" s="55">
        <v>531095</v>
      </c>
      <c r="G668" s="56" t="str">
        <f>VLOOKUP(C668,clientes!$C$3:$D$60,2,FALSE)</f>
        <v>TRICON ENERGY</v>
      </c>
    </row>
    <row r="669" spans="1:7" x14ac:dyDescent="0.25">
      <c r="A669">
        <v>2022</v>
      </c>
      <c r="B669" t="s">
        <v>139</v>
      </c>
      <c r="C669" s="56" t="s">
        <v>164</v>
      </c>
      <c r="D669" t="s">
        <v>115</v>
      </c>
      <c r="E669" t="str">
        <f>VLOOKUP(D669,'Lista de Produtos CLASSIFICAÇÃO'!$A$103:$B$144,2,FALSE)</f>
        <v>Soda Caustica</v>
      </c>
      <c r="F669" s="55">
        <v>327852</v>
      </c>
      <c r="G669" s="56" t="str">
        <f>VLOOKUP(C669,clientes!$C$3:$D$60,2,FALSE)</f>
        <v>BRASKEM</v>
      </c>
    </row>
    <row r="670" spans="1:7" x14ac:dyDescent="0.25">
      <c r="A670">
        <v>2022</v>
      </c>
      <c r="B670" t="s">
        <v>139</v>
      </c>
      <c r="C670" s="56" t="s">
        <v>165</v>
      </c>
      <c r="D670" t="s">
        <v>123</v>
      </c>
      <c r="E670" t="str">
        <f>VLOOKUP(D670,'Lista de Produtos CLASSIFICAÇÃO'!$A$103:$B$144,2,FALSE)</f>
        <v>Aquecidos</v>
      </c>
      <c r="F670" s="55">
        <v>916942</v>
      </c>
      <c r="G670" s="56" t="str">
        <f>VLOOKUP(C670,clientes!$C$3:$D$60,2,FALSE)</f>
        <v>BRF</v>
      </c>
    </row>
    <row r="671" spans="1:7" x14ac:dyDescent="0.25">
      <c r="A671">
        <v>2022</v>
      </c>
      <c r="B671" t="s">
        <v>139</v>
      </c>
      <c r="C671" s="56" t="s">
        <v>162</v>
      </c>
      <c r="D671" t="s">
        <v>123</v>
      </c>
      <c r="E671" t="str">
        <f>VLOOKUP(D671,'Lista de Produtos CLASSIFICAÇÃO'!$A$103:$B$144,2,FALSE)</f>
        <v>Aquecidos</v>
      </c>
      <c r="F671" s="55">
        <v>320414</v>
      </c>
      <c r="G671" s="56" t="str">
        <f>VLOOKUP(C671,clientes!$C$3:$D$60,2,FALSE)</f>
        <v>JBS</v>
      </c>
    </row>
    <row r="672" spans="1:7" x14ac:dyDescent="0.25">
      <c r="A672">
        <v>2022</v>
      </c>
      <c r="B672" t="s">
        <v>139</v>
      </c>
      <c r="C672" s="56" t="s">
        <v>166</v>
      </c>
      <c r="D672" t="s">
        <v>123</v>
      </c>
      <c r="E672" t="str">
        <f>VLOOKUP(D672,'Lista de Produtos CLASSIFICAÇÃO'!$A$103:$B$144,2,FALSE)</f>
        <v>Aquecidos</v>
      </c>
      <c r="F672" s="55">
        <v>497038</v>
      </c>
      <c r="G672" s="56" t="str">
        <f>VLOOKUP(C672,clientes!$C$3:$D$60,2,FALSE)</f>
        <v>CARGILL</v>
      </c>
    </row>
    <row r="673" spans="1:7" x14ac:dyDescent="0.25">
      <c r="A673">
        <v>2022</v>
      </c>
      <c r="B673" t="s">
        <v>139</v>
      </c>
      <c r="C673" s="56" t="s">
        <v>167</v>
      </c>
      <c r="D673" t="s">
        <v>122</v>
      </c>
      <c r="E673" t="str">
        <f>VLOOKUP(D673,'Lista de Produtos CLASSIFICAÇÃO'!$A$103:$B$144,2,FALSE)</f>
        <v>Óleo Vegetal</v>
      </c>
      <c r="F673" s="55">
        <v>3666113</v>
      </c>
      <c r="G673" s="56" t="str">
        <f>VLOOKUP(C673,clientes!$C$3:$D$60,2,FALSE)</f>
        <v>POOL</v>
      </c>
    </row>
    <row r="674" spans="1:7" x14ac:dyDescent="0.25">
      <c r="A674">
        <v>2022</v>
      </c>
      <c r="B674" t="s">
        <v>139</v>
      </c>
      <c r="C674" s="56" t="s">
        <v>168</v>
      </c>
      <c r="D674" t="s">
        <v>122</v>
      </c>
      <c r="E674" t="str">
        <f>VLOOKUP(D674,'Lista de Produtos CLASSIFICAÇÃO'!$A$103:$B$144,2,FALSE)</f>
        <v>Óleo Vegetal</v>
      </c>
      <c r="F674" s="55">
        <v>98005</v>
      </c>
      <c r="G674" s="56" t="str">
        <f>VLOOKUP(C674,clientes!$C$3:$D$60,2,FALSE)</f>
        <v>POOL EXCEDENTE</v>
      </c>
    </row>
    <row r="675" spans="1:7" x14ac:dyDescent="0.25">
      <c r="A675">
        <v>2022</v>
      </c>
      <c r="B675" t="s">
        <v>139</v>
      </c>
      <c r="C675" s="56" t="s">
        <v>169</v>
      </c>
      <c r="D675" t="s">
        <v>22</v>
      </c>
      <c r="E675" t="str">
        <f>VLOOKUP(D675,'Lista de Produtos CLASSIFICAÇÃO'!$A$103:$B$144,2,FALSE)</f>
        <v>Metanol</v>
      </c>
      <c r="F675" s="55">
        <v>5845875</v>
      </c>
      <c r="G675" s="56" t="str">
        <f>VLOOKUP(C675,clientes!$C$3:$D$60,2,FALSE)</f>
        <v>METHANEX</v>
      </c>
    </row>
    <row r="676" spans="1:7" x14ac:dyDescent="0.25">
      <c r="A676">
        <v>2022</v>
      </c>
      <c r="B676" t="s">
        <v>139</v>
      </c>
      <c r="C676" s="56" t="s">
        <v>170</v>
      </c>
      <c r="D676" t="s">
        <v>22</v>
      </c>
      <c r="E676" t="str">
        <f>VLOOKUP(D676,'Lista de Produtos CLASSIFICAÇÃO'!$A$103:$B$144,2,FALSE)</f>
        <v>Metanol</v>
      </c>
      <c r="F676" s="55">
        <v>3497206</v>
      </c>
      <c r="G676" s="56" t="str">
        <f>VLOOKUP(C676,clientes!$C$3:$D$60,2,FALSE)</f>
        <v>MITSUBISHI</v>
      </c>
    </row>
    <row r="677" spans="1:7" x14ac:dyDescent="0.25">
      <c r="A677">
        <v>2022</v>
      </c>
      <c r="B677" t="s">
        <v>139</v>
      </c>
      <c r="C677" s="56" t="s">
        <v>196</v>
      </c>
      <c r="D677" t="s">
        <v>22</v>
      </c>
      <c r="E677" t="str">
        <f>VLOOKUP(D677,'Lista de Produtos CLASSIFICAÇÃO'!$A$103:$B$144,2,FALSE)</f>
        <v>Metanol</v>
      </c>
      <c r="F677" s="55">
        <v>5636979</v>
      </c>
      <c r="G677" s="56" t="str">
        <f>VLOOKUP(C677,clientes!$C$3:$D$60,2,FALSE)</f>
        <v>SCC</v>
      </c>
    </row>
    <row r="678" spans="1:7" x14ac:dyDescent="0.25">
      <c r="A678">
        <v>2022</v>
      </c>
      <c r="B678" t="s">
        <v>139</v>
      </c>
      <c r="C678" s="56" t="s">
        <v>196</v>
      </c>
      <c r="D678" t="s">
        <v>22</v>
      </c>
      <c r="E678" t="str">
        <f>VLOOKUP(D678,'Lista de Produtos CLASSIFICAÇÃO'!$A$103:$B$144,2,FALSE)</f>
        <v>Metanol</v>
      </c>
      <c r="F678" s="55">
        <v>347917</v>
      </c>
      <c r="G678" s="56" t="str">
        <f>VLOOKUP(C678,clientes!$C$3:$D$60,2,FALSE)</f>
        <v>SCC</v>
      </c>
    </row>
    <row r="679" spans="1:7" x14ac:dyDescent="0.25">
      <c r="A679">
        <v>2022</v>
      </c>
      <c r="B679" t="s">
        <v>139</v>
      </c>
      <c r="C679" s="56" t="s">
        <v>201</v>
      </c>
      <c r="D679" t="s">
        <v>202</v>
      </c>
      <c r="E679" t="str">
        <f>VLOOKUP(D679,'Lista de Produtos CLASSIFICAÇÃO'!$A$103:$B$144,2,FALSE)</f>
        <v>Outros</v>
      </c>
      <c r="F679" s="55">
        <v>396976</v>
      </c>
      <c r="G679" s="56" t="str">
        <f>VLOOKUP(C679,clientes!$C$3:$D$60,2,FALSE)</f>
        <v>TERRENA</v>
      </c>
    </row>
    <row r="680" spans="1:7" x14ac:dyDescent="0.25">
      <c r="A680">
        <v>2022</v>
      </c>
      <c r="B680" t="s">
        <v>139</v>
      </c>
      <c r="C680" s="56" t="s">
        <v>172</v>
      </c>
      <c r="D680" t="s">
        <v>124</v>
      </c>
      <c r="E680" t="str">
        <f>VLOOKUP(D680,'Lista de Produtos CLASSIFICAÇÃO'!$A$103:$B$144,2,FALSE)</f>
        <v>Outros</v>
      </c>
      <c r="F680" s="55">
        <v>222688</v>
      </c>
      <c r="G680" s="56" t="str">
        <f>VLOOKUP(C680,clientes!$C$3:$D$60,2,FALSE)</f>
        <v>EVONIK</v>
      </c>
    </row>
    <row r="681" spans="1:7" x14ac:dyDescent="0.25">
      <c r="A681">
        <v>2022</v>
      </c>
      <c r="B681" t="s">
        <v>139</v>
      </c>
      <c r="C681" s="56" t="s">
        <v>173</v>
      </c>
      <c r="D681" t="s">
        <v>22</v>
      </c>
      <c r="E681" t="str">
        <f>VLOOKUP(D681,'Lista de Produtos CLASSIFICAÇÃO'!$A$103:$B$144,2,FALSE)</f>
        <v>Metanol</v>
      </c>
      <c r="F681" s="55">
        <v>668745</v>
      </c>
      <c r="G681" s="56" t="str">
        <f>VLOOKUP(C681,clientes!$C$3:$D$60,2,FALSE)</f>
        <v>YPF SOCIEDAD ANONIMA</v>
      </c>
    </row>
    <row r="682" spans="1:7" x14ac:dyDescent="0.25">
      <c r="A682">
        <v>2022</v>
      </c>
      <c r="B682" t="s">
        <v>139</v>
      </c>
      <c r="C682" s="56" t="s">
        <v>203</v>
      </c>
      <c r="D682" t="s">
        <v>124</v>
      </c>
      <c r="E682" t="str">
        <f>VLOOKUP(D682,'Lista de Produtos CLASSIFICAÇÃO'!$A$103:$B$144,2,FALSE)</f>
        <v>Outros</v>
      </c>
      <c r="F682" s="55">
        <v>147795</v>
      </c>
      <c r="G682" s="56" t="str">
        <f>VLOOKUP(C682,clientes!$C$3:$D$60,2,FALSE)</f>
        <v>GTM</v>
      </c>
    </row>
    <row r="683" spans="1:7" x14ac:dyDescent="0.25">
      <c r="A683">
        <v>2022</v>
      </c>
      <c r="B683" t="s">
        <v>139</v>
      </c>
      <c r="C683" s="56" t="s">
        <v>197</v>
      </c>
      <c r="D683" t="s">
        <v>85</v>
      </c>
      <c r="E683" t="str">
        <f>VLOOKUP(D683,'Lista de Produtos CLASSIFICAÇÃO'!$A$103:$B$144,2,FALSE)</f>
        <v>Outros</v>
      </c>
      <c r="F683" s="55">
        <v>119000</v>
      </c>
      <c r="G683" s="56" t="str">
        <f>VLOOKUP(C683,clientes!$C$3:$D$60,2,FALSE)</f>
        <v>DRT</v>
      </c>
    </row>
    <row r="684" spans="1:7" x14ac:dyDescent="0.25">
      <c r="A684">
        <v>2022</v>
      </c>
      <c r="B684" t="s">
        <v>139</v>
      </c>
      <c r="C684" s="56" t="s">
        <v>198</v>
      </c>
      <c r="D684" t="s">
        <v>121</v>
      </c>
      <c r="E684" t="str">
        <f>VLOOKUP(D684,'Lista de Produtos CLASSIFICAÇÃO'!$A$103:$B$144,2,FALSE)</f>
        <v>Biocombustíveis</v>
      </c>
      <c r="F684" s="55">
        <v>700000</v>
      </c>
      <c r="G684" s="56" t="str">
        <f>VLOOKUP(C684,clientes!$C$3:$D$60,2,FALSE)</f>
        <v>TEREOS / INPASA / GLENCORE</v>
      </c>
    </row>
    <row r="685" spans="1:7" x14ac:dyDescent="0.25">
      <c r="A685">
        <v>2022</v>
      </c>
      <c r="B685" t="s">
        <v>139</v>
      </c>
      <c r="C685" s="56" t="s">
        <v>174</v>
      </c>
      <c r="D685" t="s">
        <v>123</v>
      </c>
      <c r="E685" t="str">
        <f>VLOOKUP(D685,'Lista de Produtos CLASSIFICAÇÃO'!$A$103:$B$144,2,FALSE)</f>
        <v>Aquecidos</v>
      </c>
      <c r="F685" s="55">
        <v>677215</v>
      </c>
      <c r="G685" s="56" t="str">
        <f>VLOOKUP(C685,clientes!$C$3:$D$60,2,FALSE)</f>
        <v>CELENA</v>
      </c>
    </row>
    <row r="686" spans="1:7" x14ac:dyDescent="0.25">
      <c r="A686">
        <v>2022</v>
      </c>
      <c r="B686" t="s">
        <v>139</v>
      </c>
      <c r="C686" s="56" t="s">
        <v>175</v>
      </c>
      <c r="D686" t="s">
        <v>123</v>
      </c>
      <c r="E686" t="str">
        <f>VLOOKUP(D686,'Lista de Produtos CLASSIFICAÇÃO'!$A$103:$B$144,2,FALSE)</f>
        <v>Aquecidos</v>
      </c>
      <c r="F686" s="55">
        <v>440802</v>
      </c>
      <c r="G686" s="56" t="str">
        <f>VLOOKUP(C686,clientes!$C$3:$D$60,2,FALSE)</f>
        <v>AAK DO BRASIL</v>
      </c>
    </row>
    <row r="687" spans="1:7" x14ac:dyDescent="0.25">
      <c r="A687">
        <v>2022</v>
      </c>
      <c r="B687" t="s">
        <v>139</v>
      </c>
      <c r="C687" s="56" t="s">
        <v>166</v>
      </c>
      <c r="D687" t="s">
        <v>122</v>
      </c>
      <c r="E687" t="str">
        <f>VLOOKUP(D687,'Lista de Produtos CLASSIFICAÇÃO'!$A$103:$B$144,2,FALSE)</f>
        <v>Óleo Vegetal</v>
      </c>
      <c r="F687" s="55">
        <v>267726</v>
      </c>
      <c r="G687" s="56" t="str">
        <f>VLOOKUP(C687,clientes!$C$3:$D$60,2,FALSE)</f>
        <v>CARGILL</v>
      </c>
    </row>
    <row r="688" spans="1:7" x14ac:dyDescent="0.25">
      <c r="A688">
        <v>2022</v>
      </c>
      <c r="B688" t="s">
        <v>139</v>
      </c>
      <c r="C688" s="56" t="s">
        <v>176</v>
      </c>
      <c r="D688" t="s">
        <v>123</v>
      </c>
      <c r="E688" t="str">
        <f>VLOOKUP(D688,'Lista de Produtos CLASSIFICAÇÃO'!$A$103:$B$144,2,FALSE)</f>
        <v>Aquecidos</v>
      </c>
      <c r="F688" s="55">
        <v>336129</v>
      </c>
      <c r="G688" s="56" t="str">
        <f>VLOOKUP(C688,clientes!$C$3:$D$60,2,FALSE)</f>
        <v>AGROPALMA</v>
      </c>
    </row>
    <row r="689" spans="1:7" x14ac:dyDescent="0.25">
      <c r="A689">
        <v>2022</v>
      </c>
      <c r="B689" t="s">
        <v>139</v>
      </c>
      <c r="C689" s="56" t="s">
        <v>204</v>
      </c>
      <c r="D689" t="s">
        <v>59</v>
      </c>
      <c r="E689" t="str">
        <f>VLOOKUP(D689,'Lista de Produtos CLASSIFICAÇÃO'!$A$103:$B$144,2,FALSE)</f>
        <v>Derivados</v>
      </c>
      <c r="F689" s="55">
        <v>0</v>
      </c>
      <c r="G689" s="56" t="str">
        <f>VLOOKUP(C689,clientes!$C$3:$D$60,2,FALSE)</f>
        <v>COPAPE</v>
      </c>
    </row>
    <row r="690" spans="1:7" x14ac:dyDescent="0.25">
      <c r="A690">
        <v>2022</v>
      </c>
      <c r="B690" t="s">
        <v>139</v>
      </c>
      <c r="C690" s="56" t="s">
        <v>177</v>
      </c>
      <c r="D690" t="s">
        <v>115</v>
      </c>
      <c r="E690" t="str">
        <f>VLOOKUP(D690,'Lista de Produtos CLASSIFICAÇÃO'!$A$103:$B$144,2,FALSE)</f>
        <v>Soda Caustica</v>
      </c>
      <c r="F690" s="55">
        <v>321373</v>
      </c>
      <c r="G690" s="56" t="str">
        <f>VLOOKUP(C690,clientes!$C$3:$D$60,2,FALSE)</f>
        <v>BRENNTAG</v>
      </c>
    </row>
    <row r="691" spans="1:7" x14ac:dyDescent="0.25">
      <c r="A691">
        <v>2022</v>
      </c>
      <c r="B691" t="s">
        <v>139</v>
      </c>
      <c r="C691" s="56" t="s">
        <v>178</v>
      </c>
      <c r="D691" t="s">
        <v>115</v>
      </c>
      <c r="E691" t="str">
        <f>VLOOKUP(D691,'Lista de Produtos CLASSIFICAÇÃO'!$A$103:$B$144,2,FALSE)</f>
        <v>Soda Caustica</v>
      </c>
      <c r="F691" s="55">
        <v>858863</v>
      </c>
      <c r="G691" s="56" t="str">
        <f>VLOOKUP(C691,clientes!$C$3:$D$60,2,FALSE)</f>
        <v>OLIN BLUE CUBE</v>
      </c>
    </row>
    <row r="692" spans="1:7" x14ac:dyDescent="0.25">
      <c r="A692">
        <v>2022</v>
      </c>
      <c r="B692" t="s">
        <v>140</v>
      </c>
      <c r="C692" t="s">
        <v>155</v>
      </c>
      <c r="D692" t="s">
        <v>16</v>
      </c>
      <c r="E692" t="str">
        <f>VLOOKUP(D692,'Lista de Produtos CLASSIFICAÇÃO'!$A$103:$B$144,2,FALSE)</f>
        <v>Outros</v>
      </c>
      <c r="F692" s="55">
        <v>716278</v>
      </c>
      <c r="G692" s="56" t="str">
        <f>VLOOKUP(C692,clientes!$C$3:$D$60,2,FALSE)</f>
        <v>ADISSEO</v>
      </c>
    </row>
    <row r="693" spans="1:7" x14ac:dyDescent="0.25">
      <c r="A693">
        <v>2022</v>
      </c>
      <c r="B693" t="s">
        <v>140</v>
      </c>
      <c r="C693" t="s">
        <v>156</v>
      </c>
      <c r="D693" t="s">
        <v>123</v>
      </c>
      <c r="E693" t="str">
        <f>VLOOKUP(D693,'Lista de Produtos CLASSIFICAÇÃO'!$A$103:$B$144,2,FALSE)</f>
        <v>Aquecidos</v>
      </c>
      <c r="F693" s="55">
        <v>345426</v>
      </c>
      <c r="G693" s="56" t="str">
        <f>VLOOKUP(C693,clientes!$C$3:$D$60,2,FALSE)</f>
        <v>BUNGE</v>
      </c>
    </row>
    <row r="694" spans="1:7" x14ac:dyDescent="0.25">
      <c r="A694">
        <v>2022</v>
      </c>
      <c r="B694" t="s">
        <v>140</v>
      </c>
      <c r="C694" t="s">
        <v>199</v>
      </c>
      <c r="D694" t="s">
        <v>16</v>
      </c>
      <c r="E694" t="str">
        <f>VLOOKUP(D694,'Lista de Produtos CLASSIFICAÇÃO'!$A$103:$B$144,2,FALSE)</f>
        <v>Outros</v>
      </c>
      <c r="F694" s="55">
        <v>3580</v>
      </c>
      <c r="G694" s="56" t="str">
        <f>VLOOKUP(C694,clientes!$C$3:$D$60,2,FALSE)</f>
        <v>ADISSEO</v>
      </c>
    </row>
    <row r="695" spans="1:7" x14ac:dyDescent="0.25">
      <c r="A695">
        <v>2022</v>
      </c>
      <c r="B695" t="s">
        <v>140</v>
      </c>
      <c r="C695" t="s">
        <v>157</v>
      </c>
      <c r="D695" t="s">
        <v>122</v>
      </c>
      <c r="E695" t="str">
        <f>VLOOKUP(D695,'Lista de Produtos CLASSIFICAÇÃO'!$A$103:$B$144,2,FALSE)</f>
        <v>Óleo Vegetal</v>
      </c>
      <c r="F695" s="55">
        <v>112688</v>
      </c>
      <c r="G695" s="56" t="str">
        <f>VLOOKUP(C695,clientes!$C$3:$D$60,2,FALSE)</f>
        <v>ADM</v>
      </c>
    </row>
    <row r="696" spans="1:7" x14ac:dyDescent="0.25">
      <c r="A696">
        <v>2022</v>
      </c>
      <c r="B696" t="s">
        <v>140</v>
      </c>
      <c r="C696" t="s">
        <v>158</v>
      </c>
      <c r="D696" t="s">
        <v>120</v>
      </c>
      <c r="E696" t="str">
        <f>VLOOKUP(D696,'Lista de Produtos CLASSIFICAÇÃO'!$A$103:$B$144,2,FALSE)</f>
        <v>Derivados</v>
      </c>
      <c r="F696" s="55">
        <v>5884397</v>
      </c>
      <c r="G696" s="56" t="str">
        <f>VLOOKUP(C696,clientes!$C$3:$D$60,2,FALSE)</f>
        <v>IPIRANGA</v>
      </c>
    </row>
    <row r="697" spans="1:7" x14ac:dyDescent="0.25">
      <c r="A697">
        <v>2022</v>
      </c>
      <c r="B697" t="s">
        <v>140</v>
      </c>
      <c r="C697" t="s">
        <v>159</v>
      </c>
      <c r="D697" t="s">
        <v>120</v>
      </c>
      <c r="E697" t="str">
        <f>VLOOKUP(D697,'Lista de Produtos CLASSIFICAÇÃO'!$A$103:$B$144,2,FALSE)</f>
        <v>Derivados</v>
      </c>
      <c r="F697" s="55">
        <v>2879842</v>
      </c>
      <c r="G697" s="56" t="str">
        <f>VLOOKUP(C697,clientes!$C$3:$D$60,2,FALSE)</f>
        <v>RAIZEN</v>
      </c>
    </row>
    <row r="698" spans="1:7" x14ac:dyDescent="0.25">
      <c r="A698">
        <v>2022</v>
      </c>
      <c r="B698" t="s">
        <v>140</v>
      </c>
      <c r="C698" t="s">
        <v>200</v>
      </c>
      <c r="D698" t="s">
        <v>120</v>
      </c>
      <c r="E698" t="str">
        <f>VLOOKUP(D698,'Lista de Produtos CLASSIFICAÇÃO'!$A$103:$B$144,2,FALSE)</f>
        <v>Derivados</v>
      </c>
      <c r="F698" s="55">
        <v>1004795</v>
      </c>
      <c r="G698" s="56" t="str">
        <f>VLOOKUP(C698,clientes!$C$3:$D$60,2,FALSE)</f>
        <v>GREENENERGY</v>
      </c>
    </row>
    <row r="699" spans="1:7" x14ac:dyDescent="0.25">
      <c r="A699">
        <v>2022</v>
      </c>
      <c r="B699" t="s">
        <v>140</v>
      </c>
      <c r="C699" t="s">
        <v>161</v>
      </c>
      <c r="D699" t="s">
        <v>120</v>
      </c>
      <c r="E699" t="str">
        <f>VLOOKUP(D699,'Lista de Produtos CLASSIFICAÇÃO'!$A$103:$B$144,2,FALSE)</f>
        <v>Derivados</v>
      </c>
      <c r="F699" s="55">
        <v>2053242</v>
      </c>
      <c r="G699" s="56" t="str">
        <f>VLOOKUP(C699,clientes!$C$3:$D$60,2,FALSE)</f>
        <v>SUL PLATA</v>
      </c>
    </row>
    <row r="700" spans="1:7" x14ac:dyDescent="0.25">
      <c r="A700">
        <v>2022</v>
      </c>
      <c r="B700" t="s">
        <v>140</v>
      </c>
      <c r="C700" t="s">
        <v>195</v>
      </c>
      <c r="D700" t="s">
        <v>115</v>
      </c>
      <c r="E700" t="str">
        <f>VLOOKUP(D700,'Lista de Produtos CLASSIFICAÇÃO'!$A$103:$B$144,2,FALSE)</f>
        <v>Soda Caustica</v>
      </c>
      <c r="F700" s="55">
        <v>77143</v>
      </c>
      <c r="G700" s="56" t="str">
        <f>VLOOKUP(C700,clientes!$C$3:$D$60,2,FALSE)</f>
        <v>PROJESAN</v>
      </c>
    </row>
    <row r="701" spans="1:7" x14ac:dyDescent="0.25">
      <c r="A701">
        <v>2022</v>
      </c>
      <c r="B701" t="s">
        <v>140</v>
      </c>
      <c r="C701" t="s">
        <v>162</v>
      </c>
      <c r="D701" t="s">
        <v>115</v>
      </c>
      <c r="E701" t="str">
        <f>VLOOKUP(D701,'Lista de Produtos CLASSIFICAÇÃO'!$A$103:$B$144,2,FALSE)</f>
        <v>Soda Caustica</v>
      </c>
      <c r="F701" s="55">
        <v>157605</v>
      </c>
      <c r="G701" s="56" t="str">
        <f>VLOOKUP(C701,clientes!$C$3:$D$60,2,FALSE)</f>
        <v>JBS</v>
      </c>
    </row>
    <row r="702" spans="1:7" x14ac:dyDescent="0.25">
      <c r="A702">
        <v>2022</v>
      </c>
      <c r="B702" t="s">
        <v>140</v>
      </c>
      <c r="C702" t="s">
        <v>163</v>
      </c>
      <c r="D702" t="s">
        <v>115</v>
      </c>
      <c r="E702" t="str">
        <f>VLOOKUP(D702,'Lista de Produtos CLASSIFICAÇÃO'!$A$103:$B$144,2,FALSE)</f>
        <v>Soda Caustica</v>
      </c>
      <c r="F702" s="55">
        <v>531095</v>
      </c>
      <c r="G702" s="56" t="str">
        <f>VLOOKUP(C702,clientes!$C$3:$D$60,2,FALSE)</f>
        <v>TRICON ENERGY</v>
      </c>
    </row>
    <row r="703" spans="1:7" x14ac:dyDescent="0.25">
      <c r="A703">
        <v>2022</v>
      </c>
      <c r="B703" t="s">
        <v>140</v>
      </c>
      <c r="C703" t="s">
        <v>164</v>
      </c>
      <c r="D703" t="s">
        <v>115</v>
      </c>
      <c r="E703" t="str">
        <f>VLOOKUP(D703,'Lista de Produtos CLASSIFICAÇÃO'!$A$103:$B$144,2,FALSE)</f>
        <v>Soda Caustica</v>
      </c>
      <c r="F703" s="55">
        <v>299813</v>
      </c>
      <c r="G703" s="56" t="str">
        <f>VLOOKUP(C703,clientes!$C$3:$D$60,2,FALSE)</f>
        <v>BRASKEM</v>
      </c>
    </row>
    <row r="704" spans="1:7" x14ac:dyDescent="0.25">
      <c r="A704">
        <v>2022</v>
      </c>
      <c r="B704" t="s">
        <v>140</v>
      </c>
      <c r="C704" t="s">
        <v>165</v>
      </c>
      <c r="D704" t="s">
        <v>123</v>
      </c>
      <c r="E704" t="str">
        <f>VLOOKUP(D704,'Lista de Produtos CLASSIFICAÇÃO'!$A$103:$B$144,2,FALSE)</f>
        <v>Aquecidos</v>
      </c>
      <c r="F704" s="55">
        <v>916942</v>
      </c>
      <c r="G704" s="56" t="str">
        <f>VLOOKUP(C704,clientes!$C$3:$D$60,2,FALSE)</f>
        <v>BRF</v>
      </c>
    </row>
    <row r="705" spans="1:7" x14ac:dyDescent="0.25">
      <c r="A705">
        <v>2022</v>
      </c>
      <c r="B705" t="s">
        <v>140</v>
      </c>
      <c r="C705" t="s">
        <v>162</v>
      </c>
      <c r="D705" t="s">
        <v>123</v>
      </c>
      <c r="E705" t="str">
        <f>VLOOKUP(D705,'Lista de Produtos CLASSIFICAÇÃO'!$A$103:$B$144,2,FALSE)</f>
        <v>Aquecidos</v>
      </c>
      <c r="F705" s="55">
        <v>349796</v>
      </c>
      <c r="G705" s="56" t="str">
        <f>VLOOKUP(C705,clientes!$C$3:$D$60,2,FALSE)</f>
        <v>JBS</v>
      </c>
    </row>
    <row r="706" spans="1:7" x14ac:dyDescent="0.25">
      <c r="A706">
        <v>2022</v>
      </c>
      <c r="B706" t="s">
        <v>140</v>
      </c>
      <c r="C706" t="s">
        <v>166</v>
      </c>
      <c r="D706" t="s">
        <v>123</v>
      </c>
      <c r="E706" t="str">
        <f>VLOOKUP(D706,'Lista de Produtos CLASSIFICAÇÃO'!$A$103:$B$144,2,FALSE)</f>
        <v>Aquecidos</v>
      </c>
      <c r="F706" s="55">
        <v>497038</v>
      </c>
      <c r="G706" s="56" t="str">
        <f>VLOOKUP(C706,clientes!$C$3:$D$60,2,FALSE)</f>
        <v>CARGILL</v>
      </c>
    </row>
    <row r="707" spans="1:7" x14ac:dyDescent="0.25">
      <c r="A707">
        <v>2022</v>
      </c>
      <c r="B707" t="s">
        <v>140</v>
      </c>
      <c r="C707" t="s">
        <v>167</v>
      </c>
      <c r="D707" t="s">
        <v>122</v>
      </c>
      <c r="E707" t="str">
        <f>VLOOKUP(D707,'Lista de Produtos CLASSIFICAÇÃO'!$A$103:$B$144,2,FALSE)</f>
        <v>Óleo Vegetal</v>
      </c>
      <c r="F707" s="55">
        <v>3666113</v>
      </c>
      <c r="G707" s="56" t="str">
        <f>VLOOKUP(C707,clientes!$C$3:$D$60,2,FALSE)</f>
        <v>POOL</v>
      </c>
    </row>
    <row r="708" spans="1:7" x14ac:dyDescent="0.25">
      <c r="A708">
        <v>2022</v>
      </c>
      <c r="B708" t="s">
        <v>140</v>
      </c>
      <c r="C708" t="s">
        <v>168</v>
      </c>
      <c r="D708" t="s">
        <v>122</v>
      </c>
      <c r="E708" t="str">
        <f>VLOOKUP(D708,'Lista de Produtos CLASSIFICAÇÃO'!$A$103:$B$144,2,FALSE)</f>
        <v>Óleo Vegetal</v>
      </c>
      <c r="F708" s="55">
        <v>98005</v>
      </c>
      <c r="G708" s="56" t="str">
        <f>VLOOKUP(C708,clientes!$C$3:$D$60,2,FALSE)</f>
        <v>POOL EXCEDENTE</v>
      </c>
    </row>
    <row r="709" spans="1:7" x14ac:dyDescent="0.25">
      <c r="A709">
        <v>2022</v>
      </c>
      <c r="B709" t="s">
        <v>140</v>
      </c>
      <c r="C709" t="s">
        <v>169</v>
      </c>
      <c r="D709" t="s">
        <v>22</v>
      </c>
      <c r="E709" t="str">
        <f>VLOOKUP(D709,'Lista de Produtos CLASSIFICAÇÃO'!$A$103:$B$144,2,FALSE)</f>
        <v>Metanol</v>
      </c>
      <c r="F709" s="55">
        <v>5845875</v>
      </c>
      <c r="G709" s="56" t="str">
        <f>VLOOKUP(C709,clientes!$C$3:$D$60,2,FALSE)</f>
        <v>METHANEX</v>
      </c>
    </row>
    <row r="710" spans="1:7" x14ac:dyDescent="0.25">
      <c r="A710">
        <v>2022</v>
      </c>
      <c r="B710" t="s">
        <v>140</v>
      </c>
      <c r="C710" t="s">
        <v>170</v>
      </c>
      <c r="D710" t="s">
        <v>22</v>
      </c>
      <c r="E710" t="str">
        <f>VLOOKUP(D710,'Lista de Produtos CLASSIFICAÇÃO'!$A$103:$B$144,2,FALSE)</f>
        <v>Metanol</v>
      </c>
      <c r="F710" s="55">
        <v>3497206</v>
      </c>
      <c r="G710" s="56" t="str">
        <f>VLOOKUP(C710,clientes!$C$3:$D$60,2,FALSE)</f>
        <v>MITSUBISHI</v>
      </c>
    </row>
    <row r="711" spans="1:7" x14ac:dyDescent="0.25">
      <c r="A711">
        <v>2022</v>
      </c>
      <c r="B711" t="s">
        <v>140</v>
      </c>
      <c r="C711" t="s">
        <v>196</v>
      </c>
      <c r="D711" t="s">
        <v>22</v>
      </c>
      <c r="E711" t="str">
        <f>VLOOKUP(D711,'Lista de Produtos CLASSIFICAÇÃO'!$A$103:$B$144,2,FALSE)</f>
        <v>Metanol</v>
      </c>
      <c r="F711" s="55">
        <v>5636979</v>
      </c>
      <c r="G711" s="56" t="str">
        <f>VLOOKUP(C711,clientes!$C$3:$D$60,2,FALSE)</f>
        <v>SCC</v>
      </c>
    </row>
    <row r="712" spans="1:7" x14ac:dyDescent="0.25">
      <c r="A712">
        <v>2022</v>
      </c>
      <c r="B712" t="s">
        <v>140</v>
      </c>
      <c r="C712" t="s">
        <v>196</v>
      </c>
      <c r="D712" t="s">
        <v>22</v>
      </c>
      <c r="E712" t="str">
        <f>VLOOKUP(D712,'Lista de Produtos CLASSIFICAÇÃO'!$A$103:$B$144,2,FALSE)</f>
        <v>Metanol</v>
      </c>
      <c r="F712" s="55">
        <v>347917</v>
      </c>
      <c r="G712" s="56" t="str">
        <f>VLOOKUP(C712,clientes!$C$3:$D$60,2,FALSE)</f>
        <v>SCC</v>
      </c>
    </row>
    <row r="713" spans="1:7" x14ac:dyDescent="0.25">
      <c r="A713">
        <v>2022</v>
      </c>
      <c r="B713" t="s">
        <v>140</v>
      </c>
      <c r="C713" t="s">
        <v>201</v>
      </c>
      <c r="D713" t="s">
        <v>202</v>
      </c>
      <c r="E713" t="str">
        <f>VLOOKUP(D713,'Lista de Produtos CLASSIFICAÇÃO'!$A$103:$B$144,2,FALSE)</f>
        <v>Outros</v>
      </c>
      <c r="F713" s="55">
        <v>369684</v>
      </c>
      <c r="G713" s="56" t="str">
        <f>VLOOKUP(C713,clientes!$C$3:$D$60,2,FALSE)</f>
        <v>TERRENA</v>
      </c>
    </row>
    <row r="714" spans="1:7" x14ac:dyDescent="0.25">
      <c r="A714">
        <v>2022</v>
      </c>
      <c r="B714" t="s">
        <v>140</v>
      </c>
      <c r="C714" t="s">
        <v>172</v>
      </c>
      <c r="D714" t="s">
        <v>124</v>
      </c>
      <c r="E714" t="str">
        <f>VLOOKUP(D714,'Lista de Produtos CLASSIFICAÇÃO'!$A$103:$B$144,2,FALSE)</f>
        <v>Outros</v>
      </c>
      <c r="F714" s="55">
        <v>222688</v>
      </c>
      <c r="G714" s="56" t="str">
        <f>VLOOKUP(C714,clientes!$C$3:$D$60,2,FALSE)</f>
        <v>EVONIK</v>
      </c>
    </row>
    <row r="715" spans="1:7" x14ac:dyDescent="0.25">
      <c r="A715">
        <v>2022</v>
      </c>
      <c r="B715" t="s">
        <v>140</v>
      </c>
      <c r="C715" t="s">
        <v>173</v>
      </c>
      <c r="D715" t="s">
        <v>22</v>
      </c>
      <c r="E715" t="str">
        <f>VLOOKUP(D715,'Lista de Produtos CLASSIFICAÇÃO'!$A$103:$B$144,2,FALSE)</f>
        <v>Metanol</v>
      </c>
      <c r="F715" s="55">
        <v>588985</v>
      </c>
      <c r="G715" s="56" t="str">
        <f>VLOOKUP(C715,clientes!$C$3:$D$60,2,FALSE)</f>
        <v>YPF SOCIEDAD ANONIMA</v>
      </c>
    </row>
    <row r="716" spans="1:7" x14ac:dyDescent="0.25">
      <c r="A716">
        <v>2022</v>
      </c>
      <c r="B716" t="s">
        <v>140</v>
      </c>
      <c r="C716" t="s">
        <v>203</v>
      </c>
      <c r="D716" t="s">
        <v>124</v>
      </c>
      <c r="E716" t="str">
        <f>VLOOKUP(D716,'Lista de Produtos CLASSIFICAÇÃO'!$A$103:$B$144,2,FALSE)</f>
        <v>Outros</v>
      </c>
      <c r="F716" s="55">
        <v>135958</v>
      </c>
      <c r="G716" s="56" t="str">
        <f>VLOOKUP(C716,clientes!$C$3:$D$60,2,FALSE)</f>
        <v>GTM</v>
      </c>
    </row>
    <row r="717" spans="1:7" x14ac:dyDescent="0.25">
      <c r="A717">
        <v>2022</v>
      </c>
      <c r="B717" t="s">
        <v>140</v>
      </c>
      <c r="C717" t="s">
        <v>197</v>
      </c>
      <c r="D717" t="s">
        <v>85</v>
      </c>
      <c r="E717" t="str">
        <f>VLOOKUP(D717,'Lista de Produtos CLASSIFICAÇÃO'!$A$103:$B$144,2,FALSE)</f>
        <v>Outros</v>
      </c>
      <c r="F717" s="55">
        <v>119000</v>
      </c>
      <c r="G717" s="56" t="str">
        <f>VLOOKUP(C717,clientes!$C$3:$D$60,2,FALSE)</f>
        <v>DRT</v>
      </c>
    </row>
    <row r="718" spans="1:7" x14ac:dyDescent="0.25">
      <c r="A718">
        <v>2022</v>
      </c>
      <c r="B718" t="s">
        <v>140</v>
      </c>
      <c r="C718" t="s">
        <v>198</v>
      </c>
      <c r="D718" t="s">
        <v>121</v>
      </c>
      <c r="E718" t="str">
        <f>VLOOKUP(D718,'Lista de Produtos CLASSIFICAÇÃO'!$A$103:$B$144,2,FALSE)</f>
        <v>Biocombustíveis</v>
      </c>
      <c r="F718" s="55">
        <v>700000</v>
      </c>
      <c r="G718" s="56" t="str">
        <f>VLOOKUP(C718,clientes!$C$3:$D$60,2,FALSE)</f>
        <v>TEREOS / INPASA / GLENCORE</v>
      </c>
    </row>
    <row r="719" spans="1:7" x14ac:dyDescent="0.25">
      <c r="A719">
        <v>2022</v>
      </c>
      <c r="B719" t="s">
        <v>140</v>
      </c>
      <c r="C719" t="s">
        <v>174</v>
      </c>
      <c r="D719" t="s">
        <v>123</v>
      </c>
      <c r="E719" t="str">
        <f>VLOOKUP(D719,'Lista de Produtos CLASSIFICAÇÃO'!$A$103:$B$144,2,FALSE)</f>
        <v>Aquecidos</v>
      </c>
      <c r="F719" s="55">
        <v>677215</v>
      </c>
      <c r="G719" s="56" t="str">
        <f>VLOOKUP(C719,clientes!$C$3:$D$60,2,FALSE)</f>
        <v>CELENA</v>
      </c>
    </row>
    <row r="720" spans="1:7" x14ac:dyDescent="0.25">
      <c r="A720">
        <v>2022</v>
      </c>
      <c r="B720" t="s">
        <v>140</v>
      </c>
      <c r="C720" t="s">
        <v>175</v>
      </c>
      <c r="D720" t="s">
        <v>123</v>
      </c>
      <c r="E720" t="str">
        <f>VLOOKUP(D720,'Lista de Produtos CLASSIFICAÇÃO'!$A$103:$B$144,2,FALSE)</f>
        <v>Aquecidos</v>
      </c>
      <c r="F720" s="55">
        <v>440802</v>
      </c>
      <c r="G720" s="56" t="str">
        <f>VLOOKUP(C720,clientes!$C$3:$D$60,2,FALSE)</f>
        <v>AAK DO BRASIL</v>
      </c>
    </row>
    <row r="721" spans="1:7" x14ac:dyDescent="0.25">
      <c r="A721">
        <v>2022</v>
      </c>
      <c r="B721" t="s">
        <v>140</v>
      </c>
      <c r="C721" t="s">
        <v>166</v>
      </c>
      <c r="D721" t="s">
        <v>122</v>
      </c>
      <c r="E721" t="str">
        <f>VLOOKUP(D721,'Lista de Produtos CLASSIFICAÇÃO'!$A$103:$B$144,2,FALSE)</f>
        <v>Óleo Vegetal</v>
      </c>
      <c r="F721" s="55">
        <v>221530</v>
      </c>
      <c r="G721" s="56" t="str">
        <f>VLOOKUP(C721,clientes!$C$3:$D$60,2,FALSE)</f>
        <v>CARGILL</v>
      </c>
    </row>
    <row r="722" spans="1:7" x14ac:dyDescent="0.25">
      <c r="A722">
        <v>2022</v>
      </c>
      <c r="B722" t="s">
        <v>140</v>
      </c>
      <c r="C722" t="s">
        <v>176</v>
      </c>
      <c r="D722" t="s">
        <v>123</v>
      </c>
      <c r="E722" t="str">
        <f>VLOOKUP(D722,'Lista de Produtos CLASSIFICAÇÃO'!$A$103:$B$144,2,FALSE)</f>
        <v>Aquecidos</v>
      </c>
      <c r="F722" s="55">
        <v>336129</v>
      </c>
      <c r="G722" s="56" t="str">
        <f>VLOOKUP(C722,clientes!$C$3:$D$60,2,FALSE)</f>
        <v>AGROPALMA</v>
      </c>
    </row>
    <row r="723" spans="1:7" x14ac:dyDescent="0.25">
      <c r="A723">
        <v>2022</v>
      </c>
      <c r="B723" t="s">
        <v>140</v>
      </c>
      <c r="C723" t="s">
        <v>204</v>
      </c>
      <c r="D723" t="s">
        <v>59</v>
      </c>
      <c r="E723" t="str">
        <f>VLOOKUP(D723,'Lista de Produtos CLASSIFICAÇÃO'!$A$103:$B$144,2,FALSE)</f>
        <v>Derivados</v>
      </c>
      <c r="F723" s="55">
        <v>0</v>
      </c>
      <c r="G723" s="56" t="str">
        <f>VLOOKUP(C723,clientes!$C$3:$D$60,2,FALSE)</f>
        <v>COPAPE</v>
      </c>
    </row>
    <row r="724" spans="1:7" x14ac:dyDescent="0.25">
      <c r="A724">
        <v>2022</v>
      </c>
      <c r="B724" t="s">
        <v>140</v>
      </c>
      <c r="C724" t="s">
        <v>177</v>
      </c>
      <c r="D724" t="s">
        <v>115</v>
      </c>
      <c r="E724" t="str">
        <f>VLOOKUP(D724,'Lista de Produtos CLASSIFICAÇÃO'!$A$103:$B$144,2,FALSE)</f>
        <v>Soda Caustica</v>
      </c>
      <c r="F724" s="55">
        <v>321373</v>
      </c>
      <c r="G724" s="56" t="str">
        <f>VLOOKUP(C724,clientes!$C$3:$D$60,2,FALSE)</f>
        <v>BRENNTAG</v>
      </c>
    </row>
    <row r="725" spans="1:7" x14ac:dyDescent="0.25">
      <c r="A725">
        <v>2022</v>
      </c>
      <c r="B725" t="s">
        <v>140</v>
      </c>
      <c r="C725" t="s">
        <v>178</v>
      </c>
      <c r="D725" t="s">
        <v>115</v>
      </c>
      <c r="E725" t="str">
        <f>VLOOKUP(D725,'Lista de Produtos CLASSIFICAÇÃO'!$A$103:$B$144,2,FALSE)</f>
        <v>Soda Caustica</v>
      </c>
      <c r="F725" s="55">
        <v>858863</v>
      </c>
      <c r="G725" s="56" t="str">
        <f>VLOOKUP(C725,clientes!$C$3:$D$60,2,FALSE)</f>
        <v>OLIN BLUE CUBE</v>
      </c>
    </row>
    <row r="726" spans="1:7" x14ac:dyDescent="0.25">
      <c r="A726">
        <v>2022</v>
      </c>
      <c r="B726" t="s">
        <v>141</v>
      </c>
      <c r="C726" s="56" t="s">
        <v>155</v>
      </c>
      <c r="D726" t="s">
        <v>16</v>
      </c>
      <c r="E726" t="str">
        <f>VLOOKUP(D726,'Lista de Produtos CLASSIFICAÇÃO'!$A$103:$B$144,2,FALSE)</f>
        <v>Outros</v>
      </c>
      <c r="F726" s="55">
        <v>716278</v>
      </c>
      <c r="G726" s="56" t="str">
        <f>VLOOKUP(C726,clientes!$C$3:$D$60,2,FALSE)</f>
        <v>ADISSEO</v>
      </c>
    </row>
    <row r="727" spans="1:7" x14ac:dyDescent="0.25">
      <c r="A727">
        <v>2022</v>
      </c>
      <c r="B727" t="s">
        <v>141</v>
      </c>
      <c r="C727" s="56" t="s">
        <v>156</v>
      </c>
      <c r="D727" t="s">
        <v>123</v>
      </c>
      <c r="E727" t="str">
        <f>VLOOKUP(D727,'Lista de Produtos CLASSIFICAÇÃO'!$A$103:$B$144,2,FALSE)</f>
        <v>Aquecidos</v>
      </c>
      <c r="F727" s="55">
        <v>345426</v>
      </c>
      <c r="G727" s="56" t="str">
        <f>VLOOKUP(C727,clientes!$C$3:$D$60,2,FALSE)</f>
        <v>BUNGE</v>
      </c>
    </row>
    <row r="728" spans="1:7" x14ac:dyDescent="0.25">
      <c r="A728">
        <v>2022</v>
      </c>
      <c r="B728" t="s">
        <v>141</v>
      </c>
      <c r="C728" s="56" t="s">
        <v>199</v>
      </c>
      <c r="D728" t="s">
        <v>16</v>
      </c>
      <c r="E728" t="str">
        <f>VLOOKUP(D728,'Lista de Produtos CLASSIFICAÇÃO'!$A$103:$B$144,2,FALSE)</f>
        <v>Outros</v>
      </c>
      <c r="F728" s="55">
        <v>3580</v>
      </c>
      <c r="G728" s="56" t="str">
        <f>VLOOKUP(C728,clientes!$C$3:$D$60,2,FALSE)</f>
        <v>ADISSEO</v>
      </c>
    </row>
    <row r="729" spans="1:7" x14ac:dyDescent="0.25">
      <c r="A729">
        <v>2022</v>
      </c>
      <c r="B729" t="s">
        <v>141</v>
      </c>
      <c r="C729" s="56" t="s">
        <v>157</v>
      </c>
      <c r="D729" t="s">
        <v>122</v>
      </c>
      <c r="E729" t="str">
        <f>VLOOKUP(D729,'Lista de Produtos CLASSIFICAÇÃO'!$A$103:$B$144,2,FALSE)</f>
        <v>Óleo Vegetal</v>
      </c>
      <c r="F729" s="55">
        <v>112688</v>
      </c>
      <c r="G729" s="56" t="str">
        <f>VLOOKUP(C729,clientes!$C$3:$D$60,2,FALSE)</f>
        <v>ADM</v>
      </c>
    </row>
    <row r="730" spans="1:7" x14ac:dyDescent="0.25">
      <c r="A730">
        <v>2022</v>
      </c>
      <c r="B730" t="s">
        <v>141</v>
      </c>
      <c r="C730" s="56" t="s">
        <v>158</v>
      </c>
      <c r="D730" t="s">
        <v>120</v>
      </c>
      <c r="E730" t="str">
        <f>VLOOKUP(D730,'Lista de Produtos CLASSIFICAÇÃO'!$A$103:$B$144,2,FALSE)</f>
        <v>Derivados</v>
      </c>
      <c r="F730" s="55">
        <v>5509666</v>
      </c>
      <c r="G730" s="56" t="str">
        <f>VLOOKUP(C730,clientes!$C$3:$D$60,2,FALSE)</f>
        <v>IPIRANGA</v>
      </c>
    </row>
    <row r="731" spans="1:7" x14ac:dyDescent="0.25">
      <c r="A731">
        <v>2022</v>
      </c>
      <c r="B731" t="s">
        <v>141</v>
      </c>
      <c r="C731" s="56" t="s">
        <v>159</v>
      </c>
      <c r="D731" t="s">
        <v>120</v>
      </c>
      <c r="E731" t="str">
        <f>VLOOKUP(D731,'Lista de Produtos CLASSIFICAÇÃO'!$A$103:$B$144,2,FALSE)</f>
        <v>Derivados</v>
      </c>
      <c r="F731" s="55">
        <v>2451242</v>
      </c>
      <c r="G731" s="56" t="str">
        <f>VLOOKUP(C731,clientes!$C$3:$D$60,2,FALSE)</f>
        <v>RAIZEN</v>
      </c>
    </row>
    <row r="732" spans="1:7" x14ac:dyDescent="0.25">
      <c r="A732">
        <v>2022</v>
      </c>
      <c r="B732" t="s">
        <v>141</v>
      </c>
      <c r="C732" s="56" t="s">
        <v>200</v>
      </c>
      <c r="D732" t="s">
        <v>120</v>
      </c>
      <c r="E732" t="str">
        <f>VLOOKUP(D732,'Lista de Produtos CLASSIFICAÇÃO'!$A$103:$B$144,2,FALSE)</f>
        <v>Derivados</v>
      </c>
      <c r="F732" s="55">
        <v>1004795</v>
      </c>
      <c r="G732" s="56" t="str">
        <f>VLOOKUP(C732,clientes!$C$3:$D$60,2,FALSE)</f>
        <v>GREENENERGY</v>
      </c>
    </row>
    <row r="733" spans="1:7" x14ac:dyDescent="0.25">
      <c r="A733">
        <v>2022</v>
      </c>
      <c r="B733" t="s">
        <v>141</v>
      </c>
      <c r="C733" s="56" t="s">
        <v>161</v>
      </c>
      <c r="D733" t="s">
        <v>120</v>
      </c>
      <c r="E733" t="str">
        <f>VLOOKUP(D733,'Lista de Produtos CLASSIFICAÇÃO'!$A$103:$B$144,2,FALSE)</f>
        <v>Derivados</v>
      </c>
      <c r="F733" s="55">
        <v>2053242</v>
      </c>
      <c r="G733" s="56" t="str">
        <f>VLOOKUP(C733,clientes!$C$3:$D$60,2,FALSE)</f>
        <v>SUL PLATA</v>
      </c>
    </row>
    <row r="734" spans="1:7" x14ac:dyDescent="0.25">
      <c r="A734">
        <v>2022</v>
      </c>
      <c r="B734" t="s">
        <v>141</v>
      </c>
      <c r="C734" s="56" t="s">
        <v>195</v>
      </c>
      <c r="D734" t="s">
        <v>115</v>
      </c>
      <c r="E734" t="str">
        <f>VLOOKUP(D734,'Lista de Produtos CLASSIFICAÇÃO'!$A$103:$B$144,2,FALSE)</f>
        <v>Soda Caustica</v>
      </c>
      <c r="F734" s="55">
        <v>88922</v>
      </c>
      <c r="G734" s="56" t="str">
        <f>VLOOKUP(C734,clientes!$C$3:$D$60,2,FALSE)</f>
        <v>PROJESAN</v>
      </c>
    </row>
    <row r="735" spans="1:7" x14ac:dyDescent="0.25">
      <c r="A735">
        <v>2022</v>
      </c>
      <c r="B735" t="s">
        <v>141</v>
      </c>
      <c r="C735" s="56" t="s">
        <v>162</v>
      </c>
      <c r="D735" t="s">
        <v>115</v>
      </c>
      <c r="E735" t="str">
        <f>VLOOKUP(D735,'Lista de Produtos CLASSIFICAÇÃO'!$A$103:$B$144,2,FALSE)</f>
        <v>Soda Caustica</v>
      </c>
      <c r="F735" s="55">
        <v>157605</v>
      </c>
      <c r="G735" s="56" t="str">
        <f>VLOOKUP(C735,clientes!$C$3:$D$60,2,FALSE)</f>
        <v>JBS</v>
      </c>
    </row>
    <row r="736" spans="1:7" x14ac:dyDescent="0.25">
      <c r="A736">
        <v>2022</v>
      </c>
      <c r="B736" t="s">
        <v>141</v>
      </c>
      <c r="C736" s="56" t="s">
        <v>163</v>
      </c>
      <c r="D736" t="s">
        <v>115</v>
      </c>
      <c r="E736" t="str">
        <f>VLOOKUP(D736,'Lista de Produtos CLASSIFICAÇÃO'!$A$103:$B$144,2,FALSE)</f>
        <v>Soda Caustica</v>
      </c>
      <c r="F736" s="55">
        <v>531095</v>
      </c>
      <c r="G736" s="56" t="str">
        <f>VLOOKUP(C736,clientes!$C$3:$D$60,2,FALSE)</f>
        <v>TRICON ENERGY</v>
      </c>
    </row>
    <row r="737" spans="1:7" x14ac:dyDescent="0.25">
      <c r="A737">
        <v>2022</v>
      </c>
      <c r="B737" t="s">
        <v>141</v>
      </c>
      <c r="C737" s="56" t="s">
        <v>164</v>
      </c>
      <c r="D737" t="s">
        <v>115</v>
      </c>
      <c r="E737" t="str">
        <f>VLOOKUP(D737,'Lista de Produtos CLASSIFICAÇÃO'!$A$103:$B$144,2,FALSE)</f>
        <v>Soda Caustica</v>
      </c>
      <c r="F737" s="55">
        <v>327852</v>
      </c>
      <c r="G737" s="56" t="str">
        <f>VLOOKUP(C737,clientes!$C$3:$D$60,2,FALSE)</f>
        <v>BRASKEM</v>
      </c>
    </row>
    <row r="738" spans="1:7" x14ac:dyDescent="0.25">
      <c r="A738">
        <v>2022</v>
      </c>
      <c r="B738" t="s">
        <v>141</v>
      </c>
      <c r="C738" s="56" t="s">
        <v>165</v>
      </c>
      <c r="D738" t="s">
        <v>123</v>
      </c>
      <c r="E738" t="str">
        <f>VLOOKUP(D738,'Lista de Produtos CLASSIFICAÇÃO'!$A$103:$B$144,2,FALSE)</f>
        <v>Aquecidos</v>
      </c>
      <c r="F738" s="55">
        <v>916942</v>
      </c>
      <c r="G738" s="56" t="str">
        <f>VLOOKUP(C738,clientes!$C$3:$D$60,2,FALSE)</f>
        <v>BRF</v>
      </c>
    </row>
    <row r="739" spans="1:7" x14ac:dyDescent="0.25">
      <c r="A739">
        <v>2022</v>
      </c>
      <c r="B739" t="s">
        <v>141</v>
      </c>
      <c r="C739" s="56" t="s">
        <v>162</v>
      </c>
      <c r="D739" t="s">
        <v>123</v>
      </c>
      <c r="E739" t="str">
        <f>VLOOKUP(D739,'Lista de Produtos CLASSIFICAÇÃO'!$A$103:$B$144,2,FALSE)</f>
        <v>Aquecidos</v>
      </c>
      <c r="F739" s="55">
        <v>349796</v>
      </c>
      <c r="G739" s="56" t="str">
        <f>VLOOKUP(C739,clientes!$C$3:$D$60,2,FALSE)</f>
        <v>JBS</v>
      </c>
    </row>
    <row r="740" spans="1:7" x14ac:dyDescent="0.25">
      <c r="A740">
        <v>2022</v>
      </c>
      <c r="B740" t="s">
        <v>141</v>
      </c>
      <c r="C740" s="56" t="s">
        <v>166</v>
      </c>
      <c r="D740" t="s">
        <v>123</v>
      </c>
      <c r="E740" t="str">
        <f>VLOOKUP(D740,'Lista de Produtos CLASSIFICAÇÃO'!$A$103:$B$144,2,FALSE)</f>
        <v>Aquecidos</v>
      </c>
      <c r="F740" s="55">
        <v>497038</v>
      </c>
      <c r="G740" s="56" t="str">
        <f>VLOOKUP(C740,clientes!$C$3:$D$60,2,FALSE)</f>
        <v>CARGILL</v>
      </c>
    </row>
    <row r="741" spans="1:7" x14ac:dyDescent="0.25">
      <c r="A741">
        <v>2022</v>
      </c>
      <c r="B741" t="s">
        <v>141</v>
      </c>
      <c r="C741" s="56" t="s">
        <v>167</v>
      </c>
      <c r="D741" t="s">
        <v>122</v>
      </c>
      <c r="E741" t="str">
        <f>VLOOKUP(D741,'Lista de Produtos CLASSIFICAÇÃO'!$A$103:$B$144,2,FALSE)</f>
        <v>Óleo Vegetal</v>
      </c>
      <c r="F741" s="55">
        <v>3666113</v>
      </c>
      <c r="G741" s="56" t="str">
        <f>VLOOKUP(C741,clientes!$C$3:$D$60,2,FALSE)</f>
        <v>POOL</v>
      </c>
    </row>
    <row r="742" spans="1:7" x14ac:dyDescent="0.25">
      <c r="A742">
        <v>2022</v>
      </c>
      <c r="B742" t="s">
        <v>141</v>
      </c>
      <c r="C742" s="56" t="s">
        <v>168</v>
      </c>
      <c r="D742" t="s">
        <v>122</v>
      </c>
      <c r="E742" t="str">
        <f>VLOOKUP(D742,'Lista de Produtos CLASSIFICAÇÃO'!$A$103:$B$144,2,FALSE)</f>
        <v>Óleo Vegetal</v>
      </c>
      <c r="F742" s="55">
        <v>98005</v>
      </c>
      <c r="G742" s="56" t="str">
        <f>VLOOKUP(C742,clientes!$C$3:$D$60,2,FALSE)</f>
        <v>POOL EXCEDENTE</v>
      </c>
    </row>
    <row r="743" spans="1:7" x14ac:dyDescent="0.25">
      <c r="A743">
        <v>2022</v>
      </c>
      <c r="B743" t="s">
        <v>141</v>
      </c>
      <c r="C743" s="56" t="s">
        <v>169</v>
      </c>
      <c r="D743" t="s">
        <v>22</v>
      </c>
      <c r="E743" t="str">
        <f>VLOOKUP(D743,'Lista de Produtos CLASSIFICAÇÃO'!$A$103:$B$144,2,FALSE)</f>
        <v>Metanol</v>
      </c>
      <c r="F743" s="55">
        <v>5845875</v>
      </c>
      <c r="G743" s="56" t="str">
        <f>VLOOKUP(C743,clientes!$C$3:$D$60,2,FALSE)</f>
        <v>METHANEX</v>
      </c>
    </row>
    <row r="744" spans="1:7" x14ac:dyDescent="0.25">
      <c r="A744">
        <v>2022</v>
      </c>
      <c r="B744" t="s">
        <v>141</v>
      </c>
      <c r="C744" s="56" t="s">
        <v>170</v>
      </c>
      <c r="D744" t="s">
        <v>22</v>
      </c>
      <c r="E744" t="str">
        <f>VLOOKUP(D744,'Lista de Produtos CLASSIFICAÇÃO'!$A$103:$B$144,2,FALSE)</f>
        <v>Metanol</v>
      </c>
      <c r="F744" s="55">
        <v>3497206</v>
      </c>
      <c r="G744" s="56" t="str">
        <f>VLOOKUP(C744,clientes!$C$3:$D$60,2,FALSE)</f>
        <v>MITSUBISHI</v>
      </c>
    </row>
    <row r="745" spans="1:7" x14ac:dyDescent="0.25">
      <c r="A745">
        <v>2022</v>
      </c>
      <c r="B745" t="s">
        <v>141</v>
      </c>
      <c r="C745" s="56" t="s">
        <v>196</v>
      </c>
      <c r="D745" t="s">
        <v>22</v>
      </c>
      <c r="E745" t="str">
        <f>VLOOKUP(D745,'Lista de Produtos CLASSIFICAÇÃO'!$A$103:$B$144,2,FALSE)</f>
        <v>Metanol</v>
      </c>
      <c r="F745" s="55">
        <v>5636979</v>
      </c>
      <c r="G745" s="56" t="str">
        <f>VLOOKUP(C745,clientes!$C$3:$D$60,2,FALSE)</f>
        <v>SCC</v>
      </c>
    </row>
    <row r="746" spans="1:7" x14ac:dyDescent="0.25">
      <c r="A746">
        <v>2022</v>
      </c>
      <c r="B746" t="s">
        <v>141</v>
      </c>
      <c r="C746" s="56" t="s">
        <v>196</v>
      </c>
      <c r="D746" t="s">
        <v>22</v>
      </c>
      <c r="E746" t="str">
        <f>VLOOKUP(D746,'Lista de Produtos CLASSIFICAÇÃO'!$A$103:$B$144,2,FALSE)</f>
        <v>Metanol</v>
      </c>
      <c r="F746" s="55">
        <v>347917</v>
      </c>
      <c r="G746" s="56" t="str">
        <f>VLOOKUP(C746,clientes!$C$3:$D$60,2,FALSE)</f>
        <v>SCC</v>
      </c>
    </row>
    <row r="747" spans="1:7" x14ac:dyDescent="0.25">
      <c r="A747">
        <v>2022</v>
      </c>
      <c r="B747" t="s">
        <v>141</v>
      </c>
      <c r="C747" s="56" t="s">
        <v>201</v>
      </c>
      <c r="D747" t="s">
        <v>202</v>
      </c>
      <c r="E747" t="str">
        <f>VLOOKUP(D747,'Lista de Produtos CLASSIFICAÇÃO'!$A$103:$B$144,2,FALSE)</f>
        <v>Outros</v>
      </c>
      <c r="F747" s="55">
        <v>369684</v>
      </c>
      <c r="G747" s="56" t="str">
        <f>VLOOKUP(C747,clientes!$C$3:$D$60,2,FALSE)</f>
        <v>TERRENA</v>
      </c>
    </row>
    <row r="748" spans="1:7" x14ac:dyDescent="0.25">
      <c r="A748">
        <v>2022</v>
      </c>
      <c r="B748" t="s">
        <v>141</v>
      </c>
      <c r="C748" s="56" t="s">
        <v>172</v>
      </c>
      <c r="D748" t="s">
        <v>124</v>
      </c>
      <c r="E748" t="str">
        <f>VLOOKUP(D748,'Lista de Produtos CLASSIFICAÇÃO'!$A$103:$B$144,2,FALSE)</f>
        <v>Outros</v>
      </c>
      <c r="F748" s="55">
        <v>222688</v>
      </c>
      <c r="G748" s="56" t="str">
        <f>VLOOKUP(C748,clientes!$C$3:$D$60,2,FALSE)</f>
        <v>EVONIK</v>
      </c>
    </row>
    <row r="749" spans="1:7" x14ac:dyDescent="0.25">
      <c r="A749">
        <v>2022</v>
      </c>
      <c r="B749" t="s">
        <v>141</v>
      </c>
      <c r="C749" s="56" t="s">
        <v>173</v>
      </c>
      <c r="D749" t="s">
        <v>22</v>
      </c>
      <c r="E749" t="str">
        <f>VLOOKUP(D749,'Lista de Produtos CLASSIFICAÇÃO'!$A$103:$B$144,2,FALSE)</f>
        <v>Metanol</v>
      </c>
      <c r="F749" s="55">
        <v>588985</v>
      </c>
      <c r="G749" s="56" t="str">
        <f>VLOOKUP(C749,clientes!$C$3:$D$60,2,FALSE)</f>
        <v>YPF SOCIEDAD ANONIMA</v>
      </c>
    </row>
    <row r="750" spans="1:7" x14ac:dyDescent="0.25">
      <c r="A750">
        <v>2022</v>
      </c>
      <c r="B750" t="s">
        <v>141</v>
      </c>
      <c r="C750" s="56" t="s">
        <v>203</v>
      </c>
      <c r="D750" t="s">
        <v>124</v>
      </c>
      <c r="E750" t="str">
        <f>VLOOKUP(D750,'Lista de Produtos CLASSIFICAÇÃO'!$A$103:$B$144,2,FALSE)</f>
        <v>Outros</v>
      </c>
      <c r="F750" s="55">
        <v>135958</v>
      </c>
      <c r="G750" s="56" t="str">
        <f>VLOOKUP(C750,clientes!$C$3:$D$60,2,FALSE)</f>
        <v>GTM</v>
      </c>
    </row>
    <row r="751" spans="1:7" x14ac:dyDescent="0.25">
      <c r="A751">
        <v>2022</v>
      </c>
      <c r="B751" t="s">
        <v>141</v>
      </c>
      <c r="C751" s="56" t="s">
        <v>197</v>
      </c>
      <c r="D751" t="s">
        <v>85</v>
      </c>
      <c r="E751" t="str">
        <f>VLOOKUP(D751,'Lista de Produtos CLASSIFICAÇÃO'!$A$103:$B$144,2,FALSE)</f>
        <v>Outros</v>
      </c>
      <c r="F751" s="55">
        <v>119000</v>
      </c>
      <c r="G751" s="56" t="str">
        <f>VLOOKUP(C751,clientes!$C$3:$D$60,2,FALSE)</f>
        <v>DRT</v>
      </c>
    </row>
    <row r="752" spans="1:7" x14ac:dyDescent="0.25">
      <c r="A752">
        <v>2022</v>
      </c>
      <c r="B752" t="s">
        <v>141</v>
      </c>
      <c r="C752" s="56" t="s">
        <v>198</v>
      </c>
      <c r="D752" t="s">
        <v>121</v>
      </c>
      <c r="E752" t="str">
        <f>VLOOKUP(D752,'Lista de Produtos CLASSIFICAÇÃO'!$A$103:$B$144,2,FALSE)</f>
        <v>Biocombustíveis</v>
      </c>
      <c r="F752" s="55">
        <v>0</v>
      </c>
      <c r="G752" s="56" t="str">
        <f>VLOOKUP(C752,clientes!$C$3:$D$60,2,FALSE)</f>
        <v>TEREOS / INPASA / GLENCORE</v>
      </c>
    </row>
    <row r="753" spans="1:7" x14ac:dyDescent="0.25">
      <c r="A753">
        <v>2022</v>
      </c>
      <c r="B753" t="s">
        <v>141</v>
      </c>
      <c r="C753" s="56" t="s">
        <v>174</v>
      </c>
      <c r="D753" t="s">
        <v>123</v>
      </c>
      <c r="E753" t="str">
        <f>VLOOKUP(D753,'Lista de Produtos CLASSIFICAÇÃO'!$A$103:$B$144,2,FALSE)</f>
        <v>Aquecidos</v>
      </c>
      <c r="F753" s="55">
        <v>677215</v>
      </c>
      <c r="G753" s="56" t="str">
        <f>VLOOKUP(C753,clientes!$C$3:$D$60,2,FALSE)</f>
        <v>CELENA</v>
      </c>
    </row>
    <row r="754" spans="1:7" x14ac:dyDescent="0.25">
      <c r="A754">
        <v>2022</v>
      </c>
      <c r="B754" t="s">
        <v>141</v>
      </c>
      <c r="C754" s="56" t="s">
        <v>175</v>
      </c>
      <c r="D754" t="s">
        <v>123</v>
      </c>
      <c r="E754" t="str">
        <f>VLOOKUP(D754,'Lista de Produtos CLASSIFICAÇÃO'!$A$103:$B$144,2,FALSE)</f>
        <v>Aquecidos</v>
      </c>
      <c r="F754" s="55">
        <v>440802</v>
      </c>
      <c r="G754" s="56" t="str">
        <f>VLOOKUP(C754,clientes!$C$3:$D$60,2,FALSE)</f>
        <v>AAK DO BRASIL</v>
      </c>
    </row>
    <row r="755" spans="1:7" x14ac:dyDescent="0.25">
      <c r="A755">
        <v>2022</v>
      </c>
      <c r="B755" t="s">
        <v>141</v>
      </c>
      <c r="C755" s="56" t="s">
        <v>166</v>
      </c>
      <c r="D755" t="s">
        <v>122</v>
      </c>
      <c r="E755" t="str">
        <f>VLOOKUP(D755,'Lista de Produtos CLASSIFICAÇÃO'!$A$103:$B$144,2,FALSE)</f>
        <v>Óleo Vegetal</v>
      </c>
      <c r="F755" s="55">
        <v>267726</v>
      </c>
      <c r="G755" s="56" t="str">
        <f>VLOOKUP(C755,clientes!$C$3:$D$60,2,FALSE)</f>
        <v>CARGILL</v>
      </c>
    </row>
    <row r="756" spans="1:7" x14ac:dyDescent="0.25">
      <c r="A756">
        <v>2022</v>
      </c>
      <c r="B756" t="s">
        <v>141</v>
      </c>
      <c r="C756" s="56" t="s">
        <v>176</v>
      </c>
      <c r="D756" t="s">
        <v>123</v>
      </c>
      <c r="E756" t="str">
        <f>VLOOKUP(D756,'Lista de Produtos CLASSIFICAÇÃO'!$A$103:$B$144,2,FALSE)</f>
        <v>Aquecidos</v>
      </c>
      <c r="F756" s="55">
        <v>336129</v>
      </c>
      <c r="G756" s="56" t="str">
        <f>VLOOKUP(C756,clientes!$C$3:$D$60,2,FALSE)</f>
        <v>AGROPALMA</v>
      </c>
    </row>
    <row r="757" spans="1:7" x14ac:dyDescent="0.25">
      <c r="A757">
        <v>2022</v>
      </c>
      <c r="B757" t="s">
        <v>141</v>
      </c>
      <c r="C757" s="56" t="s">
        <v>204</v>
      </c>
      <c r="D757" t="s">
        <v>59</v>
      </c>
      <c r="E757" t="str">
        <f>VLOOKUP(D757,'Lista de Produtos CLASSIFICAÇÃO'!$A$103:$B$144,2,FALSE)</f>
        <v>Derivados</v>
      </c>
      <c r="F757" s="55">
        <v>0</v>
      </c>
      <c r="G757" s="56" t="str">
        <f>VLOOKUP(C757,clientes!$C$3:$D$60,2,FALSE)</f>
        <v>COPAPE</v>
      </c>
    </row>
    <row r="758" spans="1:7" x14ac:dyDescent="0.25">
      <c r="A758">
        <v>2022</v>
      </c>
      <c r="B758" t="s">
        <v>141</v>
      </c>
      <c r="C758" s="56" t="s">
        <v>177</v>
      </c>
      <c r="D758" t="s">
        <v>115</v>
      </c>
      <c r="E758" t="str">
        <f>VLOOKUP(D758,'Lista de Produtos CLASSIFICAÇÃO'!$A$103:$B$144,2,FALSE)</f>
        <v>Soda Caustica</v>
      </c>
      <c r="F758" s="55">
        <v>321373</v>
      </c>
      <c r="G758" s="56" t="str">
        <f>VLOOKUP(C758,clientes!$C$3:$D$60,2,FALSE)</f>
        <v>BRENNTAG</v>
      </c>
    </row>
    <row r="759" spans="1:7" x14ac:dyDescent="0.25">
      <c r="A759">
        <v>2022</v>
      </c>
      <c r="B759" t="s">
        <v>141</v>
      </c>
      <c r="C759" s="56" t="s">
        <v>178</v>
      </c>
      <c r="D759" t="s">
        <v>115</v>
      </c>
      <c r="E759" t="str">
        <f>VLOOKUP(D759,'Lista de Produtos CLASSIFICAÇÃO'!$A$103:$B$144,2,FALSE)</f>
        <v>Soda Caustica</v>
      </c>
      <c r="F759" s="55">
        <v>858863</v>
      </c>
      <c r="G759" s="56" t="str">
        <f>VLOOKUP(C759,clientes!$C$3:$D$60,2,FALSE)</f>
        <v>OLIN BLUE CUBE</v>
      </c>
    </row>
    <row r="760" spans="1:7" x14ac:dyDescent="0.25">
      <c r="A760">
        <v>2022</v>
      </c>
      <c r="B760" t="s">
        <v>142</v>
      </c>
      <c r="C760" s="56" t="s">
        <v>155</v>
      </c>
      <c r="D760" t="s">
        <v>16</v>
      </c>
      <c r="E760" t="str">
        <f>VLOOKUP(D760,'Lista de Produtos CLASSIFICAÇÃO'!$A$103:$B$144,2,FALSE)</f>
        <v>Outros</v>
      </c>
      <c r="F760" s="55">
        <v>716278</v>
      </c>
      <c r="G760" s="56" t="str">
        <f>VLOOKUP(C760,clientes!$C$3:$D$60,2,FALSE)</f>
        <v>ADISSEO</v>
      </c>
    </row>
    <row r="761" spans="1:7" x14ac:dyDescent="0.25">
      <c r="A761">
        <v>2022</v>
      </c>
      <c r="B761" t="s">
        <v>142</v>
      </c>
      <c r="C761" s="56" t="s">
        <v>156</v>
      </c>
      <c r="D761" t="s">
        <v>123</v>
      </c>
      <c r="E761" t="str">
        <f>VLOOKUP(D761,'Lista de Produtos CLASSIFICAÇÃO'!$A$103:$B$144,2,FALSE)</f>
        <v>Aquecidos</v>
      </c>
      <c r="F761" s="55">
        <v>345426</v>
      </c>
      <c r="G761" s="56" t="str">
        <f>VLOOKUP(C761,clientes!$C$3:$D$60,2,FALSE)</f>
        <v>BUNGE</v>
      </c>
    </row>
    <row r="762" spans="1:7" x14ac:dyDescent="0.25">
      <c r="A762">
        <v>2022</v>
      </c>
      <c r="B762" t="s">
        <v>142</v>
      </c>
      <c r="C762" s="56" t="s">
        <v>199</v>
      </c>
      <c r="D762" t="s">
        <v>16</v>
      </c>
      <c r="E762" t="str">
        <f>VLOOKUP(D762,'Lista de Produtos CLASSIFICAÇÃO'!$A$103:$B$144,2,FALSE)</f>
        <v>Outros</v>
      </c>
      <c r="F762" s="55">
        <v>3580</v>
      </c>
      <c r="G762" s="56" t="str">
        <f>VLOOKUP(C762,clientes!$C$3:$D$60,2,FALSE)</f>
        <v>ADISSEO</v>
      </c>
    </row>
    <row r="763" spans="1:7" x14ac:dyDescent="0.25">
      <c r="A763">
        <v>2022</v>
      </c>
      <c r="B763" t="s">
        <v>142</v>
      </c>
      <c r="C763" s="56" t="s">
        <v>157</v>
      </c>
      <c r="D763" t="s">
        <v>122</v>
      </c>
      <c r="E763" t="str">
        <f>VLOOKUP(D763,'Lista de Produtos CLASSIFICAÇÃO'!$A$103:$B$144,2,FALSE)</f>
        <v>Óleo Vegetal</v>
      </c>
      <c r="F763" s="55">
        <v>112688</v>
      </c>
      <c r="G763" s="56" t="str">
        <f>VLOOKUP(C763,clientes!$C$3:$D$60,2,FALSE)</f>
        <v>ADM</v>
      </c>
    </row>
    <row r="764" spans="1:7" x14ac:dyDescent="0.25">
      <c r="A764">
        <v>2022</v>
      </c>
      <c r="B764" t="s">
        <v>142</v>
      </c>
      <c r="C764" s="56" t="s">
        <v>158</v>
      </c>
      <c r="D764" t="s">
        <v>120</v>
      </c>
      <c r="E764" t="str">
        <f>VLOOKUP(D764,'Lista de Produtos CLASSIFICAÇÃO'!$A$103:$B$144,2,FALSE)</f>
        <v>Derivados</v>
      </c>
      <c r="F764" s="55">
        <v>5509666</v>
      </c>
      <c r="G764" s="56" t="str">
        <f>VLOOKUP(C764,clientes!$C$3:$D$60,2,FALSE)</f>
        <v>IPIRANGA</v>
      </c>
    </row>
    <row r="765" spans="1:7" x14ac:dyDescent="0.25">
      <c r="A765">
        <v>2022</v>
      </c>
      <c r="B765" t="s">
        <v>142</v>
      </c>
      <c r="C765" s="56" t="s">
        <v>159</v>
      </c>
      <c r="D765" t="s">
        <v>120</v>
      </c>
      <c r="E765" t="str">
        <f>VLOOKUP(D765,'Lista de Produtos CLASSIFICAÇÃO'!$A$103:$B$144,2,FALSE)</f>
        <v>Derivados</v>
      </c>
      <c r="F765" s="55">
        <v>2451242</v>
      </c>
      <c r="G765" s="56" t="str">
        <f>VLOOKUP(C765,clientes!$C$3:$D$60,2,FALSE)</f>
        <v>RAIZEN</v>
      </c>
    </row>
    <row r="766" spans="1:7" x14ac:dyDescent="0.25">
      <c r="A766">
        <v>2022</v>
      </c>
      <c r="B766" t="s">
        <v>142</v>
      </c>
      <c r="C766" s="56" t="s">
        <v>200</v>
      </c>
      <c r="D766" t="s">
        <v>120</v>
      </c>
      <c r="E766" t="str">
        <f>VLOOKUP(D766,'Lista de Produtos CLASSIFICAÇÃO'!$A$103:$B$144,2,FALSE)</f>
        <v>Derivados</v>
      </c>
      <c r="F766" s="55">
        <v>1004795</v>
      </c>
      <c r="G766" s="56" t="str">
        <f>VLOOKUP(C766,clientes!$C$3:$D$60,2,FALSE)</f>
        <v>GREENENERGY</v>
      </c>
    </row>
    <row r="767" spans="1:7" x14ac:dyDescent="0.25">
      <c r="A767">
        <v>2022</v>
      </c>
      <c r="B767" t="s">
        <v>142</v>
      </c>
      <c r="C767" s="56" t="s">
        <v>161</v>
      </c>
      <c r="D767" t="s">
        <v>120</v>
      </c>
      <c r="E767" t="str">
        <f>VLOOKUP(D767,'Lista de Produtos CLASSIFICAÇÃO'!$A$103:$B$144,2,FALSE)</f>
        <v>Derivados</v>
      </c>
      <c r="F767" s="55">
        <v>2053242</v>
      </c>
      <c r="G767" s="56" t="str">
        <f>VLOOKUP(C767,clientes!$C$3:$D$60,2,FALSE)</f>
        <v>SUL PLATA</v>
      </c>
    </row>
    <row r="768" spans="1:7" x14ac:dyDescent="0.25">
      <c r="A768">
        <v>2022</v>
      </c>
      <c r="B768" t="s">
        <v>142</v>
      </c>
      <c r="C768" s="56" t="s">
        <v>195</v>
      </c>
      <c r="D768" t="s">
        <v>115</v>
      </c>
      <c r="E768" t="str">
        <f>VLOOKUP(D768,'Lista de Produtos CLASSIFICAÇÃO'!$A$103:$B$144,2,FALSE)</f>
        <v>Soda Caustica</v>
      </c>
      <c r="F768" s="55">
        <v>77143</v>
      </c>
      <c r="G768" s="56" t="str">
        <f>VLOOKUP(C768,clientes!$C$3:$D$60,2,FALSE)</f>
        <v>PROJESAN</v>
      </c>
    </row>
    <row r="769" spans="1:7" x14ac:dyDescent="0.25">
      <c r="A769">
        <v>2022</v>
      </c>
      <c r="B769" t="s">
        <v>142</v>
      </c>
      <c r="C769" s="56" t="s">
        <v>162</v>
      </c>
      <c r="D769" t="s">
        <v>115</v>
      </c>
      <c r="E769" t="str">
        <f>VLOOKUP(D769,'Lista de Produtos CLASSIFICAÇÃO'!$A$103:$B$144,2,FALSE)</f>
        <v>Soda Caustica</v>
      </c>
      <c r="F769" s="55">
        <v>157605</v>
      </c>
      <c r="G769" s="56" t="str">
        <f>VLOOKUP(C769,clientes!$C$3:$D$60,2,FALSE)</f>
        <v>JBS</v>
      </c>
    </row>
    <row r="770" spans="1:7" x14ac:dyDescent="0.25">
      <c r="A770">
        <v>2022</v>
      </c>
      <c r="B770" t="s">
        <v>142</v>
      </c>
      <c r="C770" s="56" t="s">
        <v>163</v>
      </c>
      <c r="D770" t="s">
        <v>115</v>
      </c>
      <c r="E770" t="str">
        <f>VLOOKUP(D770,'Lista de Produtos CLASSIFICAÇÃO'!$A$103:$B$144,2,FALSE)</f>
        <v>Soda Caustica</v>
      </c>
      <c r="F770" s="55">
        <v>531095</v>
      </c>
      <c r="G770" s="56" t="str">
        <f>VLOOKUP(C770,clientes!$C$3:$D$60,2,FALSE)</f>
        <v>TRICON ENERGY</v>
      </c>
    </row>
    <row r="771" spans="1:7" x14ac:dyDescent="0.25">
      <c r="A771">
        <v>2022</v>
      </c>
      <c r="B771" t="s">
        <v>142</v>
      </c>
      <c r="C771" s="56" t="s">
        <v>164</v>
      </c>
      <c r="D771" t="s">
        <v>115</v>
      </c>
      <c r="E771" t="str">
        <f>VLOOKUP(D771,'Lista de Produtos CLASSIFICAÇÃO'!$A$103:$B$144,2,FALSE)</f>
        <v>Soda Caustica</v>
      </c>
      <c r="F771" s="55">
        <v>299813</v>
      </c>
      <c r="G771" s="56" t="str">
        <f>VLOOKUP(C771,clientes!$C$3:$D$60,2,FALSE)</f>
        <v>BRASKEM</v>
      </c>
    </row>
    <row r="772" spans="1:7" x14ac:dyDescent="0.25">
      <c r="A772">
        <v>2022</v>
      </c>
      <c r="B772" t="s">
        <v>142</v>
      </c>
      <c r="C772" s="56" t="s">
        <v>165</v>
      </c>
      <c r="D772" t="s">
        <v>123</v>
      </c>
      <c r="E772" t="str">
        <f>VLOOKUP(D772,'Lista de Produtos CLASSIFICAÇÃO'!$A$103:$B$144,2,FALSE)</f>
        <v>Aquecidos</v>
      </c>
      <c r="F772" s="55">
        <v>916942</v>
      </c>
      <c r="G772" s="56" t="str">
        <f>VLOOKUP(C772,clientes!$C$3:$D$60,2,FALSE)</f>
        <v>BRF</v>
      </c>
    </row>
    <row r="773" spans="1:7" x14ac:dyDescent="0.25">
      <c r="A773">
        <v>2022</v>
      </c>
      <c r="B773" t="s">
        <v>142</v>
      </c>
      <c r="C773" s="56" t="s">
        <v>162</v>
      </c>
      <c r="D773" t="s">
        <v>123</v>
      </c>
      <c r="E773" t="str">
        <f>VLOOKUP(D773,'Lista de Produtos CLASSIFICAÇÃO'!$A$103:$B$144,2,FALSE)</f>
        <v>Aquecidos</v>
      </c>
      <c r="F773" s="55">
        <v>349796</v>
      </c>
      <c r="G773" s="56" t="str">
        <f>VLOOKUP(C773,clientes!$C$3:$D$60,2,FALSE)</f>
        <v>JBS</v>
      </c>
    </row>
    <row r="774" spans="1:7" x14ac:dyDescent="0.25">
      <c r="A774">
        <v>2022</v>
      </c>
      <c r="B774" t="s">
        <v>142</v>
      </c>
      <c r="C774" s="56" t="s">
        <v>166</v>
      </c>
      <c r="D774" t="s">
        <v>123</v>
      </c>
      <c r="E774" t="str">
        <f>VLOOKUP(D774,'Lista de Produtos CLASSIFICAÇÃO'!$A$103:$B$144,2,FALSE)</f>
        <v>Aquecidos</v>
      </c>
      <c r="F774" s="55">
        <v>497038</v>
      </c>
      <c r="G774" s="56" t="str">
        <f>VLOOKUP(C774,clientes!$C$3:$D$60,2,FALSE)</f>
        <v>CARGILL</v>
      </c>
    </row>
    <row r="775" spans="1:7" x14ac:dyDescent="0.25">
      <c r="A775">
        <v>2022</v>
      </c>
      <c r="B775" t="s">
        <v>142</v>
      </c>
      <c r="C775" s="56" t="s">
        <v>167</v>
      </c>
      <c r="D775" t="s">
        <v>122</v>
      </c>
      <c r="E775" t="str">
        <f>VLOOKUP(D775,'Lista de Produtos CLASSIFICAÇÃO'!$A$103:$B$144,2,FALSE)</f>
        <v>Óleo Vegetal</v>
      </c>
      <c r="F775" s="55">
        <v>3666113</v>
      </c>
      <c r="G775" s="56" t="str">
        <f>VLOOKUP(C775,clientes!$C$3:$D$60,2,FALSE)</f>
        <v>POOL</v>
      </c>
    </row>
    <row r="776" spans="1:7" x14ac:dyDescent="0.25">
      <c r="A776">
        <v>2022</v>
      </c>
      <c r="B776" t="s">
        <v>142</v>
      </c>
      <c r="C776" s="56" t="s">
        <v>168</v>
      </c>
      <c r="D776" t="s">
        <v>122</v>
      </c>
      <c r="E776" t="str">
        <f>VLOOKUP(D776,'Lista de Produtos CLASSIFICAÇÃO'!$A$103:$B$144,2,FALSE)</f>
        <v>Óleo Vegetal</v>
      </c>
      <c r="F776" s="55">
        <v>98005</v>
      </c>
      <c r="G776" s="56" t="str">
        <f>VLOOKUP(C776,clientes!$C$3:$D$60,2,FALSE)</f>
        <v>POOL EXCEDENTE</v>
      </c>
    </row>
    <row r="777" spans="1:7" x14ac:dyDescent="0.25">
      <c r="A777">
        <v>2022</v>
      </c>
      <c r="B777" t="s">
        <v>142</v>
      </c>
      <c r="C777" s="56" t="s">
        <v>169</v>
      </c>
      <c r="D777" t="s">
        <v>22</v>
      </c>
      <c r="E777" t="str">
        <f>VLOOKUP(D777,'Lista de Produtos CLASSIFICAÇÃO'!$A$103:$B$144,2,FALSE)</f>
        <v>Metanol</v>
      </c>
      <c r="F777" s="55">
        <v>5845875</v>
      </c>
      <c r="G777" s="56" t="str">
        <f>VLOOKUP(C777,clientes!$C$3:$D$60,2,FALSE)</f>
        <v>METHANEX</v>
      </c>
    </row>
    <row r="778" spans="1:7" x14ac:dyDescent="0.25">
      <c r="A778">
        <v>2022</v>
      </c>
      <c r="B778" t="s">
        <v>142</v>
      </c>
      <c r="C778" s="56" t="s">
        <v>170</v>
      </c>
      <c r="D778" t="s">
        <v>22</v>
      </c>
      <c r="E778" t="str">
        <f>VLOOKUP(D778,'Lista de Produtos CLASSIFICAÇÃO'!$A$103:$B$144,2,FALSE)</f>
        <v>Metanol</v>
      </c>
      <c r="F778" s="55">
        <v>3497206</v>
      </c>
      <c r="G778" s="56" t="str">
        <f>VLOOKUP(C778,clientes!$C$3:$D$60,2,FALSE)</f>
        <v>MITSUBISHI</v>
      </c>
    </row>
    <row r="779" spans="1:7" x14ac:dyDescent="0.25">
      <c r="A779">
        <v>2022</v>
      </c>
      <c r="B779" t="s">
        <v>142</v>
      </c>
      <c r="C779" s="56" t="s">
        <v>196</v>
      </c>
      <c r="D779" t="s">
        <v>22</v>
      </c>
      <c r="E779" t="str">
        <f>VLOOKUP(D779,'Lista de Produtos CLASSIFICAÇÃO'!$A$103:$B$144,2,FALSE)</f>
        <v>Metanol</v>
      </c>
      <c r="F779" s="55">
        <v>5636979</v>
      </c>
      <c r="G779" s="56" t="str">
        <f>VLOOKUP(C779,clientes!$C$3:$D$60,2,FALSE)</f>
        <v>SCC</v>
      </c>
    </row>
    <row r="780" spans="1:7" x14ac:dyDescent="0.25">
      <c r="A780">
        <v>2022</v>
      </c>
      <c r="B780" t="s">
        <v>142</v>
      </c>
      <c r="C780" s="56" t="s">
        <v>196</v>
      </c>
      <c r="D780" t="s">
        <v>22</v>
      </c>
      <c r="E780" t="str">
        <f>VLOOKUP(D780,'Lista de Produtos CLASSIFICAÇÃO'!$A$103:$B$144,2,FALSE)</f>
        <v>Metanol</v>
      </c>
      <c r="F780" s="55">
        <v>347917</v>
      </c>
      <c r="G780" s="56" t="str">
        <f>VLOOKUP(C780,clientes!$C$3:$D$60,2,FALSE)</f>
        <v>SCC</v>
      </c>
    </row>
    <row r="781" spans="1:7" x14ac:dyDescent="0.25">
      <c r="A781">
        <v>2022</v>
      </c>
      <c r="B781" t="s">
        <v>142</v>
      </c>
      <c r="C781" s="56" t="s">
        <v>201</v>
      </c>
      <c r="D781" t="s">
        <v>202</v>
      </c>
      <c r="E781" t="str">
        <f>VLOOKUP(D781,'Lista de Produtos CLASSIFICAÇÃO'!$A$103:$B$144,2,FALSE)</f>
        <v>Outros</v>
      </c>
      <c r="F781" s="55">
        <v>369684</v>
      </c>
      <c r="G781" s="56" t="str">
        <f>VLOOKUP(C781,clientes!$C$3:$D$60,2,FALSE)</f>
        <v>TERRENA</v>
      </c>
    </row>
    <row r="782" spans="1:7" x14ac:dyDescent="0.25">
      <c r="A782">
        <v>2022</v>
      </c>
      <c r="B782" t="s">
        <v>142</v>
      </c>
      <c r="C782" s="56" t="s">
        <v>172</v>
      </c>
      <c r="D782" t="s">
        <v>124</v>
      </c>
      <c r="E782" t="str">
        <f>VLOOKUP(D782,'Lista de Produtos CLASSIFICAÇÃO'!$A$103:$B$144,2,FALSE)</f>
        <v>Outros</v>
      </c>
      <c r="F782" s="55">
        <v>222688</v>
      </c>
      <c r="G782" s="56" t="str">
        <f>VLOOKUP(C782,clientes!$C$3:$D$60,2,FALSE)</f>
        <v>EVONIK</v>
      </c>
    </row>
    <row r="783" spans="1:7" x14ac:dyDescent="0.25">
      <c r="A783">
        <v>2022</v>
      </c>
      <c r="B783" t="s">
        <v>142</v>
      </c>
      <c r="C783" s="56" t="s">
        <v>173</v>
      </c>
      <c r="D783" t="s">
        <v>22</v>
      </c>
      <c r="E783" t="str">
        <f>VLOOKUP(D783,'Lista de Produtos CLASSIFICAÇÃO'!$A$103:$B$144,2,FALSE)</f>
        <v>Metanol</v>
      </c>
      <c r="F783" s="55">
        <v>668745</v>
      </c>
      <c r="G783" s="56" t="str">
        <f>VLOOKUP(C783,clientes!$C$3:$D$60,2,FALSE)</f>
        <v>YPF SOCIEDAD ANONIMA</v>
      </c>
    </row>
    <row r="784" spans="1:7" x14ac:dyDescent="0.25">
      <c r="A784">
        <v>2022</v>
      </c>
      <c r="B784" t="s">
        <v>142</v>
      </c>
      <c r="C784" s="56" t="s">
        <v>203</v>
      </c>
      <c r="D784" t="s">
        <v>124</v>
      </c>
      <c r="E784" t="str">
        <f>VLOOKUP(D784,'Lista de Produtos CLASSIFICAÇÃO'!$A$103:$B$144,2,FALSE)</f>
        <v>Outros</v>
      </c>
      <c r="F784" s="55">
        <v>147795</v>
      </c>
      <c r="G784" s="56" t="str">
        <f>VLOOKUP(C784,clientes!$C$3:$D$60,2,FALSE)</f>
        <v>GTM</v>
      </c>
    </row>
    <row r="785" spans="1:7" x14ac:dyDescent="0.25">
      <c r="A785">
        <v>2022</v>
      </c>
      <c r="B785" t="s">
        <v>142</v>
      </c>
      <c r="C785" s="56" t="s">
        <v>197</v>
      </c>
      <c r="D785" t="s">
        <v>85</v>
      </c>
      <c r="E785" t="str">
        <f>VLOOKUP(D785,'Lista de Produtos CLASSIFICAÇÃO'!$A$103:$B$144,2,FALSE)</f>
        <v>Outros</v>
      </c>
      <c r="F785" s="55">
        <v>119000</v>
      </c>
      <c r="G785" s="56" t="str">
        <f>VLOOKUP(C785,clientes!$C$3:$D$60,2,FALSE)</f>
        <v>DRT</v>
      </c>
    </row>
    <row r="786" spans="1:7" x14ac:dyDescent="0.25">
      <c r="A786">
        <v>2022</v>
      </c>
      <c r="B786" t="s">
        <v>142</v>
      </c>
      <c r="C786" s="56" t="s">
        <v>198</v>
      </c>
      <c r="D786" t="s">
        <v>121</v>
      </c>
      <c r="E786" t="str">
        <f>VLOOKUP(D786,'Lista de Produtos CLASSIFICAÇÃO'!$A$103:$B$144,2,FALSE)</f>
        <v>Biocombustíveis</v>
      </c>
      <c r="F786" s="55">
        <v>0</v>
      </c>
      <c r="G786" s="56" t="str">
        <f>VLOOKUP(C786,clientes!$C$3:$D$60,2,FALSE)</f>
        <v>TEREOS / INPASA / GLENCORE</v>
      </c>
    </row>
    <row r="787" spans="1:7" x14ac:dyDescent="0.25">
      <c r="A787">
        <v>2022</v>
      </c>
      <c r="B787" t="s">
        <v>142</v>
      </c>
      <c r="C787" s="56" t="s">
        <v>174</v>
      </c>
      <c r="D787" t="s">
        <v>123</v>
      </c>
      <c r="E787" t="str">
        <f>VLOOKUP(D787,'Lista de Produtos CLASSIFICAÇÃO'!$A$103:$B$144,2,FALSE)</f>
        <v>Aquecidos</v>
      </c>
      <c r="F787" s="55">
        <v>677215</v>
      </c>
      <c r="G787" s="56" t="str">
        <f>VLOOKUP(C787,clientes!$C$3:$D$60,2,FALSE)</f>
        <v>CELENA</v>
      </c>
    </row>
    <row r="788" spans="1:7" x14ac:dyDescent="0.25">
      <c r="A788">
        <v>2022</v>
      </c>
      <c r="B788" t="s">
        <v>142</v>
      </c>
      <c r="C788" s="56" t="s">
        <v>175</v>
      </c>
      <c r="D788" t="s">
        <v>123</v>
      </c>
      <c r="E788" t="str">
        <f>VLOOKUP(D788,'Lista de Produtos CLASSIFICAÇÃO'!$A$103:$B$144,2,FALSE)</f>
        <v>Aquecidos</v>
      </c>
      <c r="F788" s="55">
        <v>440802</v>
      </c>
      <c r="G788" s="56" t="str">
        <f>VLOOKUP(C788,clientes!$C$3:$D$60,2,FALSE)</f>
        <v>AAK DO BRASIL</v>
      </c>
    </row>
    <row r="789" spans="1:7" x14ac:dyDescent="0.25">
      <c r="A789">
        <v>2022</v>
      </c>
      <c r="B789" t="s">
        <v>142</v>
      </c>
      <c r="C789" s="56" t="s">
        <v>166</v>
      </c>
      <c r="D789" t="s">
        <v>122</v>
      </c>
      <c r="E789" t="str">
        <f>VLOOKUP(D789,'Lista de Produtos CLASSIFICAÇÃO'!$A$103:$B$144,2,FALSE)</f>
        <v>Óleo Vegetal</v>
      </c>
      <c r="F789" s="55">
        <v>221530</v>
      </c>
      <c r="G789" s="56" t="str">
        <f>VLOOKUP(C789,clientes!$C$3:$D$60,2,FALSE)</f>
        <v>CARGILL</v>
      </c>
    </row>
    <row r="790" spans="1:7" x14ac:dyDescent="0.25">
      <c r="A790">
        <v>2022</v>
      </c>
      <c r="B790" t="s">
        <v>142</v>
      </c>
      <c r="C790" s="56" t="s">
        <v>176</v>
      </c>
      <c r="D790" t="s">
        <v>123</v>
      </c>
      <c r="E790" t="str">
        <f>VLOOKUP(D790,'Lista de Produtos CLASSIFICAÇÃO'!$A$103:$B$144,2,FALSE)</f>
        <v>Aquecidos</v>
      </c>
      <c r="F790" s="55">
        <v>336129</v>
      </c>
      <c r="G790" s="56" t="str">
        <f>VLOOKUP(C790,clientes!$C$3:$D$60,2,FALSE)</f>
        <v>AGROPALMA</v>
      </c>
    </row>
    <row r="791" spans="1:7" x14ac:dyDescent="0.25">
      <c r="A791">
        <v>2022</v>
      </c>
      <c r="B791" t="s">
        <v>142</v>
      </c>
      <c r="C791" s="56" t="s">
        <v>204</v>
      </c>
      <c r="D791" t="s">
        <v>59</v>
      </c>
      <c r="E791" t="str">
        <f>VLOOKUP(D791,'Lista de Produtos CLASSIFICAÇÃO'!$A$103:$B$144,2,FALSE)</f>
        <v>Derivados</v>
      </c>
      <c r="F791" s="55">
        <v>0</v>
      </c>
      <c r="G791" s="56" t="str">
        <f>VLOOKUP(C791,clientes!$C$3:$D$60,2,FALSE)</f>
        <v>COPAPE</v>
      </c>
    </row>
    <row r="792" spans="1:7" x14ac:dyDescent="0.25">
      <c r="A792">
        <v>2022</v>
      </c>
      <c r="B792" t="s">
        <v>142</v>
      </c>
      <c r="C792" s="56" t="s">
        <v>177</v>
      </c>
      <c r="D792" t="s">
        <v>115</v>
      </c>
      <c r="E792" t="str">
        <f>VLOOKUP(D792,'Lista de Produtos CLASSIFICAÇÃO'!$A$103:$B$144,2,FALSE)</f>
        <v>Soda Caustica</v>
      </c>
      <c r="F792" s="55">
        <v>321373</v>
      </c>
      <c r="G792" s="56" t="str">
        <f>VLOOKUP(C792,clientes!$C$3:$D$60,2,FALSE)</f>
        <v>BRENNTAG</v>
      </c>
    </row>
    <row r="793" spans="1:7" x14ac:dyDescent="0.25">
      <c r="A793">
        <v>2022</v>
      </c>
      <c r="B793" t="s">
        <v>142</v>
      </c>
      <c r="C793" s="56" t="s">
        <v>178</v>
      </c>
      <c r="D793" t="s">
        <v>115</v>
      </c>
      <c r="E793" t="str">
        <f>VLOOKUP(D793,'Lista de Produtos CLASSIFICAÇÃO'!$A$103:$B$144,2,FALSE)</f>
        <v>Soda Caustica</v>
      </c>
      <c r="F793" s="55">
        <v>858863</v>
      </c>
      <c r="G793" s="56" t="str">
        <f>VLOOKUP(C793,clientes!$C$3:$D$60,2,FALSE)</f>
        <v>OLIN BLUE CUBE</v>
      </c>
    </row>
    <row r="794" spans="1:7" x14ac:dyDescent="0.25">
      <c r="A794">
        <v>2023</v>
      </c>
      <c r="B794" t="s">
        <v>143</v>
      </c>
      <c r="C794" s="56" t="s">
        <v>155</v>
      </c>
      <c r="D794" t="s">
        <v>16</v>
      </c>
      <c r="E794" t="str">
        <f>VLOOKUP(D794,'Lista de Produtos CLASSIFICAÇÃO'!$A$103:$B$144,2,FALSE)</f>
        <v>Outros</v>
      </c>
      <c r="F794" s="55">
        <v>764605</v>
      </c>
      <c r="G794" s="56" t="str">
        <f>VLOOKUP(C794,clientes!$C$3:$D$60,2,FALSE)</f>
        <v>ADISSEO</v>
      </c>
    </row>
    <row r="795" spans="1:7" x14ac:dyDescent="0.25">
      <c r="A795">
        <v>2023</v>
      </c>
      <c r="B795" t="s">
        <v>143</v>
      </c>
      <c r="C795" s="56" t="s">
        <v>156</v>
      </c>
      <c r="D795" t="s">
        <v>123</v>
      </c>
      <c r="E795" t="str">
        <f>VLOOKUP(D795,'Lista de Produtos CLASSIFICAÇÃO'!$A$103:$B$144,2,FALSE)</f>
        <v>Aquecidos</v>
      </c>
      <c r="F795" s="55">
        <v>339303</v>
      </c>
      <c r="G795" s="56" t="str">
        <f>VLOOKUP(C795,clientes!$C$3:$D$60,2,FALSE)</f>
        <v>BUNGE</v>
      </c>
    </row>
    <row r="796" spans="1:7" x14ac:dyDescent="0.25">
      <c r="A796">
        <v>2023</v>
      </c>
      <c r="B796" t="s">
        <v>143</v>
      </c>
      <c r="C796" s="56" t="s">
        <v>157</v>
      </c>
      <c r="D796" t="s">
        <v>122</v>
      </c>
      <c r="E796" t="str">
        <f>VLOOKUP(D796,'Lista de Produtos CLASSIFICAÇÃO'!$A$103:$B$144,2,FALSE)</f>
        <v>Óleo Vegetal</v>
      </c>
      <c r="F796" s="55">
        <v>162891</v>
      </c>
      <c r="G796" s="56" t="str">
        <f>VLOOKUP(C796,clientes!$C$3:$D$60,2,FALSE)</f>
        <v>ADM</v>
      </c>
    </row>
    <row r="797" spans="1:7" x14ac:dyDescent="0.25">
      <c r="A797">
        <v>2023</v>
      </c>
      <c r="B797" t="s">
        <v>143</v>
      </c>
      <c r="C797" s="56" t="s">
        <v>158</v>
      </c>
      <c r="D797" t="s">
        <v>120</v>
      </c>
      <c r="E797" t="str">
        <f>VLOOKUP(D797,'Lista de Produtos CLASSIFICAÇÃO'!$A$103:$B$144,2,FALSE)</f>
        <v>Derivados</v>
      </c>
      <c r="F797" s="55">
        <v>6086965</v>
      </c>
      <c r="G797" s="56" t="str">
        <f>VLOOKUP(C797,clientes!$C$3:$D$60,2,FALSE)</f>
        <v>IPIRANGA</v>
      </c>
    </row>
    <row r="798" spans="1:7" x14ac:dyDescent="0.25">
      <c r="A798">
        <v>2023</v>
      </c>
      <c r="B798" t="s">
        <v>143</v>
      </c>
      <c r="C798" s="56" t="s">
        <v>159</v>
      </c>
      <c r="D798" t="s">
        <v>120</v>
      </c>
      <c r="E798" t="str">
        <f>VLOOKUP(D798,'Lista de Produtos CLASSIFICAÇÃO'!$A$103:$B$144,2,FALSE)</f>
        <v>Derivados</v>
      </c>
      <c r="F798" s="55">
        <v>4164996</v>
      </c>
      <c r="G798" s="56" t="str">
        <f>VLOOKUP(C798,clientes!$C$3:$D$60,2,FALSE)</f>
        <v>RAIZEN</v>
      </c>
    </row>
    <row r="799" spans="1:7" x14ac:dyDescent="0.25">
      <c r="A799">
        <v>2023</v>
      </c>
      <c r="B799" t="s">
        <v>143</v>
      </c>
      <c r="C799" s="56" t="s">
        <v>160</v>
      </c>
      <c r="D799" t="s">
        <v>120</v>
      </c>
      <c r="E799" t="str">
        <f>VLOOKUP(D799,'Lista de Produtos CLASSIFICAÇÃO'!$A$103:$B$144,2,FALSE)</f>
        <v>Derivados</v>
      </c>
      <c r="F799" s="55">
        <v>1750502</v>
      </c>
      <c r="G799" s="56" t="str">
        <f>VLOOKUP(C799,clientes!$C$3:$D$60,2,FALSE)</f>
        <v>VIBRA</v>
      </c>
    </row>
    <row r="800" spans="1:7" x14ac:dyDescent="0.25">
      <c r="A800">
        <v>2023</v>
      </c>
      <c r="B800" t="s">
        <v>143</v>
      </c>
      <c r="C800" s="56" t="s">
        <v>161</v>
      </c>
      <c r="D800" t="s">
        <v>120</v>
      </c>
      <c r="E800" t="str">
        <f>VLOOKUP(D800,'Lista de Produtos CLASSIFICAÇÃO'!$A$103:$B$144,2,FALSE)</f>
        <v>Derivados</v>
      </c>
      <c r="F800" s="55">
        <v>2379391</v>
      </c>
      <c r="G800" s="56" t="str">
        <f>VLOOKUP(C800,clientes!$C$3:$D$60,2,FALSE)</f>
        <v>SUL PLATA</v>
      </c>
    </row>
    <row r="801" spans="1:7" x14ac:dyDescent="0.25">
      <c r="A801">
        <v>2023</v>
      </c>
      <c r="B801" t="s">
        <v>143</v>
      </c>
      <c r="C801" s="56" t="s">
        <v>195</v>
      </c>
      <c r="D801" t="s">
        <v>115</v>
      </c>
      <c r="E801" t="str">
        <f>VLOOKUP(D801,'Lista de Produtos CLASSIFICAÇÃO'!$A$103:$B$144,2,FALSE)</f>
        <v>Soda Caustica</v>
      </c>
      <c r="F801" s="55">
        <v>81453</v>
      </c>
      <c r="G801" s="56" t="str">
        <f>VLOOKUP(C801,clientes!$C$3:$D$60,2,FALSE)</f>
        <v>PROJESAN</v>
      </c>
    </row>
    <row r="802" spans="1:7" x14ac:dyDescent="0.25">
      <c r="A802">
        <v>2023</v>
      </c>
      <c r="B802" t="s">
        <v>143</v>
      </c>
      <c r="C802" s="56" t="s">
        <v>162</v>
      </c>
      <c r="D802" t="s">
        <v>115</v>
      </c>
      <c r="E802" t="str">
        <f>VLOOKUP(D802,'Lista de Produtos CLASSIFICAÇÃO'!$A$103:$B$144,2,FALSE)</f>
        <v>Soda Caustica</v>
      </c>
      <c r="F802" s="55">
        <v>144366</v>
      </c>
      <c r="G802" s="56" t="str">
        <f>VLOOKUP(C802,clientes!$C$3:$D$60,2,FALSE)</f>
        <v>JBS</v>
      </c>
    </row>
    <row r="803" spans="1:7" x14ac:dyDescent="0.25">
      <c r="A803">
        <v>2023</v>
      </c>
      <c r="B803" t="s">
        <v>143</v>
      </c>
      <c r="C803" s="56" t="s">
        <v>163</v>
      </c>
      <c r="D803" t="s">
        <v>115</v>
      </c>
      <c r="E803" t="str">
        <f>VLOOKUP(D803,'Lista de Produtos CLASSIFICAÇÃO'!$A$103:$B$144,2,FALSE)</f>
        <v>Soda Caustica</v>
      </c>
      <c r="F803" s="55">
        <v>623815</v>
      </c>
      <c r="G803" s="56" t="str">
        <f>VLOOKUP(C803,clientes!$C$3:$D$60,2,FALSE)</f>
        <v>TRICON ENERGY</v>
      </c>
    </row>
    <row r="804" spans="1:7" x14ac:dyDescent="0.25">
      <c r="A804">
        <v>2023</v>
      </c>
      <c r="B804" t="s">
        <v>143</v>
      </c>
      <c r="C804" s="56" t="s">
        <v>164</v>
      </c>
      <c r="D804" t="s">
        <v>115</v>
      </c>
      <c r="E804" t="str">
        <f>VLOOKUP(D804,'Lista de Produtos CLASSIFICAÇÃO'!$A$103:$B$144,2,FALSE)</f>
        <v>Soda Caustica</v>
      </c>
      <c r="F804" s="55">
        <v>227731</v>
      </c>
      <c r="G804" s="56" t="str">
        <f>VLOOKUP(C804,clientes!$C$3:$D$60,2,FALSE)</f>
        <v>BRASKEM</v>
      </c>
    </row>
    <row r="805" spans="1:7" x14ac:dyDescent="0.25">
      <c r="A805">
        <v>2023</v>
      </c>
      <c r="B805" t="s">
        <v>143</v>
      </c>
      <c r="C805" s="56" t="s">
        <v>165</v>
      </c>
      <c r="D805" t="s">
        <v>123</v>
      </c>
      <c r="E805" t="str">
        <f>VLOOKUP(D805,'Lista de Produtos CLASSIFICAÇÃO'!$A$103:$B$144,2,FALSE)</f>
        <v>Aquecidos</v>
      </c>
      <c r="F805" s="55">
        <v>896000</v>
      </c>
      <c r="G805" s="56" t="str">
        <f>VLOOKUP(C805,clientes!$C$3:$D$60,2,FALSE)</f>
        <v>BRF</v>
      </c>
    </row>
    <row r="806" spans="1:7" x14ac:dyDescent="0.25">
      <c r="A806">
        <v>2023</v>
      </c>
      <c r="B806" t="s">
        <v>143</v>
      </c>
      <c r="C806" s="56" t="s">
        <v>162</v>
      </c>
      <c r="D806" t="s">
        <v>123</v>
      </c>
      <c r="E806" t="str">
        <f>VLOOKUP(D806,'Lista de Produtos CLASSIFICAÇÃO'!$A$103:$B$144,2,FALSE)</f>
        <v>Aquecidos</v>
      </c>
      <c r="F806" s="55">
        <v>462720</v>
      </c>
      <c r="G806" s="56" t="str">
        <f>VLOOKUP(C806,clientes!$C$3:$D$60,2,FALSE)</f>
        <v>JBS</v>
      </c>
    </row>
    <row r="807" spans="1:7" x14ac:dyDescent="0.25">
      <c r="A807">
        <v>2023</v>
      </c>
      <c r="B807" t="s">
        <v>143</v>
      </c>
      <c r="C807" s="56" t="s">
        <v>166</v>
      </c>
      <c r="D807" t="s">
        <v>123</v>
      </c>
      <c r="E807" t="str">
        <f>VLOOKUP(D807,'Lista de Produtos CLASSIFICAÇÃO'!$A$103:$B$144,2,FALSE)</f>
        <v>Aquecidos</v>
      </c>
      <c r="F807" s="55">
        <v>359896</v>
      </c>
      <c r="G807" s="56" t="str">
        <f>VLOOKUP(C807,clientes!$C$3:$D$60,2,FALSE)</f>
        <v>CARGILL</v>
      </c>
    </row>
    <row r="808" spans="1:7" x14ac:dyDescent="0.25">
      <c r="A808">
        <v>2023</v>
      </c>
      <c r="B808" t="s">
        <v>143</v>
      </c>
      <c r="C808" s="56" t="s">
        <v>167</v>
      </c>
      <c r="D808" t="s">
        <v>122</v>
      </c>
      <c r="E808" t="str">
        <f>VLOOKUP(D808,'Lista de Produtos CLASSIFICAÇÃO'!$A$103:$B$144,2,FALSE)</f>
        <v>Óleo Vegetal</v>
      </c>
      <c r="F808" s="55">
        <v>3616955</v>
      </c>
      <c r="G808" s="56" t="str">
        <f>VLOOKUP(C808,clientes!$C$3:$D$60,2,FALSE)</f>
        <v>POOL</v>
      </c>
    </row>
    <row r="809" spans="1:7" x14ac:dyDescent="0.25">
      <c r="A809">
        <v>2023</v>
      </c>
      <c r="B809" t="s">
        <v>143</v>
      </c>
      <c r="C809" s="56" t="s">
        <v>168</v>
      </c>
      <c r="D809" t="s">
        <v>122</v>
      </c>
      <c r="E809" t="str">
        <f>VLOOKUP(D809,'Lista de Produtos CLASSIFICAÇÃO'!$A$103:$B$144,2,FALSE)</f>
        <v>Óleo Vegetal</v>
      </c>
      <c r="F809" s="55">
        <v>147702</v>
      </c>
      <c r="G809" s="56" t="str">
        <f>VLOOKUP(C809,clientes!$C$3:$D$60,2,FALSE)</f>
        <v>POOL EXCEDENTE</v>
      </c>
    </row>
    <row r="810" spans="1:7" x14ac:dyDescent="0.25">
      <c r="A810">
        <v>2023</v>
      </c>
      <c r="B810" t="s">
        <v>143</v>
      </c>
      <c r="C810" s="56" t="s">
        <v>169</v>
      </c>
      <c r="D810" t="s">
        <v>22</v>
      </c>
      <c r="E810" t="str">
        <f>VLOOKUP(D810,'Lista de Produtos CLASSIFICAÇÃO'!$A$103:$B$144,2,FALSE)</f>
        <v>Metanol</v>
      </c>
      <c r="F810" s="55">
        <v>5364738</v>
      </c>
      <c r="G810" s="56" t="str">
        <f>VLOOKUP(C810,clientes!$C$3:$D$60,2,FALSE)</f>
        <v>METHANEX</v>
      </c>
    </row>
    <row r="811" spans="1:7" x14ac:dyDescent="0.25">
      <c r="A811">
        <v>2023</v>
      </c>
      <c r="B811" t="s">
        <v>143</v>
      </c>
      <c r="C811" s="56" t="s">
        <v>170</v>
      </c>
      <c r="D811" t="s">
        <v>22</v>
      </c>
      <c r="E811" t="str">
        <f>VLOOKUP(D811,'Lista de Produtos CLASSIFICAÇÃO'!$A$103:$B$144,2,FALSE)</f>
        <v>Metanol</v>
      </c>
      <c r="F811" s="55">
        <v>3200617</v>
      </c>
      <c r="G811" s="56" t="str">
        <f>VLOOKUP(C811,clientes!$C$3:$D$60,2,FALSE)</f>
        <v>MITSUBISHI</v>
      </c>
    </row>
    <row r="812" spans="1:7" x14ac:dyDescent="0.25">
      <c r="A812">
        <v>2023</v>
      </c>
      <c r="B812" t="s">
        <v>143</v>
      </c>
      <c r="C812" s="56" t="s">
        <v>196</v>
      </c>
      <c r="D812" t="s">
        <v>22</v>
      </c>
      <c r="E812" t="str">
        <f>VLOOKUP(D812,'Lista de Produtos CLASSIFICAÇÃO'!$A$103:$B$144,2,FALSE)</f>
        <v>Metanol</v>
      </c>
      <c r="F812" s="55">
        <v>5503073</v>
      </c>
      <c r="G812" s="56" t="str">
        <f>VLOOKUP(C812,clientes!$C$3:$D$60,2,FALSE)</f>
        <v>SCC</v>
      </c>
    </row>
    <row r="813" spans="1:7" x14ac:dyDescent="0.25">
      <c r="A813">
        <v>2023</v>
      </c>
      <c r="B813" t="s">
        <v>143</v>
      </c>
      <c r="C813" s="56" t="s">
        <v>172</v>
      </c>
      <c r="D813" t="s">
        <v>124</v>
      </c>
      <c r="E813" t="str">
        <f>VLOOKUP(D813,'Lista de Produtos CLASSIFICAÇÃO'!$A$103:$B$144,2,FALSE)</f>
        <v>Outros</v>
      </c>
      <c r="F813" s="55">
        <v>297306</v>
      </c>
      <c r="G813" s="56" t="str">
        <f>VLOOKUP(C813,clientes!$C$3:$D$60,2,FALSE)</f>
        <v>EVONIK</v>
      </c>
    </row>
    <row r="814" spans="1:7" x14ac:dyDescent="0.25">
      <c r="A814">
        <v>2023</v>
      </c>
      <c r="B814" t="s">
        <v>143</v>
      </c>
      <c r="C814" s="56" t="s">
        <v>173</v>
      </c>
      <c r="D814" t="s">
        <v>22</v>
      </c>
      <c r="E814" t="str">
        <f>VLOOKUP(D814,'Lista de Produtos CLASSIFICAÇÃO'!$A$103:$B$144,2,FALSE)</f>
        <v>Metanol</v>
      </c>
      <c r="F814" s="55">
        <v>515367</v>
      </c>
      <c r="G814" s="56" t="str">
        <f>VLOOKUP(C814,clientes!$C$3:$D$60,2,FALSE)</f>
        <v>YPF SOCIEDAD ANONIMA</v>
      </c>
    </row>
    <row r="815" spans="1:7" x14ac:dyDescent="0.25">
      <c r="A815">
        <v>2023</v>
      </c>
      <c r="B815" t="s">
        <v>143</v>
      </c>
      <c r="C815" s="56" t="s">
        <v>197</v>
      </c>
      <c r="D815" t="s">
        <v>85</v>
      </c>
      <c r="E815" t="str">
        <f>VLOOKUP(D815,'Lista de Produtos CLASSIFICAÇÃO'!$A$103:$B$144,2,FALSE)</f>
        <v>Outros</v>
      </c>
      <c r="F815" s="55">
        <v>125795</v>
      </c>
      <c r="G815" s="56" t="str">
        <f>VLOOKUP(C815,clientes!$C$3:$D$60,2,FALSE)</f>
        <v>DRT</v>
      </c>
    </row>
    <row r="816" spans="1:7" x14ac:dyDescent="0.25">
      <c r="A816">
        <v>2023</v>
      </c>
      <c r="B816" t="s">
        <v>143</v>
      </c>
      <c r="C816" s="56" t="s">
        <v>198</v>
      </c>
      <c r="D816" t="s">
        <v>121</v>
      </c>
      <c r="E816" t="str">
        <f>VLOOKUP(D816,'Lista de Produtos CLASSIFICAÇÃO'!$A$103:$B$144,2,FALSE)</f>
        <v>Biocombustíveis</v>
      </c>
      <c r="F816" s="55">
        <v>0</v>
      </c>
      <c r="G816" s="56" t="str">
        <f>VLOOKUP(C816,clientes!$C$3:$D$60,2,FALSE)</f>
        <v>TEREOS / INPASA / GLENCORE</v>
      </c>
    </row>
    <row r="817" spans="1:7" x14ac:dyDescent="0.25">
      <c r="A817">
        <v>2023</v>
      </c>
      <c r="B817" t="s">
        <v>143</v>
      </c>
      <c r="C817" s="56" t="s">
        <v>174</v>
      </c>
      <c r="D817" t="s">
        <v>123</v>
      </c>
      <c r="E817" t="str">
        <f>VLOOKUP(D817,'Lista de Produtos CLASSIFICAÇÃO'!$A$103:$B$144,2,FALSE)</f>
        <v>Aquecidos</v>
      </c>
      <c r="F817" s="55">
        <v>795585</v>
      </c>
      <c r="G817" s="56" t="str">
        <f>VLOOKUP(C817,clientes!$C$3:$D$60,2,FALSE)</f>
        <v>CELENA</v>
      </c>
    </row>
    <row r="818" spans="1:7" x14ac:dyDescent="0.25">
      <c r="A818">
        <v>2023</v>
      </c>
      <c r="B818" t="s">
        <v>143</v>
      </c>
      <c r="C818" s="56" t="s">
        <v>175</v>
      </c>
      <c r="D818" t="s">
        <v>123</v>
      </c>
      <c r="E818" t="str">
        <f>VLOOKUP(D818,'Lista de Produtos CLASSIFICAÇÃO'!$A$103:$B$144,2,FALSE)</f>
        <v>Aquecidos</v>
      </c>
      <c r="F818" s="55">
        <v>446949</v>
      </c>
      <c r="G818" s="56" t="str">
        <f>VLOOKUP(C818,clientes!$C$3:$D$60,2,FALSE)</f>
        <v>AAK DO BRASIL</v>
      </c>
    </row>
    <row r="819" spans="1:7" x14ac:dyDescent="0.25">
      <c r="A819">
        <v>2023</v>
      </c>
      <c r="B819" t="s">
        <v>143</v>
      </c>
      <c r="C819" s="56" t="s">
        <v>166</v>
      </c>
      <c r="D819" t="s">
        <v>122</v>
      </c>
      <c r="E819" t="str">
        <f>VLOOKUP(D819,'Lista de Produtos CLASSIFICAÇÃO'!$A$103:$B$144,2,FALSE)</f>
        <v>Óleo Vegetal</v>
      </c>
      <c r="F819" s="55">
        <v>278952</v>
      </c>
      <c r="G819" s="56" t="str">
        <f>VLOOKUP(C819,clientes!$C$3:$D$60,2,FALSE)</f>
        <v>CARGILL</v>
      </c>
    </row>
    <row r="820" spans="1:7" x14ac:dyDescent="0.25">
      <c r="A820">
        <v>2023</v>
      </c>
      <c r="B820" t="s">
        <v>143</v>
      </c>
      <c r="C820" s="56" t="s">
        <v>176</v>
      </c>
      <c r="D820" t="s">
        <v>123</v>
      </c>
      <c r="E820" t="str">
        <f>VLOOKUP(D820,'Lista de Produtos CLASSIFICAÇÃO'!$A$103:$B$144,2,FALSE)</f>
        <v>Aquecidos</v>
      </c>
      <c r="F820" s="55">
        <v>268238</v>
      </c>
      <c r="G820" s="56" t="str">
        <f>VLOOKUP(C820,clientes!$C$3:$D$60,2,FALSE)</f>
        <v>AGROPALMA</v>
      </c>
    </row>
    <row r="821" spans="1:7" x14ac:dyDescent="0.25">
      <c r="A821">
        <v>2023</v>
      </c>
      <c r="B821" t="s">
        <v>143</v>
      </c>
      <c r="C821" s="56" t="s">
        <v>177</v>
      </c>
      <c r="D821" t="s">
        <v>115</v>
      </c>
      <c r="E821" t="str">
        <f>VLOOKUP(D821,'Lista de Produtos CLASSIFICAÇÃO'!$A$103:$B$144,2,FALSE)</f>
        <v>Soda Caustica</v>
      </c>
      <c r="F821" s="55">
        <v>318237</v>
      </c>
      <c r="G821" s="56" t="str">
        <f>VLOOKUP(C821,clientes!$C$3:$D$60,2,FALSE)</f>
        <v>BRENNTAG</v>
      </c>
    </row>
    <row r="822" spans="1:7" x14ac:dyDescent="0.25">
      <c r="A822">
        <v>2023</v>
      </c>
      <c r="B822" t="s">
        <v>143</v>
      </c>
      <c r="C822" s="56" t="s">
        <v>178</v>
      </c>
      <c r="D822" t="s">
        <v>115</v>
      </c>
      <c r="E822" t="str">
        <f>VLOOKUP(D822,'Lista de Produtos CLASSIFICAÇÃO'!$A$103:$B$144,2,FALSE)</f>
        <v>Soda Caustica</v>
      </c>
      <c r="F822" s="55">
        <v>1501777</v>
      </c>
      <c r="G822" s="56" t="str">
        <f>VLOOKUP(C822,clientes!$C$3:$D$60,2,FALSE)</f>
        <v>OLIN BLUE CUBE</v>
      </c>
    </row>
    <row r="823" spans="1:7" x14ac:dyDescent="0.25">
      <c r="A823">
        <v>2023</v>
      </c>
      <c r="B823" t="s">
        <v>143</v>
      </c>
      <c r="C823" s="56" t="s">
        <v>179</v>
      </c>
      <c r="D823" t="s">
        <v>26</v>
      </c>
      <c r="E823" t="str">
        <f>VLOOKUP(D823,'Lista de Produtos CLASSIFICAÇÃO'!$A$103:$B$144,2,FALSE)</f>
        <v>Biocombustíveis</v>
      </c>
      <c r="F823" s="55">
        <v>325050</v>
      </c>
      <c r="G823" s="56" t="str">
        <f>VLOOKUP(C823,clientes!$C$3:$D$60,2,FALSE)</f>
        <v>BSBIOS</v>
      </c>
    </row>
    <row r="824" spans="1:7" x14ac:dyDescent="0.25">
      <c r="A824">
        <v>2023</v>
      </c>
      <c r="B824" t="s">
        <v>143</v>
      </c>
      <c r="C824" s="56" t="s">
        <v>180</v>
      </c>
      <c r="D824" t="s">
        <v>30</v>
      </c>
      <c r="E824" t="str">
        <f>VLOOKUP(D824,'Lista de Produtos CLASSIFICAÇÃO'!$A$103:$B$144,2,FALSE)</f>
        <v>Outros</v>
      </c>
      <c r="F824" s="55">
        <v>187972</v>
      </c>
      <c r="G824" s="56" t="str">
        <f>VLOOKUP(C824,clientes!$C$3:$D$60,2,FALSE)</f>
        <v>TRICHEM</v>
      </c>
    </row>
    <row r="825" spans="1:7" x14ac:dyDescent="0.25">
      <c r="A825">
        <v>2023</v>
      </c>
      <c r="B825" t="s">
        <v>143</v>
      </c>
      <c r="C825" s="56" t="s">
        <v>181</v>
      </c>
      <c r="D825" t="s">
        <v>123</v>
      </c>
      <c r="E825" t="str">
        <f>VLOOKUP(D825,'Lista de Produtos CLASSIFICAÇÃO'!$A$103:$B$144,2,FALSE)</f>
        <v>Aquecidos</v>
      </c>
      <c r="F825" s="55">
        <v>249297</v>
      </c>
      <c r="G825" s="56" t="str">
        <f>VLOOKUP(C825,clientes!$C$3:$D$60,2,FALSE)</f>
        <v>COAMO</v>
      </c>
    </row>
    <row r="826" spans="1:7" x14ac:dyDescent="0.25">
      <c r="A826">
        <v>2023</v>
      </c>
      <c r="B826" t="s">
        <v>143</v>
      </c>
      <c r="C826" s="56" t="s">
        <v>182</v>
      </c>
      <c r="D826" t="s">
        <v>120</v>
      </c>
      <c r="E826" t="str">
        <f>VLOOKUP(D826,'Lista de Produtos CLASSIFICAÇÃO'!$A$103:$B$144,2,FALSE)</f>
        <v>Derivados</v>
      </c>
      <c r="F826" s="55">
        <v>676544</v>
      </c>
      <c r="G826" s="56" t="str">
        <f>VLOOKUP(C826,clientes!$C$3:$D$60,2,FALSE)</f>
        <v>ATEM</v>
      </c>
    </row>
    <row r="827" spans="1:7" x14ac:dyDescent="0.25">
      <c r="A827">
        <v>2023</v>
      </c>
      <c r="B827" t="s">
        <v>132</v>
      </c>
      <c r="C827" s="56" t="s">
        <v>155</v>
      </c>
      <c r="D827" t="s">
        <v>16</v>
      </c>
      <c r="E827" t="str">
        <f>VLOOKUP(D827,'Lista de Produtos CLASSIFICAÇÃO'!$A$103:$B$144,2,FALSE)</f>
        <v>Outros</v>
      </c>
      <c r="F827" s="55">
        <v>764605</v>
      </c>
      <c r="G827" s="56" t="str">
        <f>VLOOKUP(C827,clientes!$C$3:$D$60,2,FALSE)</f>
        <v>ADISSEO</v>
      </c>
    </row>
    <row r="828" spans="1:7" x14ac:dyDescent="0.25">
      <c r="A828">
        <v>2023</v>
      </c>
      <c r="B828" t="s">
        <v>132</v>
      </c>
      <c r="C828" s="56" t="s">
        <v>156</v>
      </c>
      <c r="D828" t="s">
        <v>123</v>
      </c>
      <c r="E828" t="str">
        <f>VLOOKUP(D828,'Lista de Produtos CLASSIFICAÇÃO'!$A$103:$B$144,2,FALSE)</f>
        <v>Aquecidos</v>
      </c>
      <c r="F828" s="55">
        <v>339303</v>
      </c>
      <c r="G828" s="56" t="str">
        <f>VLOOKUP(C828,clientes!$C$3:$D$60,2,FALSE)</f>
        <v>BUNGE</v>
      </c>
    </row>
    <row r="829" spans="1:7" x14ac:dyDescent="0.25">
      <c r="A829">
        <v>2023</v>
      </c>
      <c r="B829" t="s">
        <v>132</v>
      </c>
      <c r="C829" s="56" t="s">
        <v>157</v>
      </c>
      <c r="D829" t="s">
        <v>122</v>
      </c>
      <c r="E829" t="str">
        <f>VLOOKUP(D829,'Lista de Produtos CLASSIFICAÇÃO'!$A$103:$B$144,2,FALSE)</f>
        <v>Óleo Vegetal</v>
      </c>
      <c r="F829" s="55">
        <v>162891</v>
      </c>
      <c r="G829" s="56" t="str">
        <f>VLOOKUP(C829,clientes!$C$3:$D$60,2,FALSE)</f>
        <v>ADM</v>
      </c>
    </row>
    <row r="830" spans="1:7" x14ac:dyDescent="0.25">
      <c r="A830">
        <v>2023</v>
      </c>
      <c r="B830" t="s">
        <v>132</v>
      </c>
      <c r="C830" s="56" t="s">
        <v>158</v>
      </c>
      <c r="D830" t="s">
        <v>120</v>
      </c>
      <c r="E830" t="str">
        <f>VLOOKUP(D830,'Lista de Produtos CLASSIFICAÇÃO'!$A$103:$B$144,2,FALSE)</f>
        <v>Derivados</v>
      </c>
      <c r="F830" s="55">
        <v>6086965</v>
      </c>
      <c r="G830" s="56" t="str">
        <f>VLOOKUP(C830,clientes!$C$3:$D$60,2,FALSE)</f>
        <v>IPIRANGA</v>
      </c>
    </row>
    <row r="831" spans="1:7" x14ac:dyDescent="0.25">
      <c r="A831">
        <v>2023</v>
      </c>
      <c r="B831" t="s">
        <v>132</v>
      </c>
      <c r="C831" s="56" t="s">
        <v>159</v>
      </c>
      <c r="D831" t="s">
        <v>120</v>
      </c>
      <c r="E831" t="str">
        <f>VLOOKUP(D831,'Lista de Produtos CLASSIFICAÇÃO'!$A$103:$B$144,2,FALSE)</f>
        <v>Derivados</v>
      </c>
      <c r="F831" s="55">
        <v>4164996</v>
      </c>
      <c r="G831" s="56" t="str">
        <f>VLOOKUP(C831,clientes!$C$3:$D$60,2,FALSE)</f>
        <v>RAIZEN</v>
      </c>
    </row>
    <row r="832" spans="1:7" x14ac:dyDescent="0.25">
      <c r="A832">
        <v>2023</v>
      </c>
      <c r="B832" t="s">
        <v>132</v>
      </c>
      <c r="C832" s="56" t="s">
        <v>160</v>
      </c>
      <c r="D832" t="s">
        <v>120</v>
      </c>
      <c r="E832" t="str">
        <f>VLOOKUP(D832,'Lista de Produtos CLASSIFICAÇÃO'!$A$103:$B$144,2,FALSE)</f>
        <v>Derivados</v>
      </c>
      <c r="F832" s="55">
        <v>1750502</v>
      </c>
      <c r="G832" s="56" t="str">
        <f>VLOOKUP(C832,clientes!$C$3:$D$60,2,FALSE)</f>
        <v>VIBRA</v>
      </c>
    </row>
    <row r="833" spans="1:7" x14ac:dyDescent="0.25">
      <c r="A833">
        <v>2023</v>
      </c>
      <c r="B833" t="s">
        <v>132</v>
      </c>
      <c r="C833" s="56" t="s">
        <v>161</v>
      </c>
      <c r="D833" t="s">
        <v>120</v>
      </c>
      <c r="E833" t="str">
        <f>VLOOKUP(D833,'Lista de Produtos CLASSIFICAÇÃO'!$A$103:$B$144,2,FALSE)</f>
        <v>Derivados</v>
      </c>
      <c r="F833" s="55">
        <v>2379391</v>
      </c>
      <c r="G833" s="56" t="str">
        <f>VLOOKUP(C833,clientes!$C$3:$D$60,2,FALSE)</f>
        <v>SUL PLATA</v>
      </c>
    </row>
    <row r="834" spans="1:7" x14ac:dyDescent="0.25">
      <c r="A834">
        <v>2023</v>
      </c>
      <c r="B834" t="s">
        <v>132</v>
      </c>
      <c r="C834" s="56" t="s">
        <v>195</v>
      </c>
      <c r="D834" t="s">
        <v>115</v>
      </c>
      <c r="E834" t="str">
        <f>VLOOKUP(D834,'Lista de Produtos CLASSIFICAÇÃO'!$A$103:$B$144,2,FALSE)</f>
        <v>Soda Caustica</v>
      </c>
      <c r="F834" s="55">
        <v>70663</v>
      </c>
      <c r="G834" s="56" t="str">
        <f>VLOOKUP(C834,clientes!$C$3:$D$60,2,FALSE)</f>
        <v>PROJESAN</v>
      </c>
    </row>
    <row r="835" spans="1:7" x14ac:dyDescent="0.25">
      <c r="A835">
        <v>2023</v>
      </c>
      <c r="B835" t="s">
        <v>132</v>
      </c>
      <c r="C835" s="56" t="s">
        <v>162</v>
      </c>
      <c r="D835" t="s">
        <v>115</v>
      </c>
      <c r="E835" t="str">
        <f>VLOOKUP(D835,'Lista de Produtos CLASSIFICAÇÃO'!$A$103:$B$144,2,FALSE)</f>
        <v>Soda Caustica</v>
      </c>
      <c r="F835" s="55">
        <v>144366</v>
      </c>
      <c r="G835" s="56" t="str">
        <f>VLOOKUP(C835,clientes!$C$3:$D$60,2,FALSE)</f>
        <v>JBS</v>
      </c>
    </row>
    <row r="836" spans="1:7" x14ac:dyDescent="0.25">
      <c r="A836">
        <v>2023</v>
      </c>
      <c r="B836" t="s">
        <v>132</v>
      </c>
      <c r="C836" s="56" t="s">
        <v>163</v>
      </c>
      <c r="D836" t="s">
        <v>115</v>
      </c>
      <c r="E836" t="str">
        <f>VLOOKUP(D836,'Lista de Produtos CLASSIFICAÇÃO'!$A$103:$B$144,2,FALSE)</f>
        <v>Soda Caustica</v>
      </c>
      <c r="F836" s="55">
        <v>623815</v>
      </c>
      <c r="G836" s="56" t="str">
        <f>VLOOKUP(C836,clientes!$C$3:$D$60,2,FALSE)</f>
        <v>TRICON ENERGY</v>
      </c>
    </row>
    <row r="837" spans="1:7" x14ac:dyDescent="0.25">
      <c r="A837">
        <v>2023</v>
      </c>
      <c r="B837" t="s">
        <v>132</v>
      </c>
      <c r="C837" s="56" t="s">
        <v>164</v>
      </c>
      <c r="D837" t="s">
        <v>115</v>
      </c>
      <c r="E837" t="str">
        <f>VLOOKUP(D837,'Lista de Produtos CLASSIFICAÇÃO'!$A$103:$B$144,2,FALSE)</f>
        <v>Soda Caustica</v>
      </c>
      <c r="F837" s="55">
        <v>227731</v>
      </c>
      <c r="G837" s="56" t="str">
        <f>VLOOKUP(C837,clientes!$C$3:$D$60,2,FALSE)</f>
        <v>BRASKEM</v>
      </c>
    </row>
    <row r="838" spans="1:7" x14ac:dyDescent="0.25">
      <c r="A838">
        <v>2023</v>
      </c>
      <c r="B838" t="s">
        <v>132</v>
      </c>
      <c r="C838" s="56" t="s">
        <v>165</v>
      </c>
      <c r="D838" t="s">
        <v>123</v>
      </c>
      <c r="E838" t="str">
        <f>VLOOKUP(D838,'Lista de Produtos CLASSIFICAÇÃO'!$A$103:$B$144,2,FALSE)</f>
        <v>Aquecidos</v>
      </c>
      <c r="F838" s="55">
        <v>896000</v>
      </c>
      <c r="G838" s="56" t="str">
        <f>VLOOKUP(C838,clientes!$C$3:$D$60,2,FALSE)</f>
        <v>BRF</v>
      </c>
    </row>
    <row r="839" spans="1:7" x14ac:dyDescent="0.25">
      <c r="A839">
        <v>2023</v>
      </c>
      <c r="B839" t="s">
        <v>132</v>
      </c>
      <c r="C839" s="56" t="s">
        <v>162</v>
      </c>
      <c r="D839" t="s">
        <v>123</v>
      </c>
      <c r="E839" t="str">
        <f>VLOOKUP(D839,'Lista de Produtos CLASSIFICAÇÃO'!$A$103:$B$144,2,FALSE)</f>
        <v>Aquecidos</v>
      </c>
      <c r="F839" s="55">
        <v>462720</v>
      </c>
      <c r="G839" s="56" t="str">
        <f>VLOOKUP(C839,clientes!$C$3:$D$60,2,FALSE)</f>
        <v>JBS</v>
      </c>
    </row>
    <row r="840" spans="1:7" x14ac:dyDescent="0.25">
      <c r="A840">
        <v>2023</v>
      </c>
      <c r="B840" t="s">
        <v>132</v>
      </c>
      <c r="C840" s="56" t="s">
        <v>166</v>
      </c>
      <c r="D840" t="s">
        <v>123</v>
      </c>
      <c r="E840" t="str">
        <f>VLOOKUP(D840,'Lista de Produtos CLASSIFICAÇÃO'!$A$103:$B$144,2,FALSE)</f>
        <v>Aquecidos</v>
      </c>
      <c r="F840" s="55">
        <v>359896</v>
      </c>
      <c r="G840" s="56" t="str">
        <f>VLOOKUP(C840,clientes!$C$3:$D$60,2,FALSE)</f>
        <v>CARGILL</v>
      </c>
    </row>
    <row r="841" spans="1:7" x14ac:dyDescent="0.25">
      <c r="A841">
        <v>2023</v>
      </c>
      <c r="B841" t="s">
        <v>132</v>
      </c>
      <c r="C841" s="56" t="s">
        <v>167</v>
      </c>
      <c r="D841" t="s">
        <v>122</v>
      </c>
      <c r="E841" t="str">
        <f>VLOOKUP(D841,'Lista de Produtos CLASSIFICAÇÃO'!$A$103:$B$144,2,FALSE)</f>
        <v>Óleo Vegetal</v>
      </c>
      <c r="F841" s="55">
        <v>5142487</v>
      </c>
      <c r="G841" s="56" t="str">
        <f>VLOOKUP(C841,clientes!$C$3:$D$60,2,FALSE)</f>
        <v>POOL</v>
      </c>
    </row>
    <row r="842" spans="1:7" x14ac:dyDescent="0.25">
      <c r="A842">
        <v>2023</v>
      </c>
      <c r="B842" t="s">
        <v>132</v>
      </c>
      <c r="C842" s="56" t="s">
        <v>168</v>
      </c>
      <c r="D842" t="s">
        <v>122</v>
      </c>
      <c r="E842" t="str">
        <f>VLOOKUP(D842,'Lista de Produtos CLASSIFICAÇÃO'!$A$103:$B$144,2,FALSE)</f>
        <v>Óleo Vegetal</v>
      </c>
      <c r="F842" s="55">
        <v>147702</v>
      </c>
      <c r="G842" s="56" t="str">
        <f>VLOOKUP(C842,clientes!$C$3:$D$60,2,FALSE)</f>
        <v>POOL EXCEDENTE</v>
      </c>
    </row>
    <row r="843" spans="1:7" x14ac:dyDescent="0.25">
      <c r="A843">
        <v>2023</v>
      </c>
      <c r="B843" t="s">
        <v>132</v>
      </c>
      <c r="C843" s="56" t="s">
        <v>169</v>
      </c>
      <c r="D843" t="s">
        <v>22</v>
      </c>
      <c r="E843" t="str">
        <f>VLOOKUP(D843,'Lista de Produtos CLASSIFICAÇÃO'!$A$103:$B$144,2,FALSE)</f>
        <v>Metanol</v>
      </c>
      <c r="F843" s="55">
        <v>5364738</v>
      </c>
      <c r="G843" s="56" t="str">
        <f>VLOOKUP(C843,clientes!$C$3:$D$60,2,FALSE)</f>
        <v>METHANEX</v>
      </c>
    </row>
    <row r="844" spans="1:7" x14ac:dyDescent="0.25">
      <c r="A844">
        <v>2023</v>
      </c>
      <c r="B844" t="s">
        <v>132</v>
      </c>
      <c r="C844" s="56" t="s">
        <v>170</v>
      </c>
      <c r="D844" t="s">
        <v>22</v>
      </c>
      <c r="E844" t="str">
        <f>VLOOKUP(D844,'Lista de Produtos CLASSIFICAÇÃO'!$A$103:$B$144,2,FALSE)</f>
        <v>Metanol</v>
      </c>
      <c r="F844" s="55">
        <v>3200617</v>
      </c>
      <c r="G844" s="56" t="str">
        <f>VLOOKUP(C844,clientes!$C$3:$D$60,2,FALSE)</f>
        <v>MITSUBISHI</v>
      </c>
    </row>
    <row r="845" spans="1:7" x14ac:dyDescent="0.25">
      <c r="A845">
        <v>2023</v>
      </c>
      <c r="B845" t="s">
        <v>132</v>
      </c>
      <c r="C845" s="56" t="s">
        <v>196</v>
      </c>
      <c r="D845" t="s">
        <v>22</v>
      </c>
      <c r="E845" t="str">
        <f>VLOOKUP(D845,'Lista de Produtos CLASSIFICAÇÃO'!$A$103:$B$144,2,FALSE)</f>
        <v>Metanol</v>
      </c>
      <c r="F845" s="55">
        <v>5503073</v>
      </c>
      <c r="G845" s="56" t="str">
        <f>VLOOKUP(C845,clientes!$C$3:$D$60,2,FALSE)</f>
        <v>SCC</v>
      </c>
    </row>
    <row r="846" spans="1:7" x14ac:dyDescent="0.25">
      <c r="A846">
        <v>2023</v>
      </c>
      <c r="B846" t="s">
        <v>132</v>
      </c>
      <c r="C846" s="56" t="s">
        <v>172</v>
      </c>
      <c r="D846" t="s">
        <v>124</v>
      </c>
      <c r="E846" t="str">
        <f>VLOOKUP(D846,'Lista de Produtos CLASSIFICAÇÃO'!$A$103:$B$144,2,FALSE)</f>
        <v>Outros</v>
      </c>
      <c r="F846" s="55">
        <v>297306</v>
      </c>
      <c r="G846" s="56" t="str">
        <f>VLOOKUP(C846,clientes!$C$3:$D$60,2,FALSE)</f>
        <v>EVONIK</v>
      </c>
    </row>
    <row r="847" spans="1:7" x14ac:dyDescent="0.25">
      <c r="A847">
        <v>2023</v>
      </c>
      <c r="B847" t="s">
        <v>132</v>
      </c>
      <c r="C847" s="56" t="s">
        <v>173</v>
      </c>
      <c r="D847" t="s">
        <v>22</v>
      </c>
      <c r="E847" t="str">
        <f>VLOOKUP(D847,'Lista de Produtos CLASSIFICAÇÃO'!$A$103:$B$144,2,FALSE)</f>
        <v>Metanol</v>
      </c>
      <c r="F847" s="55">
        <v>515367</v>
      </c>
      <c r="G847" s="56" t="str">
        <f>VLOOKUP(C847,clientes!$C$3:$D$60,2,FALSE)</f>
        <v>YPF SOCIEDAD ANONIMA</v>
      </c>
    </row>
    <row r="848" spans="1:7" x14ac:dyDescent="0.25">
      <c r="A848">
        <v>2023</v>
      </c>
      <c r="B848" t="s">
        <v>132</v>
      </c>
      <c r="C848" s="56" t="s">
        <v>197</v>
      </c>
      <c r="D848" t="s">
        <v>85</v>
      </c>
      <c r="E848" t="str">
        <f>VLOOKUP(D848,'Lista de Produtos CLASSIFICAÇÃO'!$A$103:$B$144,2,FALSE)</f>
        <v>Outros</v>
      </c>
      <c r="F848" s="55">
        <v>125795</v>
      </c>
      <c r="G848" s="56" t="str">
        <f>VLOOKUP(C848,clientes!$C$3:$D$60,2,FALSE)</f>
        <v>DRT</v>
      </c>
    </row>
    <row r="849" spans="1:7" x14ac:dyDescent="0.25">
      <c r="A849">
        <v>2023</v>
      </c>
      <c r="B849" t="s">
        <v>132</v>
      </c>
      <c r="C849" s="56" t="s">
        <v>198</v>
      </c>
      <c r="D849" t="s">
        <v>121</v>
      </c>
      <c r="E849" t="str">
        <f>VLOOKUP(D849,'Lista de Produtos CLASSIFICAÇÃO'!$A$103:$B$144,2,FALSE)</f>
        <v>Biocombustíveis</v>
      </c>
      <c r="F849" s="55">
        <v>0</v>
      </c>
      <c r="G849" s="56" t="str">
        <f>VLOOKUP(C849,clientes!$C$3:$D$60,2,FALSE)</f>
        <v>TEREOS / INPASA / GLENCORE</v>
      </c>
    </row>
    <row r="850" spans="1:7" x14ac:dyDescent="0.25">
      <c r="A850">
        <v>2023</v>
      </c>
      <c r="B850" t="s">
        <v>132</v>
      </c>
      <c r="C850" s="56" t="s">
        <v>174</v>
      </c>
      <c r="D850" t="s">
        <v>123</v>
      </c>
      <c r="E850" t="str">
        <f>VLOOKUP(D850,'Lista de Produtos CLASSIFICAÇÃO'!$A$103:$B$144,2,FALSE)</f>
        <v>Aquecidos</v>
      </c>
      <c r="F850" s="55">
        <v>795585</v>
      </c>
      <c r="G850" s="56" t="str">
        <f>VLOOKUP(C850,clientes!$C$3:$D$60,2,FALSE)</f>
        <v>CELENA</v>
      </c>
    </row>
    <row r="851" spans="1:7" x14ac:dyDescent="0.25">
      <c r="A851">
        <v>2023</v>
      </c>
      <c r="B851" t="s">
        <v>132</v>
      </c>
      <c r="C851" s="56" t="s">
        <v>175</v>
      </c>
      <c r="D851" t="s">
        <v>123</v>
      </c>
      <c r="E851" t="str">
        <f>VLOOKUP(D851,'Lista de Produtos CLASSIFICAÇÃO'!$A$103:$B$144,2,FALSE)</f>
        <v>Aquecidos</v>
      </c>
      <c r="F851" s="55">
        <v>446949</v>
      </c>
      <c r="G851" s="56" t="str">
        <f>VLOOKUP(C851,clientes!$C$3:$D$60,2,FALSE)</f>
        <v>AAK DO BRASIL</v>
      </c>
    </row>
    <row r="852" spans="1:7" x14ac:dyDescent="0.25">
      <c r="A852">
        <v>2023</v>
      </c>
      <c r="B852" t="s">
        <v>132</v>
      </c>
      <c r="C852" s="56" t="s">
        <v>166</v>
      </c>
      <c r="D852" t="s">
        <v>122</v>
      </c>
      <c r="E852" t="str">
        <f>VLOOKUP(D852,'Lista de Produtos CLASSIFICAÇÃO'!$A$103:$B$144,2,FALSE)</f>
        <v>Óleo Vegetal</v>
      </c>
      <c r="F852" s="55">
        <v>278952</v>
      </c>
      <c r="G852" s="56" t="str">
        <f>VLOOKUP(C852,clientes!$C$3:$D$60,2,FALSE)</f>
        <v>CARGILL</v>
      </c>
    </row>
    <row r="853" spans="1:7" x14ac:dyDescent="0.25">
      <c r="A853">
        <v>2023</v>
      </c>
      <c r="B853" t="s">
        <v>132</v>
      </c>
      <c r="C853" s="56" t="s">
        <v>176</v>
      </c>
      <c r="D853" t="s">
        <v>123</v>
      </c>
      <c r="E853" t="str">
        <f>VLOOKUP(D853,'Lista de Produtos CLASSIFICAÇÃO'!$A$103:$B$144,2,FALSE)</f>
        <v>Aquecidos</v>
      </c>
      <c r="F853" s="55">
        <v>268238</v>
      </c>
      <c r="G853" s="56" t="str">
        <f>VLOOKUP(C853,clientes!$C$3:$D$60,2,FALSE)</f>
        <v>AGROPALMA</v>
      </c>
    </row>
    <row r="854" spans="1:7" x14ac:dyDescent="0.25">
      <c r="A854">
        <v>2023</v>
      </c>
      <c r="B854" t="s">
        <v>132</v>
      </c>
      <c r="C854" s="56" t="s">
        <v>177</v>
      </c>
      <c r="D854" t="s">
        <v>115</v>
      </c>
      <c r="E854" t="str">
        <f>VLOOKUP(D854,'Lista de Produtos CLASSIFICAÇÃO'!$A$103:$B$144,2,FALSE)</f>
        <v>Soda Caustica</v>
      </c>
      <c r="F854" s="55">
        <v>318237</v>
      </c>
      <c r="G854" s="56" t="str">
        <f>VLOOKUP(C854,clientes!$C$3:$D$60,2,FALSE)</f>
        <v>BRENNTAG</v>
      </c>
    </row>
    <row r="855" spans="1:7" x14ac:dyDescent="0.25">
      <c r="A855">
        <v>2023</v>
      </c>
      <c r="B855" t="s">
        <v>132</v>
      </c>
      <c r="C855" s="56" t="s">
        <v>178</v>
      </c>
      <c r="D855" t="s">
        <v>115</v>
      </c>
      <c r="E855" t="str">
        <f>VLOOKUP(D855,'Lista de Produtos CLASSIFICAÇÃO'!$A$103:$B$144,2,FALSE)</f>
        <v>Soda Caustica</v>
      </c>
      <c r="F855" s="55">
        <v>1501777</v>
      </c>
      <c r="G855" s="56" t="str">
        <f>VLOOKUP(C855,clientes!$C$3:$D$60,2,FALSE)</f>
        <v>OLIN BLUE CUBE</v>
      </c>
    </row>
    <row r="856" spans="1:7" x14ac:dyDescent="0.25">
      <c r="A856">
        <v>2023</v>
      </c>
      <c r="B856" t="s">
        <v>132</v>
      </c>
      <c r="C856" s="56" t="s">
        <v>179</v>
      </c>
      <c r="D856" t="s">
        <v>26</v>
      </c>
      <c r="E856" t="str">
        <f>VLOOKUP(D856,'Lista de Produtos CLASSIFICAÇÃO'!$A$103:$B$144,2,FALSE)</f>
        <v>Biocombustíveis</v>
      </c>
      <c r="F856" s="55">
        <v>325050</v>
      </c>
      <c r="G856" s="56" t="str">
        <f>VLOOKUP(C856,clientes!$C$3:$D$60,2,FALSE)</f>
        <v>BSBIOS</v>
      </c>
    </row>
    <row r="857" spans="1:7" x14ac:dyDescent="0.25">
      <c r="A857">
        <v>2023</v>
      </c>
      <c r="B857" t="s">
        <v>132</v>
      </c>
      <c r="C857" s="56" t="s">
        <v>180</v>
      </c>
      <c r="D857" t="s">
        <v>30</v>
      </c>
      <c r="E857" t="str">
        <f>VLOOKUP(D857,'Lista de Produtos CLASSIFICAÇÃO'!$A$103:$B$144,2,FALSE)</f>
        <v>Outros</v>
      </c>
      <c r="F857" s="55">
        <v>215867</v>
      </c>
      <c r="G857" s="56" t="str">
        <f>VLOOKUP(C857,clientes!$C$3:$D$60,2,FALSE)</f>
        <v>TRICHEM</v>
      </c>
    </row>
    <row r="858" spans="1:7" x14ac:dyDescent="0.25">
      <c r="A858">
        <v>2023</v>
      </c>
      <c r="B858" t="s">
        <v>132</v>
      </c>
      <c r="C858" s="56" t="s">
        <v>181</v>
      </c>
      <c r="D858" t="s">
        <v>123</v>
      </c>
      <c r="E858" t="str">
        <f>VLOOKUP(D858,'Lista de Produtos CLASSIFICAÇÃO'!$A$103:$B$144,2,FALSE)</f>
        <v>Aquecidos</v>
      </c>
      <c r="F858" s="55">
        <v>249297</v>
      </c>
      <c r="G858" s="56" t="str">
        <f>VLOOKUP(C858,clientes!$C$3:$D$60,2,FALSE)</f>
        <v>COAMO</v>
      </c>
    </row>
    <row r="859" spans="1:7" x14ac:dyDescent="0.25">
      <c r="A859">
        <v>2023</v>
      </c>
      <c r="B859" t="s">
        <v>132</v>
      </c>
      <c r="C859" s="56" t="s">
        <v>182</v>
      </c>
      <c r="D859" t="s">
        <v>120</v>
      </c>
      <c r="E859" t="str">
        <f>VLOOKUP(D859,'Lista de Produtos CLASSIFICAÇÃO'!$A$103:$B$144,2,FALSE)</f>
        <v>Derivados</v>
      </c>
      <c r="F859" s="55">
        <v>676544</v>
      </c>
      <c r="G859" s="56" t="str">
        <f>VLOOKUP(C859,clientes!$C$3:$D$60,2,FALSE)</f>
        <v>ATEM</v>
      </c>
    </row>
    <row r="860" spans="1:7" x14ac:dyDescent="0.25">
      <c r="A860">
        <v>2023</v>
      </c>
      <c r="B860" t="s">
        <v>133</v>
      </c>
      <c r="C860" s="56" t="s">
        <v>155</v>
      </c>
      <c r="D860" t="s">
        <v>16</v>
      </c>
      <c r="E860" t="str">
        <f>VLOOKUP(D860,'Lista de Produtos CLASSIFICAÇÃO'!$A$103:$B$144,2,FALSE)</f>
        <v>Outros</v>
      </c>
      <c r="F860" s="55">
        <v>764605</v>
      </c>
      <c r="G860" s="56" t="str">
        <f>VLOOKUP(C860,clientes!$C$3:$D$60,2,FALSE)</f>
        <v>ADISSEO</v>
      </c>
    </row>
    <row r="861" spans="1:7" x14ac:dyDescent="0.25">
      <c r="A861">
        <v>2023</v>
      </c>
      <c r="B861" t="s">
        <v>133</v>
      </c>
      <c r="C861" s="56" t="s">
        <v>156</v>
      </c>
      <c r="D861" t="s">
        <v>123</v>
      </c>
      <c r="E861" t="str">
        <f>VLOOKUP(D861,'Lista de Produtos CLASSIFICAÇÃO'!$A$103:$B$144,2,FALSE)</f>
        <v>Aquecidos</v>
      </c>
      <c r="F861" s="55">
        <v>339303</v>
      </c>
      <c r="G861" s="56" t="str">
        <f>VLOOKUP(C861,clientes!$C$3:$D$60,2,FALSE)</f>
        <v>BUNGE</v>
      </c>
    </row>
    <row r="862" spans="1:7" x14ac:dyDescent="0.25">
      <c r="A862">
        <v>2023</v>
      </c>
      <c r="B862" t="s">
        <v>133</v>
      </c>
      <c r="C862" s="56" t="s">
        <v>157</v>
      </c>
      <c r="D862" t="s">
        <v>122</v>
      </c>
      <c r="E862" t="str">
        <f>VLOOKUP(D862,'Lista de Produtos CLASSIFICAÇÃO'!$A$103:$B$144,2,FALSE)</f>
        <v>Óleo Vegetal</v>
      </c>
      <c r="F862" s="55">
        <v>162891</v>
      </c>
      <c r="G862" s="56" t="str">
        <f>VLOOKUP(C862,clientes!$C$3:$D$60,2,FALSE)</f>
        <v>ADM</v>
      </c>
    </row>
    <row r="863" spans="1:7" x14ac:dyDescent="0.25">
      <c r="A863">
        <v>2023</v>
      </c>
      <c r="B863" t="s">
        <v>133</v>
      </c>
      <c r="C863" s="56" t="s">
        <v>158</v>
      </c>
      <c r="D863" t="s">
        <v>120</v>
      </c>
      <c r="E863" t="str">
        <f>VLOOKUP(D863,'Lista de Produtos CLASSIFICAÇÃO'!$A$103:$B$144,2,FALSE)</f>
        <v>Derivados</v>
      </c>
      <c r="F863" s="55">
        <v>6086965</v>
      </c>
      <c r="G863" s="56" t="str">
        <f>VLOOKUP(C863,clientes!$C$3:$D$60,2,FALSE)</f>
        <v>IPIRANGA</v>
      </c>
    </row>
    <row r="864" spans="1:7" x14ac:dyDescent="0.25">
      <c r="A864">
        <v>2023</v>
      </c>
      <c r="B864" t="s">
        <v>133</v>
      </c>
      <c r="C864" s="56" t="s">
        <v>159</v>
      </c>
      <c r="D864" t="s">
        <v>120</v>
      </c>
      <c r="E864" t="str">
        <f>VLOOKUP(D864,'Lista de Produtos CLASSIFICAÇÃO'!$A$103:$B$144,2,FALSE)</f>
        <v>Derivados</v>
      </c>
      <c r="F864" s="55">
        <v>4164996</v>
      </c>
      <c r="G864" s="56" t="str">
        <f>VLOOKUP(C864,clientes!$C$3:$D$60,2,FALSE)</f>
        <v>RAIZEN</v>
      </c>
    </row>
    <row r="865" spans="1:7" x14ac:dyDescent="0.25">
      <c r="A865">
        <v>2023</v>
      </c>
      <c r="B865" t="s">
        <v>133</v>
      </c>
      <c r="C865" s="56" t="s">
        <v>160</v>
      </c>
      <c r="D865" t="s">
        <v>120</v>
      </c>
      <c r="E865" t="str">
        <f>VLOOKUP(D865,'Lista de Produtos CLASSIFICAÇÃO'!$A$103:$B$144,2,FALSE)</f>
        <v>Derivados</v>
      </c>
      <c r="F865" s="55">
        <v>1750502</v>
      </c>
      <c r="G865" s="56" t="str">
        <f>VLOOKUP(C865,clientes!$C$3:$D$60,2,FALSE)</f>
        <v>VIBRA</v>
      </c>
    </row>
    <row r="866" spans="1:7" x14ac:dyDescent="0.25">
      <c r="A866">
        <v>2023</v>
      </c>
      <c r="B866" t="s">
        <v>133</v>
      </c>
      <c r="C866" s="56" t="s">
        <v>161</v>
      </c>
      <c r="D866" t="s">
        <v>120</v>
      </c>
      <c r="E866" t="str">
        <f>VLOOKUP(D866,'Lista de Produtos CLASSIFICAÇÃO'!$A$103:$B$144,2,FALSE)</f>
        <v>Derivados</v>
      </c>
      <c r="F866" s="55">
        <v>2379391</v>
      </c>
      <c r="G866" s="56" t="str">
        <f>VLOOKUP(C866,clientes!$C$3:$D$60,2,FALSE)</f>
        <v>SUL PLATA</v>
      </c>
    </row>
    <row r="867" spans="1:7" x14ac:dyDescent="0.25">
      <c r="A867">
        <v>2023</v>
      </c>
      <c r="B867" t="s">
        <v>133</v>
      </c>
      <c r="C867" s="56" t="s">
        <v>195</v>
      </c>
      <c r="D867" t="s">
        <v>115</v>
      </c>
      <c r="E867" t="str">
        <f>VLOOKUP(D867,'Lista de Produtos CLASSIFICAÇÃO'!$A$103:$B$144,2,FALSE)</f>
        <v>Soda Caustica</v>
      </c>
      <c r="F867" s="55">
        <v>81453</v>
      </c>
      <c r="G867" s="56" t="str">
        <f>VLOOKUP(C867,clientes!$C$3:$D$60,2,FALSE)</f>
        <v>PROJESAN</v>
      </c>
    </row>
    <row r="868" spans="1:7" x14ac:dyDescent="0.25">
      <c r="A868">
        <v>2023</v>
      </c>
      <c r="B868" t="s">
        <v>133</v>
      </c>
      <c r="C868" s="56" t="s">
        <v>162</v>
      </c>
      <c r="D868" t="s">
        <v>115</v>
      </c>
      <c r="E868" t="str">
        <f>VLOOKUP(D868,'Lista de Produtos CLASSIFICAÇÃO'!$A$103:$B$144,2,FALSE)</f>
        <v>Soda Caustica</v>
      </c>
      <c r="F868" s="55">
        <v>144366</v>
      </c>
      <c r="G868" s="56" t="str">
        <f>VLOOKUP(C868,clientes!$C$3:$D$60,2,FALSE)</f>
        <v>JBS</v>
      </c>
    </row>
    <row r="869" spans="1:7" x14ac:dyDescent="0.25">
      <c r="A869">
        <v>2023</v>
      </c>
      <c r="B869" t="s">
        <v>133</v>
      </c>
      <c r="C869" s="56" t="s">
        <v>163</v>
      </c>
      <c r="D869" t="s">
        <v>115</v>
      </c>
      <c r="E869" t="str">
        <f>VLOOKUP(D869,'Lista de Produtos CLASSIFICAÇÃO'!$A$103:$B$144,2,FALSE)</f>
        <v>Soda Caustica</v>
      </c>
      <c r="F869" s="55">
        <v>623815</v>
      </c>
      <c r="G869" s="56" t="str">
        <f>VLOOKUP(C869,clientes!$C$3:$D$60,2,FALSE)</f>
        <v>TRICON ENERGY</v>
      </c>
    </row>
    <row r="870" spans="1:7" x14ac:dyDescent="0.25">
      <c r="A870">
        <v>2023</v>
      </c>
      <c r="B870" t="s">
        <v>133</v>
      </c>
      <c r="C870" s="56" t="s">
        <v>164</v>
      </c>
      <c r="D870" t="s">
        <v>115</v>
      </c>
      <c r="E870" t="str">
        <f>VLOOKUP(D870,'Lista de Produtos CLASSIFICAÇÃO'!$A$103:$B$144,2,FALSE)</f>
        <v>Soda Caustica</v>
      </c>
      <c r="F870" s="55">
        <v>227731</v>
      </c>
      <c r="G870" s="56" t="str">
        <f>VLOOKUP(C870,clientes!$C$3:$D$60,2,FALSE)</f>
        <v>BRASKEM</v>
      </c>
    </row>
    <row r="871" spans="1:7" x14ac:dyDescent="0.25">
      <c r="A871">
        <v>2023</v>
      </c>
      <c r="B871" t="s">
        <v>133</v>
      </c>
      <c r="C871" s="56" t="s">
        <v>165</v>
      </c>
      <c r="D871" t="s">
        <v>123</v>
      </c>
      <c r="E871" t="str">
        <f>VLOOKUP(D871,'Lista de Produtos CLASSIFICAÇÃO'!$A$103:$B$144,2,FALSE)</f>
        <v>Aquecidos</v>
      </c>
      <c r="F871" s="55">
        <v>896000</v>
      </c>
      <c r="G871" s="56" t="str">
        <f>VLOOKUP(C871,clientes!$C$3:$D$60,2,FALSE)</f>
        <v>BRF</v>
      </c>
    </row>
    <row r="872" spans="1:7" x14ac:dyDescent="0.25">
      <c r="A872">
        <v>2023</v>
      </c>
      <c r="B872" t="s">
        <v>133</v>
      </c>
      <c r="C872" s="56" t="s">
        <v>162</v>
      </c>
      <c r="D872" t="s">
        <v>123</v>
      </c>
      <c r="E872" t="str">
        <f>VLOOKUP(D872,'Lista de Produtos CLASSIFICAÇÃO'!$A$103:$B$144,2,FALSE)</f>
        <v>Aquecidos</v>
      </c>
      <c r="F872" s="55">
        <v>462720</v>
      </c>
      <c r="G872" s="56" t="str">
        <f>VLOOKUP(C872,clientes!$C$3:$D$60,2,FALSE)</f>
        <v>JBS</v>
      </c>
    </row>
    <row r="873" spans="1:7" x14ac:dyDescent="0.25">
      <c r="A873">
        <v>2023</v>
      </c>
      <c r="B873" t="s">
        <v>133</v>
      </c>
      <c r="C873" s="56" t="s">
        <v>166</v>
      </c>
      <c r="D873" t="s">
        <v>123</v>
      </c>
      <c r="E873" t="str">
        <f>VLOOKUP(D873,'Lista de Produtos CLASSIFICAÇÃO'!$A$103:$B$144,2,FALSE)</f>
        <v>Aquecidos</v>
      </c>
      <c r="F873" s="55">
        <v>359896</v>
      </c>
      <c r="G873" s="56" t="str">
        <f>VLOOKUP(C873,clientes!$C$3:$D$60,2,FALSE)</f>
        <v>CARGILL</v>
      </c>
    </row>
    <row r="874" spans="1:7" x14ac:dyDescent="0.25">
      <c r="A874">
        <v>2023</v>
      </c>
      <c r="B874" t="s">
        <v>133</v>
      </c>
      <c r="C874" s="56" t="s">
        <v>167</v>
      </c>
      <c r="D874" t="s">
        <v>122</v>
      </c>
      <c r="E874" t="str">
        <f>VLOOKUP(D874,'Lista de Produtos CLASSIFICAÇÃO'!$A$103:$B$144,2,FALSE)</f>
        <v>Óleo Vegetal</v>
      </c>
      <c r="F874" s="55">
        <v>7623189</v>
      </c>
      <c r="G874" s="56" t="str">
        <f>VLOOKUP(C874,clientes!$C$3:$D$60,2,FALSE)</f>
        <v>POOL</v>
      </c>
    </row>
    <row r="875" spans="1:7" x14ac:dyDescent="0.25">
      <c r="A875">
        <v>2023</v>
      </c>
      <c r="B875" t="s">
        <v>133</v>
      </c>
      <c r="C875" s="56" t="s">
        <v>168</v>
      </c>
      <c r="D875" t="s">
        <v>122</v>
      </c>
      <c r="E875" t="str">
        <f>VLOOKUP(D875,'Lista de Produtos CLASSIFICAÇÃO'!$A$103:$B$144,2,FALSE)</f>
        <v>Óleo Vegetal</v>
      </c>
      <c r="F875" s="55">
        <v>147702</v>
      </c>
      <c r="G875" s="56" t="str">
        <f>VLOOKUP(C875,clientes!$C$3:$D$60,2,FALSE)</f>
        <v>POOL EXCEDENTE</v>
      </c>
    </row>
    <row r="876" spans="1:7" x14ac:dyDescent="0.25">
      <c r="A876">
        <v>2023</v>
      </c>
      <c r="B876" t="s">
        <v>133</v>
      </c>
      <c r="C876" s="56" t="s">
        <v>169</v>
      </c>
      <c r="D876" t="s">
        <v>22</v>
      </c>
      <c r="E876" t="str">
        <f>VLOOKUP(D876,'Lista de Produtos CLASSIFICAÇÃO'!$A$103:$B$144,2,FALSE)</f>
        <v>Metanol</v>
      </c>
      <c r="F876" s="55">
        <v>5364738</v>
      </c>
      <c r="G876" s="56" t="str">
        <f>VLOOKUP(C876,clientes!$C$3:$D$60,2,FALSE)</f>
        <v>METHANEX</v>
      </c>
    </row>
    <row r="877" spans="1:7" x14ac:dyDescent="0.25">
      <c r="A877">
        <v>2023</v>
      </c>
      <c r="B877" t="s">
        <v>133</v>
      </c>
      <c r="C877" s="56" t="s">
        <v>170</v>
      </c>
      <c r="D877" t="s">
        <v>22</v>
      </c>
      <c r="E877" t="str">
        <f>VLOOKUP(D877,'Lista de Produtos CLASSIFICAÇÃO'!$A$103:$B$144,2,FALSE)</f>
        <v>Metanol</v>
      </c>
      <c r="F877" s="55">
        <v>3200617</v>
      </c>
      <c r="G877" s="56" t="str">
        <f>VLOOKUP(C877,clientes!$C$3:$D$60,2,FALSE)</f>
        <v>MITSUBISHI</v>
      </c>
    </row>
    <row r="878" spans="1:7" x14ac:dyDescent="0.25">
      <c r="A878">
        <v>2023</v>
      </c>
      <c r="B878" t="s">
        <v>133</v>
      </c>
      <c r="C878" s="56" t="s">
        <v>196</v>
      </c>
      <c r="D878" t="s">
        <v>22</v>
      </c>
      <c r="E878" t="str">
        <f>VLOOKUP(D878,'Lista de Produtos CLASSIFICAÇÃO'!$A$103:$B$144,2,FALSE)</f>
        <v>Metanol</v>
      </c>
      <c r="F878" s="55">
        <v>5503073</v>
      </c>
      <c r="G878" s="56" t="str">
        <f>VLOOKUP(C878,clientes!$C$3:$D$60,2,FALSE)</f>
        <v>SCC</v>
      </c>
    </row>
    <row r="879" spans="1:7" x14ac:dyDescent="0.25">
      <c r="A879">
        <v>2023</v>
      </c>
      <c r="B879" t="s">
        <v>133</v>
      </c>
      <c r="C879" s="56" t="s">
        <v>172</v>
      </c>
      <c r="D879" t="s">
        <v>124</v>
      </c>
      <c r="E879" t="str">
        <f>VLOOKUP(D879,'Lista de Produtos CLASSIFICAÇÃO'!$A$103:$B$144,2,FALSE)</f>
        <v>Outros</v>
      </c>
      <c r="F879" s="55">
        <v>297306</v>
      </c>
      <c r="G879" s="56" t="str">
        <f>VLOOKUP(C879,clientes!$C$3:$D$60,2,FALSE)</f>
        <v>EVONIK</v>
      </c>
    </row>
    <row r="880" spans="1:7" x14ac:dyDescent="0.25">
      <c r="A880">
        <v>2023</v>
      </c>
      <c r="B880" t="s">
        <v>133</v>
      </c>
      <c r="C880" s="56" t="s">
        <v>173</v>
      </c>
      <c r="D880" t="s">
        <v>22</v>
      </c>
      <c r="E880" t="str">
        <f>VLOOKUP(D880,'Lista de Produtos CLASSIFICAÇÃO'!$A$103:$B$144,2,FALSE)</f>
        <v>Metanol</v>
      </c>
      <c r="F880" s="55">
        <v>586711</v>
      </c>
      <c r="G880" s="56" t="str">
        <f>VLOOKUP(C880,clientes!$C$3:$D$60,2,FALSE)</f>
        <v>YPF SOCIEDAD ANONIMA</v>
      </c>
    </row>
    <row r="881" spans="1:7" x14ac:dyDescent="0.25">
      <c r="A881">
        <v>2023</v>
      </c>
      <c r="B881" t="s">
        <v>133</v>
      </c>
      <c r="C881" s="56" t="s">
        <v>197</v>
      </c>
      <c r="D881" t="s">
        <v>85</v>
      </c>
      <c r="E881" t="str">
        <f>VLOOKUP(D881,'Lista de Produtos CLASSIFICAÇÃO'!$A$103:$B$144,2,FALSE)</f>
        <v>Outros</v>
      </c>
      <c r="F881" s="55">
        <v>125795</v>
      </c>
      <c r="G881" s="56" t="str">
        <f>VLOOKUP(C881,clientes!$C$3:$D$60,2,FALSE)</f>
        <v>DRT</v>
      </c>
    </row>
    <row r="882" spans="1:7" x14ac:dyDescent="0.25">
      <c r="A882">
        <v>2023</v>
      </c>
      <c r="B882" t="s">
        <v>133</v>
      </c>
      <c r="C882" s="56" t="s">
        <v>198</v>
      </c>
      <c r="D882" t="s">
        <v>121</v>
      </c>
      <c r="E882" t="str">
        <f>VLOOKUP(D882,'Lista de Produtos CLASSIFICAÇÃO'!$A$103:$B$144,2,FALSE)</f>
        <v>Biocombustíveis</v>
      </c>
      <c r="F882" s="55">
        <v>0</v>
      </c>
      <c r="G882" s="56" t="str">
        <f>VLOOKUP(C882,clientes!$C$3:$D$60,2,FALSE)</f>
        <v>TEREOS / INPASA / GLENCORE</v>
      </c>
    </row>
    <row r="883" spans="1:7" x14ac:dyDescent="0.25">
      <c r="A883">
        <v>2023</v>
      </c>
      <c r="B883" t="s">
        <v>133</v>
      </c>
      <c r="C883" s="56" t="s">
        <v>174</v>
      </c>
      <c r="D883" t="s">
        <v>123</v>
      </c>
      <c r="E883" t="str">
        <f>VLOOKUP(D883,'Lista de Produtos CLASSIFICAÇÃO'!$A$103:$B$144,2,FALSE)</f>
        <v>Aquecidos</v>
      </c>
      <c r="F883" s="55">
        <v>795585</v>
      </c>
      <c r="G883" s="56" t="str">
        <f>VLOOKUP(C883,clientes!$C$3:$D$60,2,FALSE)</f>
        <v>CELENA</v>
      </c>
    </row>
    <row r="884" spans="1:7" x14ac:dyDescent="0.25">
      <c r="A884">
        <v>2023</v>
      </c>
      <c r="B884" t="s">
        <v>133</v>
      </c>
      <c r="C884" s="56" t="s">
        <v>175</v>
      </c>
      <c r="D884" t="s">
        <v>123</v>
      </c>
      <c r="E884" t="str">
        <f>VLOOKUP(D884,'Lista de Produtos CLASSIFICAÇÃO'!$A$103:$B$144,2,FALSE)</f>
        <v>Aquecidos</v>
      </c>
      <c r="F884" s="55">
        <v>446949</v>
      </c>
      <c r="G884" s="56" t="str">
        <f>VLOOKUP(C884,clientes!$C$3:$D$60,2,FALSE)</f>
        <v>AAK DO BRASIL</v>
      </c>
    </row>
    <row r="885" spans="1:7" x14ac:dyDescent="0.25">
      <c r="A885">
        <v>2023</v>
      </c>
      <c r="B885" t="s">
        <v>133</v>
      </c>
      <c r="C885" s="56" t="s">
        <v>166</v>
      </c>
      <c r="D885" t="s">
        <v>122</v>
      </c>
      <c r="E885" t="str">
        <f>VLOOKUP(D885,'Lista de Produtos CLASSIFICAÇÃO'!$A$103:$B$144,2,FALSE)</f>
        <v>Óleo Vegetal</v>
      </c>
      <c r="F885" s="55">
        <v>308495</v>
      </c>
      <c r="G885" s="56" t="str">
        <f>VLOOKUP(C885,clientes!$C$3:$D$60,2,FALSE)</f>
        <v>CARGILL</v>
      </c>
    </row>
    <row r="886" spans="1:7" x14ac:dyDescent="0.25">
      <c r="A886">
        <v>2023</v>
      </c>
      <c r="B886" t="s">
        <v>133</v>
      </c>
      <c r="C886" s="56" t="s">
        <v>176</v>
      </c>
      <c r="D886" t="s">
        <v>123</v>
      </c>
      <c r="E886" t="str">
        <f>VLOOKUP(D886,'Lista de Produtos CLASSIFICAÇÃO'!$A$103:$B$144,2,FALSE)</f>
        <v>Aquecidos</v>
      </c>
      <c r="F886" s="55">
        <v>268238</v>
      </c>
      <c r="G886" s="56" t="str">
        <f>VLOOKUP(C886,clientes!$C$3:$D$60,2,FALSE)</f>
        <v>AGROPALMA</v>
      </c>
    </row>
    <row r="887" spans="1:7" x14ac:dyDescent="0.25">
      <c r="A887">
        <v>2023</v>
      </c>
      <c r="B887" t="s">
        <v>133</v>
      </c>
      <c r="C887" s="56" t="s">
        <v>177</v>
      </c>
      <c r="D887" t="s">
        <v>115</v>
      </c>
      <c r="E887" t="str">
        <f>VLOOKUP(D887,'Lista de Produtos CLASSIFICAÇÃO'!$A$103:$B$144,2,FALSE)</f>
        <v>Soda Caustica</v>
      </c>
      <c r="F887" s="55">
        <v>318237</v>
      </c>
      <c r="G887" s="56" t="str">
        <f>VLOOKUP(C887,clientes!$C$3:$D$60,2,FALSE)</f>
        <v>BRENNTAG</v>
      </c>
    </row>
    <row r="888" spans="1:7" x14ac:dyDescent="0.25">
      <c r="A888">
        <v>2023</v>
      </c>
      <c r="B888" t="s">
        <v>133</v>
      </c>
      <c r="C888" s="56" t="s">
        <v>178</v>
      </c>
      <c r="D888" t="s">
        <v>115</v>
      </c>
      <c r="E888" t="str">
        <f>VLOOKUP(D888,'Lista de Produtos CLASSIFICAÇÃO'!$A$103:$B$144,2,FALSE)</f>
        <v>Soda Caustica</v>
      </c>
      <c r="F888" s="55">
        <v>1501777</v>
      </c>
      <c r="G888" s="56" t="str">
        <f>VLOOKUP(C888,clientes!$C$3:$D$60,2,FALSE)</f>
        <v>OLIN BLUE CUBE</v>
      </c>
    </row>
    <row r="889" spans="1:7" x14ac:dyDescent="0.25">
      <c r="A889">
        <v>2023</v>
      </c>
      <c r="B889" t="s">
        <v>133</v>
      </c>
      <c r="C889" s="56" t="s">
        <v>179</v>
      </c>
      <c r="D889" t="s">
        <v>26</v>
      </c>
      <c r="E889" t="str">
        <f>VLOOKUP(D889,'Lista de Produtos CLASSIFICAÇÃO'!$A$103:$B$144,2,FALSE)</f>
        <v>Biocombustíveis</v>
      </c>
      <c r="F889" s="55">
        <v>325050</v>
      </c>
      <c r="G889" s="56" t="str">
        <f>VLOOKUP(C889,clientes!$C$3:$D$60,2,FALSE)</f>
        <v>BSBIOS</v>
      </c>
    </row>
    <row r="890" spans="1:7" x14ac:dyDescent="0.25">
      <c r="A890">
        <v>2023</v>
      </c>
      <c r="B890" t="s">
        <v>133</v>
      </c>
      <c r="C890" s="56" t="s">
        <v>180</v>
      </c>
      <c r="D890" t="s">
        <v>30</v>
      </c>
      <c r="E890" t="str">
        <f>VLOOKUP(D890,'Lista de Produtos CLASSIFICAÇÃO'!$A$103:$B$144,2,FALSE)</f>
        <v>Outros</v>
      </c>
      <c r="F890" s="55">
        <v>187972</v>
      </c>
      <c r="G890" s="56" t="str">
        <f>VLOOKUP(C890,clientes!$C$3:$D$60,2,FALSE)</f>
        <v>TRICHEM</v>
      </c>
    </row>
    <row r="891" spans="1:7" x14ac:dyDescent="0.25">
      <c r="A891">
        <v>2023</v>
      </c>
      <c r="B891" t="s">
        <v>133</v>
      </c>
      <c r="C891" s="56" t="s">
        <v>181</v>
      </c>
      <c r="D891" t="s">
        <v>123</v>
      </c>
      <c r="E891" t="str">
        <f>VLOOKUP(D891,'Lista de Produtos CLASSIFICAÇÃO'!$A$103:$B$144,2,FALSE)</f>
        <v>Aquecidos</v>
      </c>
      <c r="F891" s="55">
        <v>249297</v>
      </c>
      <c r="G891" s="56" t="str">
        <f>VLOOKUP(C891,clientes!$C$3:$D$60,2,FALSE)</f>
        <v>COAMO</v>
      </c>
    </row>
    <row r="892" spans="1:7" x14ac:dyDescent="0.25">
      <c r="A892">
        <v>2023</v>
      </c>
      <c r="B892" t="s">
        <v>133</v>
      </c>
      <c r="C892" s="56" t="s">
        <v>182</v>
      </c>
      <c r="D892" t="s">
        <v>120</v>
      </c>
      <c r="E892" t="str">
        <f>VLOOKUP(D892,'Lista de Produtos CLASSIFICAÇÃO'!$A$103:$B$144,2,FALSE)</f>
        <v>Derivados</v>
      </c>
      <c r="F892" s="55">
        <v>676544</v>
      </c>
      <c r="G892" s="56" t="str">
        <f>VLOOKUP(C892,clientes!$C$3:$D$60,2,FALSE)</f>
        <v>ATEM</v>
      </c>
    </row>
    <row r="893" spans="1:7" x14ac:dyDescent="0.25">
      <c r="A893">
        <v>2023</v>
      </c>
      <c r="B893" t="s">
        <v>134</v>
      </c>
      <c r="C893" t="s">
        <v>155</v>
      </c>
      <c r="D893" t="s">
        <v>16</v>
      </c>
      <c r="E893" t="str">
        <f>VLOOKUP(D893,'Lista de Produtos CLASSIFICAÇÃO'!$A$103:$B$144,2,FALSE)</f>
        <v>Outros</v>
      </c>
      <c r="F893" s="55">
        <v>764605</v>
      </c>
      <c r="G893" s="56" t="str">
        <f>VLOOKUP(C893,clientes!$C$3:$D$60,2,FALSE)</f>
        <v>ADISSEO</v>
      </c>
    </row>
    <row r="894" spans="1:7" x14ac:dyDescent="0.25">
      <c r="A894">
        <v>2023</v>
      </c>
      <c r="B894" t="s">
        <v>134</v>
      </c>
      <c r="C894" t="s">
        <v>156</v>
      </c>
      <c r="D894" t="s">
        <v>123</v>
      </c>
      <c r="E894" t="str">
        <f>VLOOKUP(D894,'Lista de Produtos CLASSIFICAÇÃO'!$A$103:$B$144,2,FALSE)</f>
        <v>Aquecidos</v>
      </c>
      <c r="F894" s="55">
        <v>339303</v>
      </c>
      <c r="G894" s="56" t="str">
        <f>VLOOKUP(C894,clientes!$C$3:$D$60,2,FALSE)</f>
        <v>BUNGE</v>
      </c>
    </row>
    <row r="895" spans="1:7" x14ac:dyDescent="0.25">
      <c r="A895">
        <v>2023</v>
      </c>
      <c r="B895" t="s">
        <v>134</v>
      </c>
      <c r="C895" t="s">
        <v>157</v>
      </c>
      <c r="D895" t="s">
        <v>122</v>
      </c>
      <c r="E895" t="str">
        <f>VLOOKUP(D895,'Lista de Produtos CLASSIFICAÇÃO'!$A$103:$B$144,2,FALSE)</f>
        <v>Óleo Vegetal</v>
      </c>
      <c r="F895" s="55">
        <v>162891</v>
      </c>
      <c r="G895" s="56" t="str">
        <f>VLOOKUP(C895,clientes!$C$3:$D$60,2,FALSE)</f>
        <v>ADM</v>
      </c>
    </row>
    <row r="896" spans="1:7" x14ac:dyDescent="0.25">
      <c r="A896">
        <v>2023</v>
      </c>
      <c r="B896" t="s">
        <v>134</v>
      </c>
      <c r="C896" t="s">
        <v>158</v>
      </c>
      <c r="D896" t="s">
        <v>120</v>
      </c>
      <c r="E896" t="str">
        <f>VLOOKUP(D896,'Lista de Produtos CLASSIFICAÇÃO'!$A$103:$B$144,2,FALSE)</f>
        <v>Derivados</v>
      </c>
      <c r="F896" s="55">
        <v>6086965</v>
      </c>
      <c r="G896" s="56" t="str">
        <f>VLOOKUP(C896,clientes!$C$3:$D$60,2,FALSE)</f>
        <v>IPIRANGA</v>
      </c>
    </row>
    <row r="897" spans="1:7" x14ac:dyDescent="0.25">
      <c r="A897">
        <v>2023</v>
      </c>
      <c r="B897" t="s">
        <v>134</v>
      </c>
      <c r="C897" t="s">
        <v>159</v>
      </c>
      <c r="D897" t="s">
        <v>120</v>
      </c>
      <c r="E897" t="str">
        <f>VLOOKUP(D897,'Lista de Produtos CLASSIFICAÇÃO'!$A$103:$B$144,2,FALSE)</f>
        <v>Derivados</v>
      </c>
      <c r="F897" s="55">
        <v>4164996</v>
      </c>
      <c r="G897" s="56" t="str">
        <f>VLOOKUP(C897,clientes!$C$3:$D$60,2,FALSE)</f>
        <v>RAIZEN</v>
      </c>
    </row>
    <row r="898" spans="1:7" x14ac:dyDescent="0.25">
      <c r="A898">
        <v>2023</v>
      </c>
      <c r="B898" t="s">
        <v>134</v>
      </c>
      <c r="C898" t="s">
        <v>160</v>
      </c>
      <c r="D898" t="s">
        <v>120</v>
      </c>
      <c r="E898" t="str">
        <f>VLOOKUP(D898,'Lista de Produtos CLASSIFICAÇÃO'!$A$103:$B$144,2,FALSE)</f>
        <v>Derivados</v>
      </c>
      <c r="F898" s="55">
        <v>1750502</v>
      </c>
      <c r="G898" s="56" t="str">
        <f>VLOOKUP(C898,clientes!$C$3:$D$60,2,FALSE)</f>
        <v>VIBRA</v>
      </c>
    </row>
    <row r="899" spans="1:7" x14ac:dyDescent="0.25">
      <c r="A899">
        <v>2023</v>
      </c>
      <c r="B899" t="s">
        <v>134</v>
      </c>
      <c r="C899" t="s">
        <v>161</v>
      </c>
      <c r="D899" t="s">
        <v>120</v>
      </c>
      <c r="E899" t="str">
        <f>VLOOKUP(D899,'Lista de Produtos CLASSIFICAÇÃO'!$A$103:$B$144,2,FALSE)</f>
        <v>Derivados</v>
      </c>
      <c r="F899" s="55">
        <v>2379391</v>
      </c>
      <c r="G899" s="56" t="str">
        <f>VLOOKUP(C899,clientes!$C$3:$D$60,2,FALSE)</f>
        <v>SUL PLATA</v>
      </c>
    </row>
    <row r="900" spans="1:7" x14ac:dyDescent="0.25">
      <c r="A900">
        <v>2023</v>
      </c>
      <c r="B900" t="s">
        <v>134</v>
      </c>
      <c r="C900" t="s">
        <v>195</v>
      </c>
      <c r="D900" t="s">
        <v>115</v>
      </c>
      <c r="E900" t="str">
        <f>VLOOKUP(D900,'Lista de Produtos CLASSIFICAÇÃO'!$A$103:$B$144,2,FALSE)</f>
        <v>Soda Caustica</v>
      </c>
      <c r="F900" s="55">
        <v>70663</v>
      </c>
      <c r="G900" s="56" t="str">
        <f>VLOOKUP(C900,clientes!$C$3:$D$60,2,FALSE)</f>
        <v>PROJESAN</v>
      </c>
    </row>
    <row r="901" spans="1:7" x14ac:dyDescent="0.25">
      <c r="A901">
        <v>2023</v>
      </c>
      <c r="B901" t="s">
        <v>134</v>
      </c>
      <c r="C901" t="s">
        <v>162</v>
      </c>
      <c r="D901" t="s">
        <v>115</v>
      </c>
      <c r="E901" t="str">
        <f>VLOOKUP(D901,'Lista de Produtos CLASSIFICAÇÃO'!$A$103:$B$144,2,FALSE)</f>
        <v>Soda Caustica</v>
      </c>
      <c r="F901" s="55">
        <v>144366</v>
      </c>
      <c r="G901" s="56" t="str">
        <f>VLOOKUP(C901,clientes!$C$3:$D$60,2,FALSE)</f>
        <v>JBS</v>
      </c>
    </row>
    <row r="902" spans="1:7" x14ac:dyDescent="0.25">
      <c r="A902">
        <v>2023</v>
      </c>
      <c r="B902" t="s">
        <v>134</v>
      </c>
      <c r="C902" t="s">
        <v>163</v>
      </c>
      <c r="D902" t="s">
        <v>115</v>
      </c>
      <c r="E902" t="str">
        <f>VLOOKUP(D902,'Lista de Produtos CLASSIFICAÇÃO'!$A$103:$B$144,2,FALSE)</f>
        <v>Soda Caustica</v>
      </c>
      <c r="F902" s="55">
        <v>623815</v>
      </c>
      <c r="G902" s="56" t="str">
        <f>VLOOKUP(C902,clientes!$C$3:$D$60,2,FALSE)</f>
        <v>TRICON ENERGY</v>
      </c>
    </row>
    <row r="903" spans="1:7" x14ac:dyDescent="0.25">
      <c r="A903">
        <v>2023</v>
      </c>
      <c r="B903" t="s">
        <v>134</v>
      </c>
      <c r="C903" t="s">
        <v>164</v>
      </c>
      <c r="D903" t="s">
        <v>115</v>
      </c>
      <c r="E903" t="str">
        <f>VLOOKUP(D903,'Lista de Produtos CLASSIFICAÇÃO'!$A$103:$B$144,2,FALSE)</f>
        <v>Soda Caustica</v>
      </c>
      <c r="F903" s="55">
        <v>227731</v>
      </c>
      <c r="G903" s="56" t="str">
        <f>VLOOKUP(C903,clientes!$C$3:$D$60,2,FALSE)</f>
        <v>BRASKEM</v>
      </c>
    </row>
    <row r="904" spans="1:7" x14ac:dyDescent="0.25">
      <c r="A904">
        <v>2023</v>
      </c>
      <c r="B904" t="s">
        <v>134</v>
      </c>
      <c r="C904" t="s">
        <v>165</v>
      </c>
      <c r="D904" t="s">
        <v>123</v>
      </c>
      <c r="E904" t="str">
        <f>VLOOKUP(D904,'Lista de Produtos CLASSIFICAÇÃO'!$A$103:$B$144,2,FALSE)</f>
        <v>Aquecidos</v>
      </c>
      <c r="F904" s="55">
        <v>896000</v>
      </c>
      <c r="G904" s="56" t="str">
        <f>VLOOKUP(C904,clientes!$C$3:$D$60,2,FALSE)</f>
        <v>BRF</v>
      </c>
    </row>
    <row r="905" spans="1:7" x14ac:dyDescent="0.25">
      <c r="A905">
        <v>2023</v>
      </c>
      <c r="B905" t="s">
        <v>134</v>
      </c>
      <c r="C905" t="s">
        <v>162</v>
      </c>
      <c r="D905" t="s">
        <v>123</v>
      </c>
      <c r="E905" t="str">
        <f>VLOOKUP(D905,'Lista de Produtos CLASSIFICAÇÃO'!$A$103:$B$144,2,FALSE)</f>
        <v>Aquecidos</v>
      </c>
      <c r="F905" s="55">
        <v>462720</v>
      </c>
      <c r="G905" s="56" t="str">
        <f>VLOOKUP(C905,clientes!$C$3:$D$60,2,FALSE)</f>
        <v>JBS</v>
      </c>
    </row>
    <row r="906" spans="1:7" x14ac:dyDescent="0.25">
      <c r="A906">
        <v>2023</v>
      </c>
      <c r="B906" t="s">
        <v>134</v>
      </c>
      <c r="C906" t="s">
        <v>166</v>
      </c>
      <c r="D906" t="s">
        <v>123</v>
      </c>
      <c r="E906" t="str">
        <f>VLOOKUP(D906,'Lista de Produtos CLASSIFICAÇÃO'!$A$103:$B$144,2,FALSE)</f>
        <v>Aquecidos</v>
      </c>
      <c r="F906" s="55">
        <v>359896</v>
      </c>
      <c r="G906" s="56" t="str">
        <f>VLOOKUP(C906,clientes!$C$3:$D$60,2,FALSE)</f>
        <v>CARGILL</v>
      </c>
    </row>
    <row r="907" spans="1:7" x14ac:dyDescent="0.25">
      <c r="A907">
        <v>2023</v>
      </c>
      <c r="B907" t="s">
        <v>134</v>
      </c>
      <c r="C907" t="s">
        <v>167</v>
      </c>
      <c r="D907" t="s">
        <v>122</v>
      </c>
      <c r="E907" t="str">
        <f>VLOOKUP(D907,'Lista de Produtos CLASSIFICAÇÃO'!$A$103:$B$144,2,FALSE)</f>
        <v>Óleo Vegetal</v>
      </c>
      <c r="F907" s="55">
        <v>7730893</v>
      </c>
      <c r="G907" s="56" t="str">
        <f>VLOOKUP(C907,clientes!$C$3:$D$60,2,FALSE)</f>
        <v>POOL</v>
      </c>
    </row>
    <row r="908" spans="1:7" x14ac:dyDescent="0.25">
      <c r="A908">
        <v>2023</v>
      </c>
      <c r="B908" t="s">
        <v>134</v>
      </c>
      <c r="C908" t="s">
        <v>168</v>
      </c>
      <c r="D908" t="s">
        <v>122</v>
      </c>
      <c r="E908" t="str">
        <f>VLOOKUP(D908,'Lista de Produtos CLASSIFICAÇÃO'!$A$103:$B$144,2,FALSE)</f>
        <v>Óleo Vegetal</v>
      </c>
      <c r="F908" s="55">
        <v>147702</v>
      </c>
      <c r="G908" s="56" t="str">
        <f>VLOOKUP(C908,clientes!$C$3:$D$60,2,FALSE)</f>
        <v>POOL EXCEDENTE</v>
      </c>
    </row>
    <row r="909" spans="1:7" x14ac:dyDescent="0.25">
      <c r="A909">
        <v>2023</v>
      </c>
      <c r="B909" t="s">
        <v>134</v>
      </c>
      <c r="C909" t="s">
        <v>169</v>
      </c>
      <c r="D909" t="s">
        <v>22</v>
      </c>
      <c r="E909" t="str">
        <f>VLOOKUP(D909,'Lista de Produtos CLASSIFICAÇÃO'!$A$103:$B$144,2,FALSE)</f>
        <v>Metanol</v>
      </c>
      <c r="F909" s="55">
        <v>5364738</v>
      </c>
      <c r="G909" s="56" t="str">
        <f>VLOOKUP(C909,clientes!$C$3:$D$60,2,FALSE)</f>
        <v>METHANEX</v>
      </c>
    </row>
    <row r="910" spans="1:7" x14ac:dyDescent="0.25">
      <c r="A910">
        <v>2023</v>
      </c>
      <c r="B910" t="s">
        <v>134</v>
      </c>
      <c r="C910" t="s">
        <v>170</v>
      </c>
      <c r="D910" t="s">
        <v>22</v>
      </c>
      <c r="E910" t="str">
        <f>VLOOKUP(D910,'Lista de Produtos CLASSIFICAÇÃO'!$A$103:$B$144,2,FALSE)</f>
        <v>Metanol</v>
      </c>
      <c r="F910" s="55">
        <v>3200617</v>
      </c>
      <c r="G910" s="56" t="str">
        <f>VLOOKUP(C910,clientes!$C$3:$D$60,2,FALSE)</f>
        <v>MITSUBISHI</v>
      </c>
    </row>
    <row r="911" spans="1:7" x14ac:dyDescent="0.25">
      <c r="A911">
        <v>2023</v>
      </c>
      <c r="B911" t="s">
        <v>134</v>
      </c>
      <c r="C911" t="s">
        <v>196</v>
      </c>
      <c r="D911" t="s">
        <v>22</v>
      </c>
      <c r="E911" t="str">
        <f>VLOOKUP(D911,'Lista de Produtos CLASSIFICAÇÃO'!$A$103:$B$144,2,FALSE)</f>
        <v>Metanol</v>
      </c>
      <c r="F911" s="55">
        <v>5503073</v>
      </c>
      <c r="G911" s="56" t="str">
        <f>VLOOKUP(C911,clientes!$C$3:$D$60,2,FALSE)</f>
        <v>SCC</v>
      </c>
    </row>
    <row r="912" spans="1:7" x14ac:dyDescent="0.25">
      <c r="A912">
        <v>2023</v>
      </c>
      <c r="B912" t="s">
        <v>134</v>
      </c>
      <c r="C912" t="s">
        <v>172</v>
      </c>
      <c r="D912" t="s">
        <v>124</v>
      </c>
      <c r="E912" t="str">
        <f>VLOOKUP(D912,'Lista de Produtos CLASSIFICAÇÃO'!$A$103:$B$144,2,FALSE)</f>
        <v>Outros</v>
      </c>
      <c r="F912" s="55">
        <v>297306</v>
      </c>
      <c r="G912" s="56" t="str">
        <f>VLOOKUP(C912,clientes!$C$3:$D$60,2,FALSE)</f>
        <v>EVONIK</v>
      </c>
    </row>
    <row r="913" spans="1:7" x14ac:dyDescent="0.25">
      <c r="A913">
        <v>2023</v>
      </c>
      <c r="B913" t="s">
        <v>134</v>
      </c>
      <c r="C913" t="s">
        <v>173</v>
      </c>
      <c r="D913" t="s">
        <v>22</v>
      </c>
      <c r="E913" t="str">
        <f>VLOOKUP(D913,'Lista de Produtos CLASSIFICAÇÃO'!$A$103:$B$144,2,FALSE)</f>
        <v>Metanol</v>
      </c>
      <c r="F913" s="55">
        <v>515367</v>
      </c>
      <c r="G913" s="56" t="str">
        <f>VLOOKUP(C913,clientes!$C$3:$D$60,2,FALSE)</f>
        <v>YPF SOCIEDAD ANONIMA</v>
      </c>
    </row>
    <row r="914" spans="1:7" x14ac:dyDescent="0.25">
      <c r="A914">
        <v>2023</v>
      </c>
      <c r="B914" t="s">
        <v>134</v>
      </c>
      <c r="C914" t="s">
        <v>197</v>
      </c>
      <c r="D914" t="s">
        <v>85</v>
      </c>
      <c r="E914" t="str">
        <f>VLOOKUP(D914,'Lista de Produtos CLASSIFICAÇÃO'!$A$103:$B$144,2,FALSE)</f>
        <v>Outros</v>
      </c>
      <c r="F914" s="55">
        <v>125795</v>
      </c>
      <c r="G914" s="56" t="str">
        <f>VLOOKUP(C914,clientes!$C$3:$D$60,2,FALSE)</f>
        <v>DRT</v>
      </c>
    </row>
    <row r="915" spans="1:7" x14ac:dyDescent="0.25">
      <c r="A915">
        <v>2023</v>
      </c>
      <c r="B915" t="s">
        <v>134</v>
      </c>
      <c r="C915" t="s">
        <v>198</v>
      </c>
      <c r="D915" t="s">
        <v>121</v>
      </c>
      <c r="E915" t="str">
        <f>VLOOKUP(D915,'Lista de Produtos CLASSIFICAÇÃO'!$A$103:$B$144,2,FALSE)</f>
        <v>Biocombustíveis</v>
      </c>
      <c r="F915" s="55">
        <v>0</v>
      </c>
      <c r="G915" s="56" t="str">
        <f>VLOOKUP(C915,clientes!$C$3:$D$60,2,FALSE)</f>
        <v>TEREOS / INPASA / GLENCORE</v>
      </c>
    </row>
    <row r="916" spans="1:7" x14ac:dyDescent="0.25">
      <c r="A916">
        <v>2023</v>
      </c>
      <c r="B916" t="s">
        <v>134</v>
      </c>
      <c r="C916" t="s">
        <v>174</v>
      </c>
      <c r="D916" t="s">
        <v>123</v>
      </c>
      <c r="E916" t="str">
        <f>VLOOKUP(D916,'Lista de Produtos CLASSIFICAÇÃO'!$A$103:$B$144,2,FALSE)</f>
        <v>Aquecidos</v>
      </c>
      <c r="F916" s="55">
        <v>795585</v>
      </c>
      <c r="G916" s="56" t="str">
        <f>VLOOKUP(C916,clientes!$C$3:$D$60,2,FALSE)</f>
        <v>CELENA</v>
      </c>
    </row>
    <row r="917" spans="1:7" x14ac:dyDescent="0.25">
      <c r="A917">
        <v>2023</v>
      </c>
      <c r="B917" t="s">
        <v>134</v>
      </c>
      <c r="C917" t="s">
        <v>175</v>
      </c>
      <c r="D917" t="s">
        <v>123</v>
      </c>
      <c r="E917" t="str">
        <f>VLOOKUP(D917,'Lista de Produtos CLASSIFICAÇÃO'!$A$103:$B$144,2,FALSE)</f>
        <v>Aquecidos</v>
      </c>
      <c r="F917" s="55">
        <v>446949</v>
      </c>
      <c r="G917" s="56" t="str">
        <f>VLOOKUP(C917,clientes!$C$3:$D$60,2,FALSE)</f>
        <v>AAK DO BRASIL</v>
      </c>
    </row>
    <row r="918" spans="1:7" x14ac:dyDescent="0.25">
      <c r="A918">
        <v>2023</v>
      </c>
      <c r="B918" t="s">
        <v>134</v>
      </c>
      <c r="C918" t="s">
        <v>166</v>
      </c>
      <c r="D918" t="s">
        <v>122</v>
      </c>
      <c r="E918" t="str">
        <f>VLOOKUP(D918,'Lista de Produtos CLASSIFICAÇÃO'!$A$103:$B$144,2,FALSE)</f>
        <v>Óleo Vegetal</v>
      </c>
      <c r="F918" s="55">
        <v>278952</v>
      </c>
      <c r="G918" s="56" t="str">
        <f>VLOOKUP(C918,clientes!$C$3:$D$60,2,FALSE)</f>
        <v>CARGILL</v>
      </c>
    </row>
    <row r="919" spans="1:7" x14ac:dyDescent="0.25">
      <c r="A919">
        <v>2023</v>
      </c>
      <c r="B919" t="s">
        <v>134</v>
      </c>
      <c r="C919" t="s">
        <v>176</v>
      </c>
      <c r="D919" t="s">
        <v>123</v>
      </c>
      <c r="E919" t="str">
        <f>VLOOKUP(D919,'Lista de Produtos CLASSIFICAÇÃO'!$A$103:$B$144,2,FALSE)</f>
        <v>Aquecidos</v>
      </c>
      <c r="F919" s="55">
        <v>268238</v>
      </c>
      <c r="G919" s="56" t="str">
        <f>VLOOKUP(C919,clientes!$C$3:$D$60,2,FALSE)</f>
        <v>AGROPALMA</v>
      </c>
    </row>
    <row r="920" spans="1:7" x14ac:dyDescent="0.25">
      <c r="A920">
        <v>2023</v>
      </c>
      <c r="B920" t="s">
        <v>134</v>
      </c>
      <c r="C920" t="s">
        <v>177</v>
      </c>
      <c r="D920" t="s">
        <v>115</v>
      </c>
      <c r="E920" t="str">
        <f>VLOOKUP(D920,'Lista de Produtos CLASSIFICAÇÃO'!$A$103:$B$144,2,FALSE)</f>
        <v>Soda Caustica</v>
      </c>
      <c r="F920" s="55">
        <v>318237</v>
      </c>
      <c r="G920" s="56" t="str">
        <f>VLOOKUP(C920,clientes!$C$3:$D$60,2,FALSE)</f>
        <v>BRENNTAG</v>
      </c>
    </row>
    <row r="921" spans="1:7" x14ac:dyDescent="0.25">
      <c r="A921">
        <v>2023</v>
      </c>
      <c r="B921" t="s">
        <v>134</v>
      </c>
      <c r="C921" t="s">
        <v>178</v>
      </c>
      <c r="D921" t="s">
        <v>115</v>
      </c>
      <c r="E921" t="str">
        <f>VLOOKUP(D921,'Lista de Produtos CLASSIFICAÇÃO'!$A$103:$B$144,2,FALSE)</f>
        <v>Soda Caustica</v>
      </c>
      <c r="F921" s="55">
        <v>1501777</v>
      </c>
      <c r="G921" s="56" t="str">
        <f>VLOOKUP(C921,clientes!$C$3:$D$60,2,FALSE)</f>
        <v>OLIN BLUE CUBE</v>
      </c>
    </row>
    <row r="922" spans="1:7" x14ac:dyDescent="0.25">
      <c r="A922">
        <v>2023</v>
      </c>
      <c r="B922" t="s">
        <v>134</v>
      </c>
      <c r="C922" t="s">
        <v>179</v>
      </c>
      <c r="D922" t="s">
        <v>26</v>
      </c>
      <c r="E922" t="str">
        <f>VLOOKUP(D922,'Lista de Produtos CLASSIFICAÇÃO'!$A$103:$B$144,2,FALSE)</f>
        <v>Biocombustíveis</v>
      </c>
      <c r="F922" s="55">
        <v>325050</v>
      </c>
      <c r="G922" s="56" t="str">
        <f>VLOOKUP(C922,clientes!$C$3:$D$60,2,FALSE)</f>
        <v>BSBIOS</v>
      </c>
    </row>
    <row r="923" spans="1:7" x14ac:dyDescent="0.25">
      <c r="A923">
        <v>2023</v>
      </c>
      <c r="B923" t="s">
        <v>134</v>
      </c>
      <c r="C923" t="s">
        <v>180</v>
      </c>
      <c r="D923" t="s">
        <v>30</v>
      </c>
      <c r="E923" t="str">
        <f>VLOOKUP(D923,'Lista de Produtos CLASSIFICAÇÃO'!$A$103:$B$144,2,FALSE)</f>
        <v>Outros</v>
      </c>
      <c r="F923" s="55">
        <v>215867</v>
      </c>
      <c r="G923" s="56" t="str">
        <f>VLOOKUP(C923,clientes!$C$3:$D$60,2,FALSE)</f>
        <v>TRICHEM</v>
      </c>
    </row>
    <row r="924" spans="1:7" x14ac:dyDescent="0.25">
      <c r="A924">
        <v>2023</v>
      </c>
      <c r="B924" t="s">
        <v>134</v>
      </c>
      <c r="C924" t="s">
        <v>181</v>
      </c>
      <c r="D924" t="s">
        <v>123</v>
      </c>
      <c r="E924" t="str">
        <f>VLOOKUP(D924,'Lista de Produtos CLASSIFICAÇÃO'!$A$103:$B$144,2,FALSE)</f>
        <v>Aquecidos</v>
      </c>
      <c r="F924" s="55">
        <v>249297</v>
      </c>
      <c r="G924" s="56" t="str">
        <f>VLOOKUP(C924,clientes!$C$3:$D$60,2,FALSE)</f>
        <v>COAMO</v>
      </c>
    </row>
    <row r="925" spans="1:7" x14ac:dyDescent="0.25">
      <c r="A925">
        <v>2023</v>
      </c>
      <c r="B925" t="s">
        <v>134</v>
      </c>
      <c r="C925" t="s">
        <v>182</v>
      </c>
      <c r="D925" t="s">
        <v>120</v>
      </c>
      <c r="E925" t="str">
        <f>VLOOKUP(D925,'Lista de Produtos CLASSIFICAÇÃO'!$A$103:$B$144,2,FALSE)</f>
        <v>Derivados</v>
      </c>
      <c r="F925" s="55">
        <v>676544</v>
      </c>
      <c r="G925" s="56" t="str">
        <f>VLOOKUP(C925,clientes!$C$3:$D$60,2,FALSE)</f>
        <v>ATEM</v>
      </c>
    </row>
    <row r="926" spans="1:7" x14ac:dyDescent="0.25">
      <c r="A926">
        <v>2023</v>
      </c>
      <c r="B926" t="s">
        <v>135</v>
      </c>
      <c r="C926" s="56" t="s">
        <v>155</v>
      </c>
      <c r="D926" t="s">
        <v>16</v>
      </c>
      <c r="E926" t="str">
        <f>VLOOKUP(D926,'Lista de Produtos CLASSIFICAÇÃO'!$A$103:$B$144,2,FALSE)</f>
        <v>Outros</v>
      </c>
      <c r="F926" s="55">
        <v>764605</v>
      </c>
      <c r="G926" s="56" t="str">
        <f>VLOOKUP(C926,clientes!$C$3:$D$60,2,FALSE)</f>
        <v>ADISSEO</v>
      </c>
    </row>
    <row r="927" spans="1:7" x14ac:dyDescent="0.25">
      <c r="A927">
        <v>2023</v>
      </c>
      <c r="B927" t="s">
        <v>135</v>
      </c>
      <c r="C927" s="56" t="s">
        <v>156</v>
      </c>
      <c r="D927" t="s">
        <v>123</v>
      </c>
      <c r="E927" t="str">
        <f>VLOOKUP(D927,'Lista de Produtos CLASSIFICAÇÃO'!$A$103:$B$144,2,FALSE)</f>
        <v>Aquecidos</v>
      </c>
      <c r="F927" s="55">
        <v>339303</v>
      </c>
      <c r="G927" s="56" t="str">
        <f>VLOOKUP(C927,clientes!$C$3:$D$60,2,FALSE)</f>
        <v>BUNGE</v>
      </c>
    </row>
    <row r="928" spans="1:7" x14ac:dyDescent="0.25">
      <c r="A928">
        <v>2023</v>
      </c>
      <c r="B928" t="s">
        <v>135</v>
      </c>
      <c r="C928" s="56" t="s">
        <v>157</v>
      </c>
      <c r="D928" t="s">
        <v>122</v>
      </c>
      <c r="E928" t="str">
        <f>VLOOKUP(D928,'Lista de Produtos CLASSIFICAÇÃO'!$A$103:$B$144,2,FALSE)</f>
        <v>Óleo Vegetal</v>
      </c>
      <c r="F928" s="55">
        <v>162891</v>
      </c>
      <c r="G928" s="56" t="str">
        <f>VLOOKUP(C928,clientes!$C$3:$D$60,2,FALSE)</f>
        <v>ADM</v>
      </c>
    </row>
    <row r="929" spans="1:7" x14ac:dyDescent="0.25">
      <c r="A929">
        <v>2023</v>
      </c>
      <c r="B929" t="s">
        <v>135</v>
      </c>
      <c r="C929" s="56" t="s">
        <v>158</v>
      </c>
      <c r="D929" t="s">
        <v>120</v>
      </c>
      <c r="E929" t="str">
        <f>VLOOKUP(D929,'Lista de Produtos CLASSIFICAÇÃO'!$A$103:$B$144,2,FALSE)</f>
        <v>Derivados</v>
      </c>
      <c r="F929" s="55">
        <v>6086965</v>
      </c>
      <c r="G929" s="56" t="str">
        <f>VLOOKUP(C929,clientes!$C$3:$D$60,2,FALSE)</f>
        <v>IPIRANGA</v>
      </c>
    </row>
    <row r="930" spans="1:7" x14ac:dyDescent="0.25">
      <c r="A930">
        <v>2023</v>
      </c>
      <c r="B930" t="s">
        <v>135</v>
      </c>
      <c r="C930" s="56" t="s">
        <v>159</v>
      </c>
      <c r="D930" t="s">
        <v>120</v>
      </c>
      <c r="E930" t="str">
        <f>VLOOKUP(D930,'Lista de Produtos CLASSIFICAÇÃO'!$A$103:$B$144,2,FALSE)</f>
        <v>Derivados</v>
      </c>
      <c r="F930" s="55">
        <v>4164996</v>
      </c>
      <c r="G930" s="56" t="str">
        <f>VLOOKUP(C930,clientes!$C$3:$D$60,2,FALSE)</f>
        <v>RAIZEN</v>
      </c>
    </row>
    <row r="931" spans="1:7" x14ac:dyDescent="0.25">
      <c r="A931">
        <v>2023</v>
      </c>
      <c r="B931" t="s">
        <v>135</v>
      </c>
      <c r="C931" s="56" t="s">
        <v>160</v>
      </c>
      <c r="D931" t="s">
        <v>120</v>
      </c>
      <c r="E931" t="str">
        <f>VLOOKUP(D931,'Lista de Produtos CLASSIFICAÇÃO'!$A$103:$B$144,2,FALSE)</f>
        <v>Derivados</v>
      </c>
      <c r="F931" s="55">
        <v>1750502</v>
      </c>
      <c r="G931" s="56" t="str">
        <f>VLOOKUP(C931,clientes!$C$3:$D$60,2,FALSE)</f>
        <v>VIBRA</v>
      </c>
    </row>
    <row r="932" spans="1:7" x14ac:dyDescent="0.25">
      <c r="A932">
        <v>2023</v>
      </c>
      <c r="B932" t="s">
        <v>135</v>
      </c>
      <c r="C932" s="56" t="s">
        <v>161</v>
      </c>
      <c r="D932" t="s">
        <v>120</v>
      </c>
      <c r="E932" t="str">
        <f>VLOOKUP(D932,'Lista de Produtos CLASSIFICAÇÃO'!$A$103:$B$144,2,FALSE)</f>
        <v>Derivados</v>
      </c>
      <c r="F932" s="55">
        <v>2379391</v>
      </c>
      <c r="G932" s="56" t="str">
        <f>VLOOKUP(C932,clientes!$C$3:$D$60,2,FALSE)</f>
        <v>SUL PLATA</v>
      </c>
    </row>
    <row r="933" spans="1:7" x14ac:dyDescent="0.25">
      <c r="A933">
        <v>2023</v>
      </c>
      <c r="B933" t="s">
        <v>135</v>
      </c>
      <c r="C933" s="56" t="s">
        <v>195</v>
      </c>
      <c r="D933" t="s">
        <v>115</v>
      </c>
      <c r="E933" t="str">
        <f>VLOOKUP(D933,'Lista de Produtos CLASSIFICAÇÃO'!$A$103:$B$144,2,FALSE)</f>
        <v>Soda Caustica</v>
      </c>
      <c r="F933" s="55">
        <v>81453</v>
      </c>
      <c r="G933" s="56" t="str">
        <f>VLOOKUP(C933,clientes!$C$3:$D$60,2,FALSE)</f>
        <v>PROJESAN</v>
      </c>
    </row>
    <row r="934" spans="1:7" x14ac:dyDescent="0.25">
      <c r="A934">
        <v>2023</v>
      </c>
      <c r="B934" t="s">
        <v>135</v>
      </c>
      <c r="C934" s="56" t="s">
        <v>162</v>
      </c>
      <c r="D934" t="s">
        <v>115</v>
      </c>
      <c r="E934" t="str">
        <f>VLOOKUP(D934,'Lista de Produtos CLASSIFICAÇÃO'!$A$103:$B$144,2,FALSE)</f>
        <v>Soda Caustica</v>
      </c>
      <c r="F934" s="55">
        <v>144366</v>
      </c>
      <c r="G934" s="56" t="str">
        <f>VLOOKUP(C934,clientes!$C$3:$D$60,2,FALSE)</f>
        <v>JBS</v>
      </c>
    </row>
    <row r="935" spans="1:7" x14ac:dyDescent="0.25">
      <c r="A935">
        <v>2023</v>
      </c>
      <c r="B935" t="s">
        <v>135</v>
      </c>
      <c r="C935" s="56" t="s">
        <v>163</v>
      </c>
      <c r="D935" t="s">
        <v>115</v>
      </c>
      <c r="E935" t="str">
        <f>VLOOKUP(D935,'Lista de Produtos CLASSIFICAÇÃO'!$A$103:$B$144,2,FALSE)</f>
        <v>Soda Caustica</v>
      </c>
      <c r="F935" s="55">
        <v>623815</v>
      </c>
      <c r="G935" s="56" t="str">
        <f>VLOOKUP(C935,clientes!$C$3:$D$60,2,FALSE)</f>
        <v>TRICON ENERGY</v>
      </c>
    </row>
    <row r="936" spans="1:7" x14ac:dyDescent="0.25">
      <c r="A936">
        <v>2023</v>
      </c>
      <c r="B936" t="s">
        <v>135</v>
      </c>
      <c r="C936" s="56" t="s">
        <v>164</v>
      </c>
      <c r="D936" t="s">
        <v>115</v>
      </c>
      <c r="E936" t="str">
        <f>VLOOKUP(D936,'Lista de Produtos CLASSIFICAÇÃO'!$A$103:$B$144,2,FALSE)</f>
        <v>Soda Caustica</v>
      </c>
      <c r="F936" s="55">
        <v>227731</v>
      </c>
      <c r="G936" s="56" t="str">
        <f>VLOOKUP(C936,clientes!$C$3:$D$60,2,FALSE)</f>
        <v>BRASKEM</v>
      </c>
    </row>
    <row r="937" spans="1:7" x14ac:dyDescent="0.25">
      <c r="A937">
        <v>2023</v>
      </c>
      <c r="B937" t="s">
        <v>135</v>
      </c>
      <c r="C937" s="56" t="s">
        <v>165</v>
      </c>
      <c r="D937" t="s">
        <v>123</v>
      </c>
      <c r="E937" t="str">
        <f>VLOOKUP(D937,'Lista de Produtos CLASSIFICAÇÃO'!$A$103:$B$144,2,FALSE)</f>
        <v>Aquecidos</v>
      </c>
      <c r="F937" s="55">
        <v>947162</v>
      </c>
      <c r="G937" s="56" t="str">
        <f>VLOOKUP(C937,clientes!$C$3:$D$60,2,FALSE)</f>
        <v>BRF</v>
      </c>
    </row>
    <row r="938" spans="1:7" x14ac:dyDescent="0.25">
      <c r="A938">
        <v>2023</v>
      </c>
      <c r="B938" t="s">
        <v>135</v>
      </c>
      <c r="C938" s="56" t="s">
        <v>162</v>
      </c>
      <c r="D938" t="s">
        <v>123</v>
      </c>
      <c r="E938" t="str">
        <f>VLOOKUP(D938,'Lista de Produtos CLASSIFICAÇÃO'!$A$103:$B$144,2,FALSE)</f>
        <v>Aquecidos</v>
      </c>
      <c r="F938" s="55">
        <v>462720</v>
      </c>
      <c r="G938" s="56" t="str">
        <f>VLOOKUP(C938,clientes!$C$3:$D$60,2,FALSE)</f>
        <v>JBS</v>
      </c>
    </row>
    <row r="939" spans="1:7" x14ac:dyDescent="0.25">
      <c r="A939">
        <v>2023</v>
      </c>
      <c r="B939" t="s">
        <v>135</v>
      </c>
      <c r="C939" s="56" t="s">
        <v>166</v>
      </c>
      <c r="D939" t="s">
        <v>123</v>
      </c>
      <c r="E939" t="str">
        <f>VLOOKUP(D939,'Lista de Produtos CLASSIFICAÇÃO'!$A$103:$B$144,2,FALSE)</f>
        <v>Aquecidos</v>
      </c>
      <c r="F939" s="55">
        <v>359896</v>
      </c>
      <c r="G939" s="56" t="str">
        <f>VLOOKUP(C939,clientes!$C$3:$D$60,2,FALSE)</f>
        <v>CARGILL</v>
      </c>
    </row>
    <row r="940" spans="1:7" x14ac:dyDescent="0.25">
      <c r="A940">
        <v>2023</v>
      </c>
      <c r="B940" t="s">
        <v>135</v>
      </c>
      <c r="C940" s="56" t="s">
        <v>167</v>
      </c>
      <c r="D940" t="s">
        <v>122</v>
      </c>
      <c r="E940" t="str">
        <f>VLOOKUP(D940,'Lista de Produtos CLASSIFICAÇÃO'!$A$103:$B$144,2,FALSE)</f>
        <v>Óleo Vegetal</v>
      </c>
      <c r="F940" s="55">
        <v>10568225</v>
      </c>
      <c r="G940" s="56" t="str">
        <f>VLOOKUP(C940,clientes!$C$3:$D$60,2,FALSE)</f>
        <v>POOL</v>
      </c>
    </row>
    <row r="941" spans="1:7" x14ac:dyDescent="0.25">
      <c r="A941">
        <v>2023</v>
      </c>
      <c r="B941" t="s">
        <v>135</v>
      </c>
      <c r="C941" s="56" t="s">
        <v>168</v>
      </c>
      <c r="D941" t="s">
        <v>122</v>
      </c>
      <c r="E941" t="str">
        <f>VLOOKUP(D941,'Lista de Produtos CLASSIFICAÇÃO'!$A$103:$B$144,2,FALSE)</f>
        <v>Óleo Vegetal</v>
      </c>
      <c r="F941" s="55">
        <v>147702</v>
      </c>
      <c r="G941" s="56" t="str">
        <f>VLOOKUP(C941,clientes!$C$3:$D$60,2,FALSE)</f>
        <v>POOL EXCEDENTE</v>
      </c>
    </row>
    <row r="942" spans="1:7" x14ac:dyDescent="0.25">
      <c r="A942">
        <v>2023</v>
      </c>
      <c r="B942" t="s">
        <v>135</v>
      </c>
      <c r="C942" s="56" t="s">
        <v>169</v>
      </c>
      <c r="D942" t="s">
        <v>22</v>
      </c>
      <c r="E942" t="str">
        <f>VLOOKUP(D942,'Lista de Produtos CLASSIFICAÇÃO'!$A$103:$B$144,2,FALSE)</f>
        <v>Metanol</v>
      </c>
      <c r="F942" s="55">
        <v>5364738</v>
      </c>
      <c r="G942" s="56" t="str">
        <f>VLOOKUP(C942,clientes!$C$3:$D$60,2,FALSE)</f>
        <v>METHANEX</v>
      </c>
    </row>
    <row r="943" spans="1:7" x14ac:dyDescent="0.25">
      <c r="A943">
        <v>2023</v>
      </c>
      <c r="B943" t="s">
        <v>135</v>
      </c>
      <c r="C943" s="56" t="s">
        <v>170</v>
      </c>
      <c r="D943" t="s">
        <v>22</v>
      </c>
      <c r="E943" t="str">
        <f>VLOOKUP(D943,'Lista de Produtos CLASSIFICAÇÃO'!$A$103:$B$144,2,FALSE)</f>
        <v>Metanol</v>
      </c>
      <c r="F943" s="55">
        <v>3200617</v>
      </c>
      <c r="G943" s="56" t="str">
        <f>VLOOKUP(C943,clientes!$C$3:$D$60,2,FALSE)</f>
        <v>MITSUBISHI</v>
      </c>
    </row>
    <row r="944" spans="1:7" x14ac:dyDescent="0.25">
      <c r="A944">
        <v>2023</v>
      </c>
      <c r="B944" t="s">
        <v>135</v>
      </c>
      <c r="C944" s="56" t="s">
        <v>196</v>
      </c>
      <c r="D944" t="s">
        <v>22</v>
      </c>
      <c r="E944" t="str">
        <f>VLOOKUP(D944,'Lista de Produtos CLASSIFICAÇÃO'!$A$103:$B$144,2,FALSE)</f>
        <v>Metanol</v>
      </c>
      <c r="F944" s="55">
        <v>5503073</v>
      </c>
      <c r="G944" s="56" t="str">
        <f>VLOOKUP(C944,clientes!$C$3:$D$60,2,FALSE)</f>
        <v>SCC</v>
      </c>
    </row>
    <row r="945" spans="1:7" x14ac:dyDescent="0.25">
      <c r="A945">
        <v>2023</v>
      </c>
      <c r="B945" t="s">
        <v>135</v>
      </c>
      <c r="C945" s="56" t="s">
        <v>172</v>
      </c>
      <c r="D945" t="s">
        <v>124</v>
      </c>
      <c r="E945" t="str">
        <f>VLOOKUP(D945,'Lista de Produtos CLASSIFICAÇÃO'!$A$103:$B$144,2,FALSE)</f>
        <v>Outros</v>
      </c>
      <c r="F945" s="55">
        <v>297306</v>
      </c>
      <c r="G945" s="56" t="str">
        <f>VLOOKUP(C945,clientes!$C$3:$D$60,2,FALSE)</f>
        <v>EVONIK</v>
      </c>
    </row>
    <row r="946" spans="1:7" x14ac:dyDescent="0.25">
      <c r="A946">
        <v>2023</v>
      </c>
      <c r="B946" t="s">
        <v>135</v>
      </c>
      <c r="C946" s="56" t="s">
        <v>173</v>
      </c>
      <c r="D946" t="s">
        <v>22</v>
      </c>
      <c r="E946" t="str">
        <f>VLOOKUP(D946,'Lista de Produtos CLASSIFICAÇÃO'!$A$103:$B$144,2,FALSE)</f>
        <v>Metanol</v>
      </c>
      <c r="F946" s="55">
        <v>515367</v>
      </c>
      <c r="G946" s="56" t="str">
        <f>VLOOKUP(C946,clientes!$C$3:$D$60,2,FALSE)</f>
        <v>YPF SOCIEDAD ANONIMA</v>
      </c>
    </row>
    <row r="947" spans="1:7" x14ac:dyDescent="0.25">
      <c r="A947">
        <v>2023</v>
      </c>
      <c r="B947" t="s">
        <v>135</v>
      </c>
      <c r="C947" s="56" t="s">
        <v>197</v>
      </c>
      <c r="D947" t="s">
        <v>85</v>
      </c>
      <c r="E947" t="str">
        <f>VLOOKUP(D947,'Lista de Produtos CLASSIFICAÇÃO'!$A$103:$B$144,2,FALSE)</f>
        <v>Outros</v>
      </c>
      <c r="F947" s="55">
        <v>125795</v>
      </c>
      <c r="G947" s="56" t="str">
        <f>VLOOKUP(C947,clientes!$C$3:$D$60,2,FALSE)</f>
        <v>DRT</v>
      </c>
    </row>
    <row r="948" spans="1:7" x14ac:dyDescent="0.25">
      <c r="A948">
        <v>2023</v>
      </c>
      <c r="B948" t="s">
        <v>135</v>
      </c>
      <c r="C948" s="56" t="s">
        <v>198</v>
      </c>
      <c r="D948" t="s">
        <v>121</v>
      </c>
      <c r="E948" t="str">
        <f>VLOOKUP(D948,'Lista de Produtos CLASSIFICAÇÃO'!$A$103:$B$144,2,FALSE)</f>
        <v>Biocombustíveis</v>
      </c>
      <c r="F948" s="55">
        <v>750000</v>
      </c>
      <c r="G948" s="56" t="str">
        <f>VLOOKUP(C948,clientes!$C$3:$D$60,2,FALSE)</f>
        <v>TEREOS / INPASA / GLENCORE</v>
      </c>
    </row>
    <row r="949" spans="1:7" x14ac:dyDescent="0.25">
      <c r="A949">
        <v>2023</v>
      </c>
      <c r="B949" t="s">
        <v>135</v>
      </c>
      <c r="C949" s="56" t="s">
        <v>174</v>
      </c>
      <c r="D949" t="s">
        <v>123</v>
      </c>
      <c r="E949" t="str">
        <f>VLOOKUP(D949,'Lista de Produtos CLASSIFICAÇÃO'!$A$103:$B$144,2,FALSE)</f>
        <v>Aquecidos</v>
      </c>
      <c r="F949" s="55">
        <v>795585</v>
      </c>
      <c r="G949" s="56" t="str">
        <f>VLOOKUP(C949,clientes!$C$3:$D$60,2,FALSE)</f>
        <v>CELENA</v>
      </c>
    </row>
    <row r="950" spans="1:7" x14ac:dyDescent="0.25">
      <c r="A950">
        <v>2023</v>
      </c>
      <c r="B950" t="s">
        <v>135</v>
      </c>
      <c r="C950" s="56" t="s">
        <v>175</v>
      </c>
      <c r="D950" t="s">
        <v>123</v>
      </c>
      <c r="E950" t="str">
        <f>VLOOKUP(D950,'Lista de Produtos CLASSIFICAÇÃO'!$A$103:$B$144,2,FALSE)</f>
        <v>Aquecidos</v>
      </c>
      <c r="F950" s="55">
        <v>446949</v>
      </c>
      <c r="G950" s="56" t="str">
        <f>VLOOKUP(C950,clientes!$C$3:$D$60,2,FALSE)</f>
        <v>AAK DO BRASIL</v>
      </c>
    </row>
    <row r="951" spans="1:7" x14ac:dyDescent="0.25">
      <c r="A951">
        <v>2023</v>
      </c>
      <c r="B951" t="s">
        <v>135</v>
      </c>
      <c r="C951" s="56" t="s">
        <v>166</v>
      </c>
      <c r="D951" t="s">
        <v>122</v>
      </c>
      <c r="E951" t="str">
        <f>VLOOKUP(D951,'Lista de Produtos CLASSIFICAÇÃO'!$A$103:$B$144,2,FALSE)</f>
        <v>Óleo Vegetal</v>
      </c>
      <c r="F951" s="55">
        <v>278952</v>
      </c>
      <c r="G951" s="56" t="str">
        <f>VLOOKUP(C951,clientes!$C$3:$D$60,2,FALSE)</f>
        <v>CARGILL</v>
      </c>
    </row>
    <row r="952" spans="1:7" x14ac:dyDescent="0.25">
      <c r="A952">
        <v>2023</v>
      </c>
      <c r="B952" t="s">
        <v>135</v>
      </c>
      <c r="C952" s="56" t="s">
        <v>176</v>
      </c>
      <c r="D952" t="s">
        <v>123</v>
      </c>
      <c r="E952" t="str">
        <f>VLOOKUP(D952,'Lista de Produtos CLASSIFICAÇÃO'!$A$103:$B$144,2,FALSE)</f>
        <v>Aquecidos</v>
      </c>
      <c r="F952" s="55">
        <v>268238</v>
      </c>
      <c r="G952" s="56" t="str">
        <f>VLOOKUP(C952,clientes!$C$3:$D$60,2,FALSE)</f>
        <v>AGROPALMA</v>
      </c>
    </row>
    <row r="953" spans="1:7" x14ac:dyDescent="0.25">
      <c r="A953">
        <v>2023</v>
      </c>
      <c r="B953" t="s">
        <v>135</v>
      </c>
      <c r="C953" s="56" t="s">
        <v>177</v>
      </c>
      <c r="D953" t="s">
        <v>115</v>
      </c>
      <c r="E953" t="str">
        <f>VLOOKUP(D953,'Lista de Produtos CLASSIFICAÇÃO'!$A$103:$B$144,2,FALSE)</f>
        <v>Soda Caustica</v>
      </c>
      <c r="F953" s="55">
        <v>318237</v>
      </c>
      <c r="G953" s="56" t="str">
        <f>VLOOKUP(C953,clientes!$C$3:$D$60,2,FALSE)</f>
        <v>BRENNTAG</v>
      </c>
    </row>
    <row r="954" spans="1:7" x14ac:dyDescent="0.25">
      <c r="A954">
        <v>2023</v>
      </c>
      <c r="B954" t="s">
        <v>135</v>
      </c>
      <c r="C954" s="56" t="s">
        <v>178</v>
      </c>
      <c r="D954" t="s">
        <v>115</v>
      </c>
      <c r="E954" t="str">
        <f>VLOOKUP(D954,'Lista de Produtos CLASSIFICAÇÃO'!$A$103:$B$144,2,FALSE)</f>
        <v>Soda Caustica</v>
      </c>
      <c r="F954" s="55">
        <v>1501777</v>
      </c>
      <c r="G954" s="56" t="str">
        <f>VLOOKUP(C954,clientes!$C$3:$D$60,2,FALSE)</f>
        <v>OLIN BLUE CUBE</v>
      </c>
    </row>
    <row r="955" spans="1:7" x14ac:dyDescent="0.25">
      <c r="A955">
        <v>2023</v>
      </c>
      <c r="B955" t="s">
        <v>135</v>
      </c>
      <c r="C955" s="56" t="s">
        <v>179</v>
      </c>
      <c r="D955" t="s">
        <v>26</v>
      </c>
      <c r="E955" t="str">
        <f>VLOOKUP(D955,'Lista de Produtos CLASSIFICAÇÃO'!$A$103:$B$144,2,FALSE)</f>
        <v>Biocombustíveis</v>
      </c>
      <c r="F955" s="55">
        <v>325050</v>
      </c>
      <c r="G955" s="56" t="str">
        <f>VLOOKUP(C955,clientes!$C$3:$D$60,2,FALSE)</f>
        <v>BSBIOS</v>
      </c>
    </row>
    <row r="956" spans="1:7" x14ac:dyDescent="0.25">
      <c r="A956">
        <v>2023</v>
      </c>
      <c r="B956" t="s">
        <v>135</v>
      </c>
      <c r="C956" s="56" t="s">
        <v>180</v>
      </c>
      <c r="D956" t="s">
        <v>30</v>
      </c>
      <c r="E956" t="str">
        <f>VLOOKUP(D956,'Lista de Produtos CLASSIFICAÇÃO'!$A$103:$B$144,2,FALSE)</f>
        <v>Outros</v>
      </c>
      <c r="F956" s="55">
        <v>187972</v>
      </c>
      <c r="G956" s="56" t="str">
        <f>VLOOKUP(C956,clientes!$C$3:$D$60,2,FALSE)</f>
        <v>TRICHEM</v>
      </c>
    </row>
    <row r="957" spans="1:7" x14ac:dyDescent="0.25">
      <c r="A957">
        <v>2023</v>
      </c>
      <c r="B957" t="s">
        <v>135</v>
      </c>
      <c r="C957" s="56" t="s">
        <v>181</v>
      </c>
      <c r="D957" t="s">
        <v>123</v>
      </c>
      <c r="E957" t="str">
        <f>VLOOKUP(D957,'Lista de Produtos CLASSIFICAÇÃO'!$A$103:$B$144,2,FALSE)</f>
        <v>Aquecidos</v>
      </c>
      <c r="F957" s="55">
        <v>249297</v>
      </c>
      <c r="G957" s="56" t="str">
        <f>VLOOKUP(C957,clientes!$C$3:$D$60,2,FALSE)</f>
        <v>COAMO</v>
      </c>
    </row>
    <row r="958" spans="1:7" x14ac:dyDescent="0.25">
      <c r="A958">
        <v>2023</v>
      </c>
      <c r="B958" t="s">
        <v>135</v>
      </c>
      <c r="C958" s="56" t="s">
        <v>182</v>
      </c>
      <c r="D958" t="s">
        <v>120</v>
      </c>
      <c r="E958" t="str">
        <f>VLOOKUP(D958,'Lista de Produtos CLASSIFICAÇÃO'!$A$103:$B$144,2,FALSE)</f>
        <v>Derivados</v>
      </c>
      <c r="F958" s="55">
        <v>676544</v>
      </c>
      <c r="G958" s="56" t="str">
        <f>VLOOKUP(C958,clientes!$C$3:$D$60,2,FALSE)</f>
        <v>ATEM</v>
      </c>
    </row>
    <row r="959" spans="1:7" x14ac:dyDescent="0.25">
      <c r="A959">
        <v>2023</v>
      </c>
      <c r="B959" t="s">
        <v>136</v>
      </c>
      <c r="C959" t="s">
        <v>155</v>
      </c>
      <c r="D959" t="s">
        <v>16</v>
      </c>
      <c r="E959" t="str">
        <f>VLOOKUP(D959,'Lista de Produtos CLASSIFICAÇÃO'!$A$103:$B$144,2,FALSE)</f>
        <v>Outros</v>
      </c>
      <c r="F959" s="55">
        <v>764605</v>
      </c>
      <c r="G959" s="56" t="str">
        <f>VLOOKUP(C959,clientes!$C$3:$D$60,2,FALSE)</f>
        <v>ADISSEO</v>
      </c>
    </row>
    <row r="960" spans="1:7" x14ac:dyDescent="0.25">
      <c r="A960">
        <v>2023</v>
      </c>
      <c r="B960" t="s">
        <v>136</v>
      </c>
      <c r="C960" t="s">
        <v>156</v>
      </c>
      <c r="D960" t="s">
        <v>123</v>
      </c>
      <c r="E960" t="str">
        <f>VLOOKUP(D960,'Lista de Produtos CLASSIFICAÇÃO'!$A$103:$B$144,2,FALSE)</f>
        <v>Aquecidos</v>
      </c>
      <c r="F960" s="55">
        <v>339303</v>
      </c>
      <c r="G960" s="56" t="str">
        <f>VLOOKUP(C960,clientes!$C$3:$D$60,2,FALSE)</f>
        <v>BUNGE</v>
      </c>
    </row>
    <row r="961" spans="1:7" x14ac:dyDescent="0.25">
      <c r="A961">
        <v>2023</v>
      </c>
      <c r="B961" t="s">
        <v>136</v>
      </c>
      <c r="C961" t="s">
        <v>157</v>
      </c>
      <c r="D961" t="s">
        <v>122</v>
      </c>
      <c r="E961" t="str">
        <f>VLOOKUP(D961,'Lista de Produtos CLASSIFICAÇÃO'!$A$103:$B$144,2,FALSE)</f>
        <v>Óleo Vegetal</v>
      </c>
      <c r="F961" s="55">
        <v>162891</v>
      </c>
      <c r="G961" s="56" t="str">
        <f>VLOOKUP(C961,clientes!$C$3:$D$60,2,FALSE)</f>
        <v>ADM</v>
      </c>
    </row>
    <row r="962" spans="1:7" x14ac:dyDescent="0.25">
      <c r="A962">
        <v>2023</v>
      </c>
      <c r="B962" t="s">
        <v>136</v>
      </c>
      <c r="C962" t="s">
        <v>158</v>
      </c>
      <c r="D962" t="s">
        <v>120</v>
      </c>
      <c r="E962" t="str">
        <f>VLOOKUP(D962,'Lista de Produtos CLASSIFICAÇÃO'!$A$103:$B$144,2,FALSE)</f>
        <v>Derivados</v>
      </c>
      <c r="F962" s="55">
        <v>6086965</v>
      </c>
      <c r="G962" s="56" t="str">
        <f>VLOOKUP(C962,clientes!$C$3:$D$60,2,FALSE)</f>
        <v>IPIRANGA</v>
      </c>
    </row>
    <row r="963" spans="1:7" x14ac:dyDescent="0.25">
      <c r="A963">
        <v>2023</v>
      </c>
      <c r="B963" t="s">
        <v>136</v>
      </c>
      <c r="C963" t="s">
        <v>159</v>
      </c>
      <c r="D963" t="s">
        <v>120</v>
      </c>
      <c r="E963" t="str">
        <f>VLOOKUP(D963,'Lista de Produtos CLASSIFICAÇÃO'!$A$103:$B$144,2,FALSE)</f>
        <v>Derivados</v>
      </c>
      <c r="F963" s="55">
        <v>4164996</v>
      </c>
      <c r="G963" s="56" t="str">
        <f>VLOOKUP(C963,clientes!$C$3:$D$60,2,FALSE)</f>
        <v>RAIZEN</v>
      </c>
    </row>
    <row r="964" spans="1:7" x14ac:dyDescent="0.25">
      <c r="A964">
        <v>2023</v>
      </c>
      <c r="B964" t="s">
        <v>136</v>
      </c>
      <c r="C964" t="s">
        <v>160</v>
      </c>
      <c r="D964" t="s">
        <v>120</v>
      </c>
      <c r="E964" t="str">
        <f>VLOOKUP(D964,'Lista de Produtos CLASSIFICAÇÃO'!$A$103:$B$144,2,FALSE)</f>
        <v>Derivados</v>
      </c>
      <c r="F964" s="55">
        <v>1750502</v>
      </c>
      <c r="G964" s="56" t="str">
        <f>VLOOKUP(C964,clientes!$C$3:$D$60,2,FALSE)</f>
        <v>VIBRA</v>
      </c>
    </row>
    <row r="965" spans="1:7" x14ac:dyDescent="0.25">
      <c r="A965">
        <v>2023</v>
      </c>
      <c r="B965" t="s">
        <v>136</v>
      </c>
      <c r="C965" t="s">
        <v>161</v>
      </c>
      <c r="D965" t="s">
        <v>120</v>
      </c>
      <c r="E965" t="str">
        <f>VLOOKUP(D965,'Lista de Produtos CLASSIFICAÇÃO'!$A$103:$B$144,2,FALSE)</f>
        <v>Derivados</v>
      </c>
      <c r="F965" s="55">
        <v>2379391</v>
      </c>
      <c r="G965" s="56" t="str">
        <f>VLOOKUP(C965,clientes!$C$3:$D$60,2,FALSE)</f>
        <v>SUL PLATA</v>
      </c>
    </row>
    <row r="966" spans="1:7" x14ac:dyDescent="0.25">
      <c r="A966">
        <v>2023</v>
      </c>
      <c r="B966" t="s">
        <v>136</v>
      </c>
      <c r="C966" t="s">
        <v>195</v>
      </c>
      <c r="D966" t="s">
        <v>115</v>
      </c>
      <c r="E966" t="str">
        <f>VLOOKUP(D966,'Lista de Produtos CLASSIFICAÇÃO'!$A$103:$B$144,2,FALSE)</f>
        <v>Soda Caustica</v>
      </c>
      <c r="F966" s="55">
        <v>70663</v>
      </c>
      <c r="G966" s="56" t="str">
        <f>VLOOKUP(C966,clientes!$C$3:$D$60,2,FALSE)</f>
        <v>PROJESAN</v>
      </c>
    </row>
    <row r="967" spans="1:7" x14ac:dyDescent="0.25">
      <c r="A967">
        <v>2023</v>
      </c>
      <c r="B967" t="s">
        <v>136</v>
      </c>
      <c r="C967" t="s">
        <v>162</v>
      </c>
      <c r="D967" t="s">
        <v>115</v>
      </c>
      <c r="E967" t="str">
        <f>VLOOKUP(D967,'Lista de Produtos CLASSIFICAÇÃO'!$A$103:$B$144,2,FALSE)</f>
        <v>Soda Caustica</v>
      </c>
      <c r="F967" s="55">
        <v>144366</v>
      </c>
      <c r="G967" s="56" t="str">
        <f>VLOOKUP(C967,clientes!$C$3:$D$60,2,FALSE)</f>
        <v>JBS</v>
      </c>
    </row>
    <row r="968" spans="1:7" x14ac:dyDescent="0.25">
      <c r="A968">
        <v>2023</v>
      </c>
      <c r="B968" t="s">
        <v>136</v>
      </c>
      <c r="C968" t="s">
        <v>163</v>
      </c>
      <c r="D968" t="s">
        <v>115</v>
      </c>
      <c r="E968" t="str">
        <f>VLOOKUP(D968,'Lista de Produtos CLASSIFICAÇÃO'!$A$103:$B$144,2,FALSE)</f>
        <v>Soda Caustica</v>
      </c>
      <c r="F968" s="55">
        <v>623815</v>
      </c>
      <c r="G968" s="56" t="str">
        <f>VLOOKUP(C968,clientes!$C$3:$D$60,2,FALSE)</f>
        <v>TRICON ENERGY</v>
      </c>
    </row>
    <row r="969" spans="1:7" x14ac:dyDescent="0.25">
      <c r="A969">
        <v>2023</v>
      </c>
      <c r="B969" t="s">
        <v>136</v>
      </c>
      <c r="C969" t="s">
        <v>164</v>
      </c>
      <c r="D969" t="s">
        <v>115</v>
      </c>
      <c r="E969" t="str">
        <f>VLOOKUP(D969,'Lista de Produtos CLASSIFICAÇÃO'!$A$103:$B$144,2,FALSE)</f>
        <v>Soda Caustica</v>
      </c>
      <c r="F969" s="55">
        <v>240735</v>
      </c>
      <c r="G969" s="56" t="str">
        <f>VLOOKUP(C969,clientes!$C$3:$D$60,2,FALSE)</f>
        <v>BRASKEM</v>
      </c>
    </row>
    <row r="970" spans="1:7" x14ac:dyDescent="0.25">
      <c r="A970">
        <v>2023</v>
      </c>
      <c r="B970" t="s">
        <v>136</v>
      </c>
      <c r="C970" t="s">
        <v>165</v>
      </c>
      <c r="D970" t="s">
        <v>123</v>
      </c>
      <c r="E970" t="str">
        <f>VLOOKUP(D970,'Lista de Produtos CLASSIFICAÇÃO'!$A$103:$B$144,2,FALSE)</f>
        <v>Aquecidos</v>
      </c>
      <c r="F970" s="55">
        <v>947162</v>
      </c>
      <c r="G970" s="56" t="str">
        <f>VLOOKUP(C970,clientes!$C$3:$D$60,2,FALSE)</f>
        <v>BRF</v>
      </c>
    </row>
    <row r="971" spans="1:7" x14ac:dyDescent="0.25">
      <c r="A971">
        <v>2023</v>
      </c>
      <c r="B971" t="s">
        <v>136</v>
      </c>
      <c r="C971" t="s">
        <v>162</v>
      </c>
      <c r="D971" t="s">
        <v>123</v>
      </c>
      <c r="E971" t="str">
        <f>VLOOKUP(D971,'Lista de Produtos CLASSIFICAÇÃO'!$A$103:$B$144,2,FALSE)</f>
        <v>Aquecidos</v>
      </c>
      <c r="F971" s="55">
        <v>462720</v>
      </c>
      <c r="G971" s="56" t="str">
        <f>VLOOKUP(C971,clientes!$C$3:$D$60,2,FALSE)</f>
        <v>JBS</v>
      </c>
    </row>
    <row r="972" spans="1:7" x14ac:dyDescent="0.25">
      <c r="A972">
        <v>2023</v>
      </c>
      <c r="B972" t="s">
        <v>136</v>
      </c>
      <c r="C972" t="s">
        <v>166</v>
      </c>
      <c r="D972" t="s">
        <v>123</v>
      </c>
      <c r="E972" t="str">
        <f>VLOOKUP(D972,'Lista de Produtos CLASSIFICAÇÃO'!$A$103:$B$144,2,FALSE)</f>
        <v>Aquecidos</v>
      </c>
      <c r="F972" s="55">
        <v>359896</v>
      </c>
      <c r="G972" s="56" t="str">
        <f>VLOOKUP(C972,clientes!$C$3:$D$60,2,FALSE)</f>
        <v>CARGILL</v>
      </c>
    </row>
    <row r="973" spans="1:7" x14ac:dyDescent="0.25">
      <c r="A973">
        <v>2023</v>
      </c>
      <c r="B973" t="s">
        <v>136</v>
      </c>
      <c r="C973" t="s">
        <v>167</v>
      </c>
      <c r="D973" t="s">
        <v>122</v>
      </c>
      <c r="E973" t="str">
        <f>VLOOKUP(D973,'Lista de Produtos CLASSIFICAÇÃO'!$A$103:$B$144,2,FALSE)</f>
        <v>Óleo Vegetal</v>
      </c>
      <c r="F973" s="55">
        <v>5854986</v>
      </c>
      <c r="G973" s="56" t="str">
        <f>VLOOKUP(C973,clientes!$C$3:$D$60,2,FALSE)</f>
        <v>POOL</v>
      </c>
    </row>
    <row r="974" spans="1:7" x14ac:dyDescent="0.25">
      <c r="A974">
        <v>2023</v>
      </c>
      <c r="B974" t="s">
        <v>136</v>
      </c>
      <c r="C974" t="s">
        <v>168</v>
      </c>
      <c r="D974" t="s">
        <v>122</v>
      </c>
      <c r="E974" t="str">
        <f>VLOOKUP(D974,'Lista de Produtos CLASSIFICAÇÃO'!$A$103:$B$144,2,FALSE)</f>
        <v>Óleo Vegetal</v>
      </c>
      <c r="F974" s="55">
        <v>147702</v>
      </c>
      <c r="G974" s="56" t="str">
        <f>VLOOKUP(C974,clientes!$C$3:$D$60,2,FALSE)</f>
        <v>POOL EXCEDENTE</v>
      </c>
    </row>
    <row r="975" spans="1:7" x14ac:dyDescent="0.25">
      <c r="A975">
        <v>2023</v>
      </c>
      <c r="B975" t="s">
        <v>136</v>
      </c>
      <c r="C975" t="s">
        <v>169</v>
      </c>
      <c r="D975" t="s">
        <v>22</v>
      </c>
      <c r="E975" t="str">
        <f>VLOOKUP(D975,'Lista de Produtos CLASSIFICAÇÃO'!$A$103:$B$144,2,FALSE)</f>
        <v>Metanol</v>
      </c>
      <c r="F975" s="55">
        <v>5364738</v>
      </c>
      <c r="G975" s="56" t="str">
        <f>VLOOKUP(C975,clientes!$C$3:$D$60,2,FALSE)</f>
        <v>METHANEX</v>
      </c>
    </row>
    <row r="976" spans="1:7" x14ac:dyDescent="0.25">
      <c r="A976">
        <v>2023</v>
      </c>
      <c r="B976" t="s">
        <v>136</v>
      </c>
      <c r="C976" t="s">
        <v>170</v>
      </c>
      <c r="D976" t="s">
        <v>22</v>
      </c>
      <c r="E976" t="str">
        <f>VLOOKUP(D976,'Lista de Produtos CLASSIFICAÇÃO'!$A$103:$B$144,2,FALSE)</f>
        <v>Metanol</v>
      </c>
      <c r="F976" s="55">
        <v>3200617</v>
      </c>
      <c r="G976" s="56" t="str">
        <f>VLOOKUP(C976,clientes!$C$3:$D$60,2,FALSE)</f>
        <v>MITSUBISHI</v>
      </c>
    </row>
    <row r="977" spans="1:7" x14ac:dyDescent="0.25">
      <c r="A977">
        <v>2023</v>
      </c>
      <c r="B977" t="s">
        <v>136</v>
      </c>
      <c r="C977" t="s">
        <v>196</v>
      </c>
      <c r="D977" t="s">
        <v>22</v>
      </c>
      <c r="E977" t="str">
        <f>VLOOKUP(D977,'Lista de Produtos CLASSIFICAÇÃO'!$A$103:$B$144,2,FALSE)</f>
        <v>Metanol</v>
      </c>
      <c r="F977" s="55">
        <v>5503073</v>
      </c>
      <c r="G977" s="56" t="str">
        <f>VLOOKUP(C977,clientes!$C$3:$D$60,2,FALSE)</f>
        <v>SCC</v>
      </c>
    </row>
    <row r="978" spans="1:7" x14ac:dyDescent="0.25">
      <c r="A978">
        <v>2023</v>
      </c>
      <c r="B978" t="s">
        <v>136</v>
      </c>
      <c r="C978" t="s">
        <v>172</v>
      </c>
      <c r="D978" t="s">
        <v>124</v>
      </c>
      <c r="E978" t="str">
        <f>VLOOKUP(D978,'Lista de Produtos CLASSIFICAÇÃO'!$A$103:$B$144,2,FALSE)</f>
        <v>Outros</v>
      </c>
      <c r="F978" s="55">
        <v>297306</v>
      </c>
      <c r="G978" s="56" t="str">
        <f>VLOOKUP(C978,clientes!$C$3:$D$60,2,FALSE)</f>
        <v>EVONIK</v>
      </c>
    </row>
    <row r="979" spans="1:7" x14ac:dyDescent="0.25">
      <c r="A979">
        <v>2023</v>
      </c>
      <c r="B979" t="s">
        <v>136</v>
      </c>
      <c r="C979" t="s">
        <v>173</v>
      </c>
      <c r="D979" t="s">
        <v>22</v>
      </c>
      <c r="E979" t="str">
        <f>VLOOKUP(D979,'Lista de Produtos CLASSIFICAÇÃO'!$A$103:$B$144,2,FALSE)</f>
        <v>Metanol</v>
      </c>
      <c r="F979" s="55">
        <v>586711</v>
      </c>
      <c r="G979" s="56" t="str">
        <f>VLOOKUP(C979,clientes!$C$3:$D$60,2,FALSE)</f>
        <v>YPF SOCIEDAD ANONIMA</v>
      </c>
    </row>
    <row r="980" spans="1:7" x14ac:dyDescent="0.25">
      <c r="A980">
        <v>2023</v>
      </c>
      <c r="B980" t="s">
        <v>136</v>
      </c>
      <c r="C980" t="s">
        <v>197</v>
      </c>
      <c r="D980" t="s">
        <v>85</v>
      </c>
      <c r="E980" t="str">
        <f>VLOOKUP(D980,'Lista de Produtos CLASSIFICAÇÃO'!$A$103:$B$144,2,FALSE)</f>
        <v>Outros</v>
      </c>
      <c r="F980" s="55">
        <v>125795</v>
      </c>
      <c r="G980" s="56" t="str">
        <f>VLOOKUP(C980,clientes!$C$3:$D$60,2,FALSE)</f>
        <v>DRT</v>
      </c>
    </row>
    <row r="981" spans="1:7" x14ac:dyDescent="0.25">
      <c r="A981">
        <v>2023</v>
      </c>
      <c r="B981" t="s">
        <v>136</v>
      </c>
      <c r="C981" t="s">
        <v>198</v>
      </c>
      <c r="D981" t="s">
        <v>121</v>
      </c>
      <c r="E981" t="str">
        <f>VLOOKUP(D981,'Lista de Produtos CLASSIFICAÇÃO'!$A$103:$B$144,2,FALSE)</f>
        <v>Biocombustíveis</v>
      </c>
      <c r="F981" s="55">
        <v>750000</v>
      </c>
      <c r="G981" s="56" t="str">
        <f>VLOOKUP(C981,clientes!$C$3:$D$60,2,FALSE)</f>
        <v>TEREOS / INPASA / GLENCORE</v>
      </c>
    </row>
    <row r="982" spans="1:7" x14ac:dyDescent="0.25">
      <c r="A982">
        <v>2023</v>
      </c>
      <c r="B982" t="s">
        <v>136</v>
      </c>
      <c r="C982" t="s">
        <v>174</v>
      </c>
      <c r="D982" t="s">
        <v>123</v>
      </c>
      <c r="E982" t="str">
        <f>VLOOKUP(D982,'Lista de Produtos CLASSIFICAÇÃO'!$A$103:$B$144,2,FALSE)</f>
        <v>Aquecidos</v>
      </c>
      <c r="F982" s="55">
        <v>795585</v>
      </c>
      <c r="G982" s="56" t="str">
        <f>VLOOKUP(C982,clientes!$C$3:$D$60,2,FALSE)</f>
        <v>CELENA</v>
      </c>
    </row>
    <row r="983" spans="1:7" x14ac:dyDescent="0.25">
      <c r="A983">
        <v>2023</v>
      </c>
      <c r="B983" t="s">
        <v>136</v>
      </c>
      <c r="C983" t="s">
        <v>175</v>
      </c>
      <c r="D983" t="s">
        <v>123</v>
      </c>
      <c r="E983" t="str">
        <f>VLOOKUP(D983,'Lista de Produtos CLASSIFICAÇÃO'!$A$103:$B$144,2,FALSE)</f>
        <v>Aquecidos</v>
      </c>
      <c r="F983" s="55">
        <v>446949</v>
      </c>
      <c r="G983" s="56" t="str">
        <f>VLOOKUP(C983,clientes!$C$3:$D$60,2,FALSE)</f>
        <v>AAK DO BRASIL</v>
      </c>
    </row>
    <row r="984" spans="1:7" x14ac:dyDescent="0.25">
      <c r="A984">
        <v>2023</v>
      </c>
      <c r="B984" t="s">
        <v>136</v>
      </c>
      <c r="C984" t="s">
        <v>166</v>
      </c>
      <c r="D984" t="s">
        <v>122</v>
      </c>
      <c r="E984" t="str">
        <f>VLOOKUP(D984,'Lista de Produtos CLASSIFICAÇÃO'!$A$103:$B$144,2,FALSE)</f>
        <v>Óleo Vegetal</v>
      </c>
      <c r="F984" s="55">
        <v>278952</v>
      </c>
      <c r="G984" s="56" t="str">
        <f>VLOOKUP(C984,clientes!$C$3:$D$60,2,FALSE)</f>
        <v>CARGILL</v>
      </c>
    </row>
    <row r="985" spans="1:7" x14ac:dyDescent="0.25">
      <c r="A985">
        <v>2023</v>
      </c>
      <c r="B985" t="s">
        <v>136</v>
      </c>
      <c r="C985" t="s">
        <v>176</v>
      </c>
      <c r="D985" t="s">
        <v>123</v>
      </c>
      <c r="E985" t="str">
        <f>VLOOKUP(D985,'Lista de Produtos CLASSIFICAÇÃO'!$A$103:$B$144,2,FALSE)</f>
        <v>Aquecidos</v>
      </c>
      <c r="F985" s="55">
        <v>268238</v>
      </c>
      <c r="G985" s="56" t="str">
        <f>VLOOKUP(C985,clientes!$C$3:$D$60,2,FALSE)</f>
        <v>AGROPALMA</v>
      </c>
    </row>
    <row r="986" spans="1:7" x14ac:dyDescent="0.25">
      <c r="A986">
        <v>2023</v>
      </c>
      <c r="B986" t="s">
        <v>136</v>
      </c>
      <c r="C986" t="s">
        <v>177</v>
      </c>
      <c r="D986" t="s">
        <v>115</v>
      </c>
      <c r="E986" t="str">
        <f>VLOOKUP(D986,'Lista de Produtos CLASSIFICAÇÃO'!$A$103:$B$144,2,FALSE)</f>
        <v>Soda Caustica</v>
      </c>
      <c r="F986" s="55">
        <v>318237</v>
      </c>
      <c r="G986" s="56" t="str">
        <f>VLOOKUP(C986,clientes!$C$3:$D$60,2,FALSE)</f>
        <v>BRENNTAG</v>
      </c>
    </row>
    <row r="987" spans="1:7" x14ac:dyDescent="0.25">
      <c r="A987">
        <v>2023</v>
      </c>
      <c r="B987" t="s">
        <v>136</v>
      </c>
      <c r="C987" t="s">
        <v>178</v>
      </c>
      <c r="D987" t="s">
        <v>115</v>
      </c>
      <c r="E987" t="str">
        <f>VLOOKUP(D987,'Lista de Produtos CLASSIFICAÇÃO'!$A$103:$B$144,2,FALSE)</f>
        <v>Soda Caustica</v>
      </c>
      <c r="F987" s="55">
        <v>1501777</v>
      </c>
      <c r="G987" s="56" t="str">
        <f>VLOOKUP(C987,clientes!$C$3:$D$60,2,FALSE)</f>
        <v>OLIN BLUE CUBE</v>
      </c>
    </row>
    <row r="988" spans="1:7" x14ac:dyDescent="0.25">
      <c r="A988">
        <v>2023</v>
      </c>
      <c r="B988" t="s">
        <v>136</v>
      </c>
      <c r="C988" t="s">
        <v>179</v>
      </c>
      <c r="D988" t="s">
        <v>26</v>
      </c>
      <c r="E988" t="str">
        <f>VLOOKUP(D988,'Lista de Produtos CLASSIFICAÇÃO'!$A$103:$B$144,2,FALSE)</f>
        <v>Biocombustíveis</v>
      </c>
      <c r="F988" s="55">
        <v>325050</v>
      </c>
      <c r="G988" s="56" t="str">
        <f>VLOOKUP(C988,clientes!$C$3:$D$60,2,FALSE)</f>
        <v>BSBIOS</v>
      </c>
    </row>
    <row r="989" spans="1:7" x14ac:dyDescent="0.25">
      <c r="A989">
        <v>2023</v>
      </c>
      <c r="B989" t="s">
        <v>136</v>
      </c>
      <c r="C989" t="s">
        <v>180</v>
      </c>
      <c r="D989" t="s">
        <v>30</v>
      </c>
      <c r="E989" t="str">
        <f>VLOOKUP(D989,'Lista de Produtos CLASSIFICAÇÃO'!$A$103:$B$144,2,FALSE)</f>
        <v>Outros</v>
      </c>
      <c r="F989" s="55">
        <v>187972</v>
      </c>
      <c r="G989" s="56" t="str">
        <f>VLOOKUP(C989,clientes!$C$3:$D$60,2,FALSE)</f>
        <v>TRICHEM</v>
      </c>
    </row>
    <row r="990" spans="1:7" x14ac:dyDescent="0.25">
      <c r="A990">
        <v>2023</v>
      </c>
      <c r="B990" t="s">
        <v>136</v>
      </c>
      <c r="C990" t="s">
        <v>181</v>
      </c>
      <c r="D990" t="s">
        <v>123</v>
      </c>
      <c r="E990" t="str">
        <f>VLOOKUP(D990,'Lista de Produtos CLASSIFICAÇÃO'!$A$103:$B$144,2,FALSE)</f>
        <v>Aquecidos</v>
      </c>
      <c r="F990" s="55">
        <v>249297</v>
      </c>
      <c r="G990" s="56" t="str">
        <f>VLOOKUP(C990,clientes!$C$3:$D$60,2,FALSE)</f>
        <v>COAMO</v>
      </c>
    </row>
    <row r="991" spans="1:7" x14ac:dyDescent="0.25">
      <c r="A991">
        <v>2023</v>
      </c>
      <c r="B991" t="s">
        <v>136</v>
      </c>
      <c r="C991" t="s">
        <v>182</v>
      </c>
      <c r="D991" t="s">
        <v>120</v>
      </c>
      <c r="E991" t="str">
        <f>VLOOKUP(D991,'Lista de Produtos CLASSIFICAÇÃO'!$A$103:$B$144,2,FALSE)</f>
        <v>Derivados</v>
      </c>
      <c r="F991" s="55">
        <v>676544</v>
      </c>
      <c r="G991" s="56" t="str">
        <f>VLOOKUP(C991,clientes!$C$3:$D$60,2,FALSE)</f>
        <v>ATEM</v>
      </c>
    </row>
    <row r="992" spans="1:7" x14ac:dyDescent="0.25">
      <c r="A992">
        <v>2023</v>
      </c>
      <c r="B992" t="s">
        <v>137</v>
      </c>
      <c r="C992" s="56" t="s">
        <v>155</v>
      </c>
      <c r="D992" t="s">
        <v>16</v>
      </c>
      <c r="E992" t="str">
        <f>VLOOKUP(D992,'Lista de Produtos CLASSIFICAÇÃO'!$A$103:$B$144,2,FALSE)</f>
        <v>Outros</v>
      </c>
      <c r="F992" s="55">
        <v>764605</v>
      </c>
      <c r="G992" s="56" t="str">
        <f>VLOOKUP(C992,clientes!$C$3:$D$60,2,FALSE)</f>
        <v>ADISSEO</v>
      </c>
    </row>
    <row r="993" spans="1:7" x14ac:dyDescent="0.25">
      <c r="A993">
        <v>2023</v>
      </c>
      <c r="B993" t="s">
        <v>137</v>
      </c>
      <c r="C993" s="56" t="s">
        <v>156</v>
      </c>
      <c r="D993" t="s">
        <v>123</v>
      </c>
      <c r="E993" t="str">
        <f>VLOOKUP(D993,'Lista de Produtos CLASSIFICAÇÃO'!$A$103:$B$144,2,FALSE)</f>
        <v>Aquecidos</v>
      </c>
      <c r="F993" s="55">
        <v>339303</v>
      </c>
      <c r="G993" s="56" t="str">
        <f>VLOOKUP(C993,clientes!$C$3:$D$60,2,FALSE)</f>
        <v>BUNGE</v>
      </c>
    </row>
    <row r="994" spans="1:7" x14ac:dyDescent="0.25">
      <c r="A994">
        <v>2023</v>
      </c>
      <c r="B994" t="s">
        <v>137</v>
      </c>
      <c r="C994" s="56" t="s">
        <v>157</v>
      </c>
      <c r="D994" t="s">
        <v>122</v>
      </c>
      <c r="E994" t="str">
        <f>VLOOKUP(D994,'Lista de Produtos CLASSIFICAÇÃO'!$A$103:$B$144,2,FALSE)</f>
        <v>Óleo Vegetal</v>
      </c>
      <c r="F994" s="55">
        <v>162891</v>
      </c>
      <c r="G994" s="56" t="str">
        <f>VLOOKUP(C994,clientes!$C$3:$D$60,2,FALSE)</f>
        <v>ADM</v>
      </c>
    </row>
    <row r="995" spans="1:7" x14ac:dyDescent="0.25">
      <c r="A995">
        <v>2023</v>
      </c>
      <c r="B995" t="s">
        <v>137</v>
      </c>
      <c r="C995" s="56" t="s">
        <v>158</v>
      </c>
      <c r="D995" t="s">
        <v>120</v>
      </c>
      <c r="E995" t="str">
        <f>VLOOKUP(D995,'Lista de Produtos CLASSIFICAÇÃO'!$A$103:$B$144,2,FALSE)</f>
        <v>Derivados</v>
      </c>
      <c r="F995" s="55">
        <v>6086965</v>
      </c>
      <c r="G995" s="56" t="str">
        <f>VLOOKUP(C995,clientes!$C$3:$D$60,2,FALSE)</f>
        <v>IPIRANGA</v>
      </c>
    </row>
    <row r="996" spans="1:7" x14ac:dyDescent="0.25">
      <c r="A996">
        <v>2023</v>
      </c>
      <c r="B996" t="s">
        <v>137</v>
      </c>
      <c r="C996" s="56" t="s">
        <v>159</v>
      </c>
      <c r="D996" t="s">
        <v>120</v>
      </c>
      <c r="E996" t="str">
        <f>VLOOKUP(D996,'Lista de Produtos CLASSIFICAÇÃO'!$A$103:$B$144,2,FALSE)</f>
        <v>Derivados</v>
      </c>
      <c r="F996" s="55">
        <v>4164996</v>
      </c>
      <c r="G996" s="56" t="str">
        <f>VLOOKUP(C996,clientes!$C$3:$D$60,2,FALSE)</f>
        <v>RAIZEN</v>
      </c>
    </row>
    <row r="997" spans="1:7" x14ac:dyDescent="0.25">
      <c r="A997">
        <v>2023</v>
      </c>
      <c r="B997" t="s">
        <v>137</v>
      </c>
      <c r="C997" s="56" t="s">
        <v>160</v>
      </c>
      <c r="D997" t="s">
        <v>120</v>
      </c>
      <c r="E997" t="str">
        <f>VLOOKUP(D997,'Lista de Produtos CLASSIFICAÇÃO'!$A$103:$B$144,2,FALSE)</f>
        <v>Derivados</v>
      </c>
      <c r="F997" s="55">
        <v>1750502</v>
      </c>
      <c r="G997" s="56" t="str">
        <f>VLOOKUP(C997,clientes!$C$3:$D$60,2,FALSE)</f>
        <v>VIBRA</v>
      </c>
    </row>
    <row r="998" spans="1:7" x14ac:dyDescent="0.25">
      <c r="A998">
        <v>2023</v>
      </c>
      <c r="B998" t="s">
        <v>137</v>
      </c>
      <c r="C998" s="56" t="s">
        <v>161</v>
      </c>
      <c r="D998" t="s">
        <v>120</v>
      </c>
      <c r="E998" t="str">
        <f>VLOOKUP(D998,'Lista de Produtos CLASSIFICAÇÃO'!$A$103:$B$144,2,FALSE)</f>
        <v>Derivados</v>
      </c>
      <c r="F998" s="55">
        <v>2379391</v>
      </c>
      <c r="G998" s="56" t="str">
        <f>VLOOKUP(C998,clientes!$C$3:$D$60,2,FALSE)</f>
        <v>SUL PLATA</v>
      </c>
    </row>
    <row r="999" spans="1:7" x14ac:dyDescent="0.25">
      <c r="A999">
        <v>2023</v>
      </c>
      <c r="B999" t="s">
        <v>137</v>
      </c>
      <c r="C999" s="56" t="s">
        <v>195</v>
      </c>
      <c r="D999" t="s">
        <v>115</v>
      </c>
      <c r="E999" t="str">
        <f>VLOOKUP(D999,'Lista de Produtos CLASSIFICAÇÃO'!$A$103:$B$144,2,FALSE)</f>
        <v>Soda Caustica</v>
      </c>
      <c r="F999" s="55">
        <v>81453</v>
      </c>
      <c r="G999" s="56" t="str">
        <f>VLOOKUP(C999,clientes!$C$3:$D$60,2,FALSE)</f>
        <v>PROJESAN</v>
      </c>
    </row>
    <row r="1000" spans="1:7" x14ac:dyDescent="0.25">
      <c r="A1000">
        <v>2023</v>
      </c>
      <c r="B1000" t="s">
        <v>137</v>
      </c>
      <c r="C1000" s="56" t="s">
        <v>162</v>
      </c>
      <c r="D1000" t="s">
        <v>115</v>
      </c>
      <c r="E1000" t="str">
        <f>VLOOKUP(D1000,'Lista de Produtos CLASSIFICAÇÃO'!$A$103:$B$144,2,FALSE)</f>
        <v>Soda Caustica</v>
      </c>
      <c r="F1000" s="55">
        <v>144366</v>
      </c>
      <c r="G1000" s="56" t="str">
        <f>VLOOKUP(C1000,clientes!$C$3:$D$60,2,FALSE)</f>
        <v>JBS</v>
      </c>
    </row>
    <row r="1001" spans="1:7" x14ac:dyDescent="0.25">
      <c r="A1001">
        <v>2023</v>
      </c>
      <c r="B1001" t="s">
        <v>137</v>
      </c>
      <c r="C1001" s="56" t="s">
        <v>163</v>
      </c>
      <c r="D1001" t="s">
        <v>115</v>
      </c>
      <c r="E1001" t="str">
        <f>VLOOKUP(D1001,'Lista de Produtos CLASSIFICAÇÃO'!$A$103:$B$144,2,FALSE)</f>
        <v>Soda Caustica</v>
      </c>
      <c r="F1001" s="55">
        <v>623815</v>
      </c>
      <c r="G1001" s="56" t="str">
        <f>VLOOKUP(C1001,clientes!$C$3:$D$60,2,FALSE)</f>
        <v>TRICON ENERGY</v>
      </c>
    </row>
    <row r="1002" spans="1:7" x14ac:dyDescent="0.25">
      <c r="A1002">
        <v>2023</v>
      </c>
      <c r="B1002" t="s">
        <v>137</v>
      </c>
      <c r="C1002" s="56" t="s">
        <v>164</v>
      </c>
      <c r="D1002" t="s">
        <v>115</v>
      </c>
      <c r="E1002" t="str">
        <f>VLOOKUP(D1002,'Lista de Produtos CLASSIFICAÇÃO'!$A$103:$B$144,2,FALSE)</f>
        <v>Soda Caustica</v>
      </c>
      <c r="F1002" s="55">
        <v>240735</v>
      </c>
      <c r="G1002" s="56" t="str">
        <f>VLOOKUP(C1002,clientes!$C$3:$D$60,2,FALSE)</f>
        <v>BRASKEM</v>
      </c>
    </row>
    <row r="1003" spans="1:7" x14ac:dyDescent="0.25">
      <c r="A1003">
        <v>2023</v>
      </c>
      <c r="B1003" t="s">
        <v>137</v>
      </c>
      <c r="C1003" s="56" t="s">
        <v>165</v>
      </c>
      <c r="D1003" t="s">
        <v>123</v>
      </c>
      <c r="E1003" t="str">
        <f>VLOOKUP(D1003,'Lista de Produtos CLASSIFICAÇÃO'!$A$103:$B$144,2,FALSE)</f>
        <v>Aquecidos</v>
      </c>
      <c r="F1003" s="55">
        <v>947162</v>
      </c>
      <c r="G1003" s="56" t="str">
        <f>VLOOKUP(C1003,clientes!$C$3:$D$60,2,FALSE)</f>
        <v>BRF</v>
      </c>
    </row>
    <row r="1004" spans="1:7" x14ac:dyDescent="0.25">
      <c r="A1004">
        <v>2023</v>
      </c>
      <c r="B1004" t="s">
        <v>137</v>
      </c>
      <c r="C1004" s="56" t="s">
        <v>162</v>
      </c>
      <c r="D1004" t="s">
        <v>123</v>
      </c>
      <c r="E1004" t="str">
        <f>VLOOKUP(D1004,'Lista de Produtos CLASSIFICAÇÃO'!$A$103:$B$144,2,FALSE)</f>
        <v>Aquecidos</v>
      </c>
      <c r="F1004" s="55">
        <v>462720</v>
      </c>
      <c r="G1004" s="56" t="str">
        <f>VLOOKUP(C1004,clientes!$C$3:$D$60,2,FALSE)</f>
        <v>JBS</v>
      </c>
    </row>
    <row r="1005" spans="1:7" x14ac:dyDescent="0.25">
      <c r="A1005">
        <v>2023</v>
      </c>
      <c r="B1005" t="s">
        <v>137</v>
      </c>
      <c r="C1005" s="56" t="s">
        <v>166</v>
      </c>
      <c r="D1005" t="s">
        <v>123</v>
      </c>
      <c r="E1005" t="str">
        <f>VLOOKUP(D1005,'Lista de Produtos CLASSIFICAÇÃO'!$A$103:$B$144,2,FALSE)</f>
        <v>Aquecidos</v>
      </c>
      <c r="F1005" s="55">
        <v>359896</v>
      </c>
      <c r="G1005" s="56" t="str">
        <f>VLOOKUP(C1005,clientes!$C$3:$D$60,2,FALSE)</f>
        <v>CARGILL</v>
      </c>
    </row>
    <row r="1006" spans="1:7" x14ac:dyDescent="0.25">
      <c r="A1006">
        <v>2023</v>
      </c>
      <c r="B1006" t="s">
        <v>137</v>
      </c>
      <c r="C1006" s="56" t="s">
        <v>167</v>
      </c>
      <c r="D1006" t="s">
        <v>122</v>
      </c>
      <c r="E1006" t="str">
        <f>VLOOKUP(D1006,'Lista de Produtos CLASSIFICAÇÃO'!$A$103:$B$144,2,FALSE)</f>
        <v>Óleo Vegetal</v>
      </c>
      <c r="F1006" s="55">
        <v>5557841</v>
      </c>
      <c r="G1006" s="56" t="str">
        <f>VLOOKUP(C1006,clientes!$C$3:$D$60,2,FALSE)</f>
        <v>POOL</v>
      </c>
    </row>
    <row r="1007" spans="1:7" x14ac:dyDescent="0.25">
      <c r="A1007">
        <v>2023</v>
      </c>
      <c r="B1007" t="s">
        <v>137</v>
      </c>
      <c r="C1007" s="56" t="s">
        <v>168</v>
      </c>
      <c r="D1007" t="s">
        <v>122</v>
      </c>
      <c r="E1007" t="str">
        <f>VLOOKUP(D1007,'Lista de Produtos CLASSIFICAÇÃO'!$A$103:$B$144,2,FALSE)</f>
        <v>Óleo Vegetal</v>
      </c>
      <c r="F1007" s="55">
        <v>147702</v>
      </c>
      <c r="G1007" s="56" t="str">
        <f>VLOOKUP(C1007,clientes!$C$3:$D$60,2,FALSE)</f>
        <v>POOL EXCEDENTE</v>
      </c>
    </row>
    <row r="1008" spans="1:7" x14ac:dyDescent="0.25">
      <c r="A1008">
        <v>2023</v>
      </c>
      <c r="B1008" t="s">
        <v>137</v>
      </c>
      <c r="C1008" s="56" t="s">
        <v>169</v>
      </c>
      <c r="D1008" t="s">
        <v>22</v>
      </c>
      <c r="E1008" t="str">
        <f>VLOOKUP(D1008,'Lista de Produtos CLASSIFICAÇÃO'!$A$103:$B$144,2,FALSE)</f>
        <v>Metanol</v>
      </c>
      <c r="F1008" s="55">
        <v>5364738</v>
      </c>
      <c r="G1008" s="56" t="str">
        <f>VLOOKUP(C1008,clientes!$C$3:$D$60,2,FALSE)</f>
        <v>METHANEX</v>
      </c>
    </row>
    <row r="1009" spans="1:7" x14ac:dyDescent="0.25">
      <c r="A1009">
        <v>2023</v>
      </c>
      <c r="B1009" t="s">
        <v>137</v>
      </c>
      <c r="C1009" s="56" t="s">
        <v>170</v>
      </c>
      <c r="D1009" t="s">
        <v>22</v>
      </c>
      <c r="E1009" t="str">
        <f>VLOOKUP(D1009,'Lista de Produtos CLASSIFICAÇÃO'!$A$103:$B$144,2,FALSE)</f>
        <v>Metanol</v>
      </c>
      <c r="F1009" s="55">
        <v>3200617</v>
      </c>
      <c r="G1009" s="56" t="str">
        <f>VLOOKUP(C1009,clientes!$C$3:$D$60,2,FALSE)</f>
        <v>MITSUBISHI</v>
      </c>
    </row>
    <row r="1010" spans="1:7" x14ac:dyDescent="0.25">
      <c r="A1010">
        <v>2023</v>
      </c>
      <c r="B1010" t="s">
        <v>137</v>
      </c>
      <c r="C1010" s="56" t="s">
        <v>196</v>
      </c>
      <c r="D1010" t="s">
        <v>22</v>
      </c>
      <c r="E1010" t="str">
        <f>VLOOKUP(D1010,'Lista de Produtos CLASSIFICAÇÃO'!$A$103:$B$144,2,FALSE)</f>
        <v>Metanol</v>
      </c>
      <c r="F1010" s="55">
        <v>5503073</v>
      </c>
      <c r="G1010" s="56" t="str">
        <f>VLOOKUP(C1010,clientes!$C$3:$D$60,2,FALSE)</f>
        <v>SCC</v>
      </c>
    </row>
    <row r="1011" spans="1:7" x14ac:dyDescent="0.25">
      <c r="A1011">
        <v>2023</v>
      </c>
      <c r="B1011" t="s">
        <v>137</v>
      </c>
      <c r="C1011" s="56" t="s">
        <v>172</v>
      </c>
      <c r="D1011" t="s">
        <v>124</v>
      </c>
      <c r="E1011" t="str">
        <f>VLOOKUP(D1011,'Lista de Produtos CLASSIFICAÇÃO'!$A$103:$B$144,2,FALSE)</f>
        <v>Outros</v>
      </c>
      <c r="F1011" s="55">
        <v>297306</v>
      </c>
      <c r="G1011" s="56" t="str">
        <f>VLOOKUP(C1011,clientes!$C$3:$D$60,2,FALSE)</f>
        <v>EVONIK</v>
      </c>
    </row>
    <row r="1012" spans="1:7" x14ac:dyDescent="0.25">
      <c r="A1012">
        <v>2023</v>
      </c>
      <c r="B1012" t="s">
        <v>137</v>
      </c>
      <c r="C1012" s="56" t="s">
        <v>173</v>
      </c>
      <c r="D1012" t="s">
        <v>22</v>
      </c>
      <c r="E1012" t="str">
        <f>VLOOKUP(D1012,'Lista de Produtos CLASSIFICAÇÃO'!$A$103:$B$144,2,FALSE)</f>
        <v>Metanol</v>
      </c>
      <c r="F1012" s="55">
        <v>515367</v>
      </c>
      <c r="G1012" s="56" t="str">
        <f>VLOOKUP(C1012,clientes!$C$3:$D$60,2,FALSE)</f>
        <v>YPF SOCIEDAD ANONIMA</v>
      </c>
    </row>
    <row r="1013" spans="1:7" x14ac:dyDescent="0.25">
      <c r="A1013">
        <v>2023</v>
      </c>
      <c r="B1013" t="s">
        <v>137</v>
      </c>
      <c r="C1013" s="56" t="s">
        <v>197</v>
      </c>
      <c r="D1013" t="s">
        <v>85</v>
      </c>
      <c r="E1013" t="str">
        <f>VLOOKUP(D1013,'Lista de Produtos CLASSIFICAÇÃO'!$A$103:$B$144,2,FALSE)</f>
        <v>Outros</v>
      </c>
      <c r="F1013" s="55">
        <v>125795</v>
      </c>
      <c r="G1013" s="56" t="str">
        <f>VLOOKUP(C1013,clientes!$C$3:$D$60,2,FALSE)</f>
        <v>DRT</v>
      </c>
    </row>
    <row r="1014" spans="1:7" x14ac:dyDescent="0.25">
      <c r="A1014">
        <v>2023</v>
      </c>
      <c r="B1014" t="s">
        <v>137</v>
      </c>
      <c r="C1014" s="56" t="s">
        <v>198</v>
      </c>
      <c r="D1014" t="s">
        <v>121</v>
      </c>
      <c r="E1014" t="str">
        <f>VLOOKUP(D1014,'Lista de Produtos CLASSIFICAÇÃO'!$A$103:$B$144,2,FALSE)</f>
        <v>Biocombustíveis</v>
      </c>
      <c r="F1014" s="55">
        <v>750000</v>
      </c>
      <c r="G1014" s="56" t="str">
        <f>VLOOKUP(C1014,clientes!$C$3:$D$60,2,FALSE)</f>
        <v>TEREOS / INPASA / GLENCORE</v>
      </c>
    </row>
    <row r="1015" spans="1:7" x14ac:dyDescent="0.25">
      <c r="A1015">
        <v>2023</v>
      </c>
      <c r="B1015" t="s">
        <v>137</v>
      </c>
      <c r="C1015" s="56" t="s">
        <v>174</v>
      </c>
      <c r="D1015" t="s">
        <v>123</v>
      </c>
      <c r="E1015" t="str">
        <f>VLOOKUP(D1015,'Lista de Produtos CLASSIFICAÇÃO'!$A$103:$B$144,2,FALSE)</f>
        <v>Aquecidos</v>
      </c>
      <c r="F1015" s="55">
        <v>795585</v>
      </c>
      <c r="G1015" s="56" t="str">
        <f>VLOOKUP(C1015,clientes!$C$3:$D$60,2,FALSE)</f>
        <v>CELENA</v>
      </c>
    </row>
    <row r="1016" spans="1:7" x14ac:dyDescent="0.25">
      <c r="A1016">
        <v>2023</v>
      </c>
      <c r="B1016" t="s">
        <v>137</v>
      </c>
      <c r="C1016" s="56" t="s">
        <v>175</v>
      </c>
      <c r="D1016" t="s">
        <v>123</v>
      </c>
      <c r="E1016" t="str">
        <f>VLOOKUP(D1016,'Lista de Produtos CLASSIFICAÇÃO'!$A$103:$B$144,2,FALSE)</f>
        <v>Aquecidos</v>
      </c>
      <c r="F1016" s="55">
        <v>446949</v>
      </c>
      <c r="G1016" s="56" t="str">
        <f>VLOOKUP(C1016,clientes!$C$3:$D$60,2,FALSE)</f>
        <v>AAK DO BRASIL</v>
      </c>
    </row>
    <row r="1017" spans="1:7" x14ac:dyDescent="0.25">
      <c r="A1017">
        <v>2023</v>
      </c>
      <c r="B1017" t="s">
        <v>137</v>
      </c>
      <c r="C1017" s="56" t="s">
        <v>166</v>
      </c>
      <c r="D1017" t="s">
        <v>122</v>
      </c>
      <c r="E1017" t="str">
        <f>VLOOKUP(D1017,'Lista de Produtos CLASSIFICAÇÃO'!$A$103:$B$144,2,FALSE)</f>
        <v>Óleo Vegetal</v>
      </c>
      <c r="F1017" s="55">
        <v>278952</v>
      </c>
      <c r="G1017" s="56" t="str">
        <f>VLOOKUP(C1017,clientes!$C$3:$D$60,2,FALSE)</f>
        <v>CARGILL</v>
      </c>
    </row>
    <row r="1018" spans="1:7" x14ac:dyDescent="0.25">
      <c r="A1018">
        <v>2023</v>
      </c>
      <c r="B1018" t="s">
        <v>137</v>
      </c>
      <c r="C1018" s="56" t="s">
        <v>176</v>
      </c>
      <c r="D1018" t="s">
        <v>123</v>
      </c>
      <c r="E1018" t="str">
        <f>VLOOKUP(D1018,'Lista de Produtos CLASSIFICAÇÃO'!$A$103:$B$144,2,FALSE)</f>
        <v>Aquecidos</v>
      </c>
      <c r="F1018" s="55">
        <v>268238</v>
      </c>
      <c r="G1018" s="56" t="str">
        <f>VLOOKUP(C1018,clientes!$C$3:$D$60,2,FALSE)</f>
        <v>AGROPALMA</v>
      </c>
    </row>
    <row r="1019" spans="1:7" x14ac:dyDescent="0.25">
      <c r="A1019">
        <v>2023</v>
      </c>
      <c r="B1019" t="s">
        <v>137</v>
      </c>
      <c r="C1019" s="56" t="s">
        <v>177</v>
      </c>
      <c r="D1019" t="s">
        <v>115</v>
      </c>
      <c r="E1019" t="str">
        <f>VLOOKUP(D1019,'Lista de Produtos CLASSIFICAÇÃO'!$A$103:$B$144,2,FALSE)</f>
        <v>Soda Caustica</v>
      </c>
      <c r="F1019" s="55">
        <v>318237</v>
      </c>
      <c r="G1019" s="56" t="str">
        <f>VLOOKUP(C1019,clientes!$C$3:$D$60,2,FALSE)</f>
        <v>BRENNTAG</v>
      </c>
    </row>
    <row r="1020" spans="1:7" x14ac:dyDescent="0.25">
      <c r="A1020">
        <v>2023</v>
      </c>
      <c r="B1020" t="s">
        <v>137</v>
      </c>
      <c r="C1020" s="56" t="s">
        <v>178</v>
      </c>
      <c r="D1020" t="s">
        <v>115</v>
      </c>
      <c r="E1020" t="str">
        <f>VLOOKUP(D1020,'Lista de Produtos CLASSIFICAÇÃO'!$A$103:$B$144,2,FALSE)</f>
        <v>Soda Caustica</v>
      </c>
      <c r="F1020" s="55">
        <v>1501777</v>
      </c>
      <c r="G1020" s="56" t="str">
        <f>VLOOKUP(C1020,clientes!$C$3:$D$60,2,FALSE)</f>
        <v>OLIN BLUE CUBE</v>
      </c>
    </row>
    <row r="1021" spans="1:7" x14ac:dyDescent="0.25">
      <c r="A1021">
        <v>2023</v>
      </c>
      <c r="B1021" t="s">
        <v>137</v>
      </c>
      <c r="C1021" s="56" t="s">
        <v>179</v>
      </c>
      <c r="D1021" t="s">
        <v>26</v>
      </c>
      <c r="E1021" t="str">
        <f>VLOOKUP(D1021,'Lista de Produtos CLASSIFICAÇÃO'!$A$103:$B$144,2,FALSE)</f>
        <v>Biocombustíveis</v>
      </c>
      <c r="F1021" s="55">
        <v>325050</v>
      </c>
      <c r="G1021" s="56" t="str">
        <f>VLOOKUP(C1021,clientes!$C$3:$D$60,2,FALSE)</f>
        <v>BSBIOS</v>
      </c>
    </row>
    <row r="1022" spans="1:7" x14ac:dyDescent="0.25">
      <c r="A1022">
        <v>2023</v>
      </c>
      <c r="B1022" t="s">
        <v>137</v>
      </c>
      <c r="C1022" s="56" t="s">
        <v>180</v>
      </c>
      <c r="D1022" t="s">
        <v>30</v>
      </c>
      <c r="E1022" t="str">
        <f>VLOOKUP(D1022,'Lista de Produtos CLASSIFICAÇÃO'!$A$103:$B$144,2,FALSE)</f>
        <v>Outros</v>
      </c>
      <c r="F1022" s="55">
        <v>215867</v>
      </c>
      <c r="G1022" s="56" t="str">
        <f>VLOOKUP(C1022,clientes!$C$3:$D$60,2,FALSE)</f>
        <v>TRICHEM</v>
      </c>
    </row>
    <row r="1023" spans="1:7" x14ac:dyDescent="0.25">
      <c r="A1023">
        <v>2023</v>
      </c>
      <c r="B1023" t="s">
        <v>137</v>
      </c>
      <c r="C1023" s="56" t="s">
        <v>181</v>
      </c>
      <c r="D1023" t="s">
        <v>123</v>
      </c>
      <c r="E1023" t="str">
        <f>VLOOKUP(D1023,'Lista de Produtos CLASSIFICAÇÃO'!$A$103:$B$144,2,FALSE)</f>
        <v>Aquecidos</v>
      </c>
      <c r="F1023" s="55">
        <v>249297</v>
      </c>
      <c r="G1023" s="56" t="str">
        <f>VLOOKUP(C1023,clientes!$C$3:$D$60,2,FALSE)</f>
        <v>COAMO</v>
      </c>
    </row>
    <row r="1024" spans="1:7" x14ac:dyDescent="0.25">
      <c r="A1024">
        <v>2023</v>
      </c>
      <c r="B1024" t="s">
        <v>137</v>
      </c>
      <c r="C1024" s="56" t="s">
        <v>182</v>
      </c>
      <c r="D1024" t="s">
        <v>120</v>
      </c>
      <c r="E1024" t="str">
        <f>VLOOKUP(D1024,'Lista de Produtos CLASSIFICAÇÃO'!$A$103:$B$144,2,FALSE)</f>
        <v>Derivados</v>
      </c>
      <c r="F1024" s="55">
        <v>676544</v>
      </c>
      <c r="G1024" s="56" t="str">
        <f>VLOOKUP(C1024,clientes!$C$3:$D$60,2,FALSE)</f>
        <v>ATEM</v>
      </c>
    </row>
    <row r="1025" spans="1:7" x14ac:dyDescent="0.25">
      <c r="A1025">
        <v>2023</v>
      </c>
      <c r="B1025" t="s">
        <v>138</v>
      </c>
      <c r="C1025" t="s">
        <v>155</v>
      </c>
      <c r="D1025" t="s">
        <v>16</v>
      </c>
      <c r="E1025" t="str">
        <f>VLOOKUP(D1025,'Lista de Produtos CLASSIFICAÇÃO'!$A$103:$B$144,2,FALSE)</f>
        <v>Outros</v>
      </c>
      <c r="F1025" s="55">
        <v>764605</v>
      </c>
      <c r="G1025" s="56" t="str">
        <f>VLOOKUP(C1025,clientes!$C$3:$D$60,2,FALSE)</f>
        <v>ADISSEO</v>
      </c>
    </row>
    <row r="1026" spans="1:7" x14ac:dyDescent="0.25">
      <c r="A1026">
        <v>2023</v>
      </c>
      <c r="B1026" t="s">
        <v>138</v>
      </c>
      <c r="C1026" t="s">
        <v>156</v>
      </c>
      <c r="D1026" t="s">
        <v>123</v>
      </c>
      <c r="E1026" t="str">
        <f>VLOOKUP(D1026,'Lista de Produtos CLASSIFICAÇÃO'!$A$103:$B$144,2,FALSE)</f>
        <v>Aquecidos</v>
      </c>
      <c r="F1026" s="55">
        <v>339303</v>
      </c>
      <c r="G1026" s="56" t="str">
        <f>VLOOKUP(C1026,clientes!$C$3:$D$60,2,FALSE)</f>
        <v>BUNGE</v>
      </c>
    </row>
    <row r="1027" spans="1:7" x14ac:dyDescent="0.25">
      <c r="A1027">
        <v>2023</v>
      </c>
      <c r="B1027" t="s">
        <v>138</v>
      </c>
      <c r="C1027" t="s">
        <v>157</v>
      </c>
      <c r="D1027" t="s">
        <v>122</v>
      </c>
      <c r="E1027" t="str">
        <f>VLOOKUP(D1027,'Lista de Produtos CLASSIFICAÇÃO'!$A$103:$B$144,2,FALSE)</f>
        <v>Óleo Vegetal</v>
      </c>
      <c r="F1027" s="55">
        <v>162891</v>
      </c>
      <c r="G1027" s="56" t="str">
        <f>VLOOKUP(C1027,clientes!$C$3:$D$60,2,FALSE)</f>
        <v>ADM</v>
      </c>
    </row>
    <row r="1028" spans="1:7" x14ac:dyDescent="0.25">
      <c r="A1028">
        <v>2023</v>
      </c>
      <c r="B1028" t="s">
        <v>138</v>
      </c>
      <c r="C1028" t="s">
        <v>158</v>
      </c>
      <c r="D1028" t="s">
        <v>120</v>
      </c>
      <c r="E1028" t="str">
        <f>VLOOKUP(D1028,'Lista de Produtos CLASSIFICAÇÃO'!$A$103:$B$144,2,FALSE)</f>
        <v>Derivados</v>
      </c>
      <c r="F1028" s="55">
        <v>6086965</v>
      </c>
      <c r="G1028" s="56" t="str">
        <f>VLOOKUP(C1028,clientes!$C$3:$D$60,2,FALSE)</f>
        <v>IPIRANGA</v>
      </c>
    </row>
    <row r="1029" spans="1:7" x14ac:dyDescent="0.25">
      <c r="A1029">
        <v>2023</v>
      </c>
      <c r="B1029" t="s">
        <v>138</v>
      </c>
      <c r="C1029" t="s">
        <v>159</v>
      </c>
      <c r="D1029" t="s">
        <v>120</v>
      </c>
      <c r="E1029" t="str">
        <f>VLOOKUP(D1029,'Lista de Produtos CLASSIFICAÇÃO'!$A$103:$B$144,2,FALSE)</f>
        <v>Derivados</v>
      </c>
      <c r="F1029" s="55">
        <v>4164996</v>
      </c>
      <c r="G1029" s="56" t="str">
        <f>VLOOKUP(C1029,clientes!$C$3:$D$60,2,FALSE)</f>
        <v>RAIZEN</v>
      </c>
    </row>
    <row r="1030" spans="1:7" x14ac:dyDescent="0.25">
      <c r="A1030">
        <v>2023</v>
      </c>
      <c r="B1030" t="s">
        <v>138</v>
      </c>
      <c r="C1030" t="s">
        <v>160</v>
      </c>
      <c r="D1030" t="s">
        <v>120</v>
      </c>
      <c r="E1030" t="str">
        <f>VLOOKUP(D1030,'Lista de Produtos CLASSIFICAÇÃO'!$A$103:$B$144,2,FALSE)</f>
        <v>Derivados</v>
      </c>
      <c r="F1030" s="55">
        <v>1750502</v>
      </c>
      <c r="G1030" s="56" t="str">
        <f>VLOOKUP(C1030,clientes!$C$3:$D$60,2,FALSE)</f>
        <v>VIBRA</v>
      </c>
    </row>
    <row r="1031" spans="1:7" x14ac:dyDescent="0.25">
      <c r="A1031">
        <v>2023</v>
      </c>
      <c r="B1031" t="s">
        <v>138</v>
      </c>
      <c r="C1031" t="s">
        <v>161</v>
      </c>
      <c r="D1031" t="s">
        <v>120</v>
      </c>
      <c r="E1031" t="str">
        <f>VLOOKUP(D1031,'Lista de Produtos CLASSIFICAÇÃO'!$A$103:$B$144,2,FALSE)</f>
        <v>Derivados</v>
      </c>
      <c r="F1031" s="55">
        <v>2379391</v>
      </c>
      <c r="G1031" s="56" t="str">
        <f>VLOOKUP(C1031,clientes!$C$3:$D$60,2,FALSE)</f>
        <v>SUL PLATA</v>
      </c>
    </row>
    <row r="1032" spans="1:7" x14ac:dyDescent="0.25">
      <c r="A1032">
        <v>2023</v>
      </c>
      <c r="B1032" t="s">
        <v>138</v>
      </c>
      <c r="C1032" t="s">
        <v>195</v>
      </c>
      <c r="D1032" t="s">
        <v>115</v>
      </c>
      <c r="E1032" t="str">
        <f>VLOOKUP(D1032,'Lista de Produtos CLASSIFICAÇÃO'!$A$103:$B$144,2,FALSE)</f>
        <v>Soda Caustica</v>
      </c>
      <c r="F1032" s="55">
        <v>70663</v>
      </c>
      <c r="G1032" s="56" t="str">
        <f>VLOOKUP(C1032,clientes!$C$3:$D$60,2,FALSE)</f>
        <v>PROJESAN</v>
      </c>
    </row>
    <row r="1033" spans="1:7" x14ac:dyDescent="0.25">
      <c r="A1033">
        <v>2023</v>
      </c>
      <c r="B1033" t="s">
        <v>138</v>
      </c>
      <c r="C1033" t="s">
        <v>162</v>
      </c>
      <c r="D1033" t="s">
        <v>115</v>
      </c>
      <c r="E1033" t="str">
        <f>VLOOKUP(D1033,'Lista de Produtos CLASSIFICAÇÃO'!$A$103:$B$144,2,FALSE)</f>
        <v>Soda Caustica</v>
      </c>
      <c r="F1033" s="55">
        <v>144366</v>
      </c>
      <c r="G1033" s="56" t="str">
        <f>VLOOKUP(C1033,clientes!$C$3:$D$60,2,FALSE)</f>
        <v>JBS</v>
      </c>
    </row>
    <row r="1034" spans="1:7" x14ac:dyDescent="0.25">
      <c r="A1034">
        <v>2023</v>
      </c>
      <c r="B1034" t="s">
        <v>138</v>
      </c>
      <c r="C1034" t="s">
        <v>163</v>
      </c>
      <c r="D1034" t="s">
        <v>115</v>
      </c>
      <c r="E1034" t="str">
        <f>VLOOKUP(D1034,'Lista de Produtos CLASSIFICAÇÃO'!$A$103:$B$144,2,FALSE)</f>
        <v>Soda Caustica</v>
      </c>
      <c r="F1034" s="55">
        <v>623815</v>
      </c>
      <c r="G1034" s="56" t="str">
        <f>VLOOKUP(C1034,clientes!$C$3:$D$60,2,FALSE)</f>
        <v>TRICON ENERGY</v>
      </c>
    </row>
    <row r="1035" spans="1:7" x14ac:dyDescent="0.25">
      <c r="A1035">
        <v>2023</v>
      </c>
      <c r="B1035" t="s">
        <v>138</v>
      </c>
      <c r="C1035" t="s">
        <v>164</v>
      </c>
      <c r="D1035" t="s">
        <v>115</v>
      </c>
      <c r="E1035" t="str">
        <f>VLOOKUP(D1035,'Lista de Produtos CLASSIFICAÇÃO'!$A$103:$B$144,2,FALSE)</f>
        <v>Soda Caustica</v>
      </c>
      <c r="F1035" s="55">
        <v>240735</v>
      </c>
      <c r="G1035" s="56" t="str">
        <f>VLOOKUP(C1035,clientes!$C$3:$D$60,2,FALSE)</f>
        <v>BRASKEM</v>
      </c>
    </row>
    <row r="1036" spans="1:7" x14ac:dyDescent="0.25">
      <c r="A1036">
        <v>2023</v>
      </c>
      <c r="B1036" t="s">
        <v>138</v>
      </c>
      <c r="C1036" t="s">
        <v>165</v>
      </c>
      <c r="D1036" t="s">
        <v>123</v>
      </c>
      <c r="E1036" t="str">
        <f>VLOOKUP(D1036,'Lista de Produtos CLASSIFICAÇÃO'!$A$103:$B$144,2,FALSE)</f>
        <v>Aquecidos</v>
      </c>
      <c r="F1036" s="55">
        <v>947162</v>
      </c>
      <c r="G1036" s="56" t="str">
        <f>VLOOKUP(C1036,clientes!$C$3:$D$60,2,FALSE)</f>
        <v>BRF</v>
      </c>
    </row>
    <row r="1037" spans="1:7" x14ac:dyDescent="0.25">
      <c r="A1037">
        <v>2023</v>
      </c>
      <c r="B1037" t="s">
        <v>138</v>
      </c>
      <c r="C1037" t="s">
        <v>162</v>
      </c>
      <c r="D1037" t="s">
        <v>123</v>
      </c>
      <c r="E1037" t="str">
        <f>VLOOKUP(D1037,'Lista de Produtos CLASSIFICAÇÃO'!$A$103:$B$144,2,FALSE)</f>
        <v>Aquecidos</v>
      </c>
      <c r="F1037" s="55">
        <v>462720</v>
      </c>
      <c r="G1037" s="56" t="str">
        <f>VLOOKUP(C1037,clientes!$C$3:$D$60,2,FALSE)</f>
        <v>JBS</v>
      </c>
    </row>
    <row r="1038" spans="1:7" x14ac:dyDescent="0.25">
      <c r="A1038">
        <v>2023</v>
      </c>
      <c r="B1038" t="s">
        <v>138</v>
      </c>
      <c r="C1038" t="s">
        <v>166</v>
      </c>
      <c r="D1038" t="s">
        <v>123</v>
      </c>
      <c r="E1038" t="str">
        <f>VLOOKUP(D1038,'Lista de Produtos CLASSIFICAÇÃO'!$A$103:$B$144,2,FALSE)</f>
        <v>Aquecidos</v>
      </c>
      <c r="F1038" s="55">
        <v>359896</v>
      </c>
      <c r="G1038" s="56" t="str">
        <f>VLOOKUP(C1038,clientes!$C$3:$D$60,2,FALSE)</f>
        <v>CARGILL</v>
      </c>
    </row>
    <row r="1039" spans="1:7" x14ac:dyDescent="0.25">
      <c r="A1039">
        <v>2023</v>
      </c>
      <c r="B1039" t="s">
        <v>138</v>
      </c>
      <c r="C1039" t="s">
        <v>167</v>
      </c>
      <c r="D1039" t="s">
        <v>122</v>
      </c>
      <c r="E1039" t="str">
        <f>VLOOKUP(D1039,'Lista de Produtos CLASSIFICAÇÃO'!$A$103:$B$144,2,FALSE)</f>
        <v>Óleo Vegetal</v>
      </c>
      <c r="F1039" s="55">
        <v>5321371</v>
      </c>
      <c r="G1039" s="56" t="str">
        <f>VLOOKUP(C1039,clientes!$C$3:$D$60,2,FALSE)</f>
        <v>POOL</v>
      </c>
    </row>
    <row r="1040" spans="1:7" x14ac:dyDescent="0.25">
      <c r="A1040">
        <v>2023</v>
      </c>
      <c r="B1040" t="s">
        <v>138</v>
      </c>
      <c r="C1040" t="s">
        <v>168</v>
      </c>
      <c r="D1040" t="s">
        <v>122</v>
      </c>
      <c r="E1040" t="str">
        <f>VLOOKUP(D1040,'Lista de Produtos CLASSIFICAÇÃO'!$A$103:$B$144,2,FALSE)</f>
        <v>Óleo Vegetal</v>
      </c>
      <c r="F1040" s="55">
        <v>147702</v>
      </c>
      <c r="G1040" s="56" t="str">
        <f>VLOOKUP(C1040,clientes!$C$3:$D$60,2,FALSE)</f>
        <v>POOL EXCEDENTE</v>
      </c>
    </row>
    <row r="1041" spans="1:7" x14ac:dyDescent="0.25">
      <c r="A1041">
        <v>2023</v>
      </c>
      <c r="B1041" t="s">
        <v>138</v>
      </c>
      <c r="C1041" t="s">
        <v>169</v>
      </c>
      <c r="D1041" t="s">
        <v>22</v>
      </c>
      <c r="E1041" t="str">
        <f>VLOOKUP(D1041,'Lista de Produtos CLASSIFICAÇÃO'!$A$103:$B$144,2,FALSE)</f>
        <v>Metanol</v>
      </c>
      <c r="F1041" s="55">
        <v>5364738</v>
      </c>
      <c r="G1041" s="56" t="str">
        <f>VLOOKUP(C1041,clientes!$C$3:$D$60,2,FALSE)</f>
        <v>METHANEX</v>
      </c>
    </row>
    <row r="1042" spans="1:7" x14ac:dyDescent="0.25">
      <c r="A1042">
        <v>2023</v>
      </c>
      <c r="B1042" t="s">
        <v>138</v>
      </c>
      <c r="C1042" t="s">
        <v>170</v>
      </c>
      <c r="D1042" t="s">
        <v>22</v>
      </c>
      <c r="E1042" t="str">
        <f>VLOOKUP(D1042,'Lista de Produtos CLASSIFICAÇÃO'!$A$103:$B$144,2,FALSE)</f>
        <v>Metanol</v>
      </c>
      <c r="F1042" s="55">
        <v>3200617</v>
      </c>
      <c r="G1042" s="56" t="str">
        <f>VLOOKUP(C1042,clientes!$C$3:$D$60,2,FALSE)</f>
        <v>MITSUBISHI</v>
      </c>
    </row>
    <row r="1043" spans="1:7" x14ac:dyDescent="0.25">
      <c r="A1043">
        <v>2023</v>
      </c>
      <c r="B1043" t="s">
        <v>138</v>
      </c>
      <c r="C1043" t="s">
        <v>196</v>
      </c>
      <c r="D1043" t="s">
        <v>22</v>
      </c>
      <c r="E1043" t="str">
        <f>VLOOKUP(D1043,'Lista de Produtos CLASSIFICAÇÃO'!$A$103:$B$144,2,FALSE)</f>
        <v>Metanol</v>
      </c>
      <c r="F1043" s="55">
        <v>5503073</v>
      </c>
      <c r="G1043" s="56" t="str">
        <f>VLOOKUP(C1043,clientes!$C$3:$D$60,2,FALSE)</f>
        <v>SCC</v>
      </c>
    </row>
    <row r="1044" spans="1:7" x14ac:dyDescent="0.25">
      <c r="A1044">
        <v>2023</v>
      </c>
      <c r="B1044" t="s">
        <v>138</v>
      </c>
      <c r="C1044" t="s">
        <v>172</v>
      </c>
      <c r="D1044" t="s">
        <v>124</v>
      </c>
      <c r="E1044" t="str">
        <f>VLOOKUP(D1044,'Lista de Produtos CLASSIFICAÇÃO'!$A$103:$B$144,2,FALSE)</f>
        <v>Outros</v>
      </c>
      <c r="F1044" s="55">
        <v>297306</v>
      </c>
      <c r="G1044" s="56" t="str">
        <f>VLOOKUP(C1044,clientes!$C$3:$D$60,2,FALSE)</f>
        <v>EVONIK</v>
      </c>
    </row>
    <row r="1045" spans="1:7" x14ac:dyDescent="0.25">
      <c r="A1045">
        <v>2023</v>
      </c>
      <c r="B1045" t="s">
        <v>138</v>
      </c>
      <c r="C1045" t="s">
        <v>173</v>
      </c>
      <c r="D1045" t="s">
        <v>22</v>
      </c>
      <c r="E1045" t="str">
        <f>VLOOKUP(D1045,'Lista de Produtos CLASSIFICAÇÃO'!$A$103:$B$144,2,FALSE)</f>
        <v>Metanol</v>
      </c>
      <c r="F1045" s="55">
        <v>515367</v>
      </c>
      <c r="G1045" s="56" t="str">
        <f>VLOOKUP(C1045,clientes!$C$3:$D$60,2,FALSE)</f>
        <v>YPF SOCIEDAD ANONIMA</v>
      </c>
    </row>
    <row r="1046" spans="1:7" x14ac:dyDescent="0.25">
      <c r="A1046">
        <v>2023</v>
      </c>
      <c r="B1046" t="s">
        <v>138</v>
      </c>
      <c r="C1046" t="s">
        <v>197</v>
      </c>
      <c r="D1046" t="s">
        <v>85</v>
      </c>
      <c r="E1046" t="str">
        <f>VLOOKUP(D1046,'Lista de Produtos CLASSIFICAÇÃO'!$A$103:$B$144,2,FALSE)</f>
        <v>Outros</v>
      </c>
      <c r="F1046" s="55">
        <v>125795</v>
      </c>
      <c r="G1046" s="56" t="str">
        <f>VLOOKUP(C1046,clientes!$C$3:$D$60,2,FALSE)</f>
        <v>DRT</v>
      </c>
    </row>
    <row r="1047" spans="1:7" x14ac:dyDescent="0.25">
      <c r="A1047">
        <v>2023</v>
      </c>
      <c r="B1047" t="s">
        <v>138</v>
      </c>
      <c r="C1047" t="s">
        <v>198</v>
      </c>
      <c r="D1047" t="s">
        <v>121</v>
      </c>
      <c r="E1047" t="str">
        <f>VLOOKUP(D1047,'Lista de Produtos CLASSIFICAÇÃO'!$A$103:$B$144,2,FALSE)</f>
        <v>Biocombustíveis</v>
      </c>
      <c r="F1047" s="55">
        <v>750000</v>
      </c>
      <c r="G1047" s="56" t="str">
        <f>VLOOKUP(C1047,clientes!$C$3:$D$60,2,FALSE)</f>
        <v>TEREOS / INPASA / GLENCORE</v>
      </c>
    </row>
    <row r="1048" spans="1:7" x14ac:dyDescent="0.25">
      <c r="A1048">
        <v>2023</v>
      </c>
      <c r="B1048" t="s">
        <v>138</v>
      </c>
      <c r="C1048" t="s">
        <v>174</v>
      </c>
      <c r="D1048" t="s">
        <v>123</v>
      </c>
      <c r="E1048" t="str">
        <f>VLOOKUP(D1048,'Lista de Produtos CLASSIFICAÇÃO'!$A$103:$B$144,2,FALSE)</f>
        <v>Aquecidos</v>
      </c>
      <c r="F1048" s="55">
        <v>795585</v>
      </c>
      <c r="G1048" s="56" t="str">
        <f>VLOOKUP(C1048,clientes!$C$3:$D$60,2,FALSE)</f>
        <v>CELENA</v>
      </c>
    </row>
    <row r="1049" spans="1:7" x14ac:dyDescent="0.25">
      <c r="A1049">
        <v>2023</v>
      </c>
      <c r="B1049" t="s">
        <v>138</v>
      </c>
      <c r="C1049" t="s">
        <v>175</v>
      </c>
      <c r="D1049" t="s">
        <v>123</v>
      </c>
      <c r="E1049" t="str">
        <f>VLOOKUP(D1049,'Lista de Produtos CLASSIFICAÇÃO'!$A$103:$B$144,2,FALSE)</f>
        <v>Aquecidos</v>
      </c>
      <c r="F1049" s="55">
        <v>446949</v>
      </c>
      <c r="G1049" s="56" t="str">
        <f>VLOOKUP(C1049,clientes!$C$3:$D$60,2,FALSE)</f>
        <v>AAK DO BRASIL</v>
      </c>
    </row>
    <row r="1050" spans="1:7" x14ac:dyDescent="0.25">
      <c r="A1050">
        <v>2023</v>
      </c>
      <c r="B1050" t="s">
        <v>138</v>
      </c>
      <c r="C1050" t="s">
        <v>166</v>
      </c>
      <c r="D1050" t="s">
        <v>122</v>
      </c>
      <c r="E1050" t="str">
        <f>VLOOKUP(D1050,'Lista de Produtos CLASSIFICAÇÃO'!$A$103:$B$144,2,FALSE)</f>
        <v>Óleo Vegetal</v>
      </c>
      <c r="F1050" s="55">
        <v>308495</v>
      </c>
      <c r="G1050" s="56" t="str">
        <f>VLOOKUP(C1050,clientes!$C$3:$D$60,2,FALSE)</f>
        <v>CARGILL</v>
      </c>
    </row>
    <row r="1051" spans="1:7" x14ac:dyDescent="0.25">
      <c r="A1051">
        <v>2023</v>
      </c>
      <c r="B1051" t="s">
        <v>138</v>
      </c>
      <c r="C1051" t="s">
        <v>176</v>
      </c>
      <c r="D1051" t="s">
        <v>123</v>
      </c>
      <c r="E1051" t="str">
        <f>VLOOKUP(D1051,'Lista de Produtos CLASSIFICAÇÃO'!$A$103:$B$144,2,FALSE)</f>
        <v>Aquecidos</v>
      </c>
      <c r="F1051" s="55">
        <v>268238</v>
      </c>
      <c r="G1051" s="56" t="str">
        <f>VLOOKUP(C1051,clientes!$C$3:$D$60,2,FALSE)</f>
        <v>AGROPALMA</v>
      </c>
    </row>
    <row r="1052" spans="1:7" x14ac:dyDescent="0.25">
      <c r="A1052">
        <v>2023</v>
      </c>
      <c r="B1052" t="s">
        <v>138</v>
      </c>
      <c r="C1052" t="s">
        <v>177</v>
      </c>
      <c r="D1052" t="s">
        <v>115</v>
      </c>
      <c r="E1052" t="str">
        <f>VLOOKUP(D1052,'Lista de Produtos CLASSIFICAÇÃO'!$A$103:$B$144,2,FALSE)</f>
        <v>Soda Caustica</v>
      </c>
      <c r="F1052" s="55">
        <v>318237</v>
      </c>
      <c r="G1052" s="56" t="str">
        <f>VLOOKUP(C1052,clientes!$C$3:$D$60,2,FALSE)</f>
        <v>BRENNTAG</v>
      </c>
    </row>
    <row r="1053" spans="1:7" x14ac:dyDescent="0.25">
      <c r="A1053">
        <v>2023</v>
      </c>
      <c r="B1053" t="s">
        <v>138</v>
      </c>
      <c r="C1053" t="s">
        <v>178</v>
      </c>
      <c r="D1053" t="s">
        <v>115</v>
      </c>
      <c r="E1053" t="str">
        <f>VLOOKUP(D1053,'Lista de Produtos CLASSIFICAÇÃO'!$A$103:$B$144,2,FALSE)</f>
        <v>Soda Caustica</v>
      </c>
      <c r="F1053" s="55">
        <v>1501777</v>
      </c>
      <c r="G1053" s="56" t="str">
        <f>VLOOKUP(C1053,clientes!$C$3:$D$60,2,FALSE)</f>
        <v>OLIN BLUE CUBE</v>
      </c>
    </row>
    <row r="1054" spans="1:7" x14ac:dyDescent="0.25">
      <c r="A1054">
        <v>2023</v>
      </c>
      <c r="B1054" t="s">
        <v>138</v>
      </c>
      <c r="C1054" t="s">
        <v>179</v>
      </c>
      <c r="D1054" t="s">
        <v>26</v>
      </c>
      <c r="E1054" t="str">
        <f>VLOOKUP(D1054,'Lista de Produtos CLASSIFICAÇÃO'!$A$103:$B$144,2,FALSE)</f>
        <v>Biocombustíveis</v>
      </c>
      <c r="F1054" s="55">
        <v>325050</v>
      </c>
      <c r="G1054" s="56" t="str">
        <f>VLOOKUP(C1054,clientes!$C$3:$D$60,2,FALSE)</f>
        <v>BSBIOS</v>
      </c>
    </row>
    <row r="1055" spans="1:7" x14ac:dyDescent="0.25">
      <c r="A1055">
        <v>2023</v>
      </c>
      <c r="B1055" t="s">
        <v>138</v>
      </c>
      <c r="C1055" t="s">
        <v>180</v>
      </c>
      <c r="D1055" t="s">
        <v>30</v>
      </c>
      <c r="E1055" t="str">
        <f>VLOOKUP(D1055,'Lista de Produtos CLASSIFICAÇÃO'!$A$103:$B$144,2,FALSE)</f>
        <v>Outros</v>
      </c>
      <c r="F1055" s="55">
        <v>187972</v>
      </c>
      <c r="G1055" s="56" t="str">
        <f>VLOOKUP(C1055,clientes!$C$3:$D$60,2,FALSE)</f>
        <v>TRICHEM</v>
      </c>
    </row>
    <row r="1056" spans="1:7" x14ac:dyDescent="0.25">
      <c r="A1056">
        <v>2023</v>
      </c>
      <c r="B1056" t="s">
        <v>138</v>
      </c>
      <c r="C1056" t="s">
        <v>181</v>
      </c>
      <c r="D1056" t="s">
        <v>123</v>
      </c>
      <c r="E1056" t="str">
        <f>VLOOKUP(D1056,'Lista de Produtos CLASSIFICAÇÃO'!$A$103:$B$144,2,FALSE)</f>
        <v>Aquecidos</v>
      </c>
      <c r="F1056" s="55">
        <v>249297</v>
      </c>
      <c r="G1056" s="56" t="str">
        <f>VLOOKUP(C1056,clientes!$C$3:$D$60,2,FALSE)</f>
        <v>COAMO</v>
      </c>
    </row>
    <row r="1057" spans="1:7" x14ac:dyDescent="0.25">
      <c r="A1057">
        <v>2023</v>
      </c>
      <c r="B1057" t="s">
        <v>138</v>
      </c>
      <c r="C1057" t="s">
        <v>182</v>
      </c>
      <c r="D1057" t="s">
        <v>120</v>
      </c>
      <c r="E1057" t="str">
        <f>VLOOKUP(D1057,'Lista de Produtos CLASSIFICAÇÃO'!$A$103:$B$144,2,FALSE)</f>
        <v>Derivados</v>
      </c>
      <c r="F1057" s="55">
        <v>676544</v>
      </c>
      <c r="G1057" s="56" t="str">
        <f>VLOOKUP(C1057,clientes!$C$3:$D$60,2,FALSE)</f>
        <v>ATEM</v>
      </c>
    </row>
    <row r="1058" spans="1:7" x14ac:dyDescent="0.25">
      <c r="A1058">
        <v>2023</v>
      </c>
      <c r="B1058" t="s">
        <v>139</v>
      </c>
      <c r="C1058" s="56" t="s">
        <v>155</v>
      </c>
      <c r="D1058" t="s">
        <v>16</v>
      </c>
      <c r="E1058" t="str">
        <f>VLOOKUP(D1058,'Lista de Produtos CLASSIFICAÇÃO'!$A$103:$B$144,2,FALSE)</f>
        <v>Outros</v>
      </c>
      <c r="F1058" s="55">
        <v>764605</v>
      </c>
      <c r="G1058" s="56" t="str">
        <f>VLOOKUP(C1058,clientes!$C$3:$D$60,2,FALSE)</f>
        <v>ADISSEO</v>
      </c>
    </row>
    <row r="1059" spans="1:7" x14ac:dyDescent="0.25">
      <c r="A1059">
        <v>2023</v>
      </c>
      <c r="B1059" t="s">
        <v>139</v>
      </c>
      <c r="C1059" s="56" t="s">
        <v>156</v>
      </c>
      <c r="D1059" t="s">
        <v>123</v>
      </c>
      <c r="E1059" t="str">
        <f>VLOOKUP(D1059,'Lista de Produtos CLASSIFICAÇÃO'!$A$103:$B$144,2,FALSE)</f>
        <v>Aquecidos</v>
      </c>
      <c r="F1059" s="55">
        <v>358677</v>
      </c>
      <c r="G1059" s="56" t="str">
        <f>VLOOKUP(C1059,clientes!$C$3:$D$60,2,FALSE)</f>
        <v>BUNGE</v>
      </c>
    </row>
    <row r="1060" spans="1:7" x14ac:dyDescent="0.25">
      <c r="A1060">
        <v>2023</v>
      </c>
      <c r="B1060" t="s">
        <v>139</v>
      </c>
      <c r="C1060" s="56" t="s">
        <v>157</v>
      </c>
      <c r="D1060" t="s">
        <v>122</v>
      </c>
      <c r="E1060" t="str">
        <f>VLOOKUP(D1060,'Lista de Produtos CLASSIFICAÇÃO'!$A$103:$B$144,2,FALSE)</f>
        <v>Óleo Vegetal</v>
      </c>
      <c r="F1060" s="55">
        <v>162891</v>
      </c>
      <c r="G1060" s="56" t="str">
        <f>VLOOKUP(C1060,clientes!$C$3:$D$60,2,FALSE)</f>
        <v>ADM</v>
      </c>
    </row>
    <row r="1061" spans="1:7" x14ac:dyDescent="0.25">
      <c r="A1061">
        <v>2023</v>
      </c>
      <c r="B1061" t="s">
        <v>139</v>
      </c>
      <c r="C1061" s="56" t="s">
        <v>158</v>
      </c>
      <c r="D1061" t="s">
        <v>120</v>
      </c>
      <c r="E1061" t="str">
        <f>VLOOKUP(D1061,'Lista de Produtos CLASSIFICAÇÃO'!$A$103:$B$144,2,FALSE)</f>
        <v>Derivados</v>
      </c>
      <c r="F1061" s="55">
        <v>6086965</v>
      </c>
      <c r="G1061" s="56" t="str">
        <f>VLOOKUP(C1061,clientes!$C$3:$D$60,2,FALSE)</f>
        <v>IPIRANGA</v>
      </c>
    </row>
    <row r="1062" spans="1:7" x14ac:dyDescent="0.25">
      <c r="A1062">
        <v>2023</v>
      </c>
      <c r="B1062" t="s">
        <v>139</v>
      </c>
      <c r="C1062" s="56" t="s">
        <v>159</v>
      </c>
      <c r="D1062" t="s">
        <v>120</v>
      </c>
      <c r="E1062" t="str">
        <f>VLOOKUP(D1062,'Lista de Produtos CLASSIFICAÇÃO'!$A$103:$B$144,2,FALSE)</f>
        <v>Derivados</v>
      </c>
      <c r="F1062" s="55">
        <v>4164996</v>
      </c>
      <c r="G1062" s="56" t="str">
        <f>VLOOKUP(C1062,clientes!$C$3:$D$60,2,FALSE)</f>
        <v>RAIZEN</v>
      </c>
    </row>
    <row r="1063" spans="1:7" x14ac:dyDescent="0.25">
      <c r="A1063">
        <v>2023</v>
      </c>
      <c r="B1063" t="s">
        <v>139</v>
      </c>
      <c r="C1063" s="56" t="s">
        <v>160</v>
      </c>
      <c r="D1063" t="s">
        <v>120</v>
      </c>
      <c r="E1063" t="str">
        <f>VLOOKUP(D1063,'Lista de Produtos CLASSIFICAÇÃO'!$A$103:$B$144,2,FALSE)</f>
        <v>Derivados</v>
      </c>
      <c r="F1063" s="55">
        <v>1750502</v>
      </c>
      <c r="G1063" s="56" t="str">
        <f>VLOOKUP(C1063,clientes!$C$3:$D$60,2,FALSE)</f>
        <v>VIBRA</v>
      </c>
    </row>
    <row r="1064" spans="1:7" x14ac:dyDescent="0.25">
      <c r="A1064">
        <v>2023</v>
      </c>
      <c r="B1064" t="s">
        <v>139</v>
      </c>
      <c r="C1064" s="56" t="s">
        <v>161</v>
      </c>
      <c r="D1064" t="s">
        <v>120</v>
      </c>
      <c r="E1064" t="str">
        <f>VLOOKUP(D1064,'Lista de Produtos CLASSIFICAÇÃO'!$A$103:$B$144,2,FALSE)</f>
        <v>Derivados</v>
      </c>
      <c r="F1064" s="55">
        <v>2379391</v>
      </c>
      <c r="G1064" s="56" t="str">
        <f>VLOOKUP(C1064,clientes!$C$3:$D$60,2,FALSE)</f>
        <v>SUL PLATA</v>
      </c>
    </row>
    <row r="1065" spans="1:7" x14ac:dyDescent="0.25">
      <c r="A1065">
        <v>2023</v>
      </c>
      <c r="B1065" t="s">
        <v>139</v>
      </c>
      <c r="C1065" s="56" t="s">
        <v>195</v>
      </c>
      <c r="D1065" t="s">
        <v>115</v>
      </c>
      <c r="E1065" t="str">
        <f>VLOOKUP(D1065,'Lista de Produtos CLASSIFICAÇÃO'!$A$103:$B$144,2,FALSE)</f>
        <v>Soda Caustica</v>
      </c>
      <c r="F1065" s="55">
        <v>81453</v>
      </c>
      <c r="G1065" s="56" t="str">
        <f>VLOOKUP(C1065,clientes!$C$3:$D$60,2,FALSE)</f>
        <v>PROJESAN</v>
      </c>
    </row>
    <row r="1066" spans="1:7" x14ac:dyDescent="0.25">
      <c r="A1066">
        <v>2023</v>
      </c>
      <c r="B1066" t="s">
        <v>139</v>
      </c>
      <c r="C1066" s="56" t="s">
        <v>162</v>
      </c>
      <c r="D1066" t="s">
        <v>115</v>
      </c>
      <c r="E1066" t="str">
        <f>VLOOKUP(D1066,'Lista de Produtos CLASSIFICAÇÃO'!$A$103:$B$144,2,FALSE)</f>
        <v>Soda Caustica</v>
      </c>
      <c r="F1066" s="55">
        <v>144366</v>
      </c>
      <c r="G1066" s="56" t="str">
        <f>VLOOKUP(C1066,clientes!$C$3:$D$60,2,FALSE)</f>
        <v>JBS</v>
      </c>
    </row>
    <row r="1067" spans="1:7" x14ac:dyDescent="0.25">
      <c r="A1067">
        <v>2023</v>
      </c>
      <c r="B1067" t="s">
        <v>139</v>
      </c>
      <c r="C1067" s="56" t="s">
        <v>163</v>
      </c>
      <c r="D1067" t="s">
        <v>115</v>
      </c>
      <c r="E1067" t="str">
        <f>VLOOKUP(D1067,'Lista de Produtos CLASSIFICAÇÃO'!$A$103:$B$144,2,FALSE)</f>
        <v>Soda Caustica</v>
      </c>
      <c r="F1067" s="55">
        <v>623815</v>
      </c>
      <c r="G1067" s="56" t="str">
        <f>VLOOKUP(C1067,clientes!$C$3:$D$60,2,FALSE)</f>
        <v>TRICON ENERGY</v>
      </c>
    </row>
    <row r="1068" spans="1:7" x14ac:dyDescent="0.25">
      <c r="A1068">
        <v>2023</v>
      </c>
      <c r="B1068" t="s">
        <v>139</v>
      </c>
      <c r="C1068" s="56" t="s">
        <v>164</v>
      </c>
      <c r="D1068" t="s">
        <v>115</v>
      </c>
      <c r="E1068" t="str">
        <f>VLOOKUP(D1068,'Lista de Produtos CLASSIFICAÇÃO'!$A$103:$B$144,2,FALSE)</f>
        <v>Soda Caustica</v>
      </c>
      <c r="F1068" s="55">
        <v>240735</v>
      </c>
      <c r="G1068" s="56" t="str">
        <f>VLOOKUP(C1068,clientes!$C$3:$D$60,2,FALSE)</f>
        <v>BRASKEM</v>
      </c>
    </row>
    <row r="1069" spans="1:7" x14ac:dyDescent="0.25">
      <c r="A1069">
        <v>2023</v>
      </c>
      <c r="B1069" t="s">
        <v>139</v>
      </c>
      <c r="C1069" s="56" t="s">
        <v>165</v>
      </c>
      <c r="D1069" t="s">
        <v>123</v>
      </c>
      <c r="E1069" t="str">
        <f>VLOOKUP(D1069,'Lista de Produtos CLASSIFICAÇÃO'!$A$103:$B$144,2,FALSE)</f>
        <v>Aquecidos</v>
      </c>
      <c r="F1069" s="55">
        <v>947162</v>
      </c>
      <c r="G1069" s="56" t="str">
        <f>VLOOKUP(C1069,clientes!$C$3:$D$60,2,FALSE)</f>
        <v>BRF</v>
      </c>
    </row>
    <row r="1070" spans="1:7" x14ac:dyDescent="0.25">
      <c r="A1070">
        <v>2023</v>
      </c>
      <c r="B1070" t="s">
        <v>139</v>
      </c>
      <c r="C1070" s="56" t="s">
        <v>162</v>
      </c>
      <c r="D1070" t="s">
        <v>123</v>
      </c>
      <c r="E1070" t="str">
        <f>VLOOKUP(D1070,'Lista de Produtos CLASSIFICAÇÃO'!$A$103:$B$144,2,FALSE)</f>
        <v>Aquecidos</v>
      </c>
      <c r="F1070" s="55">
        <v>462720</v>
      </c>
      <c r="G1070" s="56" t="str">
        <f>VLOOKUP(C1070,clientes!$C$3:$D$60,2,FALSE)</f>
        <v>JBS</v>
      </c>
    </row>
    <row r="1071" spans="1:7" x14ac:dyDescent="0.25">
      <c r="A1071">
        <v>2023</v>
      </c>
      <c r="B1071" t="s">
        <v>139</v>
      </c>
      <c r="C1071" s="56" t="s">
        <v>166</v>
      </c>
      <c r="D1071" t="s">
        <v>123</v>
      </c>
      <c r="E1071" t="str">
        <f>VLOOKUP(D1071,'Lista de Produtos CLASSIFICAÇÃO'!$A$103:$B$144,2,FALSE)</f>
        <v>Aquecidos</v>
      </c>
      <c r="F1071" s="55">
        <v>359896</v>
      </c>
      <c r="G1071" s="56" t="str">
        <f>VLOOKUP(C1071,clientes!$C$3:$D$60,2,FALSE)</f>
        <v>CARGILL</v>
      </c>
    </row>
    <row r="1072" spans="1:7" x14ac:dyDescent="0.25">
      <c r="A1072">
        <v>2023</v>
      </c>
      <c r="B1072" t="s">
        <v>139</v>
      </c>
      <c r="C1072" s="56" t="s">
        <v>167</v>
      </c>
      <c r="D1072" t="s">
        <v>122</v>
      </c>
      <c r="E1072" t="str">
        <f>VLOOKUP(D1072,'Lista de Produtos CLASSIFICAÇÃO'!$A$103:$B$144,2,FALSE)</f>
        <v>Óleo Vegetal</v>
      </c>
      <c r="F1072" s="55">
        <v>5321371</v>
      </c>
      <c r="G1072" s="56" t="str">
        <f>VLOOKUP(C1072,clientes!$C$3:$D$60,2,FALSE)</f>
        <v>POOL</v>
      </c>
    </row>
    <row r="1073" spans="1:7" x14ac:dyDescent="0.25">
      <c r="A1073">
        <v>2023</v>
      </c>
      <c r="B1073" t="s">
        <v>139</v>
      </c>
      <c r="C1073" s="56" t="s">
        <v>168</v>
      </c>
      <c r="D1073" t="s">
        <v>122</v>
      </c>
      <c r="E1073" t="str">
        <f>VLOOKUP(D1073,'Lista de Produtos CLASSIFICAÇÃO'!$A$103:$B$144,2,FALSE)</f>
        <v>Óleo Vegetal</v>
      </c>
      <c r="F1073" s="55">
        <v>147702</v>
      </c>
      <c r="G1073" s="56" t="str">
        <f>VLOOKUP(C1073,clientes!$C$3:$D$60,2,FALSE)</f>
        <v>POOL EXCEDENTE</v>
      </c>
    </row>
    <row r="1074" spans="1:7" x14ac:dyDescent="0.25">
      <c r="A1074">
        <v>2023</v>
      </c>
      <c r="B1074" t="s">
        <v>139</v>
      </c>
      <c r="C1074" s="56" t="s">
        <v>169</v>
      </c>
      <c r="D1074" t="s">
        <v>22</v>
      </c>
      <c r="E1074" t="str">
        <f>VLOOKUP(D1074,'Lista de Produtos CLASSIFICAÇÃO'!$A$103:$B$144,2,FALSE)</f>
        <v>Metanol</v>
      </c>
      <c r="F1074" s="55">
        <v>5364738</v>
      </c>
      <c r="G1074" s="56" t="str">
        <f>VLOOKUP(C1074,clientes!$C$3:$D$60,2,FALSE)</f>
        <v>METHANEX</v>
      </c>
    </row>
    <row r="1075" spans="1:7" x14ac:dyDescent="0.25">
      <c r="A1075">
        <v>2023</v>
      </c>
      <c r="B1075" t="s">
        <v>139</v>
      </c>
      <c r="C1075" s="56" t="s">
        <v>170</v>
      </c>
      <c r="D1075" t="s">
        <v>22</v>
      </c>
      <c r="E1075" t="str">
        <f>VLOOKUP(D1075,'Lista de Produtos CLASSIFICAÇÃO'!$A$103:$B$144,2,FALSE)</f>
        <v>Metanol</v>
      </c>
      <c r="F1075" s="55">
        <v>3200617</v>
      </c>
      <c r="G1075" s="56" t="str">
        <f>VLOOKUP(C1075,clientes!$C$3:$D$60,2,FALSE)</f>
        <v>MITSUBISHI</v>
      </c>
    </row>
    <row r="1076" spans="1:7" x14ac:dyDescent="0.25">
      <c r="A1076">
        <v>2023</v>
      </c>
      <c r="B1076" t="s">
        <v>139</v>
      </c>
      <c r="C1076" s="56" t="s">
        <v>196</v>
      </c>
      <c r="D1076" t="s">
        <v>22</v>
      </c>
      <c r="E1076" t="str">
        <f>VLOOKUP(D1076,'Lista de Produtos CLASSIFICAÇÃO'!$A$103:$B$144,2,FALSE)</f>
        <v>Metanol</v>
      </c>
      <c r="F1076" s="55">
        <v>5503073</v>
      </c>
      <c r="G1076" s="56" t="str">
        <f>VLOOKUP(C1076,clientes!$C$3:$D$60,2,FALSE)</f>
        <v>SCC</v>
      </c>
    </row>
    <row r="1077" spans="1:7" x14ac:dyDescent="0.25">
      <c r="A1077">
        <v>2023</v>
      </c>
      <c r="B1077" t="s">
        <v>139</v>
      </c>
      <c r="C1077" s="56" t="s">
        <v>172</v>
      </c>
      <c r="D1077" t="s">
        <v>124</v>
      </c>
      <c r="E1077" t="str">
        <f>VLOOKUP(D1077,'Lista de Produtos CLASSIFICAÇÃO'!$A$103:$B$144,2,FALSE)</f>
        <v>Outros</v>
      </c>
      <c r="F1077" s="55">
        <v>297306</v>
      </c>
      <c r="G1077" s="56" t="str">
        <f>VLOOKUP(C1077,clientes!$C$3:$D$60,2,FALSE)</f>
        <v>EVONIK</v>
      </c>
    </row>
    <row r="1078" spans="1:7" x14ac:dyDescent="0.25">
      <c r="A1078">
        <v>2023</v>
      </c>
      <c r="B1078" t="s">
        <v>139</v>
      </c>
      <c r="C1078" s="56" t="s">
        <v>173</v>
      </c>
      <c r="D1078" t="s">
        <v>22</v>
      </c>
      <c r="E1078" t="str">
        <f>VLOOKUP(D1078,'Lista de Produtos CLASSIFICAÇÃO'!$A$103:$B$144,2,FALSE)</f>
        <v>Metanol</v>
      </c>
      <c r="F1078" s="55">
        <v>586711</v>
      </c>
      <c r="G1078" s="56" t="str">
        <f>VLOOKUP(C1078,clientes!$C$3:$D$60,2,FALSE)</f>
        <v>YPF SOCIEDAD ANONIMA</v>
      </c>
    </row>
    <row r="1079" spans="1:7" x14ac:dyDescent="0.25">
      <c r="A1079">
        <v>2023</v>
      </c>
      <c r="B1079" t="s">
        <v>139</v>
      </c>
      <c r="C1079" s="56" t="s">
        <v>197</v>
      </c>
      <c r="D1079" t="s">
        <v>85</v>
      </c>
      <c r="E1079" t="str">
        <f>VLOOKUP(D1079,'Lista de Produtos CLASSIFICAÇÃO'!$A$103:$B$144,2,FALSE)</f>
        <v>Outros</v>
      </c>
      <c r="F1079" s="55">
        <v>125795</v>
      </c>
      <c r="G1079" s="56" t="str">
        <f>VLOOKUP(C1079,clientes!$C$3:$D$60,2,FALSE)</f>
        <v>DRT</v>
      </c>
    </row>
    <row r="1080" spans="1:7" x14ac:dyDescent="0.25">
      <c r="A1080">
        <v>2023</v>
      </c>
      <c r="B1080" t="s">
        <v>139</v>
      </c>
      <c r="C1080" s="56" t="s">
        <v>198</v>
      </c>
      <c r="D1080" t="s">
        <v>121</v>
      </c>
      <c r="E1080" t="str">
        <f>VLOOKUP(D1080,'Lista de Produtos CLASSIFICAÇÃO'!$A$103:$B$144,2,FALSE)</f>
        <v>Biocombustíveis</v>
      </c>
      <c r="F1080" s="55">
        <v>750000</v>
      </c>
      <c r="G1080" s="56" t="str">
        <f>VLOOKUP(C1080,clientes!$C$3:$D$60,2,FALSE)</f>
        <v>TEREOS / INPASA / GLENCORE</v>
      </c>
    </row>
    <row r="1081" spans="1:7" x14ac:dyDescent="0.25">
      <c r="A1081">
        <v>2023</v>
      </c>
      <c r="B1081" t="s">
        <v>139</v>
      </c>
      <c r="C1081" s="56" t="s">
        <v>174</v>
      </c>
      <c r="D1081" t="s">
        <v>123</v>
      </c>
      <c r="E1081" t="str">
        <f>VLOOKUP(D1081,'Lista de Produtos CLASSIFICAÇÃO'!$A$103:$B$144,2,FALSE)</f>
        <v>Aquecidos</v>
      </c>
      <c r="F1081" s="55">
        <v>795585</v>
      </c>
      <c r="G1081" s="56" t="str">
        <f>VLOOKUP(C1081,clientes!$C$3:$D$60,2,FALSE)</f>
        <v>CELENA</v>
      </c>
    </row>
    <row r="1082" spans="1:7" x14ac:dyDescent="0.25">
      <c r="A1082">
        <v>2023</v>
      </c>
      <c r="B1082" t="s">
        <v>139</v>
      </c>
      <c r="C1082" s="56" t="s">
        <v>175</v>
      </c>
      <c r="D1082" t="s">
        <v>123</v>
      </c>
      <c r="E1082" t="str">
        <f>VLOOKUP(D1082,'Lista de Produtos CLASSIFICAÇÃO'!$A$103:$B$144,2,FALSE)</f>
        <v>Aquecidos</v>
      </c>
      <c r="F1082" s="55">
        <v>446949</v>
      </c>
      <c r="G1082" s="56" t="str">
        <f>VLOOKUP(C1082,clientes!$C$3:$D$60,2,FALSE)</f>
        <v>AAK DO BRASIL</v>
      </c>
    </row>
    <row r="1083" spans="1:7" x14ac:dyDescent="0.25">
      <c r="A1083">
        <v>2023</v>
      </c>
      <c r="B1083" t="s">
        <v>139</v>
      </c>
      <c r="C1083" s="56" t="s">
        <v>166</v>
      </c>
      <c r="D1083" t="s">
        <v>122</v>
      </c>
      <c r="E1083" t="str">
        <f>VLOOKUP(D1083,'Lista de Produtos CLASSIFICAÇÃO'!$A$103:$B$144,2,FALSE)</f>
        <v>Óleo Vegetal</v>
      </c>
      <c r="F1083" s="55">
        <v>278952</v>
      </c>
      <c r="G1083" s="56" t="str">
        <f>VLOOKUP(C1083,clientes!$C$3:$D$60,2,FALSE)</f>
        <v>CARGILL</v>
      </c>
    </row>
    <row r="1084" spans="1:7" x14ac:dyDescent="0.25">
      <c r="A1084">
        <v>2023</v>
      </c>
      <c r="B1084" t="s">
        <v>139</v>
      </c>
      <c r="C1084" s="56" t="s">
        <v>176</v>
      </c>
      <c r="D1084" t="s">
        <v>123</v>
      </c>
      <c r="E1084" t="str">
        <f>VLOOKUP(D1084,'Lista de Produtos CLASSIFICAÇÃO'!$A$103:$B$144,2,FALSE)</f>
        <v>Aquecidos</v>
      </c>
      <c r="F1084" s="55">
        <v>268238</v>
      </c>
      <c r="G1084" s="56" t="str">
        <f>VLOOKUP(C1084,clientes!$C$3:$D$60,2,FALSE)</f>
        <v>AGROPALMA</v>
      </c>
    </row>
    <row r="1085" spans="1:7" x14ac:dyDescent="0.25">
      <c r="A1085">
        <v>2023</v>
      </c>
      <c r="B1085" t="s">
        <v>139</v>
      </c>
      <c r="C1085" s="56" t="s">
        <v>177</v>
      </c>
      <c r="D1085" t="s">
        <v>115</v>
      </c>
      <c r="E1085" t="str">
        <f>VLOOKUP(D1085,'Lista de Produtos CLASSIFICAÇÃO'!$A$103:$B$144,2,FALSE)</f>
        <v>Soda Caustica</v>
      </c>
      <c r="F1085" s="55">
        <v>318237</v>
      </c>
      <c r="G1085" s="56" t="str">
        <f>VLOOKUP(C1085,clientes!$C$3:$D$60,2,FALSE)</f>
        <v>BRENNTAG</v>
      </c>
    </row>
    <row r="1086" spans="1:7" x14ac:dyDescent="0.25">
      <c r="A1086">
        <v>2023</v>
      </c>
      <c r="B1086" t="s">
        <v>139</v>
      </c>
      <c r="C1086" s="56" t="s">
        <v>178</v>
      </c>
      <c r="D1086" t="s">
        <v>115</v>
      </c>
      <c r="E1086" t="str">
        <f>VLOOKUP(D1086,'Lista de Produtos CLASSIFICAÇÃO'!$A$103:$B$144,2,FALSE)</f>
        <v>Soda Caustica</v>
      </c>
      <c r="F1086" s="55">
        <v>1501777</v>
      </c>
      <c r="G1086" s="56" t="str">
        <f>VLOOKUP(C1086,clientes!$C$3:$D$60,2,FALSE)</f>
        <v>OLIN BLUE CUBE</v>
      </c>
    </row>
    <row r="1087" spans="1:7" x14ac:dyDescent="0.25">
      <c r="A1087">
        <v>2023</v>
      </c>
      <c r="B1087" t="s">
        <v>139</v>
      </c>
      <c r="C1087" s="56" t="s">
        <v>179</v>
      </c>
      <c r="D1087" t="s">
        <v>26</v>
      </c>
      <c r="E1087" t="str">
        <f>VLOOKUP(D1087,'Lista de Produtos CLASSIFICAÇÃO'!$A$103:$B$144,2,FALSE)</f>
        <v>Biocombustíveis</v>
      </c>
      <c r="F1087" s="55">
        <v>325050</v>
      </c>
      <c r="G1087" s="56" t="str">
        <f>VLOOKUP(C1087,clientes!$C$3:$D$60,2,FALSE)</f>
        <v>BSBIOS</v>
      </c>
    </row>
    <row r="1088" spans="1:7" x14ac:dyDescent="0.25">
      <c r="A1088">
        <v>2023</v>
      </c>
      <c r="B1088" t="s">
        <v>139</v>
      </c>
      <c r="C1088" s="56" t="s">
        <v>180</v>
      </c>
      <c r="D1088" t="s">
        <v>30</v>
      </c>
      <c r="E1088" t="str">
        <f>VLOOKUP(D1088,'Lista de Produtos CLASSIFICAÇÃO'!$A$103:$B$144,2,FALSE)</f>
        <v>Outros</v>
      </c>
      <c r="F1088" s="55">
        <v>187972</v>
      </c>
      <c r="G1088" s="56" t="str">
        <f>VLOOKUP(C1088,clientes!$C$3:$D$60,2,FALSE)</f>
        <v>TRICHEM</v>
      </c>
    </row>
    <row r="1089" spans="1:7" x14ac:dyDescent="0.25">
      <c r="A1089">
        <v>2023</v>
      </c>
      <c r="B1089" t="s">
        <v>139</v>
      </c>
      <c r="C1089" s="56" t="s">
        <v>181</v>
      </c>
      <c r="D1089" t="s">
        <v>123</v>
      </c>
      <c r="E1089" t="str">
        <f>VLOOKUP(D1089,'Lista de Produtos CLASSIFICAÇÃO'!$A$103:$B$144,2,FALSE)</f>
        <v>Aquecidos</v>
      </c>
      <c r="F1089" s="55">
        <v>249297</v>
      </c>
      <c r="G1089" s="56" t="str">
        <f>VLOOKUP(C1089,clientes!$C$3:$D$60,2,FALSE)</f>
        <v>COAMO</v>
      </c>
    </row>
    <row r="1090" spans="1:7" x14ac:dyDescent="0.25">
      <c r="A1090">
        <v>2023</v>
      </c>
      <c r="B1090" t="s">
        <v>139</v>
      </c>
      <c r="C1090" s="56" t="s">
        <v>182</v>
      </c>
      <c r="D1090" t="s">
        <v>120</v>
      </c>
      <c r="E1090" t="str">
        <f>VLOOKUP(D1090,'Lista de Produtos CLASSIFICAÇÃO'!$A$103:$B$144,2,FALSE)</f>
        <v>Derivados</v>
      </c>
      <c r="F1090" s="55">
        <v>676544</v>
      </c>
      <c r="G1090" s="56" t="str">
        <f>VLOOKUP(C1090,clientes!$C$3:$D$60,2,FALSE)</f>
        <v>ATEM</v>
      </c>
    </row>
    <row r="1091" spans="1:7" x14ac:dyDescent="0.25">
      <c r="A1091">
        <v>2023</v>
      </c>
      <c r="B1091" t="s">
        <v>140</v>
      </c>
      <c r="C1091" t="s">
        <v>155</v>
      </c>
      <c r="D1091" t="s">
        <v>16</v>
      </c>
      <c r="E1091" t="str">
        <f>VLOOKUP(D1091,'Lista de Produtos CLASSIFICAÇÃO'!$A$103:$B$144,2,FALSE)</f>
        <v>Outros</v>
      </c>
      <c r="F1091" s="55">
        <v>764605</v>
      </c>
      <c r="G1091" s="56" t="str">
        <f>VLOOKUP(C1091,clientes!$C$3:$D$60,2,FALSE)</f>
        <v>ADISSEO</v>
      </c>
    </row>
    <row r="1092" spans="1:7" x14ac:dyDescent="0.25">
      <c r="A1092">
        <v>2023</v>
      </c>
      <c r="B1092" t="s">
        <v>140</v>
      </c>
      <c r="C1092" t="s">
        <v>156</v>
      </c>
      <c r="D1092" t="s">
        <v>123</v>
      </c>
      <c r="E1092" t="str">
        <f>VLOOKUP(D1092,'Lista de Produtos CLASSIFICAÇÃO'!$A$103:$B$144,2,FALSE)</f>
        <v>Aquecidos</v>
      </c>
      <c r="F1092" s="55">
        <v>358677</v>
      </c>
      <c r="G1092" s="56" t="str">
        <f>VLOOKUP(C1092,clientes!$C$3:$D$60,2,FALSE)</f>
        <v>BUNGE</v>
      </c>
    </row>
    <row r="1093" spans="1:7" x14ac:dyDescent="0.25">
      <c r="A1093">
        <v>2023</v>
      </c>
      <c r="B1093" t="s">
        <v>140</v>
      </c>
      <c r="C1093" t="s">
        <v>157</v>
      </c>
      <c r="D1093" t="s">
        <v>122</v>
      </c>
      <c r="E1093" t="str">
        <f>VLOOKUP(D1093,'Lista de Produtos CLASSIFICAÇÃO'!$A$103:$B$144,2,FALSE)</f>
        <v>Óleo Vegetal</v>
      </c>
      <c r="F1093" s="55">
        <v>162891</v>
      </c>
      <c r="G1093" s="56" t="str">
        <f>VLOOKUP(C1093,clientes!$C$3:$D$60,2,FALSE)</f>
        <v>ADM</v>
      </c>
    </row>
    <row r="1094" spans="1:7" x14ac:dyDescent="0.25">
      <c r="A1094">
        <v>2023</v>
      </c>
      <c r="B1094" t="s">
        <v>140</v>
      </c>
      <c r="C1094" t="s">
        <v>158</v>
      </c>
      <c r="D1094" t="s">
        <v>120</v>
      </c>
      <c r="E1094" t="str">
        <f>VLOOKUP(D1094,'Lista de Produtos CLASSIFICAÇÃO'!$A$103:$B$144,2,FALSE)</f>
        <v>Derivados</v>
      </c>
      <c r="F1094" s="55">
        <v>6086965</v>
      </c>
      <c r="G1094" s="56" t="str">
        <f>VLOOKUP(C1094,clientes!$C$3:$D$60,2,FALSE)</f>
        <v>IPIRANGA</v>
      </c>
    </row>
    <row r="1095" spans="1:7" x14ac:dyDescent="0.25">
      <c r="A1095">
        <v>2023</v>
      </c>
      <c r="B1095" t="s">
        <v>140</v>
      </c>
      <c r="C1095" t="s">
        <v>159</v>
      </c>
      <c r="D1095" t="s">
        <v>120</v>
      </c>
      <c r="E1095" t="str">
        <f>VLOOKUP(D1095,'Lista de Produtos CLASSIFICAÇÃO'!$A$103:$B$144,2,FALSE)</f>
        <v>Derivados</v>
      </c>
      <c r="F1095" s="55">
        <v>4164996</v>
      </c>
      <c r="G1095" s="56" t="str">
        <f>VLOOKUP(C1095,clientes!$C$3:$D$60,2,FALSE)</f>
        <v>RAIZEN</v>
      </c>
    </row>
    <row r="1096" spans="1:7" x14ac:dyDescent="0.25">
      <c r="A1096">
        <v>2023</v>
      </c>
      <c r="B1096" t="s">
        <v>140</v>
      </c>
      <c r="C1096" t="s">
        <v>160</v>
      </c>
      <c r="D1096" t="s">
        <v>120</v>
      </c>
      <c r="E1096" t="str">
        <f>VLOOKUP(D1096,'Lista de Produtos CLASSIFICAÇÃO'!$A$103:$B$144,2,FALSE)</f>
        <v>Derivados</v>
      </c>
      <c r="F1096" s="55">
        <v>1750502</v>
      </c>
      <c r="G1096" s="56" t="str">
        <f>VLOOKUP(C1096,clientes!$C$3:$D$60,2,FALSE)</f>
        <v>VIBRA</v>
      </c>
    </row>
    <row r="1097" spans="1:7" x14ac:dyDescent="0.25">
      <c r="A1097">
        <v>2023</v>
      </c>
      <c r="B1097" t="s">
        <v>140</v>
      </c>
      <c r="C1097" t="s">
        <v>161</v>
      </c>
      <c r="D1097" t="s">
        <v>120</v>
      </c>
      <c r="E1097" t="str">
        <f>VLOOKUP(D1097,'Lista de Produtos CLASSIFICAÇÃO'!$A$103:$B$144,2,FALSE)</f>
        <v>Derivados</v>
      </c>
      <c r="F1097" s="55">
        <v>2379391</v>
      </c>
      <c r="G1097" s="56" t="str">
        <f>VLOOKUP(C1097,clientes!$C$3:$D$60,2,FALSE)</f>
        <v>SUL PLATA</v>
      </c>
    </row>
    <row r="1098" spans="1:7" x14ac:dyDescent="0.25">
      <c r="A1098">
        <v>2023</v>
      </c>
      <c r="B1098" t="s">
        <v>140</v>
      </c>
      <c r="C1098" t="s">
        <v>195</v>
      </c>
      <c r="D1098" t="s">
        <v>115</v>
      </c>
      <c r="E1098" t="str">
        <f>VLOOKUP(D1098,'Lista de Produtos CLASSIFICAÇÃO'!$A$103:$B$144,2,FALSE)</f>
        <v>Soda Caustica</v>
      </c>
      <c r="F1098" s="55">
        <v>74698</v>
      </c>
      <c r="G1098" s="56" t="str">
        <f>VLOOKUP(C1098,clientes!$C$3:$D$60,2,FALSE)</f>
        <v>PROJESAN</v>
      </c>
    </row>
    <row r="1099" spans="1:7" x14ac:dyDescent="0.25">
      <c r="A1099">
        <v>2023</v>
      </c>
      <c r="B1099" t="s">
        <v>140</v>
      </c>
      <c r="C1099" t="s">
        <v>162</v>
      </c>
      <c r="D1099" t="s">
        <v>115</v>
      </c>
      <c r="E1099" t="str">
        <f>VLOOKUP(D1099,'Lista de Produtos CLASSIFICAÇÃO'!$A$103:$B$144,2,FALSE)</f>
        <v>Soda Caustica</v>
      </c>
      <c r="F1099" s="55">
        <v>152610</v>
      </c>
      <c r="G1099" s="56" t="str">
        <f>VLOOKUP(C1099,clientes!$C$3:$D$60,2,FALSE)</f>
        <v>JBS</v>
      </c>
    </row>
    <row r="1100" spans="1:7" x14ac:dyDescent="0.25">
      <c r="A1100">
        <v>2023</v>
      </c>
      <c r="B1100" t="s">
        <v>140</v>
      </c>
      <c r="C1100" t="s">
        <v>163</v>
      </c>
      <c r="D1100" t="s">
        <v>115</v>
      </c>
      <c r="E1100" t="str">
        <f>VLOOKUP(D1100,'Lista de Produtos CLASSIFICAÇÃO'!$A$103:$B$144,2,FALSE)</f>
        <v>Soda Caustica</v>
      </c>
      <c r="F1100" s="55">
        <v>623815</v>
      </c>
      <c r="G1100" s="56" t="str">
        <f>VLOOKUP(C1100,clientes!$C$3:$D$60,2,FALSE)</f>
        <v>TRICON ENERGY</v>
      </c>
    </row>
    <row r="1101" spans="1:7" x14ac:dyDescent="0.25">
      <c r="A1101">
        <v>2023</v>
      </c>
      <c r="B1101" t="s">
        <v>140</v>
      </c>
      <c r="C1101" t="s">
        <v>164</v>
      </c>
      <c r="D1101" t="s">
        <v>115</v>
      </c>
      <c r="E1101" t="str">
        <f>VLOOKUP(D1101,'Lista de Produtos CLASSIFICAÇÃO'!$A$103:$B$144,2,FALSE)</f>
        <v>Soda Caustica</v>
      </c>
      <c r="F1101" s="55">
        <v>240735</v>
      </c>
      <c r="G1101" s="56" t="str">
        <f>VLOOKUP(C1101,clientes!$C$3:$D$60,2,FALSE)</f>
        <v>BRASKEM</v>
      </c>
    </row>
    <row r="1102" spans="1:7" x14ac:dyDescent="0.25">
      <c r="A1102">
        <v>2023</v>
      </c>
      <c r="B1102" t="s">
        <v>140</v>
      </c>
      <c r="C1102" t="s">
        <v>165</v>
      </c>
      <c r="D1102" t="s">
        <v>123</v>
      </c>
      <c r="E1102" t="str">
        <f>VLOOKUP(D1102,'Lista de Produtos CLASSIFICAÇÃO'!$A$103:$B$144,2,FALSE)</f>
        <v>Aquecidos</v>
      </c>
      <c r="F1102" s="55">
        <v>947162</v>
      </c>
      <c r="G1102" s="56" t="str">
        <f>VLOOKUP(C1102,clientes!$C$3:$D$60,2,FALSE)</f>
        <v>BRF</v>
      </c>
    </row>
    <row r="1103" spans="1:7" x14ac:dyDescent="0.25">
      <c r="A1103">
        <v>2023</v>
      </c>
      <c r="B1103" t="s">
        <v>140</v>
      </c>
      <c r="C1103" t="s">
        <v>162</v>
      </c>
      <c r="D1103" t="s">
        <v>123</v>
      </c>
      <c r="E1103" t="str">
        <f>VLOOKUP(D1103,'Lista de Produtos CLASSIFICAÇÃO'!$A$103:$B$144,2,FALSE)</f>
        <v>Aquecidos</v>
      </c>
      <c r="F1103" s="55">
        <v>489141</v>
      </c>
      <c r="G1103" s="56" t="str">
        <f>VLOOKUP(C1103,clientes!$C$3:$D$60,2,FALSE)</f>
        <v>JBS</v>
      </c>
    </row>
    <row r="1104" spans="1:7" x14ac:dyDescent="0.25">
      <c r="A1104">
        <v>2023</v>
      </c>
      <c r="B1104" t="s">
        <v>140</v>
      </c>
      <c r="C1104" t="s">
        <v>166</v>
      </c>
      <c r="D1104" t="s">
        <v>123</v>
      </c>
      <c r="E1104" t="str">
        <f>VLOOKUP(D1104,'Lista de Produtos CLASSIFICAÇÃO'!$A$103:$B$144,2,FALSE)</f>
        <v>Aquecidos</v>
      </c>
      <c r="F1104" s="55">
        <v>359896</v>
      </c>
      <c r="G1104" s="56" t="str">
        <f>VLOOKUP(C1104,clientes!$C$3:$D$60,2,FALSE)</f>
        <v>CARGILL</v>
      </c>
    </row>
    <row r="1105" spans="1:7" x14ac:dyDescent="0.25">
      <c r="A1105">
        <v>2023</v>
      </c>
      <c r="B1105" t="s">
        <v>140</v>
      </c>
      <c r="C1105" t="s">
        <v>167</v>
      </c>
      <c r="D1105" t="s">
        <v>122</v>
      </c>
      <c r="E1105" t="str">
        <f>VLOOKUP(D1105,'Lista de Produtos CLASSIFICAÇÃO'!$A$103:$B$144,2,FALSE)</f>
        <v>Óleo Vegetal</v>
      </c>
      <c r="F1105" s="55">
        <v>5321371</v>
      </c>
      <c r="G1105" s="56" t="str">
        <f>VLOOKUP(C1105,clientes!$C$3:$D$60,2,FALSE)</f>
        <v>POOL</v>
      </c>
    </row>
    <row r="1106" spans="1:7" x14ac:dyDescent="0.25">
      <c r="A1106">
        <v>2023</v>
      </c>
      <c r="B1106" t="s">
        <v>140</v>
      </c>
      <c r="C1106" t="s">
        <v>168</v>
      </c>
      <c r="D1106" t="s">
        <v>122</v>
      </c>
      <c r="E1106" t="str">
        <f>VLOOKUP(D1106,'Lista de Produtos CLASSIFICAÇÃO'!$A$103:$B$144,2,FALSE)</f>
        <v>Óleo Vegetal</v>
      </c>
      <c r="F1106" s="55">
        <v>147702</v>
      </c>
      <c r="G1106" s="56" t="str">
        <f>VLOOKUP(C1106,clientes!$C$3:$D$60,2,FALSE)</f>
        <v>POOL EXCEDENTE</v>
      </c>
    </row>
    <row r="1107" spans="1:7" x14ac:dyDescent="0.25">
      <c r="A1107">
        <v>2023</v>
      </c>
      <c r="B1107" t="s">
        <v>140</v>
      </c>
      <c r="C1107" t="s">
        <v>169</v>
      </c>
      <c r="D1107" t="s">
        <v>22</v>
      </c>
      <c r="E1107" t="str">
        <f>VLOOKUP(D1107,'Lista de Produtos CLASSIFICAÇÃO'!$A$103:$B$144,2,FALSE)</f>
        <v>Metanol</v>
      </c>
      <c r="F1107" s="55">
        <v>5364738</v>
      </c>
      <c r="G1107" s="56" t="str">
        <f>VLOOKUP(C1107,clientes!$C$3:$D$60,2,FALSE)</f>
        <v>METHANEX</v>
      </c>
    </row>
    <row r="1108" spans="1:7" x14ac:dyDescent="0.25">
      <c r="A1108">
        <v>2023</v>
      </c>
      <c r="B1108" t="s">
        <v>140</v>
      </c>
      <c r="C1108" t="s">
        <v>170</v>
      </c>
      <c r="D1108" t="s">
        <v>22</v>
      </c>
      <c r="E1108" t="str">
        <f>VLOOKUP(D1108,'Lista de Produtos CLASSIFICAÇÃO'!$A$103:$B$144,2,FALSE)</f>
        <v>Metanol</v>
      </c>
      <c r="F1108" s="55">
        <v>3200617</v>
      </c>
      <c r="G1108" s="56" t="str">
        <f>VLOOKUP(C1108,clientes!$C$3:$D$60,2,FALSE)</f>
        <v>MITSUBISHI</v>
      </c>
    </row>
    <row r="1109" spans="1:7" x14ac:dyDescent="0.25">
      <c r="A1109">
        <v>2023</v>
      </c>
      <c r="B1109" t="s">
        <v>140</v>
      </c>
      <c r="C1109" t="s">
        <v>196</v>
      </c>
      <c r="D1109" t="s">
        <v>22</v>
      </c>
      <c r="E1109" t="str">
        <f>VLOOKUP(D1109,'Lista de Produtos CLASSIFICAÇÃO'!$A$103:$B$144,2,FALSE)</f>
        <v>Metanol</v>
      </c>
      <c r="F1109" s="55">
        <v>5503073</v>
      </c>
      <c r="G1109" s="56" t="str">
        <f>VLOOKUP(C1109,clientes!$C$3:$D$60,2,FALSE)</f>
        <v>SCC</v>
      </c>
    </row>
    <row r="1110" spans="1:7" x14ac:dyDescent="0.25">
      <c r="A1110">
        <v>2023</v>
      </c>
      <c r="B1110" t="s">
        <v>140</v>
      </c>
      <c r="C1110" t="s">
        <v>172</v>
      </c>
      <c r="D1110" t="s">
        <v>124</v>
      </c>
      <c r="E1110" t="str">
        <f>VLOOKUP(D1110,'Lista de Produtos CLASSIFICAÇÃO'!$A$103:$B$144,2,FALSE)</f>
        <v>Outros</v>
      </c>
      <c r="F1110" s="55">
        <v>297306</v>
      </c>
      <c r="G1110" s="56" t="str">
        <f>VLOOKUP(C1110,clientes!$C$3:$D$60,2,FALSE)</f>
        <v>EVONIK</v>
      </c>
    </row>
    <row r="1111" spans="1:7" x14ac:dyDescent="0.25">
      <c r="A1111">
        <v>2023</v>
      </c>
      <c r="B1111" t="s">
        <v>140</v>
      </c>
      <c r="C1111" t="s">
        <v>173</v>
      </c>
      <c r="D1111" t="s">
        <v>22</v>
      </c>
      <c r="E1111" t="str">
        <f>VLOOKUP(D1111,'Lista de Produtos CLASSIFICAÇÃO'!$A$103:$B$144,2,FALSE)</f>
        <v>Metanol</v>
      </c>
      <c r="F1111" s="55">
        <v>515367</v>
      </c>
      <c r="G1111" s="56" t="str">
        <f>VLOOKUP(C1111,clientes!$C$3:$D$60,2,FALSE)</f>
        <v>YPF SOCIEDAD ANONIMA</v>
      </c>
    </row>
    <row r="1112" spans="1:7" x14ac:dyDescent="0.25">
      <c r="A1112">
        <v>2023</v>
      </c>
      <c r="B1112" t="s">
        <v>140</v>
      </c>
      <c r="C1112" t="s">
        <v>197</v>
      </c>
      <c r="D1112" t="s">
        <v>85</v>
      </c>
      <c r="E1112" t="str">
        <f>VLOOKUP(D1112,'Lista de Produtos CLASSIFICAÇÃO'!$A$103:$B$144,2,FALSE)</f>
        <v>Outros</v>
      </c>
      <c r="F1112" s="55">
        <v>125795</v>
      </c>
      <c r="G1112" s="56" t="str">
        <f>VLOOKUP(C1112,clientes!$C$3:$D$60,2,FALSE)</f>
        <v>DRT</v>
      </c>
    </row>
    <row r="1113" spans="1:7" x14ac:dyDescent="0.25">
      <c r="A1113">
        <v>2023</v>
      </c>
      <c r="B1113" t="s">
        <v>140</v>
      </c>
      <c r="C1113" t="s">
        <v>198</v>
      </c>
      <c r="D1113" t="s">
        <v>121</v>
      </c>
      <c r="E1113" t="str">
        <f>VLOOKUP(D1113,'Lista de Produtos CLASSIFICAÇÃO'!$A$103:$B$144,2,FALSE)</f>
        <v>Biocombustíveis</v>
      </c>
      <c r="F1113" s="55">
        <v>750000</v>
      </c>
      <c r="G1113" s="56" t="str">
        <f>VLOOKUP(C1113,clientes!$C$3:$D$60,2,FALSE)</f>
        <v>TEREOS / INPASA / GLENCORE</v>
      </c>
    </row>
    <row r="1114" spans="1:7" x14ac:dyDescent="0.25">
      <c r="A1114">
        <v>2023</v>
      </c>
      <c r="B1114" t="s">
        <v>140</v>
      </c>
      <c r="C1114" t="s">
        <v>174</v>
      </c>
      <c r="D1114" t="s">
        <v>123</v>
      </c>
      <c r="E1114" t="str">
        <f>VLOOKUP(D1114,'Lista de Produtos CLASSIFICAÇÃO'!$A$103:$B$144,2,FALSE)</f>
        <v>Aquecidos</v>
      </c>
      <c r="F1114" s="55">
        <v>795585</v>
      </c>
      <c r="G1114" s="56" t="str">
        <f>VLOOKUP(C1114,clientes!$C$3:$D$60,2,FALSE)</f>
        <v>CELENA</v>
      </c>
    </row>
    <row r="1115" spans="1:7" x14ac:dyDescent="0.25">
      <c r="A1115">
        <v>2023</v>
      </c>
      <c r="B1115" t="s">
        <v>140</v>
      </c>
      <c r="C1115" t="s">
        <v>175</v>
      </c>
      <c r="D1115" t="s">
        <v>123</v>
      </c>
      <c r="E1115" t="str">
        <f>VLOOKUP(D1115,'Lista de Produtos CLASSIFICAÇÃO'!$A$103:$B$144,2,FALSE)</f>
        <v>Aquecidos</v>
      </c>
      <c r="F1115" s="55">
        <v>446949</v>
      </c>
      <c r="G1115" s="56" t="str">
        <f>VLOOKUP(C1115,clientes!$C$3:$D$60,2,FALSE)</f>
        <v>AAK DO BRASIL</v>
      </c>
    </row>
    <row r="1116" spans="1:7" x14ac:dyDescent="0.25">
      <c r="A1116">
        <v>2023</v>
      </c>
      <c r="B1116" t="s">
        <v>140</v>
      </c>
      <c r="C1116" t="s">
        <v>166</v>
      </c>
      <c r="D1116" t="s">
        <v>122</v>
      </c>
      <c r="E1116" t="str">
        <f>VLOOKUP(D1116,'Lista de Produtos CLASSIFICAÇÃO'!$A$103:$B$144,2,FALSE)</f>
        <v>Óleo Vegetal</v>
      </c>
      <c r="F1116" s="55">
        <v>278952</v>
      </c>
      <c r="G1116" s="56" t="str">
        <f>VLOOKUP(C1116,clientes!$C$3:$D$60,2,FALSE)</f>
        <v>CARGILL</v>
      </c>
    </row>
    <row r="1117" spans="1:7" x14ac:dyDescent="0.25">
      <c r="A1117">
        <v>2023</v>
      </c>
      <c r="B1117" t="s">
        <v>140</v>
      </c>
      <c r="C1117" t="s">
        <v>176</v>
      </c>
      <c r="D1117" t="s">
        <v>123</v>
      </c>
      <c r="E1117" t="str">
        <f>VLOOKUP(D1117,'Lista de Produtos CLASSIFICAÇÃO'!$A$103:$B$144,2,FALSE)</f>
        <v>Aquecidos</v>
      </c>
      <c r="F1117" s="55">
        <v>268238</v>
      </c>
      <c r="G1117" s="56" t="str">
        <f>VLOOKUP(C1117,clientes!$C$3:$D$60,2,FALSE)</f>
        <v>AGROPALMA</v>
      </c>
    </row>
    <row r="1118" spans="1:7" x14ac:dyDescent="0.25">
      <c r="A1118">
        <v>2023</v>
      </c>
      <c r="B1118" t="s">
        <v>140</v>
      </c>
      <c r="C1118" t="s">
        <v>177</v>
      </c>
      <c r="D1118" t="s">
        <v>115</v>
      </c>
      <c r="E1118" t="str">
        <f>VLOOKUP(D1118,'Lista de Produtos CLASSIFICAÇÃO'!$A$103:$B$144,2,FALSE)</f>
        <v>Soda Caustica</v>
      </c>
      <c r="F1118" s="55">
        <v>318237</v>
      </c>
      <c r="G1118" s="56" t="str">
        <f>VLOOKUP(C1118,clientes!$C$3:$D$60,2,FALSE)</f>
        <v>BRENNTAG</v>
      </c>
    </row>
    <row r="1119" spans="1:7" x14ac:dyDescent="0.25">
      <c r="A1119">
        <v>2023</v>
      </c>
      <c r="B1119" t="s">
        <v>140</v>
      </c>
      <c r="C1119" t="s">
        <v>178</v>
      </c>
      <c r="D1119" t="s">
        <v>115</v>
      </c>
      <c r="E1119" t="str">
        <f>VLOOKUP(D1119,'Lista de Produtos CLASSIFICAÇÃO'!$A$103:$B$144,2,FALSE)</f>
        <v>Soda Caustica</v>
      </c>
      <c r="F1119" s="55">
        <v>1501777</v>
      </c>
      <c r="G1119" s="56" t="str">
        <f>VLOOKUP(C1119,clientes!$C$3:$D$60,2,FALSE)</f>
        <v>OLIN BLUE CUBE</v>
      </c>
    </row>
    <row r="1120" spans="1:7" x14ac:dyDescent="0.25">
      <c r="A1120">
        <v>2023</v>
      </c>
      <c r="B1120" t="s">
        <v>140</v>
      </c>
      <c r="C1120" t="s">
        <v>179</v>
      </c>
      <c r="D1120" t="s">
        <v>26</v>
      </c>
      <c r="E1120" t="str">
        <f>VLOOKUP(D1120,'Lista de Produtos CLASSIFICAÇÃO'!$A$103:$B$144,2,FALSE)</f>
        <v>Biocombustíveis</v>
      </c>
      <c r="F1120" s="55">
        <v>325050</v>
      </c>
      <c r="G1120" s="56" t="str">
        <f>VLOOKUP(C1120,clientes!$C$3:$D$60,2,FALSE)</f>
        <v>BSBIOS</v>
      </c>
    </row>
    <row r="1121" spans="1:7" x14ac:dyDescent="0.25">
      <c r="A1121">
        <v>2023</v>
      </c>
      <c r="B1121" t="s">
        <v>140</v>
      </c>
      <c r="C1121" t="s">
        <v>180</v>
      </c>
      <c r="D1121" t="s">
        <v>30</v>
      </c>
      <c r="E1121" t="str">
        <f>VLOOKUP(D1121,'Lista de Produtos CLASSIFICAÇÃO'!$A$103:$B$144,2,FALSE)</f>
        <v>Outros</v>
      </c>
      <c r="F1121" s="55">
        <v>215867</v>
      </c>
      <c r="G1121" s="56" t="str">
        <f>VLOOKUP(C1121,clientes!$C$3:$D$60,2,FALSE)</f>
        <v>TRICHEM</v>
      </c>
    </row>
    <row r="1122" spans="1:7" x14ac:dyDescent="0.25">
      <c r="A1122">
        <v>2023</v>
      </c>
      <c r="B1122" t="s">
        <v>140</v>
      </c>
      <c r="C1122" t="s">
        <v>181</v>
      </c>
      <c r="D1122" t="s">
        <v>123</v>
      </c>
      <c r="E1122" t="str">
        <f>VLOOKUP(D1122,'Lista de Produtos CLASSIFICAÇÃO'!$A$103:$B$144,2,FALSE)</f>
        <v>Aquecidos</v>
      </c>
      <c r="F1122" s="55">
        <v>249297</v>
      </c>
      <c r="G1122" s="56" t="str">
        <f>VLOOKUP(C1122,clientes!$C$3:$D$60,2,FALSE)</f>
        <v>COAMO</v>
      </c>
    </row>
    <row r="1123" spans="1:7" x14ac:dyDescent="0.25">
      <c r="A1123">
        <v>2023</v>
      </c>
      <c r="B1123" t="s">
        <v>140</v>
      </c>
      <c r="C1123" t="s">
        <v>182</v>
      </c>
      <c r="D1123" t="s">
        <v>120</v>
      </c>
      <c r="E1123" t="str">
        <f>VLOOKUP(D1123,'Lista de Produtos CLASSIFICAÇÃO'!$A$103:$B$144,2,FALSE)</f>
        <v>Derivados</v>
      </c>
      <c r="F1123" s="55">
        <v>676544</v>
      </c>
      <c r="G1123" s="56" t="str">
        <f>VLOOKUP(C1123,clientes!$C$3:$D$60,2,FALSE)</f>
        <v>ATEM</v>
      </c>
    </row>
    <row r="1124" spans="1:7" x14ac:dyDescent="0.25">
      <c r="A1124">
        <v>2023</v>
      </c>
      <c r="B1124" t="s">
        <v>141</v>
      </c>
      <c r="C1124" s="56" t="s">
        <v>155</v>
      </c>
      <c r="D1124" t="s">
        <v>16</v>
      </c>
      <c r="E1124" t="str">
        <f>VLOOKUP(D1124,'Lista de Produtos CLASSIFICAÇÃO'!$A$103:$B$144,2,FALSE)</f>
        <v>Outros</v>
      </c>
      <c r="F1124" s="55">
        <v>764605</v>
      </c>
      <c r="G1124" s="56" t="str">
        <f>VLOOKUP(C1124,clientes!$C$3:$D$60,2,FALSE)</f>
        <v>ADISSEO</v>
      </c>
    </row>
    <row r="1125" spans="1:7" x14ac:dyDescent="0.25">
      <c r="A1125">
        <v>2023</v>
      </c>
      <c r="B1125" t="s">
        <v>141</v>
      </c>
      <c r="C1125" s="56" t="s">
        <v>156</v>
      </c>
      <c r="D1125" t="s">
        <v>123</v>
      </c>
      <c r="E1125" t="str">
        <f>VLOOKUP(D1125,'Lista de Produtos CLASSIFICAÇÃO'!$A$103:$B$144,2,FALSE)</f>
        <v>Aquecidos</v>
      </c>
      <c r="F1125" s="55">
        <v>358677</v>
      </c>
      <c r="G1125" s="56" t="str">
        <f>VLOOKUP(C1125,clientes!$C$3:$D$60,2,FALSE)</f>
        <v>BUNGE</v>
      </c>
    </row>
    <row r="1126" spans="1:7" x14ac:dyDescent="0.25">
      <c r="A1126">
        <v>2023</v>
      </c>
      <c r="B1126" t="s">
        <v>141</v>
      </c>
      <c r="C1126" s="56" t="s">
        <v>157</v>
      </c>
      <c r="D1126" t="s">
        <v>122</v>
      </c>
      <c r="E1126" t="str">
        <f>VLOOKUP(D1126,'Lista de Produtos CLASSIFICAÇÃO'!$A$103:$B$144,2,FALSE)</f>
        <v>Óleo Vegetal</v>
      </c>
      <c r="F1126" s="55">
        <v>162891</v>
      </c>
      <c r="G1126" s="56" t="str">
        <f>VLOOKUP(C1126,clientes!$C$3:$D$60,2,FALSE)</f>
        <v>ADM</v>
      </c>
    </row>
    <row r="1127" spans="1:7" x14ac:dyDescent="0.25">
      <c r="A1127">
        <v>2023</v>
      </c>
      <c r="B1127" t="s">
        <v>141</v>
      </c>
      <c r="C1127" s="56" t="s">
        <v>158</v>
      </c>
      <c r="D1127" t="s">
        <v>120</v>
      </c>
      <c r="E1127" t="str">
        <f>VLOOKUP(D1127,'Lista de Produtos CLASSIFICAÇÃO'!$A$103:$B$144,2,FALSE)</f>
        <v>Derivados</v>
      </c>
      <c r="F1127" s="55">
        <v>6086965</v>
      </c>
      <c r="G1127" s="56" t="str">
        <f>VLOOKUP(C1127,clientes!$C$3:$D$60,2,FALSE)</f>
        <v>IPIRANGA</v>
      </c>
    </row>
    <row r="1128" spans="1:7" x14ac:dyDescent="0.25">
      <c r="A1128">
        <v>2023</v>
      </c>
      <c r="B1128" t="s">
        <v>141</v>
      </c>
      <c r="C1128" s="56" t="s">
        <v>159</v>
      </c>
      <c r="D1128" t="s">
        <v>120</v>
      </c>
      <c r="E1128" t="str">
        <f>VLOOKUP(D1128,'Lista de Produtos CLASSIFICAÇÃO'!$A$103:$B$144,2,FALSE)</f>
        <v>Derivados</v>
      </c>
      <c r="F1128" s="55">
        <v>4164996</v>
      </c>
      <c r="G1128" s="56" t="str">
        <f>VLOOKUP(C1128,clientes!$C$3:$D$60,2,FALSE)</f>
        <v>RAIZEN</v>
      </c>
    </row>
    <row r="1129" spans="1:7" x14ac:dyDescent="0.25">
      <c r="A1129">
        <v>2023</v>
      </c>
      <c r="B1129" t="s">
        <v>141</v>
      </c>
      <c r="C1129" s="56" t="s">
        <v>160</v>
      </c>
      <c r="D1129" t="s">
        <v>120</v>
      </c>
      <c r="E1129" t="str">
        <f>VLOOKUP(D1129,'Lista de Produtos CLASSIFICAÇÃO'!$A$103:$B$144,2,FALSE)</f>
        <v>Derivados</v>
      </c>
      <c r="F1129" s="55">
        <v>1750502</v>
      </c>
      <c r="G1129" s="56" t="str">
        <f>VLOOKUP(C1129,clientes!$C$3:$D$60,2,FALSE)</f>
        <v>VIBRA</v>
      </c>
    </row>
    <row r="1130" spans="1:7" x14ac:dyDescent="0.25">
      <c r="A1130">
        <v>2023</v>
      </c>
      <c r="B1130" t="s">
        <v>141</v>
      </c>
      <c r="C1130" s="56" t="s">
        <v>161</v>
      </c>
      <c r="D1130" t="s">
        <v>120</v>
      </c>
      <c r="E1130" t="str">
        <f>VLOOKUP(D1130,'Lista de Produtos CLASSIFICAÇÃO'!$A$103:$B$144,2,FALSE)</f>
        <v>Derivados</v>
      </c>
      <c r="F1130" s="55">
        <v>2379391</v>
      </c>
      <c r="G1130" s="56" t="str">
        <f>VLOOKUP(C1130,clientes!$C$3:$D$60,2,FALSE)</f>
        <v>SUL PLATA</v>
      </c>
    </row>
    <row r="1131" spans="1:7" x14ac:dyDescent="0.25">
      <c r="A1131">
        <v>2023</v>
      </c>
      <c r="B1131" t="s">
        <v>141</v>
      </c>
      <c r="C1131" s="56" t="s">
        <v>195</v>
      </c>
      <c r="D1131" t="s">
        <v>115</v>
      </c>
      <c r="E1131" t="str">
        <f>VLOOKUP(D1131,'Lista de Produtos CLASSIFICAÇÃO'!$A$103:$B$144,2,FALSE)</f>
        <v>Soda Caustica</v>
      </c>
      <c r="F1131" s="55">
        <v>86104</v>
      </c>
      <c r="G1131" s="56" t="str">
        <f>VLOOKUP(C1131,clientes!$C$3:$D$60,2,FALSE)</f>
        <v>PROJESAN</v>
      </c>
    </row>
    <row r="1132" spans="1:7" x14ac:dyDescent="0.25">
      <c r="A1132">
        <v>2023</v>
      </c>
      <c r="B1132" t="s">
        <v>141</v>
      </c>
      <c r="C1132" s="56" t="s">
        <v>162</v>
      </c>
      <c r="D1132" t="s">
        <v>115</v>
      </c>
      <c r="E1132" t="str">
        <f>VLOOKUP(D1132,'Lista de Produtos CLASSIFICAÇÃO'!$A$103:$B$144,2,FALSE)</f>
        <v>Soda Caustica</v>
      </c>
      <c r="F1132" s="55">
        <v>152610</v>
      </c>
      <c r="G1132" s="56" t="str">
        <f>VLOOKUP(C1132,clientes!$C$3:$D$60,2,FALSE)</f>
        <v>JBS</v>
      </c>
    </row>
    <row r="1133" spans="1:7" x14ac:dyDescent="0.25">
      <c r="A1133">
        <v>2023</v>
      </c>
      <c r="B1133" t="s">
        <v>141</v>
      </c>
      <c r="C1133" s="56" t="s">
        <v>163</v>
      </c>
      <c r="D1133" t="s">
        <v>115</v>
      </c>
      <c r="E1133" t="str">
        <f>VLOOKUP(D1133,'Lista de Produtos CLASSIFICAÇÃO'!$A$103:$B$144,2,FALSE)</f>
        <v>Soda Caustica</v>
      </c>
      <c r="F1133" s="55">
        <v>623815</v>
      </c>
      <c r="G1133" s="56" t="str">
        <f>VLOOKUP(C1133,clientes!$C$3:$D$60,2,FALSE)</f>
        <v>TRICON ENERGY</v>
      </c>
    </row>
    <row r="1134" spans="1:7" x14ac:dyDescent="0.25">
      <c r="A1134">
        <v>2023</v>
      </c>
      <c r="B1134" t="s">
        <v>141</v>
      </c>
      <c r="C1134" s="56" t="s">
        <v>164</v>
      </c>
      <c r="D1134" t="s">
        <v>115</v>
      </c>
      <c r="E1134" t="str">
        <f>VLOOKUP(D1134,'Lista de Produtos CLASSIFICAÇÃO'!$A$103:$B$144,2,FALSE)</f>
        <v>Soda Caustica</v>
      </c>
      <c r="F1134" s="55">
        <v>240735</v>
      </c>
      <c r="G1134" s="56" t="str">
        <f>VLOOKUP(C1134,clientes!$C$3:$D$60,2,FALSE)</f>
        <v>BRASKEM</v>
      </c>
    </row>
    <row r="1135" spans="1:7" x14ac:dyDescent="0.25">
      <c r="A1135">
        <v>2023</v>
      </c>
      <c r="B1135" t="s">
        <v>141</v>
      </c>
      <c r="C1135" s="56" t="s">
        <v>165</v>
      </c>
      <c r="D1135" t="s">
        <v>123</v>
      </c>
      <c r="E1135" t="str">
        <f>VLOOKUP(D1135,'Lista de Produtos CLASSIFICAÇÃO'!$A$103:$B$144,2,FALSE)</f>
        <v>Aquecidos</v>
      </c>
      <c r="F1135" s="55">
        <v>947162</v>
      </c>
      <c r="G1135" s="56" t="str">
        <f>VLOOKUP(C1135,clientes!$C$3:$D$60,2,FALSE)</f>
        <v>BRF</v>
      </c>
    </row>
    <row r="1136" spans="1:7" x14ac:dyDescent="0.25">
      <c r="A1136">
        <v>2023</v>
      </c>
      <c r="B1136" t="s">
        <v>141</v>
      </c>
      <c r="C1136" s="56" t="s">
        <v>162</v>
      </c>
      <c r="D1136" t="s">
        <v>123</v>
      </c>
      <c r="E1136" t="str">
        <f>VLOOKUP(D1136,'Lista de Produtos CLASSIFICAÇÃO'!$A$103:$B$144,2,FALSE)</f>
        <v>Aquecidos</v>
      </c>
      <c r="F1136" s="55">
        <v>489141</v>
      </c>
      <c r="G1136" s="56" t="str">
        <f>VLOOKUP(C1136,clientes!$C$3:$D$60,2,FALSE)</f>
        <v>JBS</v>
      </c>
    </row>
    <row r="1137" spans="1:7" x14ac:dyDescent="0.25">
      <c r="A1137">
        <v>2023</v>
      </c>
      <c r="B1137" t="s">
        <v>141</v>
      </c>
      <c r="C1137" s="56" t="s">
        <v>166</v>
      </c>
      <c r="D1137" t="s">
        <v>123</v>
      </c>
      <c r="E1137" t="str">
        <f>VLOOKUP(D1137,'Lista de Produtos CLASSIFICAÇÃO'!$A$103:$B$144,2,FALSE)</f>
        <v>Aquecidos</v>
      </c>
      <c r="F1137" s="55">
        <v>359896</v>
      </c>
      <c r="G1137" s="56" t="str">
        <f>VLOOKUP(C1137,clientes!$C$3:$D$60,2,FALSE)</f>
        <v>CARGILL</v>
      </c>
    </row>
    <row r="1138" spans="1:7" x14ac:dyDescent="0.25">
      <c r="A1138">
        <v>2023</v>
      </c>
      <c r="B1138" t="s">
        <v>141</v>
      </c>
      <c r="C1138" s="56" t="s">
        <v>167</v>
      </c>
      <c r="D1138" t="s">
        <v>122</v>
      </c>
      <c r="E1138" t="str">
        <f>VLOOKUP(D1138,'Lista de Produtos CLASSIFICAÇÃO'!$A$103:$B$144,2,FALSE)</f>
        <v>Óleo Vegetal</v>
      </c>
      <c r="F1138" s="55">
        <v>4730107</v>
      </c>
      <c r="G1138" s="56" t="str">
        <f>VLOOKUP(C1138,clientes!$C$3:$D$60,2,FALSE)</f>
        <v>POOL</v>
      </c>
    </row>
    <row r="1139" spans="1:7" x14ac:dyDescent="0.25">
      <c r="A1139">
        <v>2023</v>
      </c>
      <c r="B1139" t="s">
        <v>141</v>
      </c>
      <c r="C1139" s="56" t="s">
        <v>168</v>
      </c>
      <c r="D1139" t="s">
        <v>122</v>
      </c>
      <c r="E1139" t="str">
        <f>VLOOKUP(D1139,'Lista de Produtos CLASSIFICAÇÃO'!$A$103:$B$144,2,FALSE)</f>
        <v>Óleo Vegetal</v>
      </c>
      <c r="F1139" s="55">
        <v>147702</v>
      </c>
      <c r="G1139" s="56" t="str">
        <f>VLOOKUP(C1139,clientes!$C$3:$D$60,2,FALSE)</f>
        <v>POOL EXCEDENTE</v>
      </c>
    </row>
    <row r="1140" spans="1:7" x14ac:dyDescent="0.25">
      <c r="A1140">
        <v>2023</v>
      </c>
      <c r="B1140" t="s">
        <v>141</v>
      </c>
      <c r="C1140" s="56" t="s">
        <v>169</v>
      </c>
      <c r="D1140" t="s">
        <v>22</v>
      </c>
      <c r="E1140" t="str">
        <f>VLOOKUP(D1140,'Lista de Produtos CLASSIFICAÇÃO'!$A$103:$B$144,2,FALSE)</f>
        <v>Metanol</v>
      </c>
      <c r="F1140" s="55">
        <v>5364738</v>
      </c>
      <c r="G1140" s="56" t="str">
        <f>VLOOKUP(C1140,clientes!$C$3:$D$60,2,FALSE)</f>
        <v>METHANEX</v>
      </c>
    </row>
    <row r="1141" spans="1:7" x14ac:dyDescent="0.25">
      <c r="A1141">
        <v>2023</v>
      </c>
      <c r="B1141" t="s">
        <v>141</v>
      </c>
      <c r="C1141" s="56" t="s">
        <v>170</v>
      </c>
      <c r="D1141" t="s">
        <v>22</v>
      </c>
      <c r="E1141" t="str">
        <f>VLOOKUP(D1141,'Lista de Produtos CLASSIFICAÇÃO'!$A$103:$B$144,2,FALSE)</f>
        <v>Metanol</v>
      </c>
      <c r="F1141" s="55">
        <v>3200617</v>
      </c>
      <c r="G1141" s="56" t="str">
        <f>VLOOKUP(C1141,clientes!$C$3:$D$60,2,FALSE)</f>
        <v>MITSUBISHI</v>
      </c>
    </row>
    <row r="1142" spans="1:7" x14ac:dyDescent="0.25">
      <c r="A1142">
        <v>2023</v>
      </c>
      <c r="B1142" t="s">
        <v>141</v>
      </c>
      <c r="C1142" s="56" t="s">
        <v>196</v>
      </c>
      <c r="D1142" t="s">
        <v>22</v>
      </c>
      <c r="E1142" t="str">
        <f>VLOOKUP(D1142,'Lista de Produtos CLASSIFICAÇÃO'!$A$103:$B$144,2,FALSE)</f>
        <v>Metanol</v>
      </c>
      <c r="F1142" s="55">
        <v>5503073</v>
      </c>
      <c r="G1142" s="56" t="str">
        <f>VLOOKUP(C1142,clientes!$C$3:$D$60,2,FALSE)</f>
        <v>SCC</v>
      </c>
    </row>
    <row r="1143" spans="1:7" x14ac:dyDescent="0.25">
      <c r="A1143">
        <v>2023</v>
      </c>
      <c r="B1143" t="s">
        <v>141</v>
      </c>
      <c r="C1143" s="56" t="s">
        <v>172</v>
      </c>
      <c r="D1143" t="s">
        <v>124</v>
      </c>
      <c r="E1143" t="str">
        <f>VLOOKUP(D1143,'Lista de Produtos CLASSIFICAÇÃO'!$A$103:$B$144,2,FALSE)</f>
        <v>Outros</v>
      </c>
      <c r="F1143" s="55">
        <v>297306</v>
      </c>
      <c r="G1143" s="56" t="str">
        <f>VLOOKUP(C1143,clientes!$C$3:$D$60,2,FALSE)</f>
        <v>EVONIK</v>
      </c>
    </row>
    <row r="1144" spans="1:7" x14ac:dyDescent="0.25">
      <c r="A1144">
        <v>2023</v>
      </c>
      <c r="B1144" t="s">
        <v>141</v>
      </c>
      <c r="C1144" s="56" t="s">
        <v>173</v>
      </c>
      <c r="D1144" t="s">
        <v>22</v>
      </c>
      <c r="E1144" t="str">
        <f>VLOOKUP(D1144,'Lista de Produtos CLASSIFICAÇÃO'!$A$103:$B$144,2,FALSE)</f>
        <v>Metanol</v>
      </c>
      <c r="F1144" s="55">
        <v>515367</v>
      </c>
      <c r="G1144" s="56" t="str">
        <f>VLOOKUP(C1144,clientes!$C$3:$D$60,2,FALSE)</f>
        <v>YPF SOCIEDAD ANONIMA</v>
      </c>
    </row>
    <row r="1145" spans="1:7" x14ac:dyDescent="0.25">
      <c r="A1145">
        <v>2023</v>
      </c>
      <c r="B1145" t="s">
        <v>141</v>
      </c>
      <c r="C1145" s="56" t="s">
        <v>197</v>
      </c>
      <c r="D1145" t="s">
        <v>85</v>
      </c>
      <c r="E1145" t="str">
        <f>VLOOKUP(D1145,'Lista de Produtos CLASSIFICAÇÃO'!$A$103:$B$144,2,FALSE)</f>
        <v>Outros</v>
      </c>
      <c r="F1145" s="55">
        <v>125795</v>
      </c>
      <c r="G1145" s="56" t="str">
        <f>VLOOKUP(C1145,clientes!$C$3:$D$60,2,FALSE)</f>
        <v>DRT</v>
      </c>
    </row>
    <row r="1146" spans="1:7" x14ac:dyDescent="0.25">
      <c r="A1146">
        <v>2023</v>
      </c>
      <c r="B1146" t="s">
        <v>141</v>
      </c>
      <c r="C1146" s="56" t="s">
        <v>198</v>
      </c>
      <c r="D1146" t="s">
        <v>121</v>
      </c>
      <c r="E1146" t="str">
        <f>VLOOKUP(D1146,'Lista de Produtos CLASSIFICAÇÃO'!$A$103:$B$144,2,FALSE)</f>
        <v>Biocombustíveis</v>
      </c>
      <c r="F1146" s="55">
        <v>0</v>
      </c>
      <c r="G1146" s="56" t="str">
        <f>VLOOKUP(C1146,clientes!$C$3:$D$60,2,FALSE)</f>
        <v>TEREOS / INPASA / GLENCORE</v>
      </c>
    </row>
    <row r="1147" spans="1:7" x14ac:dyDescent="0.25">
      <c r="A1147">
        <v>2023</v>
      </c>
      <c r="B1147" t="s">
        <v>141</v>
      </c>
      <c r="C1147" s="56" t="s">
        <v>174</v>
      </c>
      <c r="D1147" t="s">
        <v>123</v>
      </c>
      <c r="E1147" t="str">
        <f>VLOOKUP(D1147,'Lista de Produtos CLASSIFICAÇÃO'!$A$103:$B$144,2,FALSE)</f>
        <v>Aquecidos</v>
      </c>
      <c r="F1147" s="55">
        <v>795585</v>
      </c>
      <c r="G1147" s="56" t="str">
        <f>VLOOKUP(C1147,clientes!$C$3:$D$60,2,FALSE)</f>
        <v>CELENA</v>
      </c>
    </row>
    <row r="1148" spans="1:7" x14ac:dyDescent="0.25">
      <c r="A1148">
        <v>2023</v>
      </c>
      <c r="B1148" t="s">
        <v>141</v>
      </c>
      <c r="C1148" s="56" t="s">
        <v>175</v>
      </c>
      <c r="D1148" t="s">
        <v>123</v>
      </c>
      <c r="E1148" t="str">
        <f>VLOOKUP(D1148,'Lista de Produtos CLASSIFICAÇÃO'!$A$103:$B$144,2,FALSE)</f>
        <v>Aquecidos</v>
      </c>
      <c r="F1148" s="55">
        <v>446949</v>
      </c>
      <c r="G1148" s="56" t="str">
        <f>VLOOKUP(C1148,clientes!$C$3:$D$60,2,FALSE)</f>
        <v>AAK DO BRASIL</v>
      </c>
    </row>
    <row r="1149" spans="1:7" x14ac:dyDescent="0.25">
      <c r="A1149">
        <v>2023</v>
      </c>
      <c r="B1149" t="s">
        <v>141</v>
      </c>
      <c r="C1149" s="56" t="s">
        <v>166</v>
      </c>
      <c r="D1149" t="s">
        <v>122</v>
      </c>
      <c r="E1149" t="str">
        <f>VLOOKUP(D1149,'Lista de Produtos CLASSIFICAÇÃO'!$A$103:$B$144,2,FALSE)</f>
        <v>Óleo Vegetal</v>
      </c>
      <c r="F1149" s="55">
        <v>308495</v>
      </c>
      <c r="G1149" s="56" t="str">
        <f>VLOOKUP(C1149,clientes!$C$3:$D$60,2,FALSE)</f>
        <v>CARGILL</v>
      </c>
    </row>
    <row r="1150" spans="1:7" x14ac:dyDescent="0.25">
      <c r="A1150">
        <v>2023</v>
      </c>
      <c r="B1150" t="s">
        <v>141</v>
      </c>
      <c r="C1150" s="56" t="s">
        <v>176</v>
      </c>
      <c r="D1150" t="s">
        <v>123</v>
      </c>
      <c r="E1150" t="str">
        <f>VLOOKUP(D1150,'Lista de Produtos CLASSIFICAÇÃO'!$A$103:$B$144,2,FALSE)</f>
        <v>Aquecidos</v>
      </c>
      <c r="F1150" s="55">
        <v>268238</v>
      </c>
      <c r="G1150" s="56" t="str">
        <f>VLOOKUP(C1150,clientes!$C$3:$D$60,2,FALSE)</f>
        <v>AGROPALMA</v>
      </c>
    </row>
    <row r="1151" spans="1:7" x14ac:dyDescent="0.25">
      <c r="A1151">
        <v>2023</v>
      </c>
      <c r="B1151" t="s">
        <v>141</v>
      </c>
      <c r="C1151" s="56" t="s">
        <v>177</v>
      </c>
      <c r="D1151" t="s">
        <v>115</v>
      </c>
      <c r="E1151" t="str">
        <f>VLOOKUP(D1151,'Lista de Produtos CLASSIFICAÇÃO'!$A$103:$B$144,2,FALSE)</f>
        <v>Soda Caustica</v>
      </c>
      <c r="F1151" s="55">
        <v>318237</v>
      </c>
      <c r="G1151" s="56" t="str">
        <f>VLOOKUP(C1151,clientes!$C$3:$D$60,2,FALSE)</f>
        <v>BRENNTAG</v>
      </c>
    </row>
    <row r="1152" spans="1:7" x14ac:dyDescent="0.25">
      <c r="A1152">
        <v>2023</v>
      </c>
      <c r="B1152" t="s">
        <v>141</v>
      </c>
      <c r="C1152" s="56" t="s">
        <v>178</v>
      </c>
      <c r="D1152" t="s">
        <v>115</v>
      </c>
      <c r="E1152" t="str">
        <f>VLOOKUP(D1152,'Lista de Produtos CLASSIFICAÇÃO'!$A$103:$B$144,2,FALSE)</f>
        <v>Soda Caustica</v>
      </c>
      <c r="F1152" s="55">
        <v>1501777</v>
      </c>
      <c r="G1152" s="56" t="str">
        <f>VLOOKUP(C1152,clientes!$C$3:$D$60,2,FALSE)</f>
        <v>OLIN BLUE CUBE</v>
      </c>
    </row>
    <row r="1153" spans="1:7" x14ac:dyDescent="0.25">
      <c r="A1153">
        <v>2023</v>
      </c>
      <c r="B1153" t="s">
        <v>141</v>
      </c>
      <c r="C1153" s="56" t="s">
        <v>179</v>
      </c>
      <c r="D1153" t="s">
        <v>26</v>
      </c>
      <c r="E1153" t="str">
        <f>VLOOKUP(D1153,'Lista de Produtos CLASSIFICAÇÃO'!$A$103:$B$144,2,FALSE)</f>
        <v>Biocombustíveis</v>
      </c>
      <c r="F1153" s="55">
        <v>325050</v>
      </c>
      <c r="G1153" s="56" t="str">
        <f>VLOOKUP(C1153,clientes!$C$3:$D$60,2,FALSE)</f>
        <v>BSBIOS</v>
      </c>
    </row>
    <row r="1154" spans="1:7" x14ac:dyDescent="0.25">
      <c r="A1154">
        <v>2023</v>
      </c>
      <c r="B1154" t="s">
        <v>141</v>
      </c>
      <c r="C1154" s="56" t="s">
        <v>180</v>
      </c>
      <c r="D1154" t="s">
        <v>30</v>
      </c>
      <c r="E1154" t="str">
        <f>VLOOKUP(D1154,'Lista de Produtos CLASSIFICAÇÃO'!$A$103:$B$144,2,FALSE)</f>
        <v>Outros</v>
      </c>
      <c r="F1154" s="55">
        <v>187972</v>
      </c>
      <c r="G1154" s="56" t="str">
        <f>VLOOKUP(C1154,clientes!$C$3:$D$60,2,FALSE)</f>
        <v>TRICHEM</v>
      </c>
    </row>
    <row r="1155" spans="1:7" x14ac:dyDescent="0.25">
      <c r="A1155">
        <v>2023</v>
      </c>
      <c r="B1155" t="s">
        <v>141</v>
      </c>
      <c r="C1155" s="56" t="s">
        <v>181</v>
      </c>
      <c r="D1155" t="s">
        <v>123</v>
      </c>
      <c r="E1155" t="str">
        <f>VLOOKUP(D1155,'Lista de Produtos CLASSIFICAÇÃO'!$A$103:$B$144,2,FALSE)</f>
        <v>Aquecidos</v>
      </c>
      <c r="F1155" s="55">
        <v>249297</v>
      </c>
      <c r="G1155" s="56" t="str">
        <f>VLOOKUP(C1155,clientes!$C$3:$D$60,2,FALSE)</f>
        <v>COAMO</v>
      </c>
    </row>
    <row r="1156" spans="1:7" x14ac:dyDescent="0.25">
      <c r="A1156">
        <v>2023</v>
      </c>
      <c r="B1156" t="s">
        <v>141</v>
      </c>
      <c r="C1156" s="56" t="s">
        <v>182</v>
      </c>
      <c r="D1156" t="s">
        <v>120</v>
      </c>
      <c r="E1156" t="str">
        <f>VLOOKUP(D1156,'Lista de Produtos CLASSIFICAÇÃO'!$A$103:$B$144,2,FALSE)</f>
        <v>Derivados</v>
      </c>
      <c r="F1156" s="55">
        <v>676544</v>
      </c>
      <c r="G1156" s="56" t="str">
        <f>VLOOKUP(C1156,clientes!$C$3:$D$60,2,FALSE)</f>
        <v>ATEM</v>
      </c>
    </row>
    <row r="1157" spans="1:7" x14ac:dyDescent="0.25">
      <c r="A1157">
        <v>2023</v>
      </c>
      <c r="B1157" t="s">
        <v>142</v>
      </c>
      <c r="C1157" s="56" t="s">
        <v>155</v>
      </c>
      <c r="D1157" t="s">
        <v>16</v>
      </c>
      <c r="E1157" t="str">
        <f>VLOOKUP(D1157,'Lista de Produtos CLASSIFICAÇÃO'!$A$103:$B$144,2,FALSE)</f>
        <v>Outros</v>
      </c>
      <c r="F1157" s="55">
        <v>764605</v>
      </c>
      <c r="G1157" s="56" t="str">
        <f>VLOOKUP(C1157,clientes!$C$3:$D$60,2,FALSE)</f>
        <v>ADISSEO</v>
      </c>
    </row>
    <row r="1158" spans="1:7" x14ac:dyDescent="0.25">
      <c r="A1158">
        <v>2023</v>
      </c>
      <c r="B1158" t="s">
        <v>142</v>
      </c>
      <c r="C1158" s="56" t="s">
        <v>156</v>
      </c>
      <c r="D1158" t="s">
        <v>123</v>
      </c>
      <c r="E1158" t="str">
        <f>VLOOKUP(D1158,'Lista de Produtos CLASSIFICAÇÃO'!$A$103:$B$144,2,FALSE)</f>
        <v>Aquecidos</v>
      </c>
      <c r="F1158" s="55">
        <v>358677</v>
      </c>
      <c r="G1158" s="56" t="str">
        <f>VLOOKUP(C1158,clientes!$C$3:$D$60,2,FALSE)</f>
        <v>BUNGE</v>
      </c>
    </row>
    <row r="1159" spans="1:7" x14ac:dyDescent="0.25">
      <c r="A1159">
        <v>2023</v>
      </c>
      <c r="B1159" t="s">
        <v>142</v>
      </c>
      <c r="C1159" s="56" t="s">
        <v>157</v>
      </c>
      <c r="D1159" t="s">
        <v>122</v>
      </c>
      <c r="E1159" t="str">
        <f>VLOOKUP(D1159,'Lista de Produtos CLASSIFICAÇÃO'!$A$103:$B$144,2,FALSE)</f>
        <v>Óleo Vegetal</v>
      </c>
      <c r="F1159" s="55">
        <v>162891</v>
      </c>
      <c r="G1159" s="56" t="str">
        <f>VLOOKUP(C1159,clientes!$C$3:$D$60,2,FALSE)</f>
        <v>ADM</v>
      </c>
    </row>
    <row r="1160" spans="1:7" x14ac:dyDescent="0.25">
      <c r="A1160">
        <v>2023</v>
      </c>
      <c r="B1160" t="s">
        <v>142</v>
      </c>
      <c r="C1160" s="56" t="s">
        <v>158</v>
      </c>
      <c r="D1160" t="s">
        <v>120</v>
      </c>
      <c r="E1160" t="str">
        <f>VLOOKUP(D1160,'Lista de Produtos CLASSIFICAÇÃO'!$A$103:$B$144,2,FALSE)</f>
        <v>Derivados</v>
      </c>
      <c r="F1160" s="55">
        <v>6086965</v>
      </c>
      <c r="G1160" s="56" t="str">
        <f>VLOOKUP(C1160,clientes!$C$3:$D$60,2,FALSE)</f>
        <v>IPIRANGA</v>
      </c>
    </row>
    <row r="1161" spans="1:7" x14ac:dyDescent="0.25">
      <c r="A1161">
        <v>2023</v>
      </c>
      <c r="B1161" t="s">
        <v>142</v>
      </c>
      <c r="C1161" s="56" t="s">
        <v>159</v>
      </c>
      <c r="D1161" t="s">
        <v>120</v>
      </c>
      <c r="E1161" t="str">
        <f>VLOOKUP(D1161,'Lista de Produtos CLASSIFICAÇÃO'!$A$103:$B$144,2,FALSE)</f>
        <v>Derivados</v>
      </c>
      <c r="F1161" s="55">
        <v>4164996</v>
      </c>
      <c r="G1161" s="56" t="str">
        <f>VLOOKUP(C1161,clientes!$C$3:$D$60,2,FALSE)</f>
        <v>RAIZEN</v>
      </c>
    </row>
    <row r="1162" spans="1:7" x14ac:dyDescent="0.25">
      <c r="A1162">
        <v>2023</v>
      </c>
      <c r="B1162" t="s">
        <v>142</v>
      </c>
      <c r="C1162" s="56" t="s">
        <v>160</v>
      </c>
      <c r="D1162" t="s">
        <v>120</v>
      </c>
      <c r="E1162" t="str">
        <f>VLOOKUP(D1162,'Lista de Produtos CLASSIFICAÇÃO'!$A$103:$B$144,2,FALSE)</f>
        <v>Derivados</v>
      </c>
      <c r="F1162" s="55">
        <v>1750502</v>
      </c>
      <c r="G1162" s="56" t="str">
        <f>VLOOKUP(C1162,clientes!$C$3:$D$60,2,FALSE)</f>
        <v>VIBRA</v>
      </c>
    </row>
    <row r="1163" spans="1:7" x14ac:dyDescent="0.25">
      <c r="A1163">
        <v>2023</v>
      </c>
      <c r="B1163" t="s">
        <v>142</v>
      </c>
      <c r="C1163" s="56" t="s">
        <v>161</v>
      </c>
      <c r="D1163" t="s">
        <v>120</v>
      </c>
      <c r="E1163" t="str">
        <f>VLOOKUP(D1163,'Lista de Produtos CLASSIFICAÇÃO'!$A$103:$B$144,2,FALSE)</f>
        <v>Derivados</v>
      </c>
      <c r="F1163" s="55">
        <v>2379391</v>
      </c>
      <c r="G1163" s="56" t="str">
        <f>VLOOKUP(C1163,clientes!$C$3:$D$60,2,FALSE)</f>
        <v>SUL PLATA</v>
      </c>
    </row>
    <row r="1164" spans="1:7" x14ac:dyDescent="0.25">
      <c r="A1164">
        <v>2023</v>
      </c>
      <c r="B1164" t="s">
        <v>142</v>
      </c>
      <c r="C1164" s="56" t="s">
        <v>195</v>
      </c>
      <c r="D1164" t="s">
        <v>115</v>
      </c>
      <c r="E1164" t="str">
        <f>VLOOKUP(D1164,'Lista de Produtos CLASSIFICAÇÃO'!$A$103:$B$144,2,FALSE)</f>
        <v>Soda Caustica</v>
      </c>
      <c r="F1164" s="55">
        <v>74698</v>
      </c>
      <c r="G1164" s="56" t="str">
        <f>VLOOKUP(C1164,clientes!$C$3:$D$60,2,FALSE)</f>
        <v>PROJESAN</v>
      </c>
    </row>
    <row r="1165" spans="1:7" x14ac:dyDescent="0.25">
      <c r="A1165">
        <v>2023</v>
      </c>
      <c r="B1165" t="s">
        <v>142</v>
      </c>
      <c r="C1165" s="56" t="s">
        <v>162</v>
      </c>
      <c r="D1165" t="s">
        <v>115</v>
      </c>
      <c r="E1165" t="str">
        <f>VLOOKUP(D1165,'Lista de Produtos CLASSIFICAÇÃO'!$A$103:$B$144,2,FALSE)</f>
        <v>Soda Caustica</v>
      </c>
      <c r="F1165" s="55">
        <v>152610</v>
      </c>
      <c r="G1165" s="56" t="str">
        <f>VLOOKUP(C1165,clientes!$C$3:$D$60,2,FALSE)</f>
        <v>JBS</v>
      </c>
    </row>
    <row r="1166" spans="1:7" x14ac:dyDescent="0.25">
      <c r="A1166">
        <v>2023</v>
      </c>
      <c r="B1166" t="s">
        <v>142</v>
      </c>
      <c r="C1166" s="56" t="s">
        <v>163</v>
      </c>
      <c r="D1166" t="s">
        <v>115</v>
      </c>
      <c r="E1166" t="str">
        <f>VLOOKUP(D1166,'Lista de Produtos CLASSIFICAÇÃO'!$A$103:$B$144,2,FALSE)</f>
        <v>Soda Caustica</v>
      </c>
      <c r="F1166" s="55">
        <v>623815</v>
      </c>
      <c r="G1166" s="56" t="str">
        <f>VLOOKUP(C1166,clientes!$C$3:$D$60,2,FALSE)</f>
        <v>TRICON ENERGY</v>
      </c>
    </row>
    <row r="1167" spans="1:7" x14ac:dyDescent="0.25">
      <c r="A1167">
        <v>2023</v>
      </c>
      <c r="B1167" t="s">
        <v>142</v>
      </c>
      <c r="C1167" s="56" t="s">
        <v>164</v>
      </c>
      <c r="D1167" t="s">
        <v>115</v>
      </c>
      <c r="E1167" t="str">
        <f>VLOOKUP(D1167,'Lista de Produtos CLASSIFICAÇÃO'!$A$103:$B$144,2,FALSE)</f>
        <v>Soda Caustica</v>
      </c>
      <c r="F1167" s="55">
        <v>240735</v>
      </c>
      <c r="G1167" s="56" t="str">
        <f>VLOOKUP(C1167,clientes!$C$3:$D$60,2,FALSE)</f>
        <v>BRASKEM</v>
      </c>
    </row>
    <row r="1168" spans="1:7" x14ac:dyDescent="0.25">
      <c r="A1168">
        <v>2023</v>
      </c>
      <c r="B1168" t="s">
        <v>142</v>
      </c>
      <c r="C1168" s="56" t="s">
        <v>165</v>
      </c>
      <c r="D1168" t="s">
        <v>123</v>
      </c>
      <c r="E1168" t="str">
        <f>VLOOKUP(D1168,'Lista de Produtos CLASSIFICAÇÃO'!$A$103:$B$144,2,FALSE)</f>
        <v>Aquecidos</v>
      </c>
      <c r="F1168" s="55">
        <v>947162</v>
      </c>
      <c r="G1168" s="56" t="str">
        <f>VLOOKUP(C1168,clientes!$C$3:$D$60,2,FALSE)</f>
        <v>BRF</v>
      </c>
    </row>
    <row r="1169" spans="1:7" x14ac:dyDescent="0.25">
      <c r="A1169">
        <v>2023</v>
      </c>
      <c r="B1169" t="s">
        <v>142</v>
      </c>
      <c r="C1169" s="56" t="s">
        <v>162</v>
      </c>
      <c r="D1169" t="s">
        <v>123</v>
      </c>
      <c r="E1169" t="str">
        <f>VLOOKUP(D1169,'Lista de Produtos CLASSIFICAÇÃO'!$A$103:$B$144,2,FALSE)</f>
        <v>Aquecidos</v>
      </c>
      <c r="F1169" s="55">
        <v>489141</v>
      </c>
      <c r="G1169" s="56" t="str">
        <f>VLOOKUP(C1169,clientes!$C$3:$D$60,2,FALSE)</f>
        <v>JBS</v>
      </c>
    </row>
    <row r="1170" spans="1:7" x14ac:dyDescent="0.25">
      <c r="A1170">
        <v>2023</v>
      </c>
      <c r="B1170" t="s">
        <v>142</v>
      </c>
      <c r="C1170" s="56" t="s">
        <v>166</v>
      </c>
      <c r="D1170" t="s">
        <v>123</v>
      </c>
      <c r="E1170" t="str">
        <f>VLOOKUP(D1170,'Lista de Produtos CLASSIFICAÇÃO'!$A$103:$B$144,2,FALSE)</f>
        <v>Aquecidos</v>
      </c>
      <c r="F1170" s="55">
        <v>359896</v>
      </c>
      <c r="G1170" s="56" t="str">
        <f>VLOOKUP(C1170,clientes!$C$3:$D$60,2,FALSE)</f>
        <v>CARGILL</v>
      </c>
    </row>
    <row r="1171" spans="1:7" x14ac:dyDescent="0.25">
      <c r="A1171">
        <v>2023</v>
      </c>
      <c r="B1171" t="s">
        <v>142</v>
      </c>
      <c r="C1171" s="56" t="s">
        <v>167</v>
      </c>
      <c r="D1171" t="s">
        <v>122</v>
      </c>
      <c r="E1171" t="str">
        <f>VLOOKUP(D1171,'Lista de Produtos CLASSIFICAÇÃO'!$A$103:$B$144,2,FALSE)</f>
        <v>Óleo Vegetal</v>
      </c>
      <c r="F1171" s="55">
        <v>4138844</v>
      </c>
      <c r="G1171" s="56" t="str">
        <f>VLOOKUP(C1171,clientes!$C$3:$D$60,2,FALSE)</f>
        <v>POOL</v>
      </c>
    </row>
    <row r="1172" spans="1:7" x14ac:dyDescent="0.25">
      <c r="A1172">
        <v>2023</v>
      </c>
      <c r="B1172" t="s">
        <v>142</v>
      </c>
      <c r="C1172" s="56" t="s">
        <v>168</v>
      </c>
      <c r="D1172" t="s">
        <v>122</v>
      </c>
      <c r="E1172" t="str">
        <f>VLOOKUP(D1172,'Lista de Produtos CLASSIFICAÇÃO'!$A$103:$B$144,2,FALSE)</f>
        <v>Óleo Vegetal</v>
      </c>
      <c r="F1172" s="55">
        <v>147702</v>
      </c>
      <c r="G1172" s="56" t="str">
        <f>VLOOKUP(C1172,clientes!$C$3:$D$60,2,FALSE)</f>
        <v>POOL EXCEDENTE</v>
      </c>
    </row>
    <row r="1173" spans="1:7" x14ac:dyDescent="0.25">
      <c r="A1173">
        <v>2023</v>
      </c>
      <c r="B1173" t="s">
        <v>142</v>
      </c>
      <c r="C1173" s="56" t="s">
        <v>169</v>
      </c>
      <c r="D1173" t="s">
        <v>22</v>
      </c>
      <c r="E1173" t="str">
        <f>VLOOKUP(D1173,'Lista de Produtos CLASSIFICAÇÃO'!$A$103:$B$144,2,FALSE)</f>
        <v>Metanol</v>
      </c>
      <c r="F1173" s="55">
        <v>5364738</v>
      </c>
      <c r="G1173" s="56" t="str">
        <f>VLOOKUP(C1173,clientes!$C$3:$D$60,2,FALSE)</f>
        <v>METHANEX</v>
      </c>
    </row>
    <row r="1174" spans="1:7" x14ac:dyDescent="0.25">
      <c r="A1174">
        <v>2023</v>
      </c>
      <c r="B1174" t="s">
        <v>142</v>
      </c>
      <c r="C1174" s="56" t="s">
        <v>170</v>
      </c>
      <c r="D1174" t="s">
        <v>22</v>
      </c>
      <c r="E1174" t="str">
        <f>VLOOKUP(D1174,'Lista de Produtos CLASSIFICAÇÃO'!$A$103:$B$144,2,FALSE)</f>
        <v>Metanol</v>
      </c>
      <c r="F1174" s="55">
        <v>3200617</v>
      </c>
      <c r="G1174" s="56" t="str">
        <f>VLOOKUP(C1174,clientes!$C$3:$D$60,2,FALSE)</f>
        <v>MITSUBISHI</v>
      </c>
    </row>
    <row r="1175" spans="1:7" x14ac:dyDescent="0.25">
      <c r="A1175">
        <v>2023</v>
      </c>
      <c r="B1175" t="s">
        <v>142</v>
      </c>
      <c r="C1175" s="56" t="s">
        <v>196</v>
      </c>
      <c r="D1175" t="s">
        <v>22</v>
      </c>
      <c r="E1175" t="str">
        <f>VLOOKUP(D1175,'Lista de Produtos CLASSIFICAÇÃO'!$A$103:$B$144,2,FALSE)</f>
        <v>Metanol</v>
      </c>
      <c r="F1175" s="55">
        <v>5503073</v>
      </c>
      <c r="G1175" s="56" t="str">
        <f>VLOOKUP(C1175,clientes!$C$3:$D$60,2,FALSE)</f>
        <v>SCC</v>
      </c>
    </row>
    <row r="1176" spans="1:7" x14ac:dyDescent="0.25">
      <c r="A1176">
        <v>2023</v>
      </c>
      <c r="B1176" t="s">
        <v>142</v>
      </c>
      <c r="C1176" s="56" t="s">
        <v>172</v>
      </c>
      <c r="D1176" t="s">
        <v>124</v>
      </c>
      <c r="E1176" t="str">
        <f>VLOOKUP(D1176,'Lista de Produtos CLASSIFICAÇÃO'!$A$103:$B$144,2,FALSE)</f>
        <v>Outros</v>
      </c>
      <c r="F1176" s="55">
        <v>297306</v>
      </c>
      <c r="G1176" s="56" t="str">
        <f>VLOOKUP(C1176,clientes!$C$3:$D$60,2,FALSE)</f>
        <v>EVONIK</v>
      </c>
    </row>
    <row r="1177" spans="1:7" x14ac:dyDescent="0.25">
      <c r="A1177">
        <v>2023</v>
      </c>
      <c r="B1177" t="s">
        <v>142</v>
      </c>
      <c r="C1177" s="56" t="s">
        <v>173</v>
      </c>
      <c r="D1177" t="s">
        <v>22</v>
      </c>
      <c r="E1177" t="str">
        <f>VLOOKUP(D1177,'Lista de Produtos CLASSIFICAÇÃO'!$A$103:$B$144,2,FALSE)</f>
        <v>Metanol</v>
      </c>
      <c r="F1177" s="55">
        <v>515367</v>
      </c>
      <c r="G1177" s="56" t="str">
        <f>VLOOKUP(C1177,clientes!$C$3:$D$60,2,FALSE)</f>
        <v>YPF SOCIEDAD ANONIMA</v>
      </c>
    </row>
    <row r="1178" spans="1:7" x14ac:dyDescent="0.25">
      <c r="A1178">
        <v>2023</v>
      </c>
      <c r="B1178" t="s">
        <v>142</v>
      </c>
      <c r="C1178" s="56" t="s">
        <v>197</v>
      </c>
      <c r="D1178" t="s">
        <v>85</v>
      </c>
      <c r="E1178" t="str">
        <f>VLOOKUP(D1178,'Lista de Produtos CLASSIFICAÇÃO'!$A$103:$B$144,2,FALSE)</f>
        <v>Outros</v>
      </c>
      <c r="F1178" s="55">
        <v>125795</v>
      </c>
      <c r="G1178" s="56" t="str">
        <f>VLOOKUP(C1178,clientes!$C$3:$D$60,2,FALSE)</f>
        <v>DRT</v>
      </c>
    </row>
    <row r="1179" spans="1:7" x14ac:dyDescent="0.25">
      <c r="A1179">
        <v>2023</v>
      </c>
      <c r="B1179" t="s">
        <v>142</v>
      </c>
      <c r="C1179" s="56" t="s">
        <v>198</v>
      </c>
      <c r="D1179" t="s">
        <v>121</v>
      </c>
      <c r="E1179" t="str">
        <f>VLOOKUP(D1179,'Lista de Produtos CLASSIFICAÇÃO'!$A$103:$B$144,2,FALSE)</f>
        <v>Biocombustíveis</v>
      </c>
      <c r="F1179" s="55">
        <v>0</v>
      </c>
      <c r="G1179" s="56" t="str">
        <f>VLOOKUP(C1179,clientes!$C$3:$D$60,2,FALSE)</f>
        <v>TEREOS / INPASA / GLENCORE</v>
      </c>
    </row>
    <row r="1180" spans="1:7" x14ac:dyDescent="0.25">
      <c r="A1180">
        <v>2023</v>
      </c>
      <c r="B1180" t="s">
        <v>142</v>
      </c>
      <c r="C1180" s="56" t="s">
        <v>174</v>
      </c>
      <c r="D1180" t="s">
        <v>123</v>
      </c>
      <c r="E1180" t="str">
        <f>VLOOKUP(D1180,'Lista de Produtos CLASSIFICAÇÃO'!$A$103:$B$144,2,FALSE)</f>
        <v>Aquecidos</v>
      </c>
      <c r="F1180" s="55">
        <v>795585</v>
      </c>
      <c r="G1180" s="56" t="str">
        <f>VLOOKUP(C1180,clientes!$C$3:$D$60,2,FALSE)</f>
        <v>CELENA</v>
      </c>
    </row>
    <row r="1181" spans="1:7" x14ac:dyDescent="0.25">
      <c r="A1181">
        <v>2023</v>
      </c>
      <c r="B1181" t="s">
        <v>142</v>
      </c>
      <c r="C1181" s="56" t="s">
        <v>175</v>
      </c>
      <c r="D1181" t="s">
        <v>123</v>
      </c>
      <c r="E1181" t="str">
        <f>VLOOKUP(D1181,'Lista de Produtos CLASSIFICAÇÃO'!$A$103:$B$144,2,FALSE)</f>
        <v>Aquecidos</v>
      </c>
      <c r="F1181" s="55">
        <v>446949</v>
      </c>
      <c r="G1181" s="56" t="str">
        <f>VLOOKUP(C1181,clientes!$C$3:$D$60,2,FALSE)</f>
        <v>AAK DO BRASIL</v>
      </c>
    </row>
    <row r="1182" spans="1:7" x14ac:dyDescent="0.25">
      <c r="A1182">
        <v>2023</v>
      </c>
      <c r="B1182" t="s">
        <v>142</v>
      </c>
      <c r="C1182" s="56" t="s">
        <v>166</v>
      </c>
      <c r="D1182" t="s">
        <v>122</v>
      </c>
      <c r="E1182" t="str">
        <f>VLOOKUP(D1182,'Lista de Produtos CLASSIFICAÇÃO'!$A$103:$B$144,2,FALSE)</f>
        <v>Óleo Vegetal</v>
      </c>
      <c r="F1182" s="55">
        <v>278952</v>
      </c>
      <c r="G1182" s="56" t="str">
        <f>VLOOKUP(C1182,clientes!$C$3:$D$60,2,FALSE)</f>
        <v>CARGILL</v>
      </c>
    </row>
    <row r="1183" spans="1:7" x14ac:dyDescent="0.25">
      <c r="A1183">
        <v>2023</v>
      </c>
      <c r="B1183" t="s">
        <v>142</v>
      </c>
      <c r="C1183" s="56" t="s">
        <v>176</v>
      </c>
      <c r="D1183" t="s">
        <v>123</v>
      </c>
      <c r="E1183" t="str">
        <f>VLOOKUP(D1183,'Lista de Produtos CLASSIFICAÇÃO'!$A$103:$B$144,2,FALSE)</f>
        <v>Aquecidos</v>
      </c>
      <c r="F1183" s="55">
        <v>268238</v>
      </c>
      <c r="G1183" s="56" t="str">
        <f>VLOOKUP(C1183,clientes!$C$3:$D$60,2,FALSE)</f>
        <v>AGROPALMA</v>
      </c>
    </row>
    <row r="1184" spans="1:7" x14ac:dyDescent="0.25">
      <c r="A1184">
        <v>2023</v>
      </c>
      <c r="B1184" t="s">
        <v>142</v>
      </c>
      <c r="C1184" s="56" t="s">
        <v>177</v>
      </c>
      <c r="D1184" t="s">
        <v>115</v>
      </c>
      <c r="E1184" t="str">
        <f>VLOOKUP(D1184,'Lista de Produtos CLASSIFICAÇÃO'!$A$103:$B$144,2,FALSE)</f>
        <v>Soda Caustica</v>
      </c>
      <c r="F1184" s="55">
        <v>318237</v>
      </c>
      <c r="G1184" s="56" t="str">
        <f>VLOOKUP(C1184,clientes!$C$3:$D$60,2,FALSE)</f>
        <v>BRENNTAG</v>
      </c>
    </row>
    <row r="1185" spans="1:7" x14ac:dyDescent="0.25">
      <c r="A1185">
        <v>2023</v>
      </c>
      <c r="B1185" t="s">
        <v>142</v>
      </c>
      <c r="C1185" s="56" t="s">
        <v>178</v>
      </c>
      <c r="D1185" t="s">
        <v>115</v>
      </c>
      <c r="E1185" t="str">
        <f>VLOOKUP(D1185,'Lista de Produtos CLASSIFICAÇÃO'!$A$103:$B$144,2,FALSE)</f>
        <v>Soda Caustica</v>
      </c>
      <c r="F1185" s="55">
        <v>1501777</v>
      </c>
      <c r="G1185" s="56" t="str">
        <f>VLOOKUP(C1185,clientes!$C$3:$D$60,2,FALSE)</f>
        <v>OLIN BLUE CUBE</v>
      </c>
    </row>
    <row r="1186" spans="1:7" x14ac:dyDescent="0.25">
      <c r="A1186">
        <v>2023</v>
      </c>
      <c r="B1186" t="s">
        <v>142</v>
      </c>
      <c r="C1186" s="56" t="s">
        <v>179</v>
      </c>
      <c r="D1186" t="s">
        <v>26</v>
      </c>
      <c r="E1186" t="str">
        <f>VLOOKUP(D1186,'Lista de Produtos CLASSIFICAÇÃO'!$A$103:$B$144,2,FALSE)</f>
        <v>Biocombustíveis</v>
      </c>
      <c r="F1186" s="55">
        <v>325050</v>
      </c>
      <c r="G1186" s="56" t="str">
        <f>VLOOKUP(C1186,clientes!$C$3:$D$60,2,FALSE)</f>
        <v>BSBIOS</v>
      </c>
    </row>
    <row r="1187" spans="1:7" x14ac:dyDescent="0.25">
      <c r="A1187">
        <v>2023</v>
      </c>
      <c r="B1187" t="s">
        <v>142</v>
      </c>
      <c r="C1187" s="56" t="s">
        <v>180</v>
      </c>
      <c r="D1187" t="s">
        <v>30</v>
      </c>
      <c r="E1187" t="str">
        <f>VLOOKUP(D1187,'Lista de Produtos CLASSIFICAÇÃO'!$A$103:$B$144,2,FALSE)</f>
        <v>Outros</v>
      </c>
      <c r="F1187" s="55">
        <v>187972</v>
      </c>
      <c r="G1187" s="56" t="str">
        <f>VLOOKUP(C1187,clientes!$C$3:$D$60,2,FALSE)</f>
        <v>TRICHEM</v>
      </c>
    </row>
    <row r="1188" spans="1:7" x14ac:dyDescent="0.25">
      <c r="A1188">
        <v>2023</v>
      </c>
      <c r="B1188" t="s">
        <v>142</v>
      </c>
      <c r="C1188" s="56" t="s">
        <v>181</v>
      </c>
      <c r="D1188" t="s">
        <v>123</v>
      </c>
      <c r="E1188" t="str">
        <f>VLOOKUP(D1188,'Lista de Produtos CLASSIFICAÇÃO'!$A$103:$B$144,2,FALSE)</f>
        <v>Aquecidos</v>
      </c>
      <c r="F1188" s="55">
        <v>249297</v>
      </c>
      <c r="G1188" s="56" t="str">
        <f>VLOOKUP(C1188,clientes!$C$3:$D$60,2,FALSE)</f>
        <v>COAMO</v>
      </c>
    </row>
    <row r="1189" spans="1:7" x14ac:dyDescent="0.25">
      <c r="A1189">
        <v>2023</v>
      </c>
      <c r="B1189" t="s">
        <v>142</v>
      </c>
      <c r="C1189" s="56" t="s">
        <v>182</v>
      </c>
      <c r="D1189" t="s">
        <v>120</v>
      </c>
      <c r="E1189" t="str">
        <f>VLOOKUP(D1189,'Lista de Produtos CLASSIFICAÇÃO'!$A$103:$B$144,2,FALSE)</f>
        <v>Derivados</v>
      </c>
      <c r="F1189" s="55">
        <v>676544</v>
      </c>
      <c r="G1189" s="56" t="str">
        <f>VLOOKUP(C1189,clientes!$C$3:$D$60,2,FALSE)</f>
        <v>ATEM</v>
      </c>
    </row>
    <row r="1190" spans="1:7" x14ac:dyDescent="0.25">
      <c r="A1190" s="10">
        <v>2024</v>
      </c>
      <c r="B1190" s="10" t="s">
        <v>143</v>
      </c>
      <c r="C1190" s="10" t="s">
        <v>155</v>
      </c>
      <c r="D1190" s="10" t="s">
        <v>16</v>
      </c>
      <c r="E1190" t="str">
        <f>VLOOKUP(D1190,'Lista de Produtos CLASSIFICAÇÃO'!$A$103:$B$144,2,FALSE)</f>
        <v>Outros</v>
      </c>
      <c r="F1190" s="53">
        <v>886810</v>
      </c>
      <c r="G1190" s="56" t="str">
        <f>VLOOKUP(C1190,clientes!$C$3:$D$60,2,FALSE)</f>
        <v>ADISSEO</v>
      </c>
    </row>
    <row r="1191" spans="1:7" x14ac:dyDescent="0.25">
      <c r="A1191" s="10">
        <v>2024</v>
      </c>
      <c r="B1191" s="10" t="s">
        <v>143</v>
      </c>
      <c r="C1191" s="10" t="s">
        <v>156</v>
      </c>
      <c r="D1191" s="10" t="s">
        <v>123</v>
      </c>
      <c r="E1191" t="str">
        <f>VLOOKUP(D1191,'Lista de Produtos CLASSIFICAÇÃO'!$A$103:$B$144,2,FALSE)</f>
        <v>Aquecidos</v>
      </c>
      <c r="F1191" s="53">
        <v>377129</v>
      </c>
      <c r="G1191" s="56" t="str">
        <f>VLOOKUP(C1191,clientes!$C$3:$D$60,2,FALSE)</f>
        <v>BUNGE</v>
      </c>
    </row>
    <row r="1192" spans="1:7" x14ac:dyDescent="0.25">
      <c r="A1192" s="10">
        <v>2024</v>
      </c>
      <c r="B1192" s="10" t="s">
        <v>143</v>
      </c>
      <c r="C1192" s="10" t="s">
        <v>157</v>
      </c>
      <c r="D1192" s="10" t="s">
        <v>122</v>
      </c>
      <c r="E1192" t="str">
        <f>VLOOKUP(D1192,'Lista de Produtos CLASSIFICAÇÃO'!$A$103:$B$144,2,FALSE)</f>
        <v>Óleo Vegetal</v>
      </c>
      <c r="F1192" s="53">
        <v>187113</v>
      </c>
      <c r="G1192" s="56" t="str">
        <f>VLOOKUP(C1192,clientes!$C$3:$D$60,2,FALSE)</f>
        <v>ADM</v>
      </c>
    </row>
    <row r="1193" spans="1:7" x14ac:dyDescent="0.25">
      <c r="A1193" s="10">
        <v>2024</v>
      </c>
      <c r="B1193" s="10" t="s">
        <v>143</v>
      </c>
      <c r="C1193" s="10" t="s">
        <v>158</v>
      </c>
      <c r="D1193" s="10" t="s">
        <v>120</v>
      </c>
      <c r="E1193" t="str">
        <f>VLOOKUP(D1193,'Lista de Produtos CLASSIFICAÇÃO'!$A$103:$B$144,2,FALSE)</f>
        <v>Derivados</v>
      </c>
      <c r="F1193" s="53">
        <v>7226175</v>
      </c>
      <c r="G1193" s="56" t="str">
        <f>VLOOKUP(C1193,clientes!$C$3:$D$60,2,FALSE)</f>
        <v>IPIRANGA</v>
      </c>
    </row>
    <row r="1194" spans="1:7" x14ac:dyDescent="0.25">
      <c r="A1194" s="10">
        <v>2024</v>
      </c>
      <c r="B1194" s="10" t="s">
        <v>143</v>
      </c>
      <c r="C1194" s="10" t="s">
        <v>159</v>
      </c>
      <c r="D1194" s="10" t="s">
        <v>120</v>
      </c>
      <c r="E1194" t="str">
        <f>VLOOKUP(D1194,'Lista de Produtos CLASSIFICAÇÃO'!$A$103:$B$144,2,FALSE)</f>
        <v>Derivados</v>
      </c>
      <c r="F1194" s="53">
        <v>2968315</v>
      </c>
      <c r="G1194" s="56" t="str">
        <f>VLOOKUP(C1194,clientes!$C$3:$D$60,2,FALSE)</f>
        <v>RAIZEN</v>
      </c>
    </row>
    <row r="1195" spans="1:7" x14ac:dyDescent="0.25">
      <c r="A1195" s="10">
        <v>2024</v>
      </c>
      <c r="B1195" s="10" t="s">
        <v>143</v>
      </c>
      <c r="C1195" s="10" t="s">
        <v>160</v>
      </c>
      <c r="D1195" s="10" t="s">
        <v>120</v>
      </c>
      <c r="E1195" t="str">
        <f>VLOOKUP(D1195,'Lista de Produtos CLASSIFICAÇÃO'!$A$103:$B$144,2,FALSE)</f>
        <v>Derivados</v>
      </c>
      <c r="F1195" s="53">
        <v>1811877</v>
      </c>
      <c r="G1195" s="56" t="str">
        <f>VLOOKUP(C1195,clientes!$C$3:$D$60,2,FALSE)</f>
        <v>VIBRA</v>
      </c>
    </row>
    <row r="1196" spans="1:7" x14ac:dyDescent="0.25">
      <c r="A1196" s="10">
        <v>2024</v>
      </c>
      <c r="B1196" s="10" t="s">
        <v>143</v>
      </c>
      <c r="C1196" s="10" t="s">
        <v>161</v>
      </c>
      <c r="D1196" s="10" t="s">
        <v>120</v>
      </c>
      <c r="E1196" t="str">
        <f>VLOOKUP(D1196,'Lista de Produtos CLASSIFICAÇÃO'!$A$103:$B$144,2,FALSE)</f>
        <v>Derivados</v>
      </c>
      <c r="F1196" s="53">
        <v>3650396</v>
      </c>
      <c r="G1196" s="56" t="str">
        <f>VLOOKUP(C1196,clientes!$C$3:$D$60,2,FALSE)</f>
        <v>SUL PLATA</v>
      </c>
    </row>
    <row r="1197" spans="1:7" x14ac:dyDescent="0.25">
      <c r="A1197" s="10">
        <v>2024</v>
      </c>
      <c r="B1197" s="10" t="s">
        <v>143</v>
      </c>
      <c r="C1197" s="10" t="s">
        <v>162</v>
      </c>
      <c r="D1197" s="10" t="s">
        <v>115</v>
      </c>
      <c r="E1197" t="str">
        <f>VLOOKUP(D1197,'Lista de Produtos CLASSIFICAÇÃO'!$A$103:$B$144,2,FALSE)</f>
        <v>Soda Caustica</v>
      </c>
      <c r="F1197" s="53">
        <v>179417</v>
      </c>
      <c r="G1197" s="56" t="str">
        <f>VLOOKUP(C1197,clientes!$C$3:$D$60,2,FALSE)</f>
        <v>JBS</v>
      </c>
    </row>
    <row r="1198" spans="1:7" x14ac:dyDescent="0.25">
      <c r="A1198" s="10">
        <v>2024</v>
      </c>
      <c r="B1198" s="10" t="s">
        <v>143</v>
      </c>
      <c r="C1198" s="10" t="s">
        <v>163</v>
      </c>
      <c r="D1198" s="10" t="s">
        <v>115</v>
      </c>
      <c r="E1198" t="str">
        <f>VLOOKUP(D1198,'Lista de Produtos CLASSIFICAÇÃO'!$A$103:$B$144,2,FALSE)</f>
        <v>Soda Caustica</v>
      </c>
      <c r="F1198" s="53">
        <v>396611</v>
      </c>
      <c r="G1198" s="56" t="str">
        <f>VLOOKUP(C1198,clientes!$C$3:$D$60,2,FALSE)</f>
        <v>TRICON ENERGY</v>
      </c>
    </row>
    <row r="1199" spans="1:7" x14ac:dyDescent="0.25">
      <c r="A1199" s="10">
        <v>2024</v>
      </c>
      <c r="B1199" s="10" t="s">
        <v>143</v>
      </c>
      <c r="C1199" s="10" t="s">
        <v>164</v>
      </c>
      <c r="D1199" s="10" t="s">
        <v>115</v>
      </c>
      <c r="E1199" t="str">
        <f>VLOOKUP(D1199,'Lista de Produtos CLASSIFICAÇÃO'!$A$103:$B$144,2,FALSE)</f>
        <v>Soda Caustica</v>
      </c>
      <c r="F1199" s="53">
        <v>273415</v>
      </c>
      <c r="G1199" s="56" t="str">
        <f>VLOOKUP(C1199,clientes!$C$3:$D$60,2,FALSE)</f>
        <v>BRASKEM</v>
      </c>
    </row>
    <row r="1200" spans="1:7" x14ac:dyDescent="0.25">
      <c r="A1200" s="10">
        <v>2024</v>
      </c>
      <c r="B1200" s="10" t="s">
        <v>143</v>
      </c>
      <c r="C1200" s="10" t="s">
        <v>165</v>
      </c>
      <c r="D1200" s="10" t="s">
        <v>123</v>
      </c>
      <c r="E1200" t="str">
        <f>VLOOKUP(D1200,'Lista de Produtos CLASSIFICAÇÃO'!$A$103:$B$144,2,FALSE)</f>
        <v>Aquecidos</v>
      </c>
      <c r="F1200" s="53">
        <v>944286</v>
      </c>
      <c r="G1200" s="56" t="str">
        <f>VLOOKUP(C1200,clientes!$C$3:$D$60,2,FALSE)</f>
        <v>BRF</v>
      </c>
    </row>
    <row r="1201" spans="1:7" x14ac:dyDescent="0.25">
      <c r="A1201" s="10">
        <v>2024</v>
      </c>
      <c r="B1201" s="10" t="s">
        <v>143</v>
      </c>
      <c r="C1201" s="10" t="s">
        <v>162</v>
      </c>
      <c r="D1201" s="10" t="s">
        <v>123</v>
      </c>
      <c r="E1201" t="str">
        <f>VLOOKUP(D1201,'Lista de Produtos CLASSIFICAÇÃO'!$A$103:$B$144,2,FALSE)</f>
        <v>Aquecidos</v>
      </c>
      <c r="F1201" s="53">
        <v>355713</v>
      </c>
      <c r="G1201" s="56" t="str">
        <f>VLOOKUP(C1201,clientes!$C$3:$D$60,2,FALSE)</f>
        <v>JBS</v>
      </c>
    </row>
    <row r="1202" spans="1:7" x14ac:dyDescent="0.25">
      <c r="A1202" s="10">
        <v>2024</v>
      </c>
      <c r="B1202" s="10" t="s">
        <v>143</v>
      </c>
      <c r="C1202" s="10" t="s">
        <v>166</v>
      </c>
      <c r="D1202" s="10" t="s">
        <v>123</v>
      </c>
      <c r="E1202" t="str">
        <f>VLOOKUP(D1202,'Lista de Produtos CLASSIFICAÇÃO'!$A$103:$B$144,2,FALSE)</f>
        <v>Aquecidos</v>
      </c>
      <c r="F1202" s="53">
        <v>521117</v>
      </c>
      <c r="G1202" s="56" t="str">
        <f>VLOOKUP(C1202,clientes!$C$3:$D$60,2,FALSE)</f>
        <v>CARGILL</v>
      </c>
    </row>
    <row r="1203" spans="1:7" x14ac:dyDescent="0.25">
      <c r="A1203" s="10">
        <v>2024</v>
      </c>
      <c r="B1203" s="10" t="s">
        <v>143</v>
      </c>
      <c r="C1203" s="10" t="s">
        <v>167</v>
      </c>
      <c r="D1203" s="10" t="s">
        <v>122</v>
      </c>
      <c r="E1203" t="str">
        <f>VLOOKUP(D1203,'Lista de Produtos CLASSIFICAÇÃO'!$A$103:$B$144,2,FALSE)</f>
        <v>Óleo Vegetal</v>
      </c>
      <c r="F1203" s="53">
        <v>5368174</v>
      </c>
      <c r="G1203" s="56" t="str">
        <f>VLOOKUP(C1203,clientes!$C$3:$D$60,2,FALSE)</f>
        <v>POOL</v>
      </c>
    </row>
    <row r="1204" spans="1:7" x14ac:dyDescent="0.25">
      <c r="A1204" s="10">
        <v>2024</v>
      </c>
      <c r="B1204" s="10" t="s">
        <v>143</v>
      </c>
      <c r="C1204" s="10" t="s">
        <v>168</v>
      </c>
      <c r="D1204" s="10" t="s">
        <v>122</v>
      </c>
      <c r="E1204" t="str">
        <f>VLOOKUP(D1204,'Lista de Produtos CLASSIFICAÇÃO'!$A$103:$B$144,2,FALSE)</f>
        <v>Óleo Vegetal</v>
      </c>
      <c r="F1204" s="53">
        <v>0</v>
      </c>
      <c r="G1204" s="56" t="str">
        <f>VLOOKUP(C1204,clientes!$C$3:$D$60,2,FALSE)</f>
        <v>POOL EXCEDENTE</v>
      </c>
    </row>
    <row r="1205" spans="1:7" x14ac:dyDescent="0.25">
      <c r="A1205" s="10">
        <v>2024</v>
      </c>
      <c r="B1205" s="10" t="s">
        <v>143</v>
      </c>
      <c r="C1205" s="10" t="s">
        <v>169</v>
      </c>
      <c r="D1205" s="10" t="s">
        <v>22</v>
      </c>
      <c r="E1205" t="str">
        <f>VLOOKUP(D1205,'Lista de Produtos CLASSIFICAÇÃO'!$A$103:$B$144,2,FALSE)</f>
        <v>Metanol</v>
      </c>
      <c r="F1205" s="53">
        <v>5852002</v>
      </c>
      <c r="G1205" s="56" t="str">
        <f>VLOOKUP(C1205,clientes!$C$3:$D$60,2,FALSE)</f>
        <v>METHANEX</v>
      </c>
    </row>
    <row r="1206" spans="1:7" x14ac:dyDescent="0.25">
      <c r="A1206" s="10">
        <v>2024</v>
      </c>
      <c r="B1206" s="10" t="s">
        <v>143</v>
      </c>
      <c r="C1206" s="10" t="s">
        <v>170</v>
      </c>
      <c r="D1206" s="10" t="s">
        <v>22</v>
      </c>
      <c r="E1206" t="str">
        <f>VLOOKUP(D1206,'Lista de Produtos CLASSIFICAÇÃO'!$A$103:$B$144,2,FALSE)</f>
        <v>Metanol</v>
      </c>
      <c r="F1206" s="53">
        <v>3046681</v>
      </c>
      <c r="G1206" s="56" t="str">
        <f>VLOOKUP(C1206,clientes!$C$3:$D$60,2,FALSE)</f>
        <v>MITSUBISHI</v>
      </c>
    </row>
    <row r="1207" spans="1:7" x14ac:dyDescent="0.25">
      <c r="A1207" s="10">
        <v>2024</v>
      </c>
      <c r="B1207" s="10" t="s">
        <v>143</v>
      </c>
      <c r="C1207" s="10" t="s">
        <v>171</v>
      </c>
      <c r="D1207" s="10" t="s">
        <v>22</v>
      </c>
      <c r="E1207" t="str">
        <f>VLOOKUP(D1207,'Lista de Produtos CLASSIFICAÇÃO'!$A$103:$B$144,2,FALSE)</f>
        <v>Metanol</v>
      </c>
      <c r="F1207" s="53">
        <v>5179714</v>
      </c>
      <c r="G1207" s="56" t="str">
        <f>VLOOKUP(C1207,clientes!$C$3:$D$60,2,FALSE)</f>
        <v>VALENZ</v>
      </c>
    </row>
    <row r="1208" spans="1:7" x14ac:dyDescent="0.25">
      <c r="A1208" s="10">
        <v>2024</v>
      </c>
      <c r="B1208" s="10" t="s">
        <v>143</v>
      </c>
      <c r="C1208" s="10" t="s">
        <v>172</v>
      </c>
      <c r="D1208" s="10" t="s">
        <v>124</v>
      </c>
      <c r="E1208" t="str">
        <f>VLOOKUP(D1208,'Lista de Produtos CLASSIFICAÇÃO'!$A$103:$B$144,2,FALSE)</f>
        <v>Outros</v>
      </c>
      <c r="F1208" s="53">
        <v>406450</v>
      </c>
      <c r="G1208" s="56" t="str">
        <f>VLOOKUP(C1208,clientes!$C$3:$D$60,2,FALSE)</f>
        <v>EVONIK</v>
      </c>
    </row>
    <row r="1209" spans="1:7" x14ac:dyDescent="0.25">
      <c r="A1209" s="10">
        <v>2024</v>
      </c>
      <c r="B1209" s="10" t="s">
        <v>143</v>
      </c>
      <c r="C1209" s="10" t="s">
        <v>173</v>
      </c>
      <c r="D1209" s="10" t="s">
        <v>22</v>
      </c>
      <c r="E1209" t="str">
        <f>VLOOKUP(D1209,'Lista de Produtos CLASSIFICAÇÃO'!$A$103:$B$144,2,FALSE)</f>
        <v>Metanol</v>
      </c>
      <c r="F1209" s="53">
        <v>490592</v>
      </c>
      <c r="G1209" s="56" t="str">
        <f>VLOOKUP(C1209,clientes!$C$3:$D$60,2,FALSE)</f>
        <v>YPF SOCIEDAD ANONIMA</v>
      </c>
    </row>
    <row r="1210" spans="1:7" x14ac:dyDescent="0.25">
      <c r="A1210" s="10">
        <v>2024</v>
      </c>
      <c r="B1210" s="10" t="s">
        <v>143</v>
      </c>
      <c r="C1210" s="10" t="s">
        <v>174</v>
      </c>
      <c r="D1210" s="10" t="s">
        <v>123</v>
      </c>
      <c r="E1210" t="str">
        <f>VLOOKUP(D1210,'Lista de Produtos CLASSIFICAÇÃO'!$A$103:$B$144,2,FALSE)</f>
        <v>Aquecidos</v>
      </c>
      <c r="F1210" s="53">
        <v>315191</v>
      </c>
      <c r="G1210" s="56" t="str">
        <f>VLOOKUP(C1210,clientes!$C$3:$D$60,2,FALSE)</f>
        <v>CELENA</v>
      </c>
    </row>
    <row r="1211" spans="1:7" x14ac:dyDescent="0.25">
      <c r="A1211" s="10">
        <v>2024</v>
      </c>
      <c r="B1211" s="10" t="s">
        <v>143</v>
      </c>
      <c r="C1211" s="10" t="s">
        <v>175</v>
      </c>
      <c r="D1211" s="10" t="s">
        <v>123</v>
      </c>
      <c r="E1211" t="str">
        <f>VLOOKUP(D1211,'Lista de Produtos CLASSIFICAÇÃO'!$A$103:$B$144,2,FALSE)</f>
        <v>Aquecidos</v>
      </c>
      <c r="F1211" s="53">
        <v>582352</v>
      </c>
      <c r="G1211" s="56" t="str">
        <f>VLOOKUP(C1211,clientes!$C$3:$D$60,2,FALSE)</f>
        <v>AAK DO BRASIL</v>
      </c>
    </row>
    <row r="1212" spans="1:7" x14ac:dyDescent="0.25">
      <c r="A1212" s="10">
        <v>2024</v>
      </c>
      <c r="B1212" s="10" t="s">
        <v>143</v>
      </c>
      <c r="C1212" s="10" t="s">
        <v>166</v>
      </c>
      <c r="D1212" s="10" t="s">
        <v>122</v>
      </c>
      <c r="E1212" t="str">
        <f>VLOOKUP(D1212,'Lista de Produtos CLASSIFICAÇÃO'!$A$103:$B$144,2,FALSE)</f>
        <v>Óleo Vegetal</v>
      </c>
      <c r="F1212" s="53">
        <v>234062</v>
      </c>
      <c r="G1212" s="56" t="str">
        <f>VLOOKUP(C1212,clientes!$C$3:$D$60,2,FALSE)</f>
        <v>CARGILL</v>
      </c>
    </row>
    <row r="1213" spans="1:7" x14ac:dyDescent="0.25">
      <c r="A1213" s="10">
        <v>2024</v>
      </c>
      <c r="B1213" s="10" t="s">
        <v>143</v>
      </c>
      <c r="C1213" s="10" t="s">
        <v>176</v>
      </c>
      <c r="D1213" s="10" t="s">
        <v>123</v>
      </c>
      <c r="E1213" t="str">
        <f>VLOOKUP(D1213,'Lista de Produtos CLASSIFICAÇÃO'!$A$103:$B$144,2,FALSE)</f>
        <v>Aquecidos</v>
      </c>
      <c r="F1213" s="53">
        <v>360148</v>
      </c>
      <c r="G1213" s="56" t="str">
        <f>VLOOKUP(C1213,clientes!$C$3:$D$60,2,FALSE)</f>
        <v>AGROPALMA</v>
      </c>
    </row>
    <row r="1214" spans="1:7" x14ac:dyDescent="0.25">
      <c r="A1214" s="10">
        <v>2024</v>
      </c>
      <c r="B1214" s="10" t="s">
        <v>143</v>
      </c>
      <c r="C1214" s="10" t="s">
        <v>177</v>
      </c>
      <c r="D1214" s="10" t="s">
        <v>115</v>
      </c>
      <c r="E1214" t="str">
        <f>VLOOKUP(D1214,'Lista de Produtos CLASSIFICAÇÃO'!$A$103:$B$144,2,FALSE)</f>
        <v>Soda Caustica</v>
      </c>
      <c r="F1214" s="53">
        <v>426494</v>
      </c>
      <c r="G1214" s="56" t="str">
        <f>VLOOKUP(C1214,clientes!$C$3:$D$60,2,FALSE)</f>
        <v>BRENNTAG</v>
      </c>
    </row>
    <row r="1215" spans="1:7" x14ac:dyDescent="0.25">
      <c r="A1215" s="10">
        <v>2024</v>
      </c>
      <c r="B1215" s="10" t="s">
        <v>143</v>
      </c>
      <c r="C1215" s="10" t="s">
        <v>178</v>
      </c>
      <c r="D1215" s="10" t="s">
        <v>115</v>
      </c>
      <c r="E1215" t="str">
        <f>VLOOKUP(D1215,'Lista de Produtos CLASSIFICAÇÃO'!$A$103:$B$144,2,FALSE)</f>
        <v>Soda Caustica</v>
      </c>
      <c r="F1215" s="53">
        <v>1456764</v>
      </c>
      <c r="G1215" s="56" t="str">
        <f>VLOOKUP(C1215,clientes!$C$3:$D$60,2,FALSE)</f>
        <v>OLIN BLUE CUBE</v>
      </c>
    </row>
    <row r="1216" spans="1:7" x14ac:dyDescent="0.25">
      <c r="A1216" s="10">
        <v>2024</v>
      </c>
      <c r="B1216" s="10" t="s">
        <v>143</v>
      </c>
      <c r="C1216" s="10" t="s">
        <v>179</v>
      </c>
      <c r="D1216" s="10" t="s">
        <v>26</v>
      </c>
      <c r="E1216" t="str">
        <f>VLOOKUP(D1216,'Lista de Produtos CLASSIFICAÇÃO'!$A$103:$B$144,2,FALSE)</f>
        <v>Biocombustíveis</v>
      </c>
      <c r="F1216" s="53">
        <v>467791</v>
      </c>
      <c r="G1216" s="56" t="str">
        <f>VLOOKUP(C1216,clientes!$C$3:$D$60,2,FALSE)</f>
        <v>BSBIOS</v>
      </c>
    </row>
    <row r="1217" spans="1:7" x14ac:dyDescent="0.25">
      <c r="A1217" s="10">
        <v>2024</v>
      </c>
      <c r="B1217" s="10" t="s">
        <v>143</v>
      </c>
      <c r="C1217" s="10" t="s">
        <v>180</v>
      </c>
      <c r="D1217" s="10" t="s">
        <v>30</v>
      </c>
      <c r="E1217" t="str">
        <f>VLOOKUP(D1217,'Lista de Produtos CLASSIFICAÇÃO'!$A$103:$B$144,2,FALSE)</f>
        <v>Outros</v>
      </c>
      <c r="F1217" s="53">
        <v>192330</v>
      </c>
      <c r="G1217" s="56" t="str">
        <f>VLOOKUP(C1217,clientes!$C$3:$D$60,2,FALSE)</f>
        <v>TRICHEM</v>
      </c>
    </row>
    <row r="1218" spans="1:7" x14ac:dyDescent="0.25">
      <c r="A1218" s="10">
        <v>2024</v>
      </c>
      <c r="B1218" s="10" t="s">
        <v>143</v>
      </c>
      <c r="C1218" s="10" t="s">
        <v>181</v>
      </c>
      <c r="D1218" s="10" t="s">
        <v>123</v>
      </c>
      <c r="E1218" t="str">
        <f>VLOOKUP(D1218,'Lista de Produtos CLASSIFICAÇÃO'!$A$103:$B$144,2,FALSE)</f>
        <v>Aquecidos</v>
      </c>
      <c r="F1218" s="53">
        <v>186529</v>
      </c>
      <c r="G1218" s="56" t="str">
        <f>VLOOKUP(C1218,clientes!$C$3:$D$60,2,FALSE)</f>
        <v>COAMO</v>
      </c>
    </row>
    <row r="1219" spans="1:7" x14ac:dyDescent="0.25">
      <c r="A1219" s="10">
        <v>2024</v>
      </c>
      <c r="B1219" s="10" t="s">
        <v>143</v>
      </c>
      <c r="C1219" s="10" t="s">
        <v>182</v>
      </c>
      <c r="D1219" s="10" t="s">
        <v>120</v>
      </c>
      <c r="E1219" t="str">
        <f>VLOOKUP(D1219,'Lista de Produtos CLASSIFICAÇÃO'!$A$103:$B$144,2,FALSE)</f>
        <v>Derivados</v>
      </c>
      <c r="F1219" s="53">
        <v>708585</v>
      </c>
      <c r="G1219" s="56" t="str">
        <f>VLOOKUP(C1219,clientes!$C$3:$D$60,2,FALSE)</f>
        <v>ATEM</v>
      </c>
    </row>
    <row r="1220" spans="1:7" x14ac:dyDescent="0.25">
      <c r="A1220" s="10">
        <v>2024</v>
      </c>
      <c r="B1220" s="10" t="s">
        <v>143</v>
      </c>
      <c r="C1220" s="10" t="s">
        <v>174</v>
      </c>
      <c r="D1220" s="10" t="s">
        <v>123</v>
      </c>
      <c r="E1220" t="str">
        <f>VLOOKUP(D1220,'Lista de Produtos CLASSIFICAÇÃO'!$A$103:$B$144,2,FALSE)</f>
        <v>Aquecidos</v>
      </c>
      <c r="F1220" s="53">
        <v>1607710</v>
      </c>
      <c r="G1220" s="56" t="str">
        <f>VLOOKUP(C1220,clientes!$C$3:$D$60,2,FALSE)</f>
        <v>CELENA</v>
      </c>
    </row>
    <row r="1221" spans="1:7" x14ac:dyDescent="0.25">
      <c r="A1221" s="10">
        <v>2024</v>
      </c>
      <c r="B1221" s="10" t="s">
        <v>143</v>
      </c>
      <c r="C1221" s="10" t="s">
        <v>173</v>
      </c>
      <c r="D1221" s="10" t="s">
        <v>183</v>
      </c>
      <c r="E1221" t="str">
        <f>VLOOKUP(D1221,'Lista de Produtos CLASSIFICAÇÃO'!$A$103:$B$144,2,FALSE)</f>
        <v>Outros</v>
      </c>
      <c r="F1221" s="53">
        <v>159474</v>
      </c>
      <c r="G1221" s="56" t="str">
        <f>VLOOKUP(C1221,clientes!$C$3:$D$60,2,FALSE)</f>
        <v>YPF SOCIEDAD ANONIMA</v>
      </c>
    </row>
    <row r="1222" spans="1:7" x14ac:dyDescent="0.25">
      <c r="A1222" s="10">
        <v>2024</v>
      </c>
      <c r="B1222" s="10" t="s">
        <v>143</v>
      </c>
      <c r="C1222" s="10" t="s">
        <v>184</v>
      </c>
      <c r="D1222" s="10" t="s">
        <v>122</v>
      </c>
      <c r="E1222" t="str">
        <f>VLOOKUP(D1222,'Lista de Produtos CLASSIFICAÇÃO'!$A$103:$B$144,2,FALSE)</f>
        <v>Óleo Vegetal</v>
      </c>
      <c r="F1222" s="53">
        <v>246808</v>
      </c>
      <c r="G1222" s="56" t="str">
        <f>VLOOKUP(C1222,clientes!$C$3:$D$60,2,FALSE)</f>
        <v>INGREDION</v>
      </c>
    </row>
    <row r="1223" spans="1:7" x14ac:dyDescent="0.25">
      <c r="A1223" s="10">
        <v>2024</v>
      </c>
      <c r="B1223" s="10" t="s">
        <v>143</v>
      </c>
      <c r="C1223" s="10" t="s">
        <v>185</v>
      </c>
      <c r="D1223" s="10" t="s">
        <v>120</v>
      </c>
      <c r="E1223" t="str">
        <f>VLOOKUP(D1223,'Lista de Produtos CLASSIFICAÇÃO'!$A$103:$B$144,2,FALSE)</f>
        <v>Derivados</v>
      </c>
      <c r="F1223" s="53">
        <v>1214701</v>
      </c>
      <c r="G1223" s="56" t="str">
        <f>VLOOKUP(C1223,clientes!$C$3:$D$60,2,FALSE)</f>
        <v>CIAPETRO</v>
      </c>
    </row>
    <row r="1224" spans="1:7" x14ac:dyDescent="0.25">
      <c r="A1224" s="10">
        <v>2024</v>
      </c>
      <c r="B1224" s="10" t="s">
        <v>143</v>
      </c>
      <c r="C1224" s="10" t="s">
        <v>186</v>
      </c>
      <c r="D1224" s="10" t="s">
        <v>22</v>
      </c>
      <c r="E1224" t="str">
        <f>VLOOKUP(D1224,'Lista de Produtos CLASSIFICAÇÃO'!$A$103:$B$144,2,FALSE)</f>
        <v>Metanol</v>
      </c>
      <c r="F1224" s="53">
        <v>351392</v>
      </c>
      <c r="G1224" s="56" t="str">
        <f>VLOOKUP(C1224,clientes!$C$3:$D$60,2,FALSE)</f>
        <v>OQ TRADING</v>
      </c>
    </row>
    <row r="1225" spans="1:7" x14ac:dyDescent="0.25">
      <c r="A1225" s="10">
        <v>2024</v>
      </c>
      <c r="B1225" s="10" t="s">
        <v>143</v>
      </c>
      <c r="C1225" s="10" t="s">
        <v>187</v>
      </c>
      <c r="D1225" s="10" t="s">
        <v>121</v>
      </c>
      <c r="E1225" t="str">
        <f>VLOOKUP(D1225,'Lista de Produtos CLASSIFICAÇÃO'!$A$103:$B$144,2,FALSE)</f>
        <v>Biocombustíveis</v>
      </c>
      <c r="F1225" s="53">
        <v>850000</v>
      </c>
      <c r="G1225" s="56" t="str">
        <f>VLOOKUP(C1225,clientes!$C$3:$D$60,2,FALSE)</f>
        <v>TEREOS / INPASA / GLENCORE / FS</v>
      </c>
    </row>
    <row r="1226" spans="1:7" x14ac:dyDescent="0.25">
      <c r="A1226" s="10">
        <v>2024</v>
      </c>
      <c r="B1226" s="10" t="s">
        <v>143</v>
      </c>
      <c r="C1226" s="10" t="s">
        <v>188</v>
      </c>
      <c r="D1226" s="10" t="s">
        <v>123</v>
      </c>
      <c r="E1226" t="str">
        <f>VLOOKUP(D1226,'Lista de Produtos CLASSIFICAÇÃO'!$A$103:$B$144,2,FALSE)</f>
        <v>Aquecidos</v>
      </c>
      <c r="F1226" s="53">
        <v>535273</v>
      </c>
      <c r="G1226" s="56" t="str">
        <f>VLOOKUP(C1226,clientes!$C$3:$D$60,2,FALSE)</f>
        <v>ARES MERCHANTS PTE LIMITE</v>
      </c>
    </row>
    <row r="1227" spans="1:7" x14ac:dyDescent="0.25">
      <c r="A1227" s="10">
        <v>2024</v>
      </c>
      <c r="B1227" s="10" t="s">
        <v>143</v>
      </c>
      <c r="C1227" s="10" t="s">
        <v>18</v>
      </c>
      <c r="D1227" s="10" t="s">
        <v>17</v>
      </c>
      <c r="E1227" t="str">
        <f>VLOOKUP(D1227,'Lista de Produtos CLASSIFICAÇÃO'!$A$103:$B$144,2,FALSE)</f>
        <v>Acostagem</v>
      </c>
      <c r="F1227" s="53">
        <v>449459.81999999995</v>
      </c>
      <c r="G1227" s="56" t="str">
        <f>VLOOKUP(C1227,clientes!$C$3:$D$60,2,FALSE)</f>
        <v>ACOSTAGEM</v>
      </c>
    </row>
    <row r="1228" spans="1:7" x14ac:dyDescent="0.25">
      <c r="A1228" s="10">
        <v>2024</v>
      </c>
      <c r="B1228" s="10" t="s">
        <v>143</v>
      </c>
      <c r="C1228" s="10" t="s">
        <v>189</v>
      </c>
      <c r="D1228" s="10" t="s">
        <v>123</v>
      </c>
      <c r="E1228" t="str">
        <f>VLOOKUP(D1228,'Lista de Produtos CLASSIFICAÇÃO'!$A$103:$B$144,2,FALSE)</f>
        <v>Aquecidos</v>
      </c>
      <c r="F1228" s="53">
        <v>503774</v>
      </c>
      <c r="G1228" s="56" t="str">
        <f>VLOOKUP(C1228,clientes!$C$3:$D$60,2,FALSE)</f>
        <v>ICOF</v>
      </c>
    </row>
    <row r="1229" spans="1:7" x14ac:dyDescent="0.25">
      <c r="A1229" s="10">
        <v>2024</v>
      </c>
      <c r="B1229" s="10" t="s">
        <v>190</v>
      </c>
      <c r="C1229" s="10" t="s">
        <v>155</v>
      </c>
      <c r="D1229" s="10" t="s">
        <v>16</v>
      </c>
      <c r="E1229" t="str">
        <f>VLOOKUP(D1229,'Lista de Produtos CLASSIFICAÇÃO'!$A$103:$B$144,2,FALSE)</f>
        <v>Outros</v>
      </c>
      <c r="F1229" s="53">
        <v>886810</v>
      </c>
      <c r="G1229" s="56" t="str">
        <f>VLOOKUP(C1229,clientes!$C$3:$D$60,2,FALSE)</f>
        <v>ADISSEO</v>
      </c>
    </row>
    <row r="1230" spans="1:7" x14ac:dyDescent="0.25">
      <c r="A1230" s="10">
        <v>2024</v>
      </c>
      <c r="B1230" s="10" t="s">
        <v>190</v>
      </c>
      <c r="C1230" s="10" t="s">
        <v>156</v>
      </c>
      <c r="D1230" s="10" t="s">
        <v>123</v>
      </c>
      <c r="E1230" t="str">
        <f>VLOOKUP(D1230,'Lista de Produtos CLASSIFICAÇÃO'!$A$103:$B$144,2,FALSE)</f>
        <v>Aquecidos</v>
      </c>
      <c r="F1230" s="53">
        <v>377129</v>
      </c>
      <c r="G1230" s="56" t="str">
        <f>VLOOKUP(C1230,clientes!$C$3:$D$60,2,FALSE)</f>
        <v>BUNGE</v>
      </c>
    </row>
    <row r="1231" spans="1:7" x14ac:dyDescent="0.25">
      <c r="A1231" s="10">
        <v>2024</v>
      </c>
      <c r="B1231" s="10" t="s">
        <v>190</v>
      </c>
      <c r="C1231" s="10" t="s">
        <v>157</v>
      </c>
      <c r="D1231" s="10" t="s">
        <v>122</v>
      </c>
      <c r="E1231" t="str">
        <f>VLOOKUP(D1231,'Lista de Produtos CLASSIFICAÇÃO'!$A$103:$B$144,2,FALSE)</f>
        <v>Óleo Vegetal</v>
      </c>
      <c r="F1231" s="53">
        <v>187113</v>
      </c>
      <c r="G1231" s="56" t="str">
        <f>VLOOKUP(C1231,clientes!$C$3:$D$60,2,FALSE)</f>
        <v>ADM</v>
      </c>
    </row>
    <row r="1232" spans="1:7" x14ac:dyDescent="0.25">
      <c r="A1232" s="10">
        <v>2024</v>
      </c>
      <c r="B1232" s="10" t="s">
        <v>190</v>
      </c>
      <c r="C1232" s="10" t="s">
        <v>158</v>
      </c>
      <c r="D1232" s="10" t="s">
        <v>120</v>
      </c>
      <c r="E1232" t="str">
        <f>VLOOKUP(D1232,'Lista de Produtos CLASSIFICAÇÃO'!$A$103:$B$144,2,FALSE)</f>
        <v>Derivados</v>
      </c>
      <c r="F1232" s="53">
        <v>7226175</v>
      </c>
      <c r="G1232" s="56" t="str">
        <f>VLOOKUP(C1232,clientes!$C$3:$D$60,2,FALSE)</f>
        <v>IPIRANGA</v>
      </c>
    </row>
    <row r="1233" spans="1:7" x14ac:dyDescent="0.25">
      <c r="A1233" s="10">
        <v>2024</v>
      </c>
      <c r="B1233" s="10" t="s">
        <v>190</v>
      </c>
      <c r="C1233" s="10" t="s">
        <v>159</v>
      </c>
      <c r="D1233" s="10" t="s">
        <v>120</v>
      </c>
      <c r="E1233" t="str">
        <f>VLOOKUP(D1233,'Lista de Produtos CLASSIFICAÇÃO'!$A$103:$B$144,2,FALSE)</f>
        <v>Derivados</v>
      </c>
      <c r="F1233" s="53">
        <v>2968315</v>
      </c>
      <c r="G1233" s="56" t="str">
        <f>VLOOKUP(C1233,clientes!$C$3:$D$60,2,FALSE)</f>
        <v>RAIZEN</v>
      </c>
    </row>
    <row r="1234" spans="1:7" x14ac:dyDescent="0.25">
      <c r="A1234" s="10">
        <v>2024</v>
      </c>
      <c r="B1234" s="10" t="s">
        <v>190</v>
      </c>
      <c r="C1234" s="10" t="s">
        <v>160</v>
      </c>
      <c r="D1234" s="10" t="s">
        <v>120</v>
      </c>
      <c r="E1234" t="str">
        <f>VLOOKUP(D1234,'Lista de Produtos CLASSIFICAÇÃO'!$A$103:$B$144,2,FALSE)</f>
        <v>Derivados</v>
      </c>
      <c r="F1234" s="53">
        <v>1811877</v>
      </c>
      <c r="G1234" s="56" t="str">
        <f>VLOOKUP(C1234,clientes!$C$3:$D$60,2,FALSE)</f>
        <v>VIBRA</v>
      </c>
    </row>
    <row r="1235" spans="1:7" x14ac:dyDescent="0.25">
      <c r="A1235" s="10">
        <v>2024</v>
      </c>
      <c r="B1235" s="10" t="s">
        <v>190</v>
      </c>
      <c r="C1235" s="10" t="s">
        <v>161</v>
      </c>
      <c r="D1235" s="10" t="s">
        <v>120</v>
      </c>
      <c r="E1235" t="str">
        <f>VLOOKUP(D1235,'Lista de Produtos CLASSIFICAÇÃO'!$A$103:$B$144,2,FALSE)</f>
        <v>Derivados</v>
      </c>
      <c r="F1235" s="53">
        <v>3650396</v>
      </c>
      <c r="G1235" s="56" t="str">
        <f>VLOOKUP(C1235,clientes!$C$3:$D$60,2,FALSE)</f>
        <v>SUL PLATA</v>
      </c>
    </row>
    <row r="1236" spans="1:7" x14ac:dyDescent="0.25">
      <c r="A1236" s="10">
        <v>2024</v>
      </c>
      <c r="B1236" s="10" t="s">
        <v>190</v>
      </c>
      <c r="C1236" s="10" t="s">
        <v>162</v>
      </c>
      <c r="D1236" s="10" t="s">
        <v>115</v>
      </c>
      <c r="E1236" t="str">
        <f>VLOOKUP(D1236,'Lista de Produtos CLASSIFICAÇÃO'!$A$103:$B$144,2,FALSE)</f>
        <v>Soda Caustica</v>
      </c>
      <c r="F1236" s="53">
        <v>179417</v>
      </c>
      <c r="G1236" s="56" t="str">
        <f>VLOOKUP(C1236,clientes!$C$3:$D$60,2,FALSE)</f>
        <v>JBS</v>
      </c>
    </row>
    <row r="1237" spans="1:7" x14ac:dyDescent="0.25">
      <c r="A1237" s="10">
        <v>2024</v>
      </c>
      <c r="B1237" s="10" t="s">
        <v>190</v>
      </c>
      <c r="C1237" s="10" t="s">
        <v>163</v>
      </c>
      <c r="D1237" s="10" t="s">
        <v>115</v>
      </c>
      <c r="E1237" t="str">
        <f>VLOOKUP(D1237,'Lista de Produtos CLASSIFICAÇÃO'!$A$103:$B$144,2,FALSE)</f>
        <v>Soda Caustica</v>
      </c>
      <c r="F1237" s="53">
        <v>396611</v>
      </c>
      <c r="G1237" s="56" t="str">
        <f>VLOOKUP(C1237,clientes!$C$3:$D$60,2,FALSE)</f>
        <v>TRICON ENERGY</v>
      </c>
    </row>
    <row r="1238" spans="1:7" x14ac:dyDescent="0.25">
      <c r="A1238" s="10">
        <v>2024</v>
      </c>
      <c r="B1238" s="10" t="s">
        <v>190</v>
      </c>
      <c r="C1238" s="10" t="s">
        <v>164</v>
      </c>
      <c r="D1238" s="10" t="s">
        <v>115</v>
      </c>
      <c r="E1238" t="str">
        <f>VLOOKUP(D1238,'Lista de Produtos CLASSIFICAÇÃO'!$A$103:$B$144,2,FALSE)</f>
        <v>Soda Caustica</v>
      </c>
      <c r="F1238" s="53">
        <v>273415</v>
      </c>
      <c r="G1238" s="56" t="str">
        <f>VLOOKUP(C1238,clientes!$C$3:$D$60,2,FALSE)</f>
        <v>BRASKEM</v>
      </c>
    </row>
    <row r="1239" spans="1:7" x14ac:dyDescent="0.25">
      <c r="A1239" s="10">
        <v>2024</v>
      </c>
      <c r="B1239" s="10" t="s">
        <v>190</v>
      </c>
      <c r="C1239" s="10" t="s">
        <v>165</v>
      </c>
      <c r="D1239" s="10" t="s">
        <v>123</v>
      </c>
      <c r="E1239" t="str">
        <f>VLOOKUP(D1239,'Lista de Produtos CLASSIFICAÇÃO'!$A$103:$B$144,2,FALSE)</f>
        <v>Aquecidos</v>
      </c>
      <c r="F1239" s="53">
        <v>944286</v>
      </c>
      <c r="G1239" s="56" t="str">
        <f>VLOOKUP(C1239,clientes!$C$3:$D$60,2,FALSE)</f>
        <v>BRF</v>
      </c>
    </row>
    <row r="1240" spans="1:7" x14ac:dyDescent="0.25">
      <c r="A1240" s="10">
        <v>2024</v>
      </c>
      <c r="B1240" s="10" t="s">
        <v>190</v>
      </c>
      <c r="C1240" s="10" t="s">
        <v>162</v>
      </c>
      <c r="D1240" s="10" t="s">
        <v>123</v>
      </c>
      <c r="E1240" t="str">
        <f>VLOOKUP(D1240,'Lista de Produtos CLASSIFICAÇÃO'!$A$103:$B$144,2,FALSE)</f>
        <v>Aquecidos</v>
      </c>
      <c r="F1240" s="53">
        <v>355713</v>
      </c>
      <c r="G1240" s="56" t="str">
        <f>VLOOKUP(C1240,clientes!$C$3:$D$60,2,FALSE)</f>
        <v>JBS</v>
      </c>
    </row>
    <row r="1241" spans="1:7" x14ac:dyDescent="0.25">
      <c r="A1241" s="10">
        <v>2024</v>
      </c>
      <c r="B1241" s="10" t="s">
        <v>190</v>
      </c>
      <c r="C1241" s="10" t="s">
        <v>166</v>
      </c>
      <c r="D1241" s="10" t="s">
        <v>123</v>
      </c>
      <c r="E1241" t="str">
        <f>VLOOKUP(D1241,'Lista de Produtos CLASSIFICAÇÃO'!$A$103:$B$144,2,FALSE)</f>
        <v>Aquecidos</v>
      </c>
      <c r="F1241" s="53">
        <v>521117</v>
      </c>
      <c r="G1241" s="56" t="str">
        <f>VLOOKUP(C1241,clientes!$C$3:$D$60,2,FALSE)</f>
        <v>CARGILL</v>
      </c>
    </row>
    <row r="1242" spans="1:7" x14ac:dyDescent="0.25">
      <c r="A1242" s="10">
        <v>2024</v>
      </c>
      <c r="B1242" s="10" t="s">
        <v>190</v>
      </c>
      <c r="C1242" s="10" t="s">
        <v>167</v>
      </c>
      <c r="D1242" s="10" t="s">
        <v>122</v>
      </c>
      <c r="E1242" t="str">
        <f>VLOOKUP(D1242,'Lista de Produtos CLASSIFICAÇÃO'!$A$103:$B$144,2,FALSE)</f>
        <v>Óleo Vegetal</v>
      </c>
      <c r="F1242" s="53">
        <v>9343084</v>
      </c>
      <c r="G1242" s="56" t="str">
        <f>VLOOKUP(C1242,clientes!$C$3:$D$60,2,FALSE)</f>
        <v>POOL</v>
      </c>
    </row>
    <row r="1243" spans="1:7" x14ac:dyDescent="0.25">
      <c r="A1243" s="10">
        <v>2024</v>
      </c>
      <c r="B1243" s="10" t="s">
        <v>190</v>
      </c>
      <c r="C1243" s="10" t="s">
        <v>168</v>
      </c>
      <c r="D1243" s="10" t="s">
        <v>122</v>
      </c>
      <c r="E1243" t="str">
        <f>VLOOKUP(D1243,'Lista de Produtos CLASSIFICAÇÃO'!$A$103:$B$144,2,FALSE)</f>
        <v>Óleo Vegetal</v>
      </c>
      <c r="F1243" s="53">
        <v>0</v>
      </c>
      <c r="G1243" s="56" t="str">
        <f>VLOOKUP(C1243,clientes!$C$3:$D$60,2,FALSE)</f>
        <v>POOL EXCEDENTE</v>
      </c>
    </row>
    <row r="1244" spans="1:7" x14ac:dyDescent="0.25">
      <c r="A1244" s="10">
        <v>2024</v>
      </c>
      <c r="B1244" s="10" t="s">
        <v>190</v>
      </c>
      <c r="C1244" s="10" t="s">
        <v>169</v>
      </c>
      <c r="D1244" s="10" t="s">
        <v>22</v>
      </c>
      <c r="E1244" t="str">
        <f>VLOOKUP(D1244,'Lista de Produtos CLASSIFICAÇÃO'!$A$103:$B$144,2,FALSE)</f>
        <v>Metanol</v>
      </c>
      <c r="F1244" s="53">
        <v>5852002</v>
      </c>
      <c r="G1244" s="56" t="str">
        <f>VLOOKUP(C1244,clientes!$C$3:$D$60,2,FALSE)</f>
        <v>METHANEX</v>
      </c>
    </row>
    <row r="1245" spans="1:7" x14ac:dyDescent="0.25">
      <c r="A1245" s="10">
        <v>2024</v>
      </c>
      <c r="B1245" s="10" t="s">
        <v>190</v>
      </c>
      <c r="C1245" s="10" t="s">
        <v>170</v>
      </c>
      <c r="D1245" s="10" t="s">
        <v>22</v>
      </c>
      <c r="E1245" t="str">
        <f>VLOOKUP(D1245,'Lista de Produtos CLASSIFICAÇÃO'!$A$103:$B$144,2,FALSE)</f>
        <v>Metanol</v>
      </c>
      <c r="F1245" s="53">
        <v>3046681</v>
      </c>
      <c r="G1245" s="56" t="str">
        <f>VLOOKUP(C1245,clientes!$C$3:$D$60,2,FALSE)</f>
        <v>MITSUBISHI</v>
      </c>
    </row>
    <row r="1246" spans="1:7" x14ac:dyDescent="0.25">
      <c r="A1246" s="10">
        <v>2024</v>
      </c>
      <c r="B1246" s="10" t="s">
        <v>190</v>
      </c>
      <c r="C1246" s="10" t="s">
        <v>171</v>
      </c>
      <c r="D1246" s="10" t="s">
        <v>22</v>
      </c>
      <c r="E1246" t="str">
        <f>VLOOKUP(D1246,'Lista de Produtos CLASSIFICAÇÃO'!$A$103:$B$144,2,FALSE)</f>
        <v>Metanol</v>
      </c>
      <c r="F1246" s="53">
        <v>5179714</v>
      </c>
      <c r="G1246" s="56" t="str">
        <f>VLOOKUP(C1246,clientes!$C$3:$D$60,2,FALSE)</f>
        <v>VALENZ</v>
      </c>
    </row>
    <row r="1247" spans="1:7" x14ac:dyDescent="0.25">
      <c r="A1247" s="10">
        <v>2024</v>
      </c>
      <c r="B1247" s="10" t="s">
        <v>190</v>
      </c>
      <c r="C1247" s="10" t="s">
        <v>172</v>
      </c>
      <c r="D1247" s="10" t="s">
        <v>124</v>
      </c>
      <c r="E1247" t="str">
        <f>VLOOKUP(D1247,'Lista de Produtos CLASSIFICAÇÃO'!$A$103:$B$144,2,FALSE)</f>
        <v>Outros</v>
      </c>
      <c r="F1247" s="53">
        <v>406450</v>
      </c>
      <c r="G1247" s="56" t="str">
        <f>VLOOKUP(C1247,clientes!$C$3:$D$60,2,FALSE)</f>
        <v>EVONIK</v>
      </c>
    </row>
    <row r="1248" spans="1:7" x14ac:dyDescent="0.25">
      <c r="A1248" s="10">
        <v>2024</v>
      </c>
      <c r="B1248" s="10" t="s">
        <v>190</v>
      </c>
      <c r="C1248" s="10" t="s">
        <v>173</v>
      </c>
      <c r="D1248" s="10" t="s">
        <v>22</v>
      </c>
      <c r="E1248" t="str">
        <f>VLOOKUP(D1248,'Lista de Produtos CLASSIFICAÇÃO'!$A$103:$B$144,2,FALSE)</f>
        <v>Metanol</v>
      </c>
      <c r="F1248" s="53">
        <v>490592</v>
      </c>
      <c r="G1248" s="56" t="str">
        <f>VLOOKUP(C1248,clientes!$C$3:$D$60,2,FALSE)</f>
        <v>YPF SOCIEDAD ANONIMA</v>
      </c>
    </row>
    <row r="1249" spans="1:7" x14ac:dyDescent="0.25">
      <c r="A1249" s="10">
        <v>2024</v>
      </c>
      <c r="B1249" s="10" t="s">
        <v>190</v>
      </c>
      <c r="C1249" s="10" t="s">
        <v>174</v>
      </c>
      <c r="D1249" s="10" t="s">
        <v>123</v>
      </c>
      <c r="E1249" t="str">
        <f>VLOOKUP(D1249,'Lista de Produtos CLASSIFICAÇÃO'!$A$103:$B$144,2,FALSE)</f>
        <v>Aquecidos</v>
      </c>
      <c r="F1249" s="53">
        <v>315191</v>
      </c>
      <c r="G1249" s="56" t="str">
        <f>VLOOKUP(C1249,clientes!$C$3:$D$60,2,FALSE)</f>
        <v>CELENA</v>
      </c>
    </row>
    <row r="1250" spans="1:7" x14ac:dyDescent="0.25">
      <c r="A1250" s="10">
        <v>2024</v>
      </c>
      <c r="B1250" s="10" t="s">
        <v>190</v>
      </c>
      <c r="C1250" s="10" t="s">
        <v>175</v>
      </c>
      <c r="D1250" s="10" t="s">
        <v>123</v>
      </c>
      <c r="E1250" t="str">
        <f>VLOOKUP(D1250,'Lista de Produtos CLASSIFICAÇÃO'!$A$103:$B$144,2,FALSE)</f>
        <v>Aquecidos</v>
      </c>
      <c r="F1250" s="53">
        <v>582352</v>
      </c>
      <c r="G1250" s="56" t="str">
        <f>VLOOKUP(C1250,clientes!$C$3:$D$60,2,FALSE)</f>
        <v>AAK DO BRASIL</v>
      </c>
    </row>
    <row r="1251" spans="1:7" x14ac:dyDescent="0.25">
      <c r="A1251" s="10">
        <v>2024</v>
      </c>
      <c r="B1251" s="10" t="s">
        <v>190</v>
      </c>
      <c r="C1251" s="10" t="s">
        <v>166</v>
      </c>
      <c r="D1251" s="10" t="s">
        <v>122</v>
      </c>
      <c r="E1251" t="str">
        <f>VLOOKUP(D1251,'Lista de Produtos CLASSIFICAÇÃO'!$A$103:$B$144,2,FALSE)</f>
        <v>Óleo Vegetal</v>
      </c>
      <c r="F1251" s="53">
        <v>199164</v>
      </c>
      <c r="G1251" s="56" t="str">
        <f>VLOOKUP(C1251,clientes!$C$3:$D$60,2,FALSE)</f>
        <v>CARGILL</v>
      </c>
    </row>
    <row r="1252" spans="1:7" x14ac:dyDescent="0.25">
      <c r="A1252" s="10">
        <v>2024</v>
      </c>
      <c r="B1252" s="10" t="s">
        <v>190</v>
      </c>
      <c r="C1252" s="10" t="s">
        <v>176</v>
      </c>
      <c r="D1252" s="10" t="s">
        <v>123</v>
      </c>
      <c r="E1252" t="str">
        <f>VLOOKUP(D1252,'Lista de Produtos CLASSIFICAÇÃO'!$A$103:$B$144,2,FALSE)</f>
        <v>Aquecidos</v>
      </c>
      <c r="F1252" s="53">
        <v>360148</v>
      </c>
      <c r="G1252" s="56" t="str">
        <f>VLOOKUP(C1252,clientes!$C$3:$D$60,2,FALSE)</f>
        <v>AGROPALMA</v>
      </c>
    </row>
    <row r="1253" spans="1:7" x14ac:dyDescent="0.25">
      <c r="A1253" s="10">
        <v>2024</v>
      </c>
      <c r="B1253" s="10" t="s">
        <v>190</v>
      </c>
      <c r="C1253" s="10" t="s">
        <v>177</v>
      </c>
      <c r="D1253" s="10" t="s">
        <v>115</v>
      </c>
      <c r="E1253" t="str">
        <f>VLOOKUP(D1253,'Lista de Produtos CLASSIFICAÇÃO'!$A$103:$B$144,2,FALSE)</f>
        <v>Soda Caustica</v>
      </c>
      <c r="F1253" s="53">
        <v>426494</v>
      </c>
      <c r="G1253" s="56" t="str">
        <f>VLOOKUP(C1253,clientes!$C$3:$D$60,2,FALSE)</f>
        <v>BRENNTAG</v>
      </c>
    </row>
    <row r="1254" spans="1:7" x14ac:dyDescent="0.25">
      <c r="A1254" s="10">
        <v>2024</v>
      </c>
      <c r="B1254" s="10" t="s">
        <v>190</v>
      </c>
      <c r="C1254" s="10" t="s">
        <v>178</v>
      </c>
      <c r="D1254" s="10" t="s">
        <v>115</v>
      </c>
      <c r="E1254" t="str">
        <f>VLOOKUP(D1254,'Lista de Produtos CLASSIFICAÇÃO'!$A$103:$B$144,2,FALSE)</f>
        <v>Soda Caustica</v>
      </c>
      <c r="F1254" s="53">
        <v>1524504</v>
      </c>
      <c r="G1254" s="56" t="str">
        <f>VLOOKUP(C1254,clientes!$C$3:$D$60,2,FALSE)</f>
        <v>OLIN BLUE CUBE</v>
      </c>
    </row>
    <row r="1255" spans="1:7" x14ac:dyDescent="0.25">
      <c r="A1255" s="10">
        <v>2024</v>
      </c>
      <c r="B1255" s="10" t="s">
        <v>190</v>
      </c>
      <c r="C1255" s="10" t="s">
        <v>179</v>
      </c>
      <c r="D1255" s="10" t="s">
        <v>26</v>
      </c>
      <c r="E1255" t="str">
        <f>VLOOKUP(D1255,'Lista de Produtos CLASSIFICAÇÃO'!$A$103:$B$144,2,FALSE)</f>
        <v>Biocombustíveis</v>
      </c>
      <c r="F1255" s="53">
        <v>467791</v>
      </c>
      <c r="G1255" s="56" t="str">
        <f>VLOOKUP(C1255,clientes!$C$3:$D$60,2,FALSE)</f>
        <v>BSBIOS</v>
      </c>
    </row>
    <row r="1256" spans="1:7" x14ac:dyDescent="0.25">
      <c r="A1256" s="10">
        <v>2024</v>
      </c>
      <c r="B1256" s="10" t="s">
        <v>190</v>
      </c>
      <c r="C1256" s="10" t="s">
        <v>180</v>
      </c>
      <c r="D1256" s="10" t="s">
        <v>30</v>
      </c>
      <c r="E1256" t="str">
        <f>VLOOKUP(D1256,'Lista de Produtos CLASSIFICAÇÃO'!$A$103:$B$144,2,FALSE)</f>
        <v>Outros</v>
      </c>
      <c r="F1256" s="53">
        <v>192330</v>
      </c>
      <c r="G1256" s="56" t="str">
        <f>VLOOKUP(C1256,clientes!$C$3:$D$60,2,FALSE)</f>
        <v>TRICHEM</v>
      </c>
    </row>
    <row r="1257" spans="1:7" x14ac:dyDescent="0.25">
      <c r="A1257" s="10">
        <v>2024</v>
      </c>
      <c r="B1257" s="10" t="s">
        <v>190</v>
      </c>
      <c r="C1257" s="10" t="s">
        <v>181</v>
      </c>
      <c r="D1257" s="10" t="s">
        <v>123</v>
      </c>
      <c r="E1257" t="str">
        <f>VLOOKUP(D1257,'Lista de Produtos CLASSIFICAÇÃO'!$A$103:$B$144,2,FALSE)</f>
        <v>Aquecidos</v>
      </c>
      <c r="F1257" s="53">
        <v>186529</v>
      </c>
      <c r="G1257" s="56" t="str">
        <f>VLOOKUP(C1257,clientes!$C$3:$D$60,2,FALSE)</f>
        <v>COAMO</v>
      </c>
    </row>
    <row r="1258" spans="1:7" x14ac:dyDescent="0.25">
      <c r="A1258" s="10">
        <v>2024</v>
      </c>
      <c r="B1258" s="10" t="s">
        <v>190</v>
      </c>
      <c r="C1258" s="10" t="s">
        <v>182</v>
      </c>
      <c r="D1258" s="10" t="s">
        <v>120</v>
      </c>
      <c r="E1258" t="str">
        <f>VLOOKUP(D1258,'Lista de Produtos CLASSIFICAÇÃO'!$A$103:$B$144,2,FALSE)</f>
        <v>Derivados</v>
      </c>
      <c r="F1258" s="53">
        <v>708585</v>
      </c>
      <c r="G1258" s="56" t="str">
        <f>VLOOKUP(C1258,clientes!$C$3:$D$60,2,FALSE)</f>
        <v>ATEM</v>
      </c>
    </row>
    <row r="1259" spans="1:7" x14ac:dyDescent="0.25">
      <c r="A1259" s="10">
        <v>2024</v>
      </c>
      <c r="B1259" s="10" t="s">
        <v>190</v>
      </c>
      <c r="C1259" s="10" t="s">
        <v>174</v>
      </c>
      <c r="D1259" s="10" t="s">
        <v>123</v>
      </c>
      <c r="E1259" t="str">
        <f>VLOOKUP(D1259,'Lista de Produtos CLASSIFICAÇÃO'!$A$103:$B$144,2,FALSE)</f>
        <v>Aquecidos</v>
      </c>
      <c r="F1259" s="53">
        <v>1870436</v>
      </c>
      <c r="G1259" s="56" t="str">
        <f>VLOOKUP(C1259,clientes!$C$3:$D$60,2,FALSE)</f>
        <v>CELENA</v>
      </c>
    </row>
    <row r="1260" spans="1:7" x14ac:dyDescent="0.25">
      <c r="A1260" s="10">
        <v>2024</v>
      </c>
      <c r="B1260" s="10" t="s">
        <v>190</v>
      </c>
      <c r="C1260" s="10" t="s">
        <v>173</v>
      </c>
      <c r="D1260" s="10" t="s">
        <v>183</v>
      </c>
      <c r="E1260" t="str">
        <f>VLOOKUP(D1260,'Lista de Produtos CLASSIFICAÇÃO'!$A$103:$B$144,2,FALSE)</f>
        <v>Outros</v>
      </c>
      <c r="F1260" s="53">
        <v>140762</v>
      </c>
      <c r="G1260" s="56" t="str">
        <f>VLOOKUP(C1260,clientes!$C$3:$D$60,2,FALSE)</f>
        <v>YPF SOCIEDAD ANONIMA</v>
      </c>
    </row>
    <row r="1261" spans="1:7" x14ac:dyDescent="0.25">
      <c r="A1261" s="10">
        <v>2024</v>
      </c>
      <c r="B1261" s="10" t="s">
        <v>190</v>
      </c>
      <c r="C1261" s="10" t="s">
        <v>184</v>
      </c>
      <c r="D1261" s="10" t="s">
        <v>122</v>
      </c>
      <c r="E1261" t="str">
        <f>VLOOKUP(D1261,'Lista de Produtos CLASSIFICAÇÃO'!$A$103:$B$144,2,FALSE)</f>
        <v>Óleo Vegetal</v>
      </c>
      <c r="F1261" s="53">
        <v>192335</v>
      </c>
      <c r="G1261" s="56" t="str">
        <f>VLOOKUP(C1261,clientes!$C$3:$D$60,2,FALSE)</f>
        <v>INGREDION</v>
      </c>
    </row>
    <row r="1262" spans="1:7" x14ac:dyDescent="0.25">
      <c r="A1262" s="10">
        <v>2024</v>
      </c>
      <c r="B1262" s="10" t="s">
        <v>190</v>
      </c>
      <c r="C1262" s="10" t="s">
        <v>185</v>
      </c>
      <c r="D1262" s="10" t="s">
        <v>120</v>
      </c>
      <c r="E1262" t="str">
        <f>VLOOKUP(D1262,'Lista de Produtos CLASSIFICAÇÃO'!$A$103:$B$144,2,FALSE)</f>
        <v>Derivados</v>
      </c>
      <c r="F1262" s="53">
        <v>1214701</v>
      </c>
      <c r="G1262" s="56" t="str">
        <f>VLOOKUP(C1262,clientes!$C$3:$D$60,2,FALSE)</f>
        <v>CIAPETRO</v>
      </c>
    </row>
    <row r="1263" spans="1:7" x14ac:dyDescent="0.25">
      <c r="A1263" s="10">
        <v>2024</v>
      </c>
      <c r="B1263" s="10" t="s">
        <v>190</v>
      </c>
      <c r="C1263" s="10" t="s">
        <v>186</v>
      </c>
      <c r="D1263" s="10" t="s">
        <v>22</v>
      </c>
      <c r="E1263" t="str">
        <f>VLOOKUP(D1263,'Lista de Produtos CLASSIFICAÇÃO'!$A$103:$B$144,2,FALSE)</f>
        <v>Metanol</v>
      </c>
      <c r="F1263" s="53">
        <v>641825</v>
      </c>
      <c r="G1263" s="56" t="str">
        <f>VLOOKUP(C1263,clientes!$C$3:$D$60,2,FALSE)</f>
        <v>OQ TRADING</v>
      </c>
    </row>
    <row r="1264" spans="1:7" x14ac:dyDescent="0.25">
      <c r="A1264" s="10">
        <v>2024</v>
      </c>
      <c r="B1264" s="10" t="s">
        <v>190</v>
      </c>
      <c r="C1264" s="10" t="s">
        <v>187</v>
      </c>
      <c r="D1264" s="10" t="s">
        <v>121</v>
      </c>
      <c r="E1264" t="str">
        <f>VLOOKUP(D1264,'Lista de Produtos CLASSIFICAÇÃO'!$A$103:$B$144,2,FALSE)</f>
        <v>Biocombustíveis</v>
      </c>
      <c r="F1264" s="53">
        <v>850000</v>
      </c>
      <c r="G1264" s="56" t="str">
        <f>VLOOKUP(C1264,clientes!$C$3:$D$60,2,FALSE)</f>
        <v>TEREOS / INPASA / GLENCORE / FS</v>
      </c>
    </row>
    <row r="1265" spans="1:7" x14ac:dyDescent="0.25">
      <c r="A1265" s="10">
        <v>2024</v>
      </c>
      <c r="B1265" s="10" t="s">
        <v>190</v>
      </c>
      <c r="C1265" s="10" t="s">
        <v>188</v>
      </c>
      <c r="D1265" s="10" t="s">
        <v>123</v>
      </c>
      <c r="E1265" t="str">
        <f>VLOOKUP(D1265,'Lista de Produtos CLASSIFICAÇÃO'!$A$103:$B$144,2,FALSE)</f>
        <v>Aquecidos</v>
      </c>
      <c r="F1265" s="53">
        <v>535273</v>
      </c>
      <c r="G1265" s="56" t="str">
        <f>VLOOKUP(C1265,clientes!$C$3:$D$60,2,FALSE)</f>
        <v>ARES MERCHANTS PTE LIMITE</v>
      </c>
    </row>
    <row r="1266" spans="1:7" x14ac:dyDescent="0.25">
      <c r="A1266" s="10">
        <v>2024</v>
      </c>
      <c r="B1266" s="10" t="s">
        <v>190</v>
      </c>
      <c r="C1266" s="10" t="s">
        <v>18</v>
      </c>
      <c r="D1266" s="10" t="s">
        <v>17</v>
      </c>
      <c r="E1266" t="str">
        <f>VLOOKUP(D1266,'Lista de Produtos CLASSIFICAÇÃO'!$A$103:$B$144,2,FALSE)</f>
        <v>Acostagem</v>
      </c>
      <c r="F1266" s="53">
        <v>531917.46399999992</v>
      </c>
      <c r="G1266" s="56" t="str">
        <f>VLOOKUP(C1266,clientes!$C$3:$D$60,2,FALSE)</f>
        <v>ACOSTAGEM</v>
      </c>
    </row>
    <row r="1267" spans="1:7" x14ac:dyDescent="0.25">
      <c r="A1267" s="10">
        <v>2024</v>
      </c>
      <c r="B1267" s="10" t="s">
        <v>190</v>
      </c>
      <c r="C1267" s="10" t="s">
        <v>189</v>
      </c>
      <c r="D1267" s="10" t="s">
        <v>123</v>
      </c>
      <c r="E1267" t="str">
        <f>VLOOKUP(D1267,'Lista de Produtos CLASSIFICAÇÃO'!$A$103:$B$144,2,FALSE)</f>
        <v>Aquecidos</v>
      </c>
      <c r="F1267" s="53">
        <v>503774</v>
      </c>
      <c r="G1267" s="56" t="str">
        <f>VLOOKUP(C1267,clientes!$C$3:$D$60,2,FALSE)</f>
        <v>ICOF</v>
      </c>
    </row>
    <row r="1268" spans="1:7" x14ac:dyDescent="0.25">
      <c r="A1268" s="10">
        <v>2024</v>
      </c>
      <c r="B1268" s="10" t="s">
        <v>133</v>
      </c>
      <c r="C1268" s="10" t="s">
        <v>155</v>
      </c>
      <c r="D1268" s="10" t="s">
        <v>16</v>
      </c>
      <c r="E1268" t="str">
        <f>VLOOKUP(D1268,'Lista de Produtos CLASSIFICAÇÃO'!$A$103:$B$144,2,FALSE)</f>
        <v>Outros</v>
      </c>
      <c r="F1268" s="53">
        <v>886810</v>
      </c>
      <c r="G1268" s="56" t="str">
        <f>VLOOKUP(C1268,clientes!$C$3:$D$60,2,FALSE)</f>
        <v>ADISSEO</v>
      </c>
    </row>
    <row r="1269" spans="1:7" x14ac:dyDescent="0.25">
      <c r="A1269" s="10">
        <v>2024</v>
      </c>
      <c r="B1269" s="10" t="s">
        <v>133</v>
      </c>
      <c r="C1269" s="10" t="s">
        <v>156</v>
      </c>
      <c r="D1269" s="10" t="s">
        <v>123</v>
      </c>
      <c r="E1269" t="str">
        <f>VLOOKUP(D1269,'Lista de Produtos CLASSIFICAÇÃO'!$A$103:$B$144,2,FALSE)</f>
        <v>Aquecidos</v>
      </c>
      <c r="F1269" s="53">
        <v>377129</v>
      </c>
      <c r="G1269" s="56" t="str">
        <f>VLOOKUP(C1269,clientes!$C$3:$D$60,2,FALSE)</f>
        <v>BUNGE</v>
      </c>
    </row>
    <row r="1270" spans="1:7" x14ac:dyDescent="0.25">
      <c r="A1270" s="10">
        <v>2024</v>
      </c>
      <c r="B1270" s="10" t="s">
        <v>133</v>
      </c>
      <c r="C1270" s="10" t="s">
        <v>157</v>
      </c>
      <c r="D1270" s="10" t="s">
        <v>122</v>
      </c>
      <c r="E1270" t="str">
        <f>VLOOKUP(D1270,'Lista de Produtos CLASSIFICAÇÃO'!$A$103:$B$144,2,FALSE)</f>
        <v>Óleo Vegetal</v>
      </c>
      <c r="F1270" s="53">
        <v>187113</v>
      </c>
      <c r="G1270" s="56" t="str">
        <f>VLOOKUP(C1270,clientes!$C$3:$D$60,2,FALSE)</f>
        <v>ADM</v>
      </c>
    </row>
    <row r="1271" spans="1:7" x14ac:dyDescent="0.25">
      <c r="A1271" s="10">
        <v>2024</v>
      </c>
      <c r="B1271" s="10" t="s">
        <v>133</v>
      </c>
      <c r="C1271" s="10" t="s">
        <v>158</v>
      </c>
      <c r="D1271" s="10" t="s">
        <v>120</v>
      </c>
      <c r="E1271" t="str">
        <f>VLOOKUP(D1271,'Lista de Produtos CLASSIFICAÇÃO'!$A$103:$B$144,2,FALSE)</f>
        <v>Derivados</v>
      </c>
      <c r="F1271" s="53">
        <v>7226175</v>
      </c>
      <c r="G1271" s="56" t="str">
        <f>VLOOKUP(C1271,clientes!$C$3:$D$60,2,FALSE)</f>
        <v>IPIRANGA</v>
      </c>
    </row>
    <row r="1272" spans="1:7" x14ac:dyDescent="0.25">
      <c r="A1272" s="10">
        <v>2024</v>
      </c>
      <c r="B1272" s="10" t="s">
        <v>133</v>
      </c>
      <c r="C1272" s="10" t="s">
        <v>159</v>
      </c>
      <c r="D1272" s="10" t="s">
        <v>120</v>
      </c>
      <c r="E1272" t="str">
        <f>VLOOKUP(D1272,'Lista de Produtos CLASSIFICAÇÃO'!$A$103:$B$144,2,FALSE)</f>
        <v>Derivados</v>
      </c>
      <c r="F1272" s="53">
        <v>2968315</v>
      </c>
      <c r="G1272" s="56" t="str">
        <f>VLOOKUP(C1272,clientes!$C$3:$D$60,2,FALSE)</f>
        <v>RAIZEN</v>
      </c>
    </row>
    <row r="1273" spans="1:7" x14ac:dyDescent="0.25">
      <c r="A1273" s="10">
        <v>2024</v>
      </c>
      <c r="B1273" s="10" t="s">
        <v>133</v>
      </c>
      <c r="C1273" s="10" t="s">
        <v>160</v>
      </c>
      <c r="D1273" s="10" t="s">
        <v>120</v>
      </c>
      <c r="E1273" t="str">
        <f>VLOOKUP(D1273,'Lista de Produtos CLASSIFICAÇÃO'!$A$103:$B$144,2,FALSE)</f>
        <v>Derivados</v>
      </c>
      <c r="F1273" s="53">
        <v>1811877</v>
      </c>
      <c r="G1273" s="56" t="str">
        <f>VLOOKUP(C1273,clientes!$C$3:$D$60,2,FALSE)</f>
        <v>VIBRA</v>
      </c>
    </row>
    <row r="1274" spans="1:7" x14ac:dyDescent="0.25">
      <c r="A1274" s="10">
        <v>2024</v>
      </c>
      <c r="B1274" s="10" t="s">
        <v>133</v>
      </c>
      <c r="C1274" s="10" t="s">
        <v>161</v>
      </c>
      <c r="D1274" s="10" t="s">
        <v>120</v>
      </c>
      <c r="E1274" t="str">
        <f>VLOOKUP(D1274,'Lista de Produtos CLASSIFICAÇÃO'!$A$103:$B$144,2,FALSE)</f>
        <v>Derivados</v>
      </c>
      <c r="F1274" s="53">
        <v>3650396</v>
      </c>
      <c r="G1274" s="56" t="str">
        <f>VLOOKUP(C1274,clientes!$C$3:$D$60,2,FALSE)</f>
        <v>SUL PLATA</v>
      </c>
    </row>
    <row r="1275" spans="1:7" x14ac:dyDescent="0.25">
      <c r="A1275" s="10">
        <v>2024</v>
      </c>
      <c r="B1275" s="10" t="s">
        <v>133</v>
      </c>
      <c r="C1275" s="10" t="s">
        <v>162</v>
      </c>
      <c r="D1275" s="10" t="s">
        <v>115</v>
      </c>
      <c r="E1275" t="str">
        <f>VLOOKUP(D1275,'Lista de Produtos CLASSIFICAÇÃO'!$A$103:$B$144,2,FALSE)</f>
        <v>Soda Caustica</v>
      </c>
      <c r="F1275" s="53">
        <v>179417</v>
      </c>
      <c r="G1275" s="56" t="str">
        <f>VLOOKUP(C1275,clientes!$C$3:$D$60,2,FALSE)</f>
        <v>JBS</v>
      </c>
    </row>
    <row r="1276" spans="1:7" x14ac:dyDescent="0.25">
      <c r="A1276" s="10">
        <v>2024</v>
      </c>
      <c r="B1276" s="10" t="s">
        <v>133</v>
      </c>
      <c r="C1276" s="10" t="s">
        <v>163</v>
      </c>
      <c r="D1276" s="10" t="s">
        <v>115</v>
      </c>
      <c r="E1276" t="str">
        <f>VLOOKUP(D1276,'Lista de Produtos CLASSIFICAÇÃO'!$A$103:$B$144,2,FALSE)</f>
        <v>Soda Caustica</v>
      </c>
      <c r="F1276" s="53">
        <v>396611</v>
      </c>
      <c r="G1276" s="56" t="str">
        <f>VLOOKUP(C1276,clientes!$C$3:$D$60,2,FALSE)</f>
        <v>TRICON ENERGY</v>
      </c>
    </row>
    <row r="1277" spans="1:7" x14ac:dyDescent="0.25">
      <c r="A1277" s="10">
        <v>2024</v>
      </c>
      <c r="B1277" s="10" t="s">
        <v>133</v>
      </c>
      <c r="C1277" s="10" t="s">
        <v>164</v>
      </c>
      <c r="D1277" s="10" t="s">
        <v>115</v>
      </c>
      <c r="E1277" t="str">
        <f>VLOOKUP(D1277,'Lista de Produtos CLASSIFICAÇÃO'!$A$103:$B$144,2,FALSE)</f>
        <v>Soda Caustica</v>
      </c>
      <c r="F1277" s="53">
        <v>273415</v>
      </c>
      <c r="G1277" s="56" t="str">
        <f>VLOOKUP(C1277,clientes!$C$3:$D$60,2,FALSE)</f>
        <v>BRASKEM</v>
      </c>
    </row>
    <row r="1278" spans="1:7" x14ac:dyDescent="0.25">
      <c r="A1278" s="10">
        <v>2024</v>
      </c>
      <c r="B1278" s="10" t="s">
        <v>133</v>
      </c>
      <c r="C1278" s="10" t="s">
        <v>165</v>
      </c>
      <c r="D1278" s="10" t="s">
        <v>123</v>
      </c>
      <c r="E1278" t="str">
        <f>VLOOKUP(D1278,'Lista de Produtos CLASSIFICAÇÃO'!$A$103:$B$144,2,FALSE)</f>
        <v>Aquecidos</v>
      </c>
      <c r="F1278" s="53">
        <v>944286</v>
      </c>
      <c r="G1278" s="56" t="str">
        <f>VLOOKUP(C1278,clientes!$C$3:$D$60,2,FALSE)</f>
        <v>BRF</v>
      </c>
    </row>
    <row r="1279" spans="1:7" x14ac:dyDescent="0.25">
      <c r="A1279" s="10">
        <v>2024</v>
      </c>
      <c r="B1279" s="10" t="s">
        <v>133</v>
      </c>
      <c r="C1279" s="10" t="s">
        <v>162</v>
      </c>
      <c r="D1279" s="10" t="s">
        <v>123</v>
      </c>
      <c r="E1279" t="str">
        <f>VLOOKUP(D1279,'Lista de Produtos CLASSIFICAÇÃO'!$A$103:$B$144,2,FALSE)</f>
        <v>Aquecidos</v>
      </c>
      <c r="F1279" s="53">
        <v>355713</v>
      </c>
      <c r="G1279" s="56" t="str">
        <f>VLOOKUP(C1279,clientes!$C$3:$D$60,2,FALSE)</f>
        <v>JBS</v>
      </c>
    </row>
    <row r="1280" spans="1:7" x14ac:dyDescent="0.25">
      <c r="A1280" s="10">
        <v>2024</v>
      </c>
      <c r="B1280" s="10" t="s">
        <v>133</v>
      </c>
      <c r="C1280" s="10" t="s">
        <v>166</v>
      </c>
      <c r="D1280" s="10" t="s">
        <v>123</v>
      </c>
      <c r="E1280" t="str">
        <f>VLOOKUP(D1280,'Lista de Produtos CLASSIFICAÇÃO'!$A$103:$B$144,2,FALSE)</f>
        <v>Aquecidos</v>
      </c>
      <c r="F1280" s="53">
        <v>521117</v>
      </c>
      <c r="G1280" s="56" t="str">
        <f>VLOOKUP(C1280,clientes!$C$3:$D$60,2,FALSE)</f>
        <v>CARGILL</v>
      </c>
    </row>
    <row r="1281" spans="1:7" x14ac:dyDescent="0.25">
      <c r="A1281" s="10">
        <v>2024</v>
      </c>
      <c r="B1281" s="10" t="s">
        <v>133</v>
      </c>
      <c r="C1281" s="10" t="s">
        <v>167</v>
      </c>
      <c r="D1281" s="10" t="s">
        <v>122</v>
      </c>
      <c r="E1281" t="str">
        <f>VLOOKUP(D1281,'Lista de Produtos CLASSIFICAÇÃO'!$A$103:$B$144,2,FALSE)</f>
        <v>Óleo Vegetal</v>
      </c>
      <c r="F1281" s="53">
        <v>7845380</v>
      </c>
      <c r="G1281" s="56" t="str">
        <f>VLOOKUP(C1281,clientes!$C$3:$D$60,2,FALSE)</f>
        <v>POOL</v>
      </c>
    </row>
    <row r="1282" spans="1:7" x14ac:dyDescent="0.25">
      <c r="A1282" s="10">
        <v>2024</v>
      </c>
      <c r="B1282" s="10" t="s">
        <v>133</v>
      </c>
      <c r="C1282" s="10" t="s">
        <v>168</v>
      </c>
      <c r="D1282" s="10" t="s">
        <v>122</v>
      </c>
      <c r="E1282" t="str">
        <f>VLOOKUP(D1282,'Lista de Produtos CLASSIFICAÇÃO'!$A$103:$B$144,2,FALSE)</f>
        <v>Óleo Vegetal</v>
      </c>
      <c r="F1282" s="53">
        <v>0</v>
      </c>
      <c r="G1282" s="56" t="str">
        <f>VLOOKUP(C1282,clientes!$C$3:$D$60,2,FALSE)</f>
        <v>POOL EXCEDENTE</v>
      </c>
    </row>
    <row r="1283" spans="1:7" x14ac:dyDescent="0.25">
      <c r="A1283" s="10">
        <v>2024</v>
      </c>
      <c r="B1283" s="10" t="s">
        <v>133</v>
      </c>
      <c r="C1283" s="10" t="s">
        <v>169</v>
      </c>
      <c r="D1283" s="10" t="s">
        <v>22</v>
      </c>
      <c r="E1283" t="str">
        <f>VLOOKUP(D1283,'Lista de Produtos CLASSIFICAÇÃO'!$A$103:$B$144,2,FALSE)</f>
        <v>Metanol</v>
      </c>
      <c r="F1283" s="53">
        <v>5852002</v>
      </c>
      <c r="G1283" s="56" t="str">
        <f>VLOOKUP(C1283,clientes!$C$3:$D$60,2,FALSE)</f>
        <v>METHANEX</v>
      </c>
    </row>
    <row r="1284" spans="1:7" x14ac:dyDescent="0.25">
      <c r="A1284" s="10">
        <v>2024</v>
      </c>
      <c r="B1284" s="10" t="s">
        <v>133</v>
      </c>
      <c r="C1284" s="10" t="s">
        <v>170</v>
      </c>
      <c r="D1284" s="10" t="s">
        <v>22</v>
      </c>
      <c r="E1284" t="str">
        <f>VLOOKUP(D1284,'Lista de Produtos CLASSIFICAÇÃO'!$A$103:$B$144,2,FALSE)</f>
        <v>Metanol</v>
      </c>
      <c r="F1284" s="53">
        <v>3046681</v>
      </c>
      <c r="G1284" s="56" t="str">
        <f>VLOOKUP(C1284,clientes!$C$3:$D$60,2,FALSE)</f>
        <v>MITSUBISHI</v>
      </c>
    </row>
    <row r="1285" spans="1:7" x14ac:dyDescent="0.25">
      <c r="A1285" s="10">
        <v>2024</v>
      </c>
      <c r="B1285" s="10" t="s">
        <v>133</v>
      </c>
      <c r="C1285" s="10" t="s">
        <v>171</v>
      </c>
      <c r="D1285" s="10" t="s">
        <v>22</v>
      </c>
      <c r="E1285" t="str">
        <f>VLOOKUP(D1285,'Lista de Produtos CLASSIFICAÇÃO'!$A$103:$B$144,2,FALSE)</f>
        <v>Metanol</v>
      </c>
      <c r="F1285" s="53">
        <v>5179714</v>
      </c>
      <c r="G1285" s="56" t="str">
        <f>VLOOKUP(C1285,clientes!$C$3:$D$60,2,FALSE)</f>
        <v>VALENZ</v>
      </c>
    </row>
    <row r="1286" spans="1:7" x14ac:dyDescent="0.25">
      <c r="A1286" s="10">
        <v>2024</v>
      </c>
      <c r="B1286" s="10" t="s">
        <v>133</v>
      </c>
      <c r="C1286" s="10" t="s">
        <v>172</v>
      </c>
      <c r="D1286" s="10" t="s">
        <v>124</v>
      </c>
      <c r="E1286" t="str">
        <f>VLOOKUP(D1286,'Lista de Produtos CLASSIFICAÇÃO'!$A$103:$B$144,2,FALSE)</f>
        <v>Outros</v>
      </c>
      <c r="F1286" s="53">
        <v>406450</v>
      </c>
      <c r="G1286" s="56" t="str">
        <f>VLOOKUP(C1286,clientes!$C$3:$D$60,2,FALSE)</f>
        <v>EVONIK</v>
      </c>
    </row>
    <row r="1287" spans="1:7" x14ac:dyDescent="0.25">
      <c r="A1287" s="10">
        <v>2024</v>
      </c>
      <c r="B1287" s="10" t="s">
        <v>133</v>
      </c>
      <c r="C1287" s="10" t="s">
        <v>173</v>
      </c>
      <c r="D1287" s="10" t="s">
        <v>22</v>
      </c>
      <c r="E1287" t="str">
        <f>VLOOKUP(D1287,'Lista de Produtos CLASSIFICAÇÃO'!$A$103:$B$144,2,FALSE)</f>
        <v>Metanol</v>
      </c>
      <c r="F1287" s="53">
        <v>559878</v>
      </c>
      <c r="G1287" s="56" t="str">
        <f>VLOOKUP(C1287,clientes!$C$3:$D$60,2,FALSE)</f>
        <v>YPF SOCIEDAD ANONIMA</v>
      </c>
    </row>
    <row r="1288" spans="1:7" x14ac:dyDescent="0.25">
      <c r="A1288" s="10">
        <v>2024</v>
      </c>
      <c r="B1288" s="10" t="s">
        <v>133</v>
      </c>
      <c r="C1288" s="10" t="s">
        <v>174</v>
      </c>
      <c r="D1288" s="10" t="s">
        <v>123</v>
      </c>
      <c r="E1288" t="str">
        <f>VLOOKUP(D1288,'Lista de Produtos CLASSIFICAÇÃO'!$A$103:$B$144,2,FALSE)</f>
        <v>Aquecidos</v>
      </c>
      <c r="F1288" s="53">
        <v>315191</v>
      </c>
      <c r="G1288" s="56" t="str">
        <f>VLOOKUP(C1288,clientes!$C$3:$D$60,2,FALSE)</f>
        <v>CELENA</v>
      </c>
    </row>
    <row r="1289" spans="1:7" x14ac:dyDescent="0.25">
      <c r="A1289" s="10">
        <v>2024</v>
      </c>
      <c r="B1289" s="10" t="s">
        <v>133</v>
      </c>
      <c r="C1289" s="10" t="s">
        <v>175</v>
      </c>
      <c r="D1289" s="10" t="s">
        <v>123</v>
      </c>
      <c r="E1289" t="str">
        <f>VLOOKUP(D1289,'Lista de Produtos CLASSIFICAÇÃO'!$A$103:$B$144,2,FALSE)</f>
        <v>Aquecidos</v>
      </c>
      <c r="F1289" s="53">
        <v>582352</v>
      </c>
      <c r="G1289" s="56" t="str">
        <f>VLOOKUP(C1289,clientes!$C$3:$D$60,2,FALSE)</f>
        <v>AAK DO BRASIL</v>
      </c>
    </row>
    <row r="1290" spans="1:7" x14ac:dyDescent="0.25">
      <c r="A1290" s="10">
        <v>2024</v>
      </c>
      <c r="B1290" s="10" t="s">
        <v>133</v>
      </c>
      <c r="C1290" s="10" t="s">
        <v>166</v>
      </c>
      <c r="D1290" s="10" t="s">
        <v>122</v>
      </c>
      <c r="E1290" t="str">
        <f>VLOOKUP(D1290,'Lista de Produtos CLASSIFICAÇÃO'!$A$103:$B$144,2,FALSE)</f>
        <v>Óleo Vegetal</v>
      </c>
      <c r="F1290" s="53">
        <v>199164</v>
      </c>
      <c r="G1290" s="56" t="str">
        <f>VLOOKUP(C1290,clientes!$C$3:$D$60,2,FALSE)</f>
        <v>CARGILL</v>
      </c>
    </row>
    <row r="1291" spans="1:7" x14ac:dyDescent="0.25">
      <c r="A1291" s="10">
        <v>2024</v>
      </c>
      <c r="B1291" s="10" t="s">
        <v>133</v>
      </c>
      <c r="C1291" s="10" t="s">
        <v>176</v>
      </c>
      <c r="D1291" s="10" t="s">
        <v>123</v>
      </c>
      <c r="E1291" t="str">
        <f>VLOOKUP(D1291,'Lista de Produtos CLASSIFICAÇÃO'!$A$103:$B$144,2,FALSE)</f>
        <v>Aquecidos</v>
      </c>
      <c r="F1291" s="53">
        <v>360148</v>
      </c>
      <c r="G1291" s="56" t="str">
        <f>VLOOKUP(C1291,clientes!$C$3:$D$60,2,FALSE)</f>
        <v>AGROPALMA</v>
      </c>
    </row>
    <row r="1292" spans="1:7" x14ac:dyDescent="0.25">
      <c r="A1292" s="10">
        <v>2024</v>
      </c>
      <c r="B1292" s="10" t="s">
        <v>133</v>
      </c>
      <c r="C1292" s="10" t="s">
        <v>177</v>
      </c>
      <c r="D1292" s="10" t="s">
        <v>115</v>
      </c>
      <c r="E1292" t="str">
        <f>VLOOKUP(D1292,'Lista de Produtos CLASSIFICAÇÃO'!$A$103:$B$144,2,FALSE)</f>
        <v>Soda Caustica</v>
      </c>
      <c r="F1292" s="53">
        <v>426494</v>
      </c>
      <c r="G1292" s="56" t="str">
        <f>VLOOKUP(C1292,clientes!$C$3:$D$60,2,FALSE)</f>
        <v>BRENNTAG</v>
      </c>
    </row>
    <row r="1293" spans="1:7" x14ac:dyDescent="0.25">
      <c r="A1293" s="10">
        <v>2024</v>
      </c>
      <c r="B1293" s="10" t="s">
        <v>133</v>
      </c>
      <c r="C1293" s="10" t="s">
        <v>178</v>
      </c>
      <c r="D1293" s="10" t="s">
        <v>115</v>
      </c>
      <c r="E1293" t="str">
        <f>VLOOKUP(D1293,'Lista de Produtos CLASSIFICAÇÃO'!$A$103:$B$144,2,FALSE)</f>
        <v>Soda Caustica</v>
      </c>
      <c r="F1293" s="53">
        <v>1524504</v>
      </c>
      <c r="G1293" s="56" t="str">
        <f>VLOOKUP(C1293,clientes!$C$3:$D$60,2,FALSE)</f>
        <v>OLIN BLUE CUBE</v>
      </c>
    </row>
    <row r="1294" spans="1:7" x14ac:dyDescent="0.25">
      <c r="A1294" s="10">
        <v>2024</v>
      </c>
      <c r="B1294" s="10" t="s">
        <v>133</v>
      </c>
      <c r="C1294" s="10" t="s">
        <v>179</v>
      </c>
      <c r="D1294" s="10" t="s">
        <v>26</v>
      </c>
      <c r="E1294" t="str">
        <f>VLOOKUP(D1294,'Lista de Produtos CLASSIFICAÇÃO'!$A$103:$B$144,2,FALSE)</f>
        <v>Biocombustíveis</v>
      </c>
      <c r="F1294" s="53">
        <v>467791</v>
      </c>
      <c r="G1294" s="56" t="str">
        <f>VLOOKUP(C1294,clientes!$C$3:$D$60,2,FALSE)</f>
        <v>BSBIOS</v>
      </c>
    </row>
    <row r="1295" spans="1:7" x14ac:dyDescent="0.25">
      <c r="A1295" s="10">
        <v>2024</v>
      </c>
      <c r="B1295" s="10" t="s">
        <v>133</v>
      </c>
      <c r="C1295" s="10" t="s">
        <v>180</v>
      </c>
      <c r="D1295" s="10" t="s">
        <v>30</v>
      </c>
      <c r="E1295" t="str">
        <f>VLOOKUP(D1295,'Lista de Produtos CLASSIFICAÇÃO'!$A$103:$B$144,2,FALSE)</f>
        <v>Outros</v>
      </c>
      <c r="F1295" s="53">
        <v>192330</v>
      </c>
      <c r="G1295" s="56" t="str">
        <f>VLOOKUP(C1295,clientes!$C$3:$D$60,2,FALSE)</f>
        <v>TRICHEM</v>
      </c>
    </row>
    <row r="1296" spans="1:7" x14ac:dyDescent="0.25">
      <c r="A1296" s="10">
        <v>2024</v>
      </c>
      <c r="B1296" s="10" t="s">
        <v>133</v>
      </c>
      <c r="C1296" s="10" t="s">
        <v>181</v>
      </c>
      <c r="D1296" s="10" t="s">
        <v>123</v>
      </c>
      <c r="E1296" t="str">
        <f>VLOOKUP(D1296,'Lista de Produtos CLASSIFICAÇÃO'!$A$103:$B$144,2,FALSE)</f>
        <v>Aquecidos</v>
      </c>
      <c r="F1296" s="53">
        <v>186529</v>
      </c>
      <c r="G1296" s="56" t="str">
        <f>VLOOKUP(C1296,clientes!$C$3:$D$60,2,FALSE)</f>
        <v>COAMO</v>
      </c>
    </row>
    <row r="1297" spans="1:7" x14ac:dyDescent="0.25">
      <c r="A1297" s="10">
        <v>2024</v>
      </c>
      <c r="B1297" s="10" t="s">
        <v>133</v>
      </c>
      <c r="C1297" s="10" t="s">
        <v>182</v>
      </c>
      <c r="D1297" s="10" t="s">
        <v>120</v>
      </c>
      <c r="E1297" t="str">
        <f>VLOOKUP(D1297,'Lista de Produtos CLASSIFICAÇÃO'!$A$103:$B$144,2,FALSE)</f>
        <v>Derivados</v>
      </c>
      <c r="F1297" s="53">
        <v>708585</v>
      </c>
      <c r="G1297" s="56" t="str">
        <f>VLOOKUP(C1297,clientes!$C$3:$D$60,2,FALSE)</f>
        <v>ATEM</v>
      </c>
    </row>
    <row r="1298" spans="1:7" x14ac:dyDescent="0.25">
      <c r="A1298" s="10">
        <v>2024</v>
      </c>
      <c r="B1298" s="10" t="s">
        <v>133</v>
      </c>
      <c r="C1298" s="10" t="s">
        <v>174</v>
      </c>
      <c r="D1298" s="10" t="s">
        <v>123</v>
      </c>
      <c r="E1298" t="str">
        <f>VLOOKUP(D1298,'Lista de Produtos CLASSIFICAÇÃO'!$A$103:$B$144,2,FALSE)</f>
        <v>Aquecidos</v>
      </c>
      <c r="F1298" s="53">
        <v>1607710</v>
      </c>
      <c r="G1298" s="56" t="str">
        <f>VLOOKUP(C1298,clientes!$C$3:$D$60,2,FALSE)</f>
        <v>CELENA</v>
      </c>
    </row>
    <row r="1299" spans="1:7" x14ac:dyDescent="0.25">
      <c r="A1299" s="10">
        <v>2024</v>
      </c>
      <c r="B1299" s="10" t="s">
        <v>133</v>
      </c>
      <c r="C1299" s="10" t="s">
        <v>173</v>
      </c>
      <c r="D1299" s="10" t="s">
        <v>183</v>
      </c>
      <c r="E1299" t="str">
        <f>VLOOKUP(D1299,'Lista de Produtos CLASSIFICAÇÃO'!$A$103:$B$144,2,FALSE)</f>
        <v>Outros</v>
      </c>
      <c r="F1299" s="53">
        <v>140762</v>
      </c>
      <c r="G1299" s="56" t="str">
        <f>VLOOKUP(C1299,clientes!$C$3:$D$60,2,FALSE)</f>
        <v>YPF SOCIEDAD ANONIMA</v>
      </c>
    </row>
    <row r="1300" spans="1:7" x14ac:dyDescent="0.25">
      <c r="A1300" s="10">
        <v>2024</v>
      </c>
      <c r="B1300" s="10" t="s">
        <v>133</v>
      </c>
      <c r="C1300" s="10" t="s">
        <v>184</v>
      </c>
      <c r="D1300" s="10" t="s">
        <v>122</v>
      </c>
      <c r="E1300" t="str">
        <f>VLOOKUP(D1300,'Lista de Produtos CLASSIFICAÇÃO'!$A$103:$B$144,2,FALSE)</f>
        <v>Óleo Vegetal</v>
      </c>
      <c r="F1300" s="53">
        <v>246808</v>
      </c>
      <c r="G1300" s="56" t="str">
        <f>VLOOKUP(C1300,clientes!$C$3:$D$60,2,FALSE)</f>
        <v>INGREDION</v>
      </c>
    </row>
    <row r="1301" spans="1:7" x14ac:dyDescent="0.25">
      <c r="A1301" s="10">
        <v>2024</v>
      </c>
      <c r="B1301" s="10" t="s">
        <v>133</v>
      </c>
      <c r="C1301" s="10" t="s">
        <v>185</v>
      </c>
      <c r="D1301" s="10" t="s">
        <v>120</v>
      </c>
      <c r="E1301" t="str">
        <f>VLOOKUP(D1301,'Lista de Produtos CLASSIFICAÇÃO'!$A$103:$B$144,2,FALSE)</f>
        <v>Derivados</v>
      </c>
      <c r="F1301" s="53">
        <v>1214701</v>
      </c>
      <c r="G1301" s="56" t="str">
        <f>VLOOKUP(C1301,clientes!$C$3:$D$60,2,FALSE)</f>
        <v>CIAPETRO</v>
      </c>
    </row>
    <row r="1302" spans="1:7" x14ac:dyDescent="0.25">
      <c r="A1302" s="10">
        <v>2024</v>
      </c>
      <c r="B1302" s="10" t="s">
        <v>133</v>
      </c>
      <c r="C1302" s="10" t="s">
        <v>186</v>
      </c>
      <c r="D1302" s="10" t="s">
        <v>22</v>
      </c>
      <c r="E1302" t="str">
        <f>VLOOKUP(D1302,'Lista de Produtos CLASSIFICAÇÃO'!$A$103:$B$144,2,FALSE)</f>
        <v>Metanol</v>
      </c>
      <c r="F1302" s="53">
        <v>351392</v>
      </c>
      <c r="G1302" s="56" t="str">
        <f>VLOOKUP(C1302,clientes!$C$3:$D$60,2,FALSE)</f>
        <v>OQ TRADING</v>
      </c>
    </row>
    <row r="1303" spans="1:7" x14ac:dyDescent="0.25">
      <c r="A1303" s="10">
        <v>2024</v>
      </c>
      <c r="B1303" s="10" t="s">
        <v>133</v>
      </c>
      <c r="C1303" s="10" t="s">
        <v>187</v>
      </c>
      <c r="D1303" s="10" t="s">
        <v>121</v>
      </c>
      <c r="E1303" t="str">
        <f>VLOOKUP(D1303,'Lista de Produtos CLASSIFICAÇÃO'!$A$103:$B$144,2,FALSE)</f>
        <v>Biocombustíveis</v>
      </c>
      <c r="F1303" s="53">
        <v>850000</v>
      </c>
      <c r="G1303" s="56" t="str">
        <f>VLOOKUP(C1303,clientes!$C$3:$D$60,2,FALSE)</f>
        <v>TEREOS / INPASA / GLENCORE / FS</v>
      </c>
    </row>
    <row r="1304" spans="1:7" x14ac:dyDescent="0.25">
      <c r="A1304" s="10">
        <v>2024</v>
      </c>
      <c r="B1304" s="10" t="s">
        <v>133</v>
      </c>
      <c r="C1304" s="10" t="s">
        <v>188</v>
      </c>
      <c r="D1304" s="10" t="s">
        <v>123</v>
      </c>
      <c r="E1304" t="str">
        <f>VLOOKUP(D1304,'Lista de Produtos CLASSIFICAÇÃO'!$A$103:$B$144,2,FALSE)</f>
        <v>Aquecidos</v>
      </c>
      <c r="F1304" s="53">
        <v>535273</v>
      </c>
      <c r="G1304" s="56" t="str">
        <f>VLOOKUP(C1304,clientes!$C$3:$D$60,2,FALSE)</f>
        <v>ARES MERCHANTS PTE LIMITE</v>
      </c>
    </row>
    <row r="1305" spans="1:7" x14ac:dyDescent="0.25">
      <c r="A1305" s="10">
        <v>2024</v>
      </c>
      <c r="B1305" s="10" t="s">
        <v>133</v>
      </c>
      <c r="C1305" s="10" t="s">
        <v>18</v>
      </c>
      <c r="D1305" s="10" t="s">
        <v>17</v>
      </c>
      <c r="E1305" t="str">
        <f>VLOOKUP(D1305,'Lista de Produtos CLASSIFICAÇÃO'!$A$103:$B$144,2,FALSE)</f>
        <v>Acostagem</v>
      </c>
      <c r="F1305" s="53">
        <v>490272.65599999996</v>
      </c>
      <c r="G1305" s="56" t="str">
        <f>VLOOKUP(C1305,clientes!$C$3:$D$60,2,FALSE)</f>
        <v>ACOSTAGEM</v>
      </c>
    </row>
    <row r="1306" spans="1:7" x14ac:dyDescent="0.25">
      <c r="A1306" s="10">
        <v>2024</v>
      </c>
      <c r="B1306" s="10" t="s">
        <v>133</v>
      </c>
      <c r="C1306" s="10" t="s">
        <v>189</v>
      </c>
      <c r="D1306" s="10" t="s">
        <v>123</v>
      </c>
      <c r="E1306" t="str">
        <f>VLOOKUP(D1306,'Lista de Produtos CLASSIFICAÇÃO'!$A$103:$B$144,2,FALSE)</f>
        <v>Aquecidos</v>
      </c>
      <c r="F1306" s="53">
        <v>503774</v>
      </c>
      <c r="G1306" s="56" t="str">
        <f>VLOOKUP(C1306,clientes!$C$3:$D$60,2,FALSE)</f>
        <v>ICOF</v>
      </c>
    </row>
    <row r="1307" spans="1:7" x14ac:dyDescent="0.25">
      <c r="A1307" s="10">
        <v>2024</v>
      </c>
      <c r="B1307" s="10" t="s">
        <v>134</v>
      </c>
      <c r="C1307" s="10" t="s">
        <v>155</v>
      </c>
      <c r="D1307" s="10" t="s">
        <v>16</v>
      </c>
      <c r="E1307" t="str">
        <f>VLOOKUP(D1307,'Lista de Produtos CLASSIFICAÇÃO'!$A$103:$B$144,2,FALSE)</f>
        <v>Outros</v>
      </c>
      <c r="F1307" s="53">
        <v>886810</v>
      </c>
      <c r="G1307" s="56" t="str">
        <f>VLOOKUP(C1307,clientes!$C$3:$D$60,2,FALSE)</f>
        <v>ADISSEO</v>
      </c>
    </row>
    <row r="1308" spans="1:7" x14ac:dyDescent="0.25">
      <c r="A1308" s="10">
        <v>2024</v>
      </c>
      <c r="B1308" s="10" t="s">
        <v>134</v>
      </c>
      <c r="C1308" s="10" t="s">
        <v>156</v>
      </c>
      <c r="D1308" s="10" t="s">
        <v>123</v>
      </c>
      <c r="E1308" t="str">
        <f>VLOOKUP(D1308,'Lista de Produtos CLASSIFICAÇÃO'!$A$103:$B$144,2,FALSE)</f>
        <v>Aquecidos</v>
      </c>
      <c r="F1308" s="53">
        <v>377129</v>
      </c>
      <c r="G1308" s="56" t="str">
        <f>VLOOKUP(C1308,clientes!$C$3:$D$60,2,FALSE)</f>
        <v>BUNGE</v>
      </c>
    </row>
    <row r="1309" spans="1:7" x14ac:dyDescent="0.25">
      <c r="A1309" s="10">
        <v>2024</v>
      </c>
      <c r="B1309" s="10" t="s">
        <v>134</v>
      </c>
      <c r="C1309" s="10" t="s">
        <v>157</v>
      </c>
      <c r="D1309" s="10" t="s">
        <v>122</v>
      </c>
      <c r="E1309" t="str">
        <f>VLOOKUP(D1309,'Lista de Produtos CLASSIFICAÇÃO'!$A$103:$B$144,2,FALSE)</f>
        <v>Óleo Vegetal</v>
      </c>
      <c r="F1309" s="53">
        <v>187113</v>
      </c>
      <c r="G1309" s="56" t="str">
        <f>VLOOKUP(C1309,clientes!$C$3:$D$60,2,FALSE)</f>
        <v>ADM</v>
      </c>
    </row>
    <row r="1310" spans="1:7" x14ac:dyDescent="0.25">
      <c r="A1310" s="10">
        <v>2024</v>
      </c>
      <c r="B1310" s="10" t="s">
        <v>134</v>
      </c>
      <c r="C1310" s="10" t="s">
        <v>158</v>
      </c>
      <c r="D1310" s="10" t="s">
        <v>120</v>
      </c>
      <c r="E1310" t="str">
        <f>VLOOKUP(D1310,'Lista de Produtos CLASSIFICAÇÃO'!$A$103:$B$144,2,FALSE)</f>
        <v>Derivados</v>
      </c>
      <c r="F1310" s="53">
        <v>7226175</v>
      </c>
      <c r="G1310" s="56" t="str">
        <f>VLOOKUP(C1310,clientes!$C$3:$D$60,2,FALSE)</f>
        <v>IPIRANGA</v>
      </c>
    </row>
    <row r="1311" spans="1:7" x14ac:dyDescent="0.25">
      <c r="A1311" s="10">
        <v>2024</v>
      </c>
      <c r="B1311" s="10" t="s">
        <v>134</v>
      </c>
      <c r="C1311" s="10" t="s">
        <v>159</v>
      </c>
      <c r="D1311" s="10" t="s">
        <v>120</v>
      </c>
      <c r="E1311" t="str">
        <f>VLOOKUP(D1311,'Lista de Produtos CLASSIFICAÇÃO'!$A$103:$B$144,2,FALSE)</f>
        <v>Derivados</v>
      </c>
      <c r="F1311" s="53">
        <v>2968315</v>
      </c>
      <c r="G1311" s="56" t="str">
        <f>VLOOKUP(C1311,clientes!$C$3:$D$60,2,FALSE)</f>
        <v>RAIZEN</v>
      </c>
    </row>
    <row r="1312" spans="1:7" x14ac:dyDescent="0.25">
      <c r="A1312" s="10">
        <v>2024</v>
      </c>
      <c r="B1312" s="10" t="s">
        <v>134</v>
      </c>
      <c r="C1312" s="10" t="s">
        <v>160</v>
      </c>
      <c r="D1312" s="10" t="s">
        <v>120</v>
      </c>
      <c r="E1312" t="str">
        <f>VLOOKUP(D1312,'Lista de Produtos CLASSIFICAÇÃO'!$A$103:$B$144,2,FALSE)</f>
        <v>Derivados</v>
      </c>
      <c r="F1312" s="53">
        <v>1811877</v>
      </c>
      <c r="G1312" s="56" t="str">
        <f>VLOOKUP(C1312,clientes!$C$3:$D$60,2,FALSE)</f>
        <v>VIBRA</v>
      </c>
    </row>
    <row r="1313" spans="1:7" x14ac:dyDescent="0.25">
      <c r="A1313" s="10">
        <v>2024</v>
      </c>
      <c r="B1313" s="10" t="s">
        <v>134</v>
      </c>
      <c r="C1313" s="10" t="s">
        <v>161</v>
      </c>
      <c r="D1313" s="10" t="s">
        <v>120</v>
      </c>
      <c r="E1313" t="str">
        <f>VLOOKUP(D1313,'Lista de Produtos CLASSIFICAÇÃO'!$A$103:$B$144,2,FALSE)</f>
        <v>Derivados</v>
      </c>
      <c r="F1313" s="53">
        <v>3650396</v>
      </c>
      <c r="G1313" s="56" t="str">
        <f>VLOOKUP(C1313,clientes!$C$3:$D$60,2,FALSE)</f>
        <v>SUL PLATA</v>
      </c>
    </row>
    <row r="1314" spans="1:7" x14ac:dyDescent="0.25">
      <c r="A1314" s="10">
        <v>2024</v>
      </c>
      <c r="B1314" s="10" t="s">
        <v>134</v>
      </c>
      <c r="C1314" s="10" t="s">
        <v>162</v>
      </c>
      <c r="D1314" s="10" t="s">
        <v>115</v>
      </c>
      <c r="E1314" t="str">
        <f>VLOOKUP(D1314,'Lista de Produtos CLASSIFICAÇÃO'!$A$103:$B$144,2,FALSE)</f>
        <v>Soda Caustica</v>
      </c>
      <c r="F1314" s="53">
        <v>179417</v>
      </c>
      <c r="G1314" s="56" t="str">
        <f>VLOOKUP(C1314,clientes!$C$3:$D$60,2,FALSE)</f>
        <v>JBS</v>
      </c>
    </row>
    <row r="1315" spans="1:7" x14ac:dyDescent="0.25">
      <c r="A1315" s="10">
        <v>2024</v>
      </c>
      <c r="B1315" s="10" t="s">
        <v>134</v>
      </c>
      <c r="C1315" s="10" t="s">
        <v>163</v>
      </c>
      <c r="D1315" s="10" t="s">
        <v>115</v>
      </c>
      <c r="E1315" t="str">
        <f>VLOOKUP(D1315,'Lista de Produtos CLASSIFICAÇÃO'!$A$103:$B$144,2,FALSE)</f>
        <v>Soda Caustica</v>
      </c>
      <c r="F1315" s="53">
        <v>396611</v>
      </c>
      <c r="G1315" s="56" t="str">
        <f>VLOOKUP(C1315,clientes!$C$3:$D$60,2,FALSE)</f>
        <v>TRICON ENERGY</v>
      </c>
    </row>
    <row r="1316" spans="1:7" x14ac:dyDescent="0.25">
      <c r="A1316" s="10">
        <v>2024</v>
      </c>
      <c r="B1316" s="10" t="s">
        <v>134</v>
      </c>
      <c r="C1316" s="10" t="s">
        <v>164</v>
      </c>
      <c r="D1316" s="10" t="s">
        <v>115</v>
      </c>
      <c r="E1316" t="str">
        <f>VLOOKUP(D1316,'Lista de Produtos CLASSIFICAÇÃO'!$A$103:$B$144,2,FALSE)</f>
        <v>Soda Caustica</v>
      </c>
      <c r="F1316" s="53">
        <v>273415</v>
      </c>
      <c r="G1316" s="56" t="str">
        <f>VLOOKUP(C1316,clientes!$C$3:$D$60,2,FALSE)</f>
        <v>BRASKEM</v>
      </c>
    </row>
    <row r="1317" spans="1:7" x14ac:dyDescent="0.25">
      <c r="A1317" s="10">
        <v>2024</v>
      </c>
      <c r="B1317" s="10" t="s">
        <v>134</v>
      </c>
      <c r="C1317" s="10" t="s">
        <v>165</v>
      </c>
      <c r="D1317" s="10" t="s">
        <v>123</v>
      </c>
      <c r="E1317" t="str">
        <f>VLOOKUP(D1317,'Lista de Produtos CLASSIFICAÇÃO'!$A$103:$B$144,2,FALSE)</f>
        <v>Aquecidos</v>
      </c>
      <c r="F1317" s="53">
        <v>944286</v>
      </c>
      <c r="G1317" s="56" t="str">
        <f>VLOOKUP(C1317,clientes!$C$3:$D$60,2,FALSE)</f>
        <v>BRF</v>
      </c>
    </row>
    <row r="1318" spans="1:7" x14ac:dyDescent="0.25">
      <c r="A1318" s="10">
        <v>2024</v>
      </c>
      <c r="B1318" s="10" t="s">
        <v>134</v>
      </c>
      <c r="C1318" s="10" t="s">
        <v>162</v>
      </c>
      <c r="D1318" s="10" t="s">
        <v>123</v>
      </c>
      <c r="E1318" t="str">
        <f>VLOOKUP(D1318,'Lista de Produtos CLASSIFICAÇÃO'!$A$103:$B$144,2,FALSE)</f>
        <v>Aquecidos</v>
      </c>
      <c r="F1318" s="53">
        <v>355713</v>
      </c>
      <c r="G1318" s="56" t="str">
        <f>VLOOKUP(C1318,clientes!$C$3:$D$60,2,FALSE)</f>
        <v>JBS</v>
      </c>
    </row>
    <row r="1319" spans="1:7" x14ac:dyDescent="0.25">
      <c r="A1319" s="10">
        <v>2024</v>
      </c>
      <c r="B1319" s="10" t="s">
        <v>134</v>
      </c>
      <c r="C1319" s="10" t="s">
        <v>166</v>
      </c>
      <c r="D1319" s="10" t="s">
        <v>123</v>
      </c>
      <c r="E1319" t="str">
        <f>VLOOKUP(D1319,'Lista de Produtos CLASSIFICAÇÃO'!$A$103:$B$144,2,FALSE)</f>
        <v>Aquecidos</v>
      </c>
      <c r="F1319" s="53">
        <v>521117</v>
      </c>
      <c r="G1319" s="56" t="str">
        <f>VLOOKUP(C1319,clientes!$C$3:$D$60,2,FALSE)</f>
        <v>CARGILL</v>
      </c>
    </row>
    <row r="1320" spans="1:7" x14ac:dyDescent="0.25">
      <c r="A1320" s="10">
        <v>2024</v>
      </c>
      <c r="B1320" s="10" t="s">
        <v>134</v>
      </c>
      <c r="C1320" s="10" t="s">
        <v>167</v>
      </c>
      <c r="D1320" s="10" t="s">
        <v>122</v>
      </c>
      <c r="E1320" t="str">
        <f>VLOOKUP(D1320,'Lista de Produtos CLASSIFICAÇÃO'!$A$103:$B$144,2,FALSE)</f>
        <v>Óleo Vegetal</v>
      </c>
      <c r="F1320" s="53">
        <v>6885695</v>
      </c>
      <c r="G1320" s="56" t="str">
        <f>VLOOKUP(C1320,clientes!$C$3:$D$60,2,FALSE)</f>
        <v>POOL</v>
      </c>
    </row>
    <row r="1321" spans="1:7" x14ac:dyDescent="0.25">
      <c r="A1321" s="10">
        <v>2024</v>
      </c>
      <c r="B1321" s="10" t="s">
        <v>134</v>
      </c>
      <c r="C1321" s="10" t="s">
        <v>168</v>
      </c>
      <c r="D1321" s="10" t="s">
        <v>122</v>
      </c>
      <c r="E1321" t="str">
        <f>VLOOKUP(D1321,'Lista de Produtos CLASSIFICAÇÃO'!$A$103:$B$144,2,FALSE)</f>
        <v>Óleo Vegetal</v>
      </c>
      <c r="F1321" s="53">
        <v>0</v>
      </c>
      <c r="G1321" s="56" t="str">
        <f>VLOOKUP(C1321,clientes!$C$3:$D$60,2,FALSE)</f>
        <v>POOL EXCEDENTE</v>
      </c>
    </row>
    <row r="1322" spans="1:7" x14ac:dyDescent="0.25">
      <c r="A1322" s="10">
        <v>2024</v>
      </c>
      <c r="B1322" s="10" t="s">
        <v>134</v>
      </c>
      <c r="C1322" s="10" t="s">
        <v>169</v>
      </c>
      <c r="D1322" s="10" t="s">
        <v>22</v>
      </c>
      <c r="E1322" t="str">
        <f>VLOOKUP(D1322,'Lista de Produtos CLASSIFICAÇÃO'!$A$103:$B$144,2,FALSE)</f>
        <v>Metanol</v>
      </c>
      <c r="F1322" s="53">
        <v>5852002</v>
      </c>
      <c r="G1322" s="56" t="str">
        <f>VLOOKUP(C1322,clientes!$C$3:$D$60,2,FALSE)</f>
        <v>METHANEX</v>
      </c>
    </row>
    <row r="1323" spans="1:7" x14ac:dyDescent="0.25">
      <c r="A1323" s="10">
        <v>2024</v>
      </c>
      <c r="B1323" s="10" t="s">
        <v>134</v>
      </c>
      <c r="C1323" s="10" t="s">
        <v>170</v>
      </c>
      <c r="D1323" s="10" t="s">
        <v>22</v>
      </c>
      <c r="E1323" t="str">
        <f>VLOOKUP(D1323,'Lista de Produtos CLASSIFICAÇÃO'!$A$103:$B$144,2,FALSE)</f>
        <v>Metanol</v>
      </c>
      <c r="F1323" s="53">
        <v>3046681</v>
      </c>
      <c r="G1323" s="56" t="str">
        <f>VLOOKUP(C1323,clientes!$C$3:$D$60,2,FALSE)</f>
        <v>MITSUBISHI</v>
      </c>
    </row>
    <row r="1324" spans="1:7" x14ac:dyDescent="0.25">
      <c r="A1324" s="10">
        <v>2024</v>
      </c>
      <c r="B1324" s="10" t="s">
        <v>134</v>
      </c>
      <c r="C1324" s="10" t="s">
        <v>171</v>
      </c>
      <c r="D1324" s="10" t="s">
        <v>22</v>
      </c>
      <c r="E1324" t="str">
        <f>VLOOKUP(D1324,'Lista de Produtos CLASSIFICAÇÃO'!$A$103:$B$144,2,FALSE)</f>
        <v>Metanol</v>
      </c>
      <c r="F1324" s="53">
        <v>5179714</v>
      </c>
      <c r="G1324" s="56" t="str">
        <f>VLOOKUP(C1324,clientes!$C$3:$D$60,2,FALSE)</f>
        <v>VALENZ</v>
      </c>
    </row>
    <row r="1325" spans="1:7" x14ac:dyDescent="0.25">
      <c r="A1325" s="10">
        <v>2024</v>
      </c>
      <c r="B1325" s="10" t="s">
        <v>134</v>
      </c>
      <c r="C1325" s="10" t="s">
        <v>172</v>
      </c>
      <c r="D1325" s="10" t="s">
        <v>124</v>
      </c>
      <c r="E1325" t="str">
        <f>VLOOKUP(D1325,'Lista de Produtos CLASSIFICAÇÃO'!$A$103:$B$144,2,FALSE)</f>
        <v>Outros</v>
      </c>
      <c r="F1325" s="53">
        <v>406450</v>
      </c>
      <c r="G1325" s="56" t="str">
        <f>VLOOKUP(C1325,clientes!$C$3:$D$60,2,FALSE)</f>
        <v>EVONIK</v>
      </c>
    </row>
    <row r="1326" spans="1:7" x14ac:dyDescent="0.25">
      <c r="A1326" s="10">
        <v>2024</v>
      </c>
      <c r="B1326" s="10" t="s">
        <v>134</v>
      </c>
      <c r="C1326" s="10" t="s">
        <v>173</v>
      </c>
      <c r="D1326" s="10" t="s">
        <v>22</v>
      </c>
      <c r="E1326" t="str">
        <f>VLOOKUP(D1326,'Lista de Produtos CLASSIFICAÇÃO'!$A$103:$B$144,2,FALSE)</f>
        <v>Metanol</v>
      </c>
      <c r="F1326" s="53">
        <v>490592</v>
      </c>
      <c r="G1326" s="56" t="str">
        <f>VLOOKUP(C1326,clientes!$C$3:$D$60,2,FALSE)</f>
        <v>YPF SOCIEDAD ANONIMA</v>
      </c>
    </row>
    <row r="1327" spans="1:7" x14ac:dyDescent="0.25">
      <c r="A1327" s="10">
        <v>2024</v>
      </c>
      <c r="B1327" s="10" t="s">
        <v>134</v>
      </c>
      <c r="C1327" s="10" t="s">
        <v>174</v>
      </c>
      <c r="D1327" s="10" t="s">
        <v>123</v>
      </c>
      <c r="E1327" t="str">
        <f>VLOOKUP(D1327,'Lista de Produtos CLASSIFICAÇÃO'!$A$103:$B$144,2,FALSE)</f>
        <v>Aquecidos</v>
      </c>
      <c r="F1327" s="53">
        <v>315191</v>
      </c>
      <c r="G1327" s="56" t="str">
        <f>VLOOKUP(C1327,clientes!$C$3:$D$60,2,FALSE)</f>
        <v>CELENA</v>
      </c>
    </row>
    <row r="1328" spans="1:7" x14ac:dyDescent="0.25">
      <c r="A1328" s="10">
        <v>2024</v>
      </c>
      <c r="B1328" s="10" t="s">
        <v>134</v>
      </c>
      <c r="C1328" s="10" t="s">
        <v>175</v>
      </c>
      <c r="D1328" s="10" t="s">
        <v>123</v>
      </c>
      <c r="E1328" t="str">
        <f>VLOOKUP(D1328,'Lista de Produtos CLASSIFICAÇÃO'!$A$103:$B$144,2,FALSE)</f>
        <v>Aquecidos</v>
      </c>
      <c r="F1328" s="53">
        <v>582352</v>
      </c>
      <c r="G1328" s="56" t="str">
        <f>VLOOKUP(C1328,clientes!$C$3:$D$60,2,FALSE)</f>
        <v>AAK DO BRASIL</v>
      </c>
    </row>
    <row r="1329" spans="1:7" x14ac:dyDescent="0.25">
      <c r="A1329" s="10">
        <v>2024</v>
      </c>
      <c r="B1329" s="10" t="s">
        <v>134</v>
      </c>
      <c r="C1329" s="10" t="s">
        <v>166</v>
      </c>
      <c r="D1329" s="10" t="s">
        <v>122</v>
      </c>
      <c r="E1329" t="str">
        <f>VLOOKUP(D1329,'Lista de Produtos CLASSIFICAÇÃO'!$A$103:$B$144,2,FALSE)</f>
        <v>Óleo Vegetal</v>
      </c>
      <c r="F1329" s="53">
        <v>234062</v>
      </c>
      <c r="G1329" s="56" t="str">
        <f>VLOOKUP(C1329,clientes!$C$3:$D$60,2,FALSE)</f>
        <v>CARGILL</v>
      </c>
    </row>
    <row r="1330" spans="1:7" x14ac:dyDescent="0.25">
      <c r="A1330" s="10">
        <v>2024</v>
      </c>
      <c r="B1330" s="10" t="s">
        <v>134</v>
      </c>
      <c r="C1330" s="10" t="s">
        <v>176</v>
      </c>
      <c r="D1330" s="10" t="s">
        <v>123</v>
      </c>
      <c r="E1330" t="str">
        <f>VLOOKUP(D1330,'Lista de Produtos CLASSIFICAÇÃO'!$A$103:$B$144,2,FALSE)</f>
        <v>Aquecidos</v>
      </c>
      <c r="F1330" s="53">
        <v>360148</v>
      </c>
      <c r="G1330" s="56" t="str">
        <f>VLOOKUP(C1330,clientes!$C$3:$D$60,2,FALSE)</f>
        <v>AGROPALMA</v>
      </c>
    </row>
    <row r="1331" spans="1:7" x14ac:dyDescent="0.25">
      <c r="A1331" s="10">
        <v>2024</v>
      </c>
      <c r="B1331" s="10" t="s">
        <v>134</v>
      </c>
      <c r="C1331" s="10" t="s">
        <v>177</v>
      </c>
      <c r="D1331" s="10" t="s">
        <v>115</v>
      </c>
      <c r="E1331" t="str">
        <f>VLOOKUP(D1331,'Lista de Produtos CLASSIFICAÇÃO'!$A$103:$B$144,2,FALSE)</f>
        <v>Soda Caustica</v>
      </c>
      <c r="F1331" s="53">
        <v>426494</v>
      </c>
      <c r="G1331" s="56" t="str">
        <f>VLOOKUP(C1331,clientes!$C$3:$D$60,2,FALSE)</f>
        <v>BRENNTAG</v>
      </c>
    </row>
    <row r="1332" spans="1:7" x14ac:dyDescent="0.25">
      <c r="A1332" s="10">
        <v>2024</v>
      </c>
      <c r="B1332" s="10" t="s">
        <v>134</v>
      </c>
      <c r="C1332" s="10" t="s">
        <v>178</v>
      </c>
      <c r="D1332" s="10" t="s">
        <v>115</v>
      </c>
      <c r="E1332" t="str">
        <f>VLOOKUP(D1332,'Lista de Produtos CLASSIFICAÇÃO'!$A$103:$B$144,2,FALSE)</f>
        <v>Soda Caustica</v>
      </c>
      <c r="F1332" s="53">
        <v>1524504</v>
      </c>
      <c r="G1332" s="56" t="str">
        <f>VLOOKUP(C1332,clientes!$C$3:$D$60,2,FALSE)</f>
        <v>OLIN BLUE CUBE</v>
      </c>
    </row>
    <row r="1333" spans="1:7" x14ac:dyDescent="0.25">
      <c r="A1333" s="10">
        <v>2024</v>
      </c>
      <c r="B1333" s="10" t="s">
        <v>134</v>
      </c>
      <c r="C1333" s="10" t="s">
        <v>179</v>
      </c>
      <c r="D1333" s="10" t="s">
        <v>26</v>
      </c>
      <c r="E1333" t="str">
        <f>VLOOKUP(D1333,'Lista de Produtos CLASSIFICAÇÃO'!$A$103:$B$144,2,FALSE)</f>
        <v>Biocombustíveis</v>
      </c>
      <c r="F1333" s="53">
        <v>467791</v>
      </c>
      <c r="G1333" s="56" t="str">
        <f>VLOOKUP(C1333,clientes!$C$3:$D$60,2,FALSE)</f>
        <v>BSBIOS</v>
      </c>
    </row>
    <row r="1334" spans="1:7" x14ac:dyDescent="0.25">
      <c r="A1334" s="10">
        <v>2024</v>
      </c>
      <c r="B1334" s="10" t="s">
        <v>134</v>
      </c>
      <c r="C1334" s="10" t="s">
        <v>180</v>
      </c>
      <c r="D1334" s="10" t="s">
        <v>30</v>
      </c>
      <c r="E1334" t="str">
        <f>VLOOKUP(D1334,'Lista de Produtos CLASSIFICAÇÃO'!$A$103:$B$144,2,FALSE)</f>
        <v>Outros</v>
      </c>
      <c r="F1334" s="53">
        <v>192330</v>
      </c>
      <c r="G1334" s="56" t="str">
        <f>VLOOKUP(C1334,clientes!$C$3:$D$60,2,FALSE)</f>
        <v>TRICHEM</v>
      </c>
    </row>
    <row r="1335" spans="1:7" x14ac:dyDescent="0.25">
      <c r="A1335" s="10">
        <v>2024</v>
      </c>
      <c r="B1335" s="10" t="s">
        <v>134</v>
      </c>
      <c r="C1335" s="10" t="s">
        <v>181</v>
      </c>
      <c r="D1335" s="10" t="s">
        <v>123</v>
      </c>
      <c r="E1335" t="str">
        <f>VLOOKUP(D1335,'Lista de Produtos CLASSIFICAÇÃO'!$A$103:$B$144,2,FALSE)</f>
        <v>Aquecidos</v>
      </c>
      <c r="F1335" s="53">
        <v>186529</v>
      </c>
      <c r="G1335" s="56" t="str">
        <f>VLOOKUP(C1335,clientes!$C$3:$D$60,2,FALSE)</f>
        <v>COAMO</v>
      </c>
    </row>
    <row r="1336" spans="1:7" x14ac:dyDescent="0.25">
      <c r="A1336" s="10">
        <v>2024</v>
      </c>
      <c r="B1336" s="10" t="s">
        <v>134</v>
      </c>
      <c r="C1336" s="10" t="s">
        <v>182</v>
      </c>
      <c r="D1336" s="10" t="s">
        <v>120</v>
      </c>
      <c r="E1336" t="str">
        <f>VLOOKUP(D1336,'Lista de Produtos CLASSIFICAÇÃO'!$A$103:$B$144,2,FALSE)</f>
        <v>Derivados</v>
      </c>
      <c r="F1336" s="53">
        <v>0</v>
      </c>
      <c r="G1336" s="56" t="str">
        <f>VLOOKUP(C1336,clientes!$C$3:$D$60,2,FALSE)</f>
        <v>ATEM</v>
      </c>
    </row>
    <row r="1337" spans="1:7" x14ac:dyDescent="0.25">
      <c r="A1337" s="10">
        <v>2024</v>
      </c>
      <c r="B1337" s="10" t="s">
        <v>134</v>
      </c>
      <c r="C1337" s="10" t="s">
        <v>174</v>
      </c>
      <c r="D1337" s="10" t="s">
        <v>123</v>
      </c>
      <c r="E1337" t="str">
        <f>VLOOKUP(D1337,'Lista de Produtos CLASSIFICAÇÃO'!$A$103:$B$144,2,FALSE)</f>
        <v>Aquecidos</v>
      </c>
      <c r="F1337" s="53">
        <v>1870436</v>
      </c>
      <c r="G1337" s="56" t="str">
        <f>VLOOKUP(C1337,clientes!$C$3:$D$60,2,FALSE)</f>
        <v>CELENA</v>
      </c>
    </row>
    <row r="1338" spans="1:7" x14ac:dyDescent="0.25">
      <c r="A1338" s="10">
        <v>2024</v>
      </c>
      <c r="B1338" s="10" t="s">
        <v>134</v>
      </c>
      <c r="C1338" s="10" t="s">
        <v>173</v>
      </c>
      <c r="D1338" s="10" t="s">
        <v>183</v>
      </c>
      <c r="E1338" t="str">
        <f>VLOOKUP(D1338,'Lista de Produtos CLASSIFICAÇÃO'!$A$103:$B$144,2,FALSE)</f>
        <v>Outros</v>
      </c>
      <c r="F1338" s="53">
        <v>159474</v>
      </c>
      <c r="G1338" s="56" t="str">
        <f>VLOOKUP(C1338,clientes!$C$3:$D$60,2,FALSE)</f>
        <v>YPF SOCIEDAD ANONIMA</v>
      </c>
    </row>
    <row r="1339" spans="1:7" x14ac:dyDescent="0.25">
      <c r="A1339" s="10">
        <v>2024</v>
      </c>
      <c r="B1339" s="10" t="s">
        <v>134</v>
      </c>
      <c r="C1339" s="10" t="s">
        <v>184</v>
      </c>
      <c r="D1339" s="10" t="s">
        <v>122</v>
      </c>
      <c r="E1339" t="str">
        <f>VLOOKUP(D1339,'Lista de Produtos CLASSIFICAÇÃO'!$A$103:$B$144,2,FALSE)</f>
        <v>Óleo Vegetal</v>
      </c>
      <c r="F1339" s="53">
        <v>192335</v>
      </c>
      <c r="G1339" s="56" t="str">
        <f>VLOOKUP(C1339,clientes!$C$3:$D$60,2,FALSE)</f>
        <v>INGREDION</v>
      </c>
    </row>
    <row r="1340" spans="1:7" x14ac:dyDescent="0.25">
      <c r="A1340" s="10">
        <v>2024</v>
      </c>
      <c r="B1340" s="10" t="s">
        <v>134</v>
      </c>
      <c r="C1340" s="10" t="s">
        <v>185</v>
      </c>
      <c r="D1340" s="10" t="s">
        <v>120</v>
      </c>
      <c r="E1340" t="str">
        <f>VLOOKUP(D1340,'Lista de Produtos CLASSIFICAÇÃO'!$A$103:$B$144,2,FALSE)</f>
        <v>Derivados</v>
      </c>
      <c r="F1340" s="53">
        <v>1214701</v>
      </c>
      <c r="G1340" s="56" t="str">
        <f>VLOOKUP(C1340,clientes!$C$3:$D$60,2,FALSE)</f>
        <v>CIAPETRO</v>
      </c>
    </row>
    <row r="1341" spans="1:7" x14ac:dyDescent="0.25">
      <c r="A1341" s="10">
        <v>2024</v>
      </c>
      <c r="B1341" s="10" t="s">
        <v>134</v>
      </c>
      <c r="C1341" s="10" t="s">
        <v>186</v>
      </c>
      <c r="D1341" s="10" t="s">
        <v>22</v>
      </c>
      <c r="E1341" t="str">
        <f>VLOOKUP(D1341,'Lista de Produtos CLASSIFICAÇÃO'!$A$103:$B$144,2,FALSE)</f>
        <v>Metanol</v>
      </c>
      <c r="F1341" s="53">
        <v>641825</v>
      </c>
      <c r="G1341" s="56" t="str">
        <f>VLOOKUP(C1341,clientes!$C$3:$D$60,2,FALSE)</f>
        <v>OQ TRADING</v>
      </c>
    </row>
    <row r="1342" spans="1:7" x14ac:dyDescent="0.25">
      <c r="A1342" s="10">
        <v>2024</v>
      </c>
      <c r="B1342" s="10" t="s">
        <v>134</v>
      </c>
      <c r="C1342" s="10" t="s">
        <v>187</v>
      </c>
      <c r="D1342" s="10" t="s">
        <v>121</v>
      </c>
      <c r="E1342" t="str">
        <f>VLOOKUP(D1342,'Lista de Produtos CLASSIFICAÇÃO'!$A$103:$B$144,2,FALSE)</f>
        <v>Biocombustíveis</v>
      </c>
      <c r="F1342" s="53">
        <v>850000</v>
      </c>
      <c r="G1342" s="56" t="str">
        <f>VLOOKUP(C1342,clientes!$C$3:$D$60,2,FALSE)</f>
        <v>TEREOS / INPASA / GLENCORE / FS</v>
      </c>
    </row>
    <row r="1343" spans="1:7" x14ac:dyDescent="0.25">
      <c r="A1343" s="10">
        <v>2024</v>
      </c>
      <c r="B1343" s="10" t="s">
        <v>134</v>
      </c>
      <c r="C1343" s="10" t="s">
        <v>188</v>
      </c>
      <c r="D1343" s="10" t="s">
        <v>123</v>
      </c>
      <c r="E1343" t="str">
        <f>VLOOKUP(D1343,'Lista de Produtos CLASSIFICAÇÃO'!$A$103:$B$144,2,FALSE)</f>
        <v>Aquecidos</v>
      </c>
      <c r="F1343" s="53">
        <v>535273</v>
      </c>
      <c r="G1343" s="56" t="str">
        <f>VLOOKUP(C1343,clientes!$C$3:$D$60,2,FALSE)</f>
        <v>ARES MERCHANTS PTE LIMITE</v>
      </c>
    </row>
    <row r="1344" spans="1:7" x14ac:dyDescent="0.25">
      <c r="A1344" s="10">
        <v>2024</v>
      </c>
      <c r="B1344" s="10" t="s">
        <v>134</v>
      </c>
      <c r="C1344" s="10" t="s">
        <v>18</v>
      </c>
      <c r="D1344" s="10" t="s">
        <v>17</v>
      </c>
      <c r="E1344" t="str">
        <f>VLOOKUP(D1344,'Lista de Produtos CLASSIFICAÇÃO'!$A$103:$B$144,2,FALSE)</f>
        <v>Acostagem</v>
      </c>
      <c r="F1344" s="53">
        <v>488300.68399999995</v>
      </c>
      <c r="G1344" s="56" t="str">
        <f>VLOOKUP(C1344,clientes!$C$3:$D$60,2,FALSE)</f>
        <v>ACOSTAGEM</v>
      </c>
    </row>
    <row r="1345" spans="1:7" x14ac:dyDescent="0.25">
      <c r="A1345" s="10">
        <v>2024</v>
      </c>
      <c r="B1345" s="10" t="s">
        <v>134</v>
      </c>
      <c r="C1345" s="10" t="s">
        <v>189</v>
      </c>
      <c r="D1345" s="10" t="s">
        <v>123</v>
      </c>
      <c r="E1345" t="str">
        <f>VLOOKUP(D1345,'Lista de Produtos CLASSIFICAÇÃO'!$A$103:$B$144,2,FALSE)</f>
        <v>Aquecidos</v>
      </c>
      <c r="F1345" s="53">
        <v>503774</v>
      </c>
      <c r="G1345" s="56" t="str">
        <f>VLOOKUP(C1345,clientes!$C$3:$D$60,2,FALSE)</f>
        <v>ICOF</v>
      </c>
    </row>
    <row r="1346" spans="1:7" x14ac:dyDescent="0.25">
      <c r="A1346" s="10">
        <v>2024</v>
      </c>
      <c r="B1346" s="10" t="s">
        <v>135</v>
      </c>
      <c r="C1346" s="10" t="s">
        <v>155</v>
      </c>
      <c r="D1346" s="10" t="s">
        <v>16</v>
      </c>
      <c r="E1346" t="str">
        <f>VLOOKUP(D1346,'Lista de Produtos CLASSIFICAÇÃO'!$A$103:$B$144,2,FALSE)</f>
        <v>Outros</v>
      </c>
      <c r="F1346" s="53">
        <v>886810</v>
      </c>
      <c r="G1346" s="56" t="str">
        <f>VLOOKUP(C1346,clientes!$C$3:$D$60,2,FALSE)</f>
        <v>ADISSEO</v>
      </c>
    </row>
    <row r="1347" spans="1:7" x14ac:dyDescent="0.25">
      <c r="A1347" s="10">
        <v>2024</v>
      </c>
      <c r="B1347" s="10" t="s">
        <v>135</v>
      </c>
      <c r="C1347" s="10" t="s">
        <v>156</v>
      </c>
      <c r="D1347" s="10" t="s">
        <v>123</v>
      </c>
      <c r="E1347" t="str">
        <f>VLOOKUP(D1347,'Lista de Produtos CLASSIFICAÇÃO'!$A$103:$B$144,2,FALSE)</f>
        <v>Aquecidos</v>
      </c>
      <c r="F1347" s="53">
        <v>377129</v>
      </c>
      <c r="G1347" s="56" t="str">
        <f>VLOOKUP(C1347,clientes!$C$3:$D$60,2,FALSE)</f>
        <v>BUNGE</v>
      </c>
    </row>
    <row r="1348" spans="1:7" x14ac:dyDescent="0.25">
      <c r="A1348" s="10">
        <v>2024</v>
      </c>
      <c r="B1348" s="10" t="s">
        <v>135</v>
      </c>
      <c r="C1348" s="10" t="s">
        <v>157</v>
      </c>
      <c r="D1348" s="10" t="s">
        <v>122</v>
      </c>
      <c r="E1348" t="str">
        <f>VLOOKUP(D1348,'Lista de Produtos CLASSIFICAÇÃO'!$A$103:$B$144,2,FALSE)</f>
        <v>Óleo Vegetal</v>
      </c>
      <c r="F1348" s="53">
        <v>187113</v>
      </c>
      <c r="G1348" s="56" t="str">
        <f>VLOOKUP(C1348,clientes!$C$3:$D$60,2,FALSE)</f>
        <v>ADM</v>
      </c>
    </row>
    <row r="1349" spans="1:7" x14ac:dyDescent="0.25">
      <c r="A1349" s="10">
        <v>2024</v>
      </c>
      <c r="B1349" s="10" t="s">
        <v>135</v>
      </c>
      <c r="C1349" s="10" t="s">
        <v>158</v>
      </c>
      <c r="D1349" s="10" t="s">
        <v>120</v>
      </c>
      <c r="E1349" t="str">
        <f>VLOOKUP(D1349,'Lista de Produtos CLASSIFICAÇÃO'!$A$103:$B$144,2,FALSE)</f>
        <v>Derivados</v>
      </c>
      <c r="F1349" s="53">
        <v>7226175</v>
      </c>
      <c r="G1349" s="56" t="str">
        <f>VLOOKUP(C1349,clientes!$C$3:$D$60,2,FALSE)</f>
        <v>IPIRANGA</v>
      </c>
    </row>
    <row r="1350" spans="1:7" x14ac:dyDescent="0.25">
      <c r="A1350" s="10">
        <v>2024</v>
      </c>
      <c r="B1350" s="10" t="s">
        <v>135</v>
      </c>
      <c r="C1350" s="10" t="s">
        <v>159</v>
      </c>
      <c r="D1350" s="10" t="s">
        <v>120</v>
      </c>
      <c r="E1350" t="str">
        <f>VLOOKUP(D1350,'Lista de Produtos CLASSIFICAÇÃO'!$A$103:$B$144,2,FALSE)</f>
        <v>Derivados</v>
      </c>
      <c r="F1350" s="53">
        <v>2968315</v>
      </c>
      <c r="G1350" s="56" t="str">
        <f>VLOOKUP(C1350,clientes!$C$3:$D$60,2,FALSE)</f>
        <v>RAIZEN</v>
      </c>
    </row>
    <row r="1351" spans="1:7" x14ac:dyDescent="0.25">
      <c r="A1351" s="10">
        <v>2024</v>
      </c>
      <c r="B1351" s="10" t="s">
        <v>135</v>
      </c>
      <c r="C1351" s="10" t="s">
        <v>160</v>
      </c>
      <c r="D1351" s="10" t="s">
        <v>120</v>
      </c>
      <c r="E1351" t="str">
        <f>VLOOKUP(D1351,'Lista de Produtos CLASSIFICAÇÃO'!$A$103:$B$144,2,FALSE)</f>
        <v>Derivados</v>
      </c>
      <c r="F1351" s="53">
        <v>1811877</v>
      </c>
      <c r="G1351" s="56" t="str">
        <f>VLOOKUP(C1351,clientes!$C$3:$D$60,2,FALSE)</f>
        <v>VIBRA</v>
      </c>
    </row>
    <row r="1352" spans="1:7" x14ac:dyDescent="0.25">
      <c r="A1352" s="10">
        <v>2024</v>
      </c>
      <c r="B1352" s="10" t="s">
        <v>135</v>
      </c>
      <c r="C1352" s="10" t="s">
        <v>161</v>
      </c>
      <c r="D1352" s="10" t="s">
        <v>120</v>
      </c>
      <c r="E1352" t="str">
        <f>VLOOKUP(D1352,'Lista de Produtos CLASSIFICAÇÃO'!$A$103:$B$144,2,FALSE)</f>
        <v>Derivados</v>
      </c>
      <c r="F1352" s="53">
        <v>3650396</v>
      </c>
      <c r="G1352" s="56" t="str">
        <f>VLOOKUP(C1352,clientes!$C$3:$D$60,2,FALSE)</f>
        <v>SUL PLATA</v>
      </c>
    </row>
    <row r="1353" spans="1:7" x14ac:dyDescent="0.25">
      <c r="A1353" s="10">
        <v>2024</v>
      </c>
      <c r="B1353" s="10" t="s">
        <v>135</v>
      </c>
      <c r="C1353" s="10" t="s">
        <v>162</v>
      </c>
      <c r="D1353" s="10" t="s">
        <v>115</v>
      </c>
      <c r="E1353" t="str">
        <f>VLOOKUP(D1353,'Lista de Produtos CLASSIFICAÇÃO'!$A$103:$B$144,2,FALSE)</f>
        <v>Soda Caustica</v>
      </c>
      <c r="F1353" s="53">
        <v>179417</v>
      </c>
      <c r="G1353" s="56" t="str">
        <f>VLOOKUP(C1353,clientes!$C$3:$D$60,2,FALSE)</f>
        <v>JBS</v>
      </c>
    </row>
    <row r="1354" spans="1:7" x14ac:dyDescent="0.25">
      <c r="A1354" s="10">
        <v>2024</v>
      </c>
      <c r="B1354" s="10" t="s">
        <v>135</v>
      </c>
      <c r="C1354" s="10" t="s">
        <v>163</v>
      </c>
      <c r="D1354" s="10" t="s">
        <v>115</v>
      </c>
      <c r="E1354" t="str">
        <f>VLOOKUP(D1354,'Lista de Produtos CLASSIFICAÇÃO'!$A$103:$B$144,2,FALSE)</f>
        <v>Soda Caustica</v>
      </c>
      <c r="F1354" s="53">
        <v>396611</v>
      </c>
      <c r="G1354" s="56" t="str">
        <f>VLOOKUP(C1354,clientes!$C$3:$D$60,2,FALSE)</f>
        <v>TRICON ENERGY</v>
      </c>
    </row>
    <row r="1355" spans="1:7" x14ac:dyDescent="0.25">
      <c r="A1355" s="10">
        <v>2024</v>
      </c>
      <c r="B1355" s="10" t="s">
        <v>135</v>
      </c>
      <c r="C1355" s="10" t="s">
        <v>164</v>
      </c>
      <c r="D1355" s="10" t="s">
        <v>115</v>
      </c>
      <c r="E1355" t="str">
        <f>VLOOKUP(D1355,'Lista de Produtos CLASSIFICAÇÃO'!$A$103:$B$144,2,FALSE)</f>
        <v>Soda Caustica</v>
      </c>
      <c r="F1355" s="53">
        <v>273415</v>
      </c>
      <c r="G1355" s="56" t="str">
        <f>VLOOKUP(C1355,clientes!$C$3:$D$60,2,FALSE)</f>
        <v>BRASKEM</v>
      </c>
    </row>
    <row r="1356" spans="1:7" x14ac:dyDescent="0.25">
      <c r="A1356" s="10">
        <v>2024</v>
      </c>
      <c r="B1356" s="10" t="s">
        <v>135</v>
      </c>
      <c r="C1356" s="10" t="s">
        <v>165</v>
      </c>
      <c r="D1356" s="10" t="s">
        <v>123</v>
      </c>
      <c r="E1356" t="str">
        <f>VLOOKUP(D1356,'Lista de Produtos CLASSIFICAÇÃO'!$A$103:$B$144,2,FALSE)</f>
        <v>Aquecidos</v>
      </c>
      <c r="F1356" s="53">
        <v>988196</v>
      </c>
      <c r="G1356" s="56" t="str">
        <f>VLOOKUP(C1356,clientes!$C$3:$D$60,2,FALSE)</f>
        <v>BRF</v>
      </c>
    </row>
    <row r="1357" spans="1:7" x14ac:dyDescent="0.25">
      <c r="A1357" s="10">
        <v>2024</v>
      </c>
      <c r="B1357" s="10" t="s">
        <v>135</v>
      </c>
      <c r="C1357" s="10" t="s">
        <v>162</v>
      </c>
      <c r="D1357" s="10" t="s">
        <v>123</v>
      </c>
      <c r="E1357" t="str">
        <f>VLOOKUP(D1357,'Lista de Produtos CLASSIFICAÇÃO'!$A$103:$B$144,2,FALSE)</f>
        <v>Aquecidos</v>
      </c>
      <c r="F1357" s="53">
        <v>355713</v>
      </c>
      <c r="G1357" s="56" t="str">
        <f>VLOOKUP(C1357,clientes!$C$3:$D$60,2,FALSE)</f>
        <v>JBS</v>
      </c>
    </row>
    <row r="1358" spans="1:7" x14ac:dyDescent="0.25">
      <c r="A1358" s="10">
        <v>2024</v>
      </c>
      <c r="B1358" s="10" t="s">
        <v>135</v>
      </c>
      <c r="C1358" s="10" t="s">
        <v>166</v>
      </c>
      <c r="D1358" s="10" t="s">
        <v>123</v>
      </c>
      <c r="E1358" t="str">
        <f>VLOOKUP(D1358,'Lista de Produtos CLASSIFICAÇÃO'!$A$103:$B$144,2,FALSE)</f>
        <v>Aquecidos</v>
      </c>
      <c r="F1358" s="53">
        <v>521117</v>
      </c>
      <c r="G1358" s="56" t="str">
        <f>VLOOKUP(C1358,clientes!$C$3:$D$60,2,FALSE)</f>
        <v>CARGILL</v>
      </c>
    </row>
    <row r="1359" spans="1:7" x14ac:dyDescent="0.25">
      <c r="A1359" s="10">
        <v>2024</v>
      </c>
      <c r="B1359" s="10" t="s">
        <v>135</v>
      </c>
      <c r="C1359" s="10" t="s">
        <v>167</v>
      </c>
      <c r="D1359" s="10" t="s">
        <v>122</v>
      </c>
      <c r="E1359" t="str">
        <f>VLOOKUP(D1359,'Lista de Produtos CLASSIFICAÇÃO'!$A$103:$B$144,2,FALSE)</f>
        <v>Óleo Vegetal</v>
      </c>
      <c r="F1359" s="53">
        <v>7681338</v>
      </c>
      <c r="G1359" s="56" t="str">
        <f>VLOOKUP(C1359,clientes!$C$3:$D$60,2,FALSE)</f>
        <v>POOL</v>
      </c>
    </row>
    <row r="1360" spans="1:7" x14ac:dyDescent="0.25">
      <c r="A1360" s="10">
        <v>2024</v>
      </c>
      <c r="B1360" s="10" t="s">
        <v>135</v>
      </c>
      <c r="C1360" s="10" t="s">
        <v>168</v>
      </c>
      <c r="D1360" s="10" t="s">
        <v>122</v>
      </c>
      <c r="E1360" t="str">
        <f>VLOOKUP(D1360,'Lista de Produtos CLASSIFICAÇÃO'!$A$103:$B$144,2,FALSE)</f>
        <v>Óleo Vegetal</v>
      </c>
      <c r="F1360" s="53">
        <v>0</v>
      </c>
      <c r="G1360" s="56" t="str">
        <f>VLOOKUP(C1360,clientes!$C$3:$D$60,2,FALSE)</f>
        <v>POOL EXCEDENTE</v>
      </c>
    </row>
    <row r="1361" spans="1:7" x14ac:dyDescent="0.25">
      <c r="A1361" s="10">
        <v>2024</v>
      </c>
      <c r="B1361" s="10" t="s">
        <v>135</v>
      </c>
      <c r="C1361" s="10" t="s">
        <v>169</v>
      </c>
      <c r="D1361" s="10" t="s">
        <v>22</v>
      </c>
      <c r="E1361" t="str">
        <f>VLOOKUP(D1361,'Lista de Produtos CLASSIFICAÇÃO'!$A$103:$B$144,2,FALSE)</f>
        <v>Metanol</v>
      </c>
      <c r="F1361" s="53">
        <v>5852002</v>
      </c>
      <c r="G1361" s="56" t="str">
        <f>VLOOKUP(C1361,clientes!$C$3:$D$60,2,FALSE)</f>
        <v>METHANEX</v>
      </c>
    </row>
    <row r="1362" spans="1:7" x14ac:dyDescent="0.25">
      <c r="A1362" s="10">
        <v>2024</v>
      </c>
      <c r="B1362" s="10" t="s">
        <v>135</v>
      </c>
      <c r="C1362" s="10" t="s">
        <v>170</v>
      </c>
      <c r="D1362" s="10" t="s">
        <v>22</v>
      </c>
      <c r="E1362" t="str">
        <f>VLOOKUP(D1362,'Lista de Produtos CLASSIFICAÇÃO'!$A$103:$B$144,2,FALSE)</f>
        <v>Metanol</v>
      </c>
      <c r="F1362" s="53">
        <v>3046681</v>
      </c>
      <c r="G1362" s="56" t="str">
        <f>VLOOKUP(C1362,clientes!$C$3:$D$60,2,FALSE)</f>
        <v>MITSUBISHI</v>
      </c>
    </row>
    <row r="1363" spans="1:7" x14ac:dyDescent="0.25">
      <c r="A1363" s="10">
        <v>2024</v>
      </c>
      <c r="B1363" s="10" t="s">
        <v>135</v>
      </c>
      <c r="C1363" s="10" t="s">
        <v>171</v>
      </c>
      <c r="D1363" s="10" t="s">
        <v>22</v>
      </c>
      <c r="E1363" t="str">
        <f>VLOOKUP(D1363,'Lista de Produtos CLASSIFICAÇÃO'!$A$103:$B$144,2,FALSE)</f>
        <v>Metanol</v>
      </c>
      <c r="F1363" s="53">
        <v>5179714</v>
      </c>
      <c r="G1363" s="56" t="str">
        <f>VLOOKUP(C1363,clientes!$C$3:$D$60,2,FALSE)</f>
        <v>VALENZ</v>
      </c>
    </row>
    <row r="1364" spans="1:7" x14ac:dyDescent="0.25">
      <c r="A1364" s="10">
        <v>2024</v>
      </c>
      <c r="B1364" s="10" t="s">
        <v>135</v>
      </c>
      <c r="C1364" s="10" t="s">
        <v>172</v>
      </c>
      <c r="D1364" s="10" t="s">
        <v>124</v>
      </c>
      <c r="E1364" t="str">
        <f>VLOOKUP(D1364,'Lista de Produtos CLASSIFICAÇÃO'!$A$103:$B$144,2,FALSE)</f>
        <v>Outros</v>
      </c>
      <c r="F1364" s="53">
        <v>406450</v>
      </c>
      <c r="G1364" s="56" t="str">
        <f>VLOOKUP(C1364,clientes!$C$3:$D$60,2,FALSE)</f>
        <v>EVONIK</v>
      </c>
    </row>
    <row r="1365" spans="1:7" x14ac:dyDescent="0.25">
      <c r="A1365" s="10">
        <v>2024</v>
      </c>
      <c r="B1365" s="10" t="s">
        <v>135</v>
      </c>
      <c r="C1365" s="10" t="s">
        <v>173</v>
      </c>
      <c r="D1365" s="10" t="s">
        <v>22</v>
      </c>
      <c r="E1365" t="str">
        <f>VLOOKUP(D1365,'Lista de Produtos CLASSIFICAÇÃO'!$A$103:$B$144,2,FALSE)</f>
        <v>Metanol</v>
      </c>
      <c r="F1365" s="53">
        <v>490592</v>
      </c>
      <c r="G1365" s="56" t="str">
        <f>VLOOKUP(C1365,clientes!$C$3:$D$60,2,FALSE)</f>
        <v>YPF SOCIEDAD ANONIMA</v>
      </c>
    </row>
    <row r="1366" spans="1:7" x14ac:dyDescent="0.25">
      <c r="A1366" s="10">
        <v>2024</v>
      </c>
      <c r="B1366" s="10" t="s">
        <v>135</v>
      </c>
      <c r="C1366" s="10" t="s">
        <v>174</v>
      </c>
      <c r="D1366" s="10" t="s">
        <v>123</v>
      </c>
      <c r="E1366" t="str">
        <f>VLOOKUP(D1366,'Lista de Produtos CLASSIFICAÇÃO'!$A$103:$B$144,2,FALSE)</f>
        <v>Aquecidos</v>
      </c>
      <c r="F1366" s="53">
        <v>315191</v>
      </c>
      <c r="G1366" s="56" t="str">
        <f>VLOOKUP(C1366,clientes!$C$3:$D$60,2,FALSE)</f>
        <v>CELENA</v>
      </c>
    </row>
    <row r="1367" spans="1:7" x14ac:dyDescent="0.25">
      <c r="A1367" s="10">
        <v>2024</v>
      </c>
      <c r="B1367" s="10" t="s">
        <v>135</v>
      </c>
      <c r="C1367" s="10" t="s">
        <v>175</v>
      </c>
      <c r="D1367" s="10" t="s">
        <v>123</v>
      </c>
      <c r="E1367" t="str">
        <f>VLOOKUP(D1367,'Lista de Produtos CLASSIFICAÇÃO'!$A$103:$B$144,2,FALSE)</f>
        <v>Aquecidos</v>
      </c>
      <c r="F1367" s="53">
        <v>582352</v>
      </c>
      <c r="G1367" s="56" t="str">
        <f>VLOOKUP(C1367,clientes!$C$3:$D$60,2,FALSE)</f>
        <v>AAK DO BRASIL</v>
      </c>
    </row>
    <row r="1368" spans="1:7" x14ac:dyDescent="0.25">
      <c r="A1368" s="10">
        <v>2024</v>
      </c>
      <c r="B1368" s="10" t="s">
        <v>135</v>
      </c>
      <c r="C1368" s="10" t="s">
        <v>166</v>
      </c>
      <c r="D1368" s="10" t="s">
        <v>122</v>
      </c>
      <c r="E1368" t="str">
        <f>VLOOKUP(D1368,'Lista de Produtos CLASSIFICAÇÃO'!$A$103:$B$144,2,FALSE)</f>
        <v>Óleo Vegetal</v>
      </c>
      <c r="F1368" s="53">
        <v>199164</v>
      </c>
      <c r="G1368" s="56" t="str">
        <f>VLOOKUP(C1368,clientes!$C$3:$D$60,2,FALSE)</f>
        <v>CARGILL</v>
      </c>
    </row>
    <row r="1369" spans="1:7" x14ac:dyDescent="0.25">
      <c r="A1369" s="10">
        <v>2024</v>
      </c>
      <c r="B1369" s="10" t="s">
        <v>135</v>
      </c>
      <c r="C1369" s="10" t="s">
        <v>176</v>
      </c>
      <c r="D1369" s="10" t="s">
        <v>123</v>
      </c>
      <c r="E1369" t="str">
        <f>VLOOKUP(D1369,'Lista de Produtos CLASSIFICAÇÃO'!$A$103:$B$144,2,FALSE)</f>
        <v>Aquecidos</v>
      </c>
      <c r="F1369" s="53">
        <v>360148</v>
      </c>
      <c r="G1369" s="56" t="str">
        <f>VLOOKUP(C1369,clientes!$C$3:$D$60,2,FALSE)</f>
        <v>AGROPALMA</v>
      </c>
    </row>
    <row r="1370" spans="1:7" x14ac:dyDescent="0.25">
      <c r="A1370" s="10">
        <v>2024</v>
      </c>
      <c r="B1370" s="10" t="s">
        <v>135</v>
      </c>
      <c r="C1370" s="10" t="s">
        <v>177</v>
      </c>
      <c r="D1370" s="10" t="s">
        <v>115</v>
      </c>
      <c r="E1370" t="str">
        <f>VLOOKUP(D1370,'Lista de Produtos CLASSIFICAÇÃO'!$A$103:$B$144,2,FALSE)</f>
        <v>Soda Caustica</v>
      </c>
      <c r="F1370" s="53">
        <v>426494</v>
      </c>
      <c r="G1370" s="56" t="str">
        <f>VLOOKUP(C1370,clientes!$C$3:$D$60,2,FALSE)</f>
        <v>BRENNTAG</v>
      </c>
    </row>
    <row r="1371" spans="1:7" x14ac:dyDescent="0.25">
      <c r="A1371" s="10">
        <v>2024</v>
      </c>
      <c r="B1371" s="10" t="s">
        <v>135</v>
      </c>
      <c r="C1371" s="10" t="s">
        <v>178</v>
      </c>
      <c r="D1371" s="10" t="s">
        <v>115</v>
      </c>
      <c r="E1371" t="str">
        <f>VLOOKUP(D1371,'Lista de Produtos CLASSIFICAÇÃO'!$A$103:$B$144,2,FALSE)</f>
        <v>Soda Caustica</v>
      </c>
      <c r="F1371" s="53">
        <v>1524504</v>
      </c>
      <c r="G1371" s="56" t="str">
        <f>VLOOKUP(C1371,clientes!$C$3:$D$60,2,FALSE)</f>
        <v>OLIN BLUE CUBE</v>
      </c>
    </row>
    <row r="1372" spans="1:7" x14ac:dyDescent="0.25">
      <c r="A1372" s="10">
        <v>2024</v>
      </c>
      <c r="B1372" s="10" t="s">
        <v>135</v>
      </c>
      <c r="C1372" s="10" t="s">
        <v>179</v>
      </c>
      <c r="D1372" s="10" t="s">
        <v>26</v>
      </c>
      <c r="E1372" t="str">
        <f>VLOOKUP(D1372,'Lista de Produtos CLASSIFICAÇÃO'!$A$103:$B$144,2,FALSE)</f>
        <v>Biocombustíveis</v>
      </c>
      <c r="F1372" s="53">
        <v>467791</v>
      </c>
      <c r="G1372" s="56" t="str">
        <f>VLOOKUP(C1372,clientes!$C$3:$D$60,2,FALSE)</f>
        <v>BSBIOS</v>
      </c>
    </row>
    <row r="1373" spans="1:7" x14ac:dyDescent="0.25">
      <c r="A1373" s="10">
        <v>2024</v>
      </c>
      <c r="B1373" s="10" t="s">
        <v>135</v>
      </c>
      <c r="C1373" s="10" t="s">
        <v>180</v>
      </c>
      <c r="D1373" s="10" t="s">
        <v>30</v>
      </c>
      <c r="E1373" t="str">
        <f>VLOOKUP(D1373,'Lista de Produtos CLASSIFICAÇÃO'!$A$103:$B$144,2,FALSE)</f>
        <v>Outros</v>
      </c>
      <c r="F1373" s="53">
        <v>192330</v>
      </c>
      <c r="G1373" s="56" t="str">
        <f>VLOOKUP(C1373,clientes!$C$3:$D$60,2,FALSE)</f>
        <v>TRICHEM</v>
      </c>
    </row>
    <row r="1374" spans="1:7" x14ac:dyDescent="0.25">
      <c r="A1374" s="10">
        <v>2024</v>
      </c>
      <c r="B1374" s="10" t="s">
        <v>135</v>
      </c>
      <c r="C1374" s="10" t="s">
        <v>181</v>
      </c>
      <c r="D1374" s="10" t="s">
        <v>123</v>
      </c>
      <c r="E1374" t="str">
        <f>VLOOKUP(D1374,'Lista de Produtos CLASSIFICAÇÃO'!$A$103:$B$144,2,FALSE)</f>
        <v>Aquecidos</v>
      </c>
      <c r="F1374" s="53">
        <v>186529</v>
      </c>
      <c r="G1374" s="56" t="str">
        <f>VLOOKUP(C1374,clientes!$C$3:$D$60,2,FALSE)</f>
        <v>COAMO</v>
      </c>
    </row>
    <row r="1375" spans="1:7" x14ac:dyDescent="0.25">
      <c r="A1375" s="10">
        <v>2024</v>
      </c>
      <c r="B1375" s="10" t="s">
        <v>135</v>
      </c>
      <c r="C1375" s="10" t="s">
        <v>182</v>
      </c>
      <c r="D1375" s="10" t="s">
        <v>120</v>
      </c>
      <c r="E1375" t="str">
        <f>VLOOKUP(D1375,'Lista de Produtos CLASSIFICAÇÃO'!$A$103:$B$144,2,FALSE)</f>
        <v>Derivados</v>
      </c>
      <c r="F1375" s="53">
        <v>0</v>
      </c>
      <c r="G1375" s="56" t="str">
        <f>VLOOKUP(C1375,clientes!$C$3:$D$60,2,FALSE)</f>
        <v>ATEM</v>
      </c>
    </row>
    <row r="1376" spans="1:7" x14ac:dyDescent="0.25">
      <c r="A1376" s="10">
        <v>2024</v>
      </c>
      <c r="B1376" s="10" t="s">
        <v>135</v>
      </c>
      <c r="C1376" s="10" t="s">
        <v>174</v>
      </c>
      <c r="D1376" s="10" t="s">
        <v>123</v>
      </c>
      <c r="E1376" t="str">
        <f>VLOOKUP(D1376,'Lista de Produtos CLASSIFICAÇÃO'!$A$103:$B$144,2,FALSE)</f>
        <v>Aquecidos</v>
      </c>
      <c r="F1376" s="53">
        <v>1607710</v>
      </c>
      <c r="G1376" s="56" t="str">
        <f>VLOOKUP(C1376,clientes!$C$3:$D$60,2,FALSE)</f>
        <v>CELENA</v>
      </c>
    </row>
    <row r="1377" spans="1:7" x14ac:dyDescent="0.25">
      <c r="A1377" s="10">
        <v>2024</v>
      </c>
      <c r="B1377" s="10" t="s">
        <v>135</v>
      </c>
      <c r="C1377" s="10" t="s">
        <v>173</v>
      </c>
      <c r="D1377" s="10" t="s">
        <v>183</v>
      </c>
      <c r="E1377" t="str">
        <f>VLOOKUP(D1377,'Lista de Produtos CLASSIFICAÇÃO'!$A$103:$B$144,2,FALSE)</f>
        <v>Outros</v>
      </c>
      <c r="F1377" s="53">
        <v>140762</v>
      </c>
      <c r="G1377" s="56" t="str">
        <f>VLOOKUP(C1377,clientes!$C$3:$D$60,2,FALSE)</f>
        <v>YPF SOCIEDAD ANONIMA</v>
      </c>
    </row>
    <row r="1378" spans="1:7" x14ac:dyDescent="0.25">
      <c r="A1378" s="10">
        <v>2024</v>
      </c>
      <c r="B1378" s="10" t="s">
        <v>135</v>
      </c>
      <c r="C1378" s="10" t="s">
        <v>184</v>
      </c>
      <c r="D1378" s="10" t="s">
        <v>122</v>
      </c>
      <c r="E1378" t="str">
        <f>VLOOKUP(D1378,'Lista de Produtos CLASSIFICAÇÃO'!$A$103:$B$144,2,FALSE)</f>
        <v>Óleo Vegetal</v>
      </c>
      <c r="F1378" s="53">
        <v>246808</v>
      </c>
      <c r="G1378" s="56" t="str">
        <f>VLOOKUP(C1378,clientes!$C$3:$D$60,2,FALSE)</f>
        <v>INGREDION</v>
      </c>
    </row>
    <row r="1379" spans="1:7" x14ac:dyDescent="0.25">
      <c r="A1379" s="10">
        <v>2024</v>
      </c>
      <c r="B1379" s="10" t="s">
        <v>135</v>
      </c>
      <c r="C1379" s="10" t="s">
        <v>185</v>
      </c>
      <c r="D1379" s="10" t="s">
        <v>120</v>
      </c>
      <c r="E1379" t="str">
        <f>VLOOKUP(D1379,'Lista de Produtos CLASSIFICAÇÃO'!$A$103:$B$144,2,FALSE)</f>
        <v>Derivados</v>
      </c>
      <c r="F1379" s="53">
        <v>1214701</v>
      </c>
      <c r="G1379" s="56" t="str">
        <f>VLOOKUP(C1379,clientes!$C$3:$D$60,2,FALSE)</f>
        <v>CIAPETRO</v>
      </c>
    </row>
    <row r="1380" spans="1:7" x14ac:dyDescent="0.25">
      <c r="A1380" s="10">
        <v>2024</v>
      </c>
      <c r="B1380" s="10" t="s">
        <v>135</v>
      </c>
      <c r="C1380" s="10" t="s">
        <v>186</v>
      </c>
      <c r="D1380" s="10" t="s">
        <v>22</v>
      </c>
      <c r="E1380" t="str">
        <f>VLOOKUP(D1380,'Lista de Produtos CLASSIFICAÇÃO'!$A$103:$B$144,2,FALSE)</f>
        <v>Metanol</v>
      </c>
      <c r="F1380" s="53">
        <v>351392</v>
      </c>
      <c r="G1380" s="56" t="str">
        <f>VLOOKUP(C1380,clientes!$C$3:$D$60,2,FALSE)</f>
        <v>OQ TRADING</v>
      </c>
    </row>
    <row r="1381" spans="1:7" x14ac:dyDescent="0.25">
      <c r="A1381" s="10">
        <v>2024</v>
      </c>
      <c r="B1381" s="10" t="s">
        <v>135</v>
      </c>
      <c r="C1381" s="10" t="s">
        <v>187</v>
      </c>
      <c r="D1381" s="10" t="s">
        <v>121</v>
      </c>
      <c r="E1381" t="str">
        <f>VLOOKUP(D1381,'Lista de Produtos CLASSIFICAÇÃO'!$A$103:$B$144,2,FALSE)</f>
        <v>Biocombustíveis</v>
      </c>
      <c r="F1381" s="53">
        <v>850000</v>
      </c>
      <c r="G1381" s="56" t="str">
        <f>VLOOKUP(C1381,clientes!$C$3:$D$60,2,FALSE)</f>
        <v>TEREOS / INPASA / GLENCORE / FS</v>
      </c>
    </row>
    <row r="1382" spans="1:7" x14ac:dyDescent="0.25">
      <c r="A1382" s="10">
        <v>2024</v>
      </c>
      <c r="B1382" s="10" t="s">
        <v>135</v>
      </c>
      <c r="C1382" s="10" t="s">
        <v>188</v>
      </c>
      <c r="D1382" s="10" t="s">
        <v>123</v>
      </c>
      <c r="E1382" t="str">
        <f>VLOOKUP(D1382,'Lista de Produtos CLASSIFICAÇÃO'!$A$103:$B$144,2,FALSE)</f>
        <v>Aquecidos</v>
      </c>
      <c r="F1382" s="53">
        <v>535273</v>
      </c>
      <c r="G1382" s="56" t="str">
        <f>VLOOKUP(C1382,clientes!$C$3:$D$60,2,FALSE)</f>
        <v>ARES MERCHANTS PTE LIMITE</v>
      </c>
    </row>
    <row r="1383" spans="1:7" x14ac:dyDescent="0.25">
      <c r="A1383" s="10">
        <v>2024</v>
      </c>
      <c r="B1383" s="10" t="s">
        <v>135</v>
      </c>
      <c r="C1383" s="10" t="s">
        <v>18</v>
      </c>
      <c r="D1383" s="10" t="s">
        <v>17</v>
      </c>
      <c r="E1383" t="str">
        <f>VLOOKUP(D1383,'Lista de Produtos CLASSIFICAÇÃO'!$A$103:$B$144,2,FALSE)</f>
        <v>Acostagem</v>
      </c>
      <c r="F1383" s="53">
        <v>474897.24799999996</v>
      </c>
      <c r="G1383" s="56" t="str">
        <f>VLOOKUP(C1383,clientes!$C$3:$D$60,2,FALSE)</f>
        <v>ACOSTAGEM</v>
      </c>
    </row>
    <row r="1384" spans="1:7" x14ac:dyDescent="0.25">
      <c r="A1384" s="10">
        <v>2024</v>
      </c>
      <c r="B1384" s="10" t="s">
        <v>135</v>
      </c>
      <c r="C1384" s="10" t="s">
        <v>189</v>
      </c>
      <c r="D1384" s="10" t="s">
        <v>123</v>
      </c>
      <c r="E1384" t="str">
        <f>VLOOKUP(D1384,'Lista de Produtos CLASSIFICAÇÃO'!$A$103:$B$144,2,FALSE)</f>
        <v>Aquecidos</v>
      </c>
      <c r="F1384" s="53">
        <v>503774</v>
      </c>
      <c r="G1384" s="56" t="str">
        <f>VLOOKUP(C1384,clientes!$C$3:$D$60,2,FALSE)</f>
        <v>ICOF</v>
      </c>
    </row>
    <row r="1385" spans="1:7" x14ac:dyDescent="0.25">
      <c r="A1385" s="10">
        <v>2024</v>
      </c>
      <c r="B1385" s="10" t="s">
        <v>136</v>
      </c>
      <c r="C1385" s="10" t="s">
        <v>155</v>
      </c>
      <c r="D1385" s="10" t="s">
        <v>16</v>
      </c>
      <c r="E1385" t="str">
        <f>VLOOKUP(D1385,'Lista de Produtos CLASSIFICAÇÃO'!$A$103:$B$144,2,FALSE)</f>
        <v>Outros</v>
      </c>
      <c r="F1385" s="53">
        <v>886810</v>
      </c>
      <c r="G1385" s="56" t="str">
        <f>VLOOKUP(C1385,clientes!$C$3:$D$60,2,FALSE)</f>
        <v>ADISSEO</v>
      </c>
    </row>
    <row r="1386" spans="1:7" x14ac:dyDescent="0.25">
      <c r="A1386" s="10">
        <v>2024</v>
      </c>
      <c r="B1386" s="10" t="s">
        <v>136</v>
      </c>
      <c r="C1386" s="10" t="s">
        <v>156</v>
      </c>
      <c r="D1386" s="10" t="s">
        <v>123</v>
      </c>
      <c r="E1386" t="str">
        <f>VLOOKUP(D1386,'Lista de Produtos CLASSIFICAÇÃO'!$A$103:$B$144,2,FALSE)</f>
        <v>Aquecidos</v>
      </c>
      <c r="F1386" s="53">
        <v>377129</v>
      </c>
      <c r="G1386" s="56" t="str">
        <f>VLOOKUP(C1386,clientes!$C$3:$D$60,2,FALSE)</f>
        <v>BUNGE</v>
      </c>
    </row>
    <row r="1387" spans="1:7" x14ac:dyDescent="0.25">
      <c r="A1387" s="10">
        <v>2024</v>
      </c>
      <c r="B1387" s="10" t="s">
        <v>136</v>
      </c>
      <c r="C1387" s="10" t="s">
        <v>157</v>
      </c>
      <c r="D1387" s="10" t="s">
        <v>122</v>
      </c>
      <c r="E1387" t="str">
        <f>VLOOKUP(D1387,'Lista de Produtos CLASSIFICAÇÃO'!$A$103:$B$144,2,FALSE)</f>
        <v>Óleo Vegetal</v>
      </c>
      <c r="F1387" s="53">
        <v>187113</v>
      </c>
      <c r="G1387" s="56" t="str">
        <f>VLOOKUP(C1387,clientes!$C$3:$D$60,2,FALSE)</f>
        <v>ADM</v>
      </c>
    </row>
    <row r="1388" spans="1:7" x14ac:dyDescent="0.25">
      <c r="A1388" s="10">
        <v>2024</v>
      </c>
      <c r="B1388" s="10" t="s">
        <v>136</v>
      </c>
      <c r="C1388" s="10" t="s">
        <v>158</v>
      </c>
      <c r="D1388" s="10" t="s">
        <v>120</v>
      </c>
      <c r="E1388" t="str">
        <f>VLOOKUP(D1388,'Lista de Produtos CLASSIFICAÇÃO'!$A$103:$B$144,2,FALSE)</f>
        <v>Derivados</v>
      </c>
      <c r="F1388" s="53">
        <v>7226175</v>
      </c>
      <c r="G1388" s="56" t="str">
        <f>VLOOKUP(C1388,clientes!$C$3:$D$60,2,FALSE)</f>
        <v>IPIRANGA</v>
      </c>
    </row>
    <row r="1389" spans="1:7" x14ac:dyDescent="0.25">
      <c r="A1389" s="10">
        <v>2024</v>
      </c>
      <c r="B1389" s="10" t="s">
        <v>136</v>
      </c>
      <c r="C1389" s="10" t="s">
        <v>159</v>
      </c>
      <c r="D1389" s="10" t="s">
        <v>120</v>
      </c>
      <c r="E1389" t="str">
        <f>VLOOKUP(D1389,'Lista de Produtos CLASSIFICAÇÃO'!$A$103:$B$144,2,FALSE)</f>
        <v>Derivados</v>
      </c>
      <c r="F1389" s="53">
        <v>2968315</v>
      </c>
      <c r="G1389" s="56" t="str">
        <f>VLOOKUP(C1389,clientes!$C$3:$D$60,2,FALSE)</f>
        <v>RAIZEN</v>
      </c>
    </row>
    <row r="1390" spans="1:7" x14ac:dyDescent="0.25">
      <c r="A1390" s="10">
        <v>2024</v>
      </c>
      <c r="B1390" s="10" t="s">
        <v>136</v>
      </c>
      <c r="C1390" s="10" t="s">
        <v>160</v>
      </c>
      <c r="D1390" s="10" t="s">
        <v>120</v>
      </c>
      <c r="E1390" t="str">
        <f>VLOOKUP(D1390,'Lista de Produtos CLASSIFICAÇÃO'!$A$103:$B$144,2,FALSE)</f>
        <v>Derivados</v>
      </c>
      <c r="F1390" s="53">
        <v>1811877</v>
      </c>
      <c r="G1390" s="56" t="str">
        <f>VLOOKUP(C1390,clientes!$C$3:$D$60,2,FALSE)</f>
        <v>VIBRA</v>
      </c>
    </row>
    <row r="1391" spans="1:7" x14ac:dyDescent="0.25">
      <c r="A1391" s="10">
        <v>2024</v>
      </c>
      <c r="B1391" s="10" t="s">
        <v>136</v>
      </c>
      <c r="C1391" s="10" t="s">
        <v>161</v>
      </c>
      <c r="D1391" s="10" t="s">
        <v>120</v>
      </c>
      <c r="E1391" t="str">
        <f>VLOOKUP(D1391,'Lista de Produtos CLASSIFICAÇÃO'!$A$103:$B$144,2,FALSE)</f>
        <v>Derivados</v>
      </c>
      <c r="F1391" s="53">
        <v>3650396</v>
      </c>
      <c r="G1391" s="56" t="str">
        <f>VLOOKUP(C1391,clientes!$C$3:$D$60,2,FALSE)</f>
        <v>SUL PLATA</v>
      </c>
    </row>
    <row r="1392" spans="1:7" x14ac:dyDescent="0.25">
      <c r="A1392" s="10">
        <v>2024</v>
      </c>
      <c r="B1392" s="10" t="s">
        <v>136</v>
      </c>
      <c r="C1392" s="10" t="s">
        <v>162</v>
      </c>
      <c r="D1392" s="10" t="s">
        <v>115</v>
      </c>
      <c r="E1392" t="str">
        <f>VLOOKUP(D1392,'Lista de Produtos CLASSIFICAÇÃO'!$A$103:$B$144,2,FALSE)</f>
        <v>Soda Caustica</v>
      </c>
      <c r="F1392" s="53">
        <v>179417</v>
      </c>
      <c r="G1392" s="56" t="str">
        <f>VLOOKUP(C1392,clientes!$C$3:$D$60,2,FALSE)</f>
        <v>JBS</v>
      </c>
    </row>
    <row r="1393" spans="1:7" x14ac:dyDescent="0.25">
      <c r="A1393" s="10">
        <v>2024</v>
      </c>
      <c r="B1393" s="10" t="s">
        <v>136</v>
      </c>
      <c r="C1393" s="10" t="s">
        <v>163</v>
      </c>
      <c r="D1393" s="10" t="s">
        <v>115</v>
      </c>
      <c r="E1393" t="str">
        <f>VLOOKUP(D1393,'Lista de Produtos CLASSIFICAÇÃO'!$A$103:$B$144,2,FALSE)</f>
        <v>Soda Caustica</v>
      </c>
      <c r="F1393" s="53">
        <v>396611</v>
      </c>
      <c r="G1393" s="56" t="str">
        <f>VLOOKUP(C1393,clientes!$C$3:$D$60,2,FALSE)</f>
        <v>TRICON ENERGY</v>
      </c>
    </row>
    <row r="1394" spans="1:7" x14ac:dyDescent="0.25">
      <c r="A1394" s="10">
        <v>2024</v>
      </c>
      <c r="B1394" s="10" t="s">
        <v>136</v>
      </c>
      <c r="C1394" s="10" t="s">
        <v>164</v>
      </c>
      <c r="D1394" s="10" t="s">
        <v>115</v>
      </c>
      <c r="E1394" t="str">
        <f>VLOOKUP(D1394,'Lista de Produtos CLASSIFICAÇÃO'!$A$103:$B$144,2,FALSE)</f>
        <v>Soda Caustica</v>
      </c>
      <c r="F1394" s="53">
        <v>273415</v>
      </c>
      <c r="G1394" s="56" t="str">
        <f>VLOOKUP(C1394,clientes!$C$3:$D$60,2,FALSE)</f>
        <v>BRASKEM</v>
      </c>
    </row>
    <row r="1395" spans="1:7" x14ac:dyDescent="0.25">
      <c r="A1395" s="10">
        <v>2024</v>
      </c>
      <c r="B1395" s="10" t="s">
        <v>136</v>
      </c>
      <c r="C1395" s="10" t="s">
        <v>165</v>
      </c>
      <c r="D1395" s="10" t="s">
        <v>123</v>
      </c>
      <c r="E1395" t="str">
        <f>VLOOKUP(D1395,'Lista de Produtos CLASSIFICAÇÃO'!$A$103:$B$144,2,FALSE)</f>
        <v>Aquecidos</v>
      </c>
      <c r="F1395" s="53">
        <v>988196</v>
      </c>
      <c r="G1395" s="56" t="str">
        <f>VLOOKUP(C1395,clientes!$C$3:$D$60,2,FALSE)</f>
        <v>BRF</v>
      </c>
    </row>
    <row r="1396" spans="1:7" x14ac:dyDescent="0.25">
      <c r="A1396" s="10">
        <v>2024</v>
      </c>
      <c r="B1396" s="10" t="s">
        <v>136</v>
      </c>
      <c r="C1396" s="10" t="s">
        <v>162</v>
      </c>
      <c r="D1396" s="10" t="s">
        <v>123</v>
      </c>
      <c r="E1396" t="str">
        <f>VLOOKUP(D1396,'Lista de Produtos CLASSIFICAÇÃO'!$A$103:$B$144,2,FALSE)</f>
        <v>Aquecidos</v>
      </c>
      <c r="F1396" s="53">
        <v>355713</v>
      </c>
      <c r="G1396" s="56" t="str">
        <f>VLOOKUP(C1396,clientes!$C$3:$D$60,2,FALSE)</f>
        <v>JBS</v>
      </c>
    </row>
    <row r="1397" spans="1:7" x14ac:dyDescent="0.25">
      <c r="A1397" s="10">
        <v>2024</v>
      </c>
      <c r="B1397" s="10" t="s">
        <v>136</v>
      </c>
      <c r="C1397" s="10" t="s">
        <v>166</v>
      </c>
      <c r="D1397" s="10" t="s">
        <v>123</v>
      </c>
      <c r="E1397" t="str">
        <f>VLOOKUP(D1397,'Lista de Produtos CLASSIFICAÇÃO'!$A$103:$B$144,2,FALSE)</f>
        <v>Aquecidos</v>
      </c>
      <c r="F1397" s="53">
        <v>521117</v>
      </c>
      <c r="G1397" s="56" t="str">
        <f>VLOOKUP(C1397,clientes!$C$3:$D$60,2,FALSE)</f>
        <v>CARGILL</v>
      </c>
    </row>
    <row r="1398" spans="1:7" x14ac:dyDescent="0.25">
      <c r="A1398" s="10">
        <v>2024</v>
      </c>
      <c r="B1398" s="10" t="s">
        <v>136</v>
      </c>
      <c r="C1398" s="10" t="s">
        <v>167</v>
      </c>
      <c r="D1398" s="10" t="s">
        <v>122</v>
      </c>
      <c r="E1398" t="str">
        <f>VLOOKUP(D1398,'Lista de Produtos CLASSIFICAÇÃO'!$A$103:$B$144,2,FALSE)</f>
        <v>Óleo Vegetal</v>
      </c>
      <c r="F1398" s="53">
        <v>6507165</v>
      </c>
      <c r="G1398" s="56" t="str">
        <f>VLOOKUP(C1398,clientes!$C$3:$D$60,2,FALSE)</f>
        <v>POOL</v>
      </c>
    </row>
    <row r="1399" spans="1:7" x14ac:dyDescent="0.25">
      <c r="A1399" s="10">
        <v>2024</v>
      </c>
      <c r="B1399" s="10" t="s">
        <v>136</v>
      </c>
      <c r="C1399" s="10" t="s">
        <v>168</v>
      </c>
      <c r="D1399" s="10" t="s">
        <v>122</v>
      </c>
      <c r="E1399" t="str">
        <f>VLOOKUP(D1399,'Lista de Produtos CLASSIFICAÇÃO'!$A$103:$B$144,2,FALSE)</f>
        <v>Óleo Vegetal</v>
      </c>
      <c r="F1399" s="53">
        <v>0</v>
      </c>
      <c r="G1399" s="56" t="str">
        <f>VLOOKUP(C1399,clientes!$C$3:$D$60,2,FALSE)</f>
        <v>POOL EXCEDENTE</v>
      </c>
    </row>
    <row r="1400" spans="1:7" x14ac:dyDescent="0.25">
      <c r="A1400" s="10">
        <v>2024</v>
      </c>
      <c r="B1400" s="10" t="s">
        <v>136</v>
      </c>
      <c r="C1400" s="10" t="s">
        <v>169</v>
      </c>
      <c r="D1400" s="10" t="s">
        <v>22</v>
      </c>
      <c r="E1400" t="str">
        <f>VLOOKUP(D1400,'Lista de Produtos CLASSIFICAÇÃO'!$A$103:$B$144,2,FALSE)</f>
        <v>Metanol</v>
      </c>
      <c r="F1400" s="53">
        <v>5852002</v>
      </c>
      <c r="G1400" s="56" t="str">
        <f>VLOOKUP(C1400,clientes!$C$3:$D$60,2,FALSE)</f>
        <v>METHANEX</v>
      </c>
    </row>
    <row r="1401" spans="1:7" x14ac:dyDescent="0.25">
      <c r="A1401" s="10">
        <v>2024</v>
      </c>
      <c r="B1401" s="10" t="s">
        <v>136</v>
      </c>
      <c r="C1401" s="10" t="s">
        <v>170</v>
      </c>
      <c r="D1401" s="10" t="s">
        <v>22</v>
      </c>
      <c r="E1401" t="str">
        <f>VLOOKUP(D1401,'Lista de Produtos CLASSIFICAÇÃO'!$A$103:$B$144,2,FALSE)</f>
        <v>Metanol</v>
      </c>
      <c r="F1401" s="53">
        <v>3046681</v>
      </c>
      <c r="G1401" s="56" t="str">
        <f>VLOOKUP(C1401,clientes!$C$3:$D$60,2,FALSE)</f>
        <v>MITSUBISHI</v>
      </c>
    </row>
    <row r="1402" spans="1:7" x14ac:dyDescent="0.25">
      <c r="A1402" s="10">
        <v>2024</v>
      </c>
      <c r="B1402" s="10" t="s">
        <v>136</v>
      </c>
      <c r="C1402" s="10" t="s">
        <v>171</v>
      </c>
      <c r="D1402" s="10" t="s">
        <v>22</v>
      </c>
      <c r="E1402" t="str">
        <f>VLOOKUP(D1402,'Lista de Produtos CLASSIFICAÇÃO'!$A$103:$B$144,2,FALSE)</f>
        <v>Metanol</v>
      </c>
      <c r="F1402" s="53">
        <v>5179714</v>
      </c>
      <c r="G1402" s="56" t="str">
        <f>VLOOKUP(C1402,clientes!$C$3:$D$60,2,FALSE)</f>
        <v>VALENZ</v>
      </c>
    </row>
    <row r="1403" spans="1:7" x14ac:dyDescent="0.25">
      <c r="A1403" s="10">
        <v>2024</v>
      </c>
      <c r="B1403" s="10" t="s">
        <v>136</v>
      </c>
      <c r="C1403" s="10" t="s">
        <v>172</v>
      </c>
      <c r="D1403" s="10" t="s">
        <v>124</v>
      </c>
      <c r="E1403" t="str">
        <f>VLOOKUP(D1403,'Lista de Produtos CLASSIFICAÇÃO'!$A$103:$B$144,2,FALSE)</f>
        <v>Outros</v>
      </c>
      <c r="F1403" s="53">
        <v>406450</v>
      </c>
      <c r="G1403" s="56" t="str">
        <f>VLOOKUP(C1403,clientes!$C$3:$D$60,2,FALSE)</f>
        <v>EVONIK</v>
      </c>
    </row>
    <row r="1404" spans="1:7" x14ac:dyDescent="0.25">
      <c r="A1404" s="10">
        <v>2024</v>
      </c>
      <c r="B1404" s="10" t="s">
        <v>136</v>
      </c>
      <c r="C1404" s="10" t="s">
        <v>173</v>
      </c>
      <c r="D1404" s="10" t="s">
        <v>22</v>
      </c>
      <c r="E1404" t="str">
        <f>VLOOKUP(D1404,'Lista de Produtos CLASSIFICAÇÃO'!$A$103:$B$144,2,FALSE)</f>
        <v>Metanol</v>
      </c>
      <c r="F1404" s="53">
        <v>559878</v>
      </c>
      <c r="G1404" s="56" t="str">
        <f>VLOOKUP(C1404,clientes!$C$3:$D$60,2,FALSE)</f>
        <v>YPF SOCIEDAD ANONIMA</v>
      </c>
    </row>
    <row r="1405" spans="1:7" x14ac:dyDescent="0.25">
      <c r="A1405" s="10">
        <v>2024</v>
      </c>
      <c r="B1405" s="10" t="s">
        <v>136</v>
      </c>
      <c r="C1405" s="10" t="s">
        <v>174</v>
      </c>
      <c r="D1405" s="10" t="s">
        <v>123</v>
      </c>
      <c r="E1405" t="str">
        <f>VLOOKUP(D1405,'Lista de Produtos CLASSIFICAÇÃO'!$A$103:$B$144,2,FALSE)</f>
        <v>Aquecidos</v>
      </c>
      <c r="F1405" s="53">
        <v>315191</v>
      </c>
      <c r="G1405" s="56" t="str">
        <f>VLOOKUP(C1405,clientes!$C$3:$D$60,2,FALSE)</f>
        <v>CELENA</v>
      </c>
    </row>
    <row r="1406" spans="1:7" x14ac:dyDescent="0.25">
      <c r="A1406" s="10">
        <v>2024</v>
      </c>
      <c r="B1406" s="10" t="s">
        <v>136</v>
      </c>
      <c r="C1406" s="10" t="s">
        <v>175</v>
      </c>
      <c r="D1406" s="10" t="s">
        <v>123</v>
      </c>
      <c r="E1406" t="str">
        <f>VLOOKUP(D1406,'Lista de Produtos CLASSIFICAÇÃO'!$A$103:$B$144,2,FALSE)</f>
        <v>Aquecidos</v>
      </c>
      <c r="F1406" s="53">
        <v>582352</v>
      </c>
      <c r="G1406" s="56" t="str">
        <f>VLOOKUP(C1406,clientes!$C$3:$D$60,2,FALSE)</f>
        <v>AAK DO BRASIL</v>
      </c>
    </row>
    <row r="1407" spans="1:7" x14ac:dyDescent="0.25">
      <c r="A1407" s="10">
        <v>2024</v>
      </c>
      <c r="B1407" s="10" t="s">
        <v>136</v>
      </c>
      <c r="C1407" s="10" t="s">
        <v>166</v>
      </c>
      <c r="D1407" s="10" t="s">
        <v>122</v>
      </c>
      <c r="E1407" t="str">
        <f>VLOOKUP(D1407,'Lista de Produtos CLASSIFICAÇÃO'!$A$103:$B$144,2,FALSE)</f>
        <v>Óleo Vegetal</v>
      </c>
      <c r="F1407" s="53">
        <v>199164</v>
      </c>
      <c r="G1407" s="56" t="str">
        <f>VLOOKUP(C1407,clientes!$C$3:$D$60,2,FALSE)</f>
        <v>CARGILL</v>
      </c>
    </row>
    <row r="1408" spans="1:7" x14ac:dyDescent="0.25">
      <c r="A1408" s="10">
        <v>2024</v>
      </c>
      <c r="B1408" s="10" t="s">
        <v>136</v>
      </c>
      <c r="C1408" s="10" t="s">
        <v>176</v>
      </c>
      <c r="D1408" s="10" t="s">
        <v>123</v>
      </c>
      <c r="E1408" t="str">
        <f>VLOOKUP(D1408,'Lista de Produtos CLASSIFICAÇÃO'!$A$103:$B$144,2,FALSE)</f>
        <v>Aquecidos</v>
      </c>
      <c r="F1408" s="53">
        <v>360148</v>
      </c>
      <c r="G1408" s="56" t="str">
        <f>VLOOKUP(C1408,clientes!$C$3:$D$60,2,FALSE)</f>
        <v>AGROPALMA</v>
      </c>
    </row>
    <row r="1409" spans="1:7" x14ac:dyDescent="0.25">
      <c r="A1409" s="10">
        <v>2024</v>
      </c>
      <c r="B1409" s="10" t="s">
        <v>136</v>
      </c>
      <c r="C1409" s="10" t="s">
        <v>177</v>
      </c>
      <c r="D1409" s="10" t="s">
        <v>115</v>
      </c>
      <c r="E1409" t="str">
        <f>VLOOKUP(D1409,'Lista de Produtos CLASSIFICAÇÃO'!$A$103:$B$144,2,FALSE)</f>
        <v>Soda Caustica</v>
      </c>
      <c r="F1409" s="53">
        <v>426494</v>
      </c>
      <c r="G1409" s="56" t="str">
        <f>VLOOKUP(C1409,clientes!$C$3:$D$60,2,FALSE)</f>
        <v>BRENNTAG</v>
      </c>
    </row>
    <row r="1410" spans="1:7" x14ac:dyDescent="0.25">
      <c r="A1410" s="10">
        <v>2024</v>
      </c>
      <c r="B1410" s="10" t="s">
        <v>136</v>
      </c>
      <c r="C1410" s="10" t="s">
        <v>178</v>
      </c>
      <c r="D1410" s="10" t="s">
        <v>115</v>
      </c>
      <c r="E1410" t="str">
        <f>VLOOKUP(D1410,'Lista de Produtos CLASSIFICAÇÃO'!$A$103:$B$144,2,FALSE)</f>
        <v>Soda Caustica</v>
      </c>
      <c r="F1410" s="53">
        <v>1524504</v>
      </c>
      <c r="G1410" s="56" t="str">
        <f>VLOOKUP(C1410,clientes!$C$3:$D$60,2,FALSE)</f>
        <v>OLIN BLUE CUBE</v>
      </c>
    </row>
    <row r="1411" spans="1:7" x14ac:dyDescent="0.25">
      <c r="A1411" s="10">
        <v>2024</v>
      </c>
      <c r="B1411" s="10" t="s">
        <v>136</v>
      </c>
      <c r="C1411" s="10" t="s">
        <v>179</v>
      </c>
      <c r="D1411" s="10" t="s">
        <v>26</v>
      </c>
      <c r="E1411" t="str">
        <f>VLOOKUP(D1411,'Lista de Produtos CLASSIFICAÇÃO'!$A$103:$B$144,2,FALSE)</f>
        <v>Biocombustíveis</v>
      </c>
      <c r="F1411" s="53">
        <v>467791</v>
      </c>
      <c r="G1411" s="56" t="str">
        <f>VLOOKUP(C1411,clientes!$C$3:$D$60,2,FALSE)</f>
        <v>BSBIOS</v>
      </c>
    </row>
    <row r="1412" spans="1:7" x14ac:dyDescent="0.25">
      <c r="A1412" s="10">
        <v>2024</v>
      </c>
      <c r="B1412" s="10" t="s">
        <v>136</v>
      </c>
      <c r="C1412" s="10" t="s">
        <v>180</v>
      </c>
      <c r="D1412" s="10" t="s">
        <v>30</v>
      </c>
      <c r="E1412" t="str">
        <f>VLOOKUP(D1412,'Lista de Produtos CLASSIFICAÇÃO'!$A$103:$B$144,2,FALSE)</f>
        <v>Outros</v>
      </c>
      <c r="F1412" s="53">
        <v>192330</v>
      </c>
      <c r="G1412" s="56" t="str">
        <f>VLOOKUP(C1412,clientes!$C$3:$D$60,2,FALSE)</f>
        <v>TRICHEM</v>
      </c>
    </row>
    <row r="1413" spans="1:7" x14ac:dyDescent="0.25">
      <c r="A1413" s="10">
        <v>2024</v>
      </c>
      <c r="B1413" s="10" t="s">
        <v>136</v>
      </c>
      <c r="C1413" s="10" t="s">
        <v>181</v>
      </c>
      <c r="D1413" s="10" t="s">
        <v>123</v>
      </c>
      <c r="E1413" t="str">
        <f>VLOOKUP(D1413,'Lista de Produtos CLASSIFICAÇÃO'!$A$103:$B$144,2,FALSE)</f>
        <v>Aquecidos</v>
      </c>
      <c r="F1413" s="53">
        <v>186529</v>
      </c>
      <c r="G1413" s="56" t="str">
        <f>VLOOKUP(C1413,clientes!$C$3:$D$60,2,FALSE)</f>
        <v>COAMO</v>
      </c>
    </row>
    <row r="1414" spans="1:7" x14ac:dyDescent="0.25">
      <c r="A1414" s="10">
        <v>2024</v>
      </c>
      <c r="B1414" s="10" t="s">
        <v>136</v>
      </c>
      <c r="C1414" s="10" t="s">
        <v>182</v>
      </c>
      <c r="D1414" s="10" t="s">
        <v>120</v>
      </c>
      <c r="E1414" t="str">
        <f>VLOOKUP(D1414,'Lista de Produtos CLASSIFICAÇÃO'!$A$103:$B$144,2,FALSE)</f>
        <v>Derivados</v>
      </c>
      <c r="F1414" s="53">
        <v>0</v>
      </c>
      <c r="G1414" s="56" t="str">
        <f>VLOOKUP(C1414,clientes!$C$3:$D$60,2,FALSE)</f>
        <v>ATEM</v>
      </c>
    </row>
    <row r="1415" spans="1:7" x14ac:dyDescent="0.25">
      <c r="A1415" s="10">
        <v>2024</v>
      </c>
      <c r="B1415" s="10" t="s">
        <v>136</v>
      </c>
      <c r="C1415" s="10" t="s">
        <v>174</v>
      </c>
      <c r="D1415" s="10" t="s">
        <v>123</v>
      </c>
      <c r="E1415" t="str">
        <f>VLOOKUP(D1415,'Lista de Produtos CLASSIFICAÇÃO'!$A$103:$B$144,2,FALSE)</f>
        <v>Aquecidos</v>
      </c>
      <c r="F1415" s="53">
        <v>1870436</v>
      </c>
      <c r="G1415" s="56" t="str">
        <f>VLOOKUP(C1415,clientes!$C$3:$D$60,2,FALSE)</f>
        <v>CELENA</v>
      </c>
    </row>
    <row r="1416" spans="1:7" x14ac:dyDescent="0.25">
      <c r="A1416" s="10">
        <v>2024</v>
      </c>
      <c r="B1416" s="10" t="s">
        <v>136</v>
      </c>
      <c r="C1416" s="10" t="s">
        <v>173</v>
      </c>
      <c r="D1416" s="10" t="s">
        <v>183</v>
      </c>
      <c r="E1416" t="str">
        <f>VLOOKUP(D1416,'Lista de Produtos CLASSIFICAÇÃO'!$A$103:$B$144,2,FALSE)</f>
        <v>Outros</v>
      </c>
      <c r="F1416" s="53">
        <v>140762</v>
      </c>
      <c r="G1416" s="56" t="str">
        <f>VLOOKUP(C1416,clientes!$C$3:$D$60,2,FALSE)</f>
        <v>YPF SOCIEDAD ANONIMA</v>
      </c>
    </row>
    <row r="1417" spans="1:7" x14ac:dyDescent="0.25">
      <c r="A1417" s="10">
        <v>2024</v>
      </c>
      <c r="B1417" s="10" t="s">
        <v>136</v>
      </c>
      <c r="C1417" s="10" t="s">
        <v>184</v>
      </c>
      <c r="D1417" s="10" t="s">
        <v>122</v>
      </c>
      <c r="E1417" t="str">
        <f>VLOOKUP(D1417,'Lista de Produtos CLASSIFICAÇÃO'!$A$103:$B$144,2,FALSE)</f>
        <v>Óleo Vegetal</v>
      </c>
      <c r="F1417" s="53">
        <v>192335</v>
      </c>
      <c r="G1417" s="56" t="str">
        <f>VLOOKUP(C1417,clientes!$C$3:$D$60,2,FALSE)</f>
        <v>INGREDION</v>
      </c>
    </row>
    <row r="1418" spans="1:7" x14ac:dyDescent="0.25">
      <c r="A1418" s="10">
        <v>2024</v>
      </c>
      <c r="B1418" s="10" t="s">
        <v>136</v>
      </c>
      <c r="C1418" s="10" t="s">
        <v>185</v>
      </c>
      <c r="D1418" s="10" t="s">
        <v>120</v>
      </c>
      <c r="E1418" t="str">
        <f>VLOOKUP(D1418,'Lista de Produtos CLASSIFICAÇÃO'!$A$103:$B$144,2,FALSE)</f>
        <v>Derivados</v>
      </c>
      <c r="F1418" s="53">
        <v>1214701</v>
      </c>
      <c r="G1418" s="56" t="str">
        <f>VLOOKUP(C1418,clientes!$C$3:$D$60,2,FALSE)</f>
        <v>CIAPETRO</v>
      </c>
    </row>
    <row r="1419" spans="1:7" x14ac:dyDescent="0.25">
      <c r="A1419" s="10">
        <v>2024</v>
      </c>
      <c r="B1419" s="10" t="s">
        <v>136</v>
      </c>
      <c r="C1419" s="10" t="s">
        <v>186</v>
      </c>
      <c r="D1419" s="10" t="s">
        <v>22</v>
      </c>
      <c r="E1419" t="str">
        <f>VLOOKUP(D1419,'Lista de Produtos CLASSIFICAÇÃO'!$A$103:$B$144,2,FALSE)</f>
        <v>Metanol</v>
      </c>
      <c r="F1419" s="53">
        <v>641825</v>
      </c>
      <c r="G1419" s="56" t="str">
        <f>VLOOKUP(C1419,clientes!$C$3:$D$60,2,FALSE)</f>
        <v>OQ TRADING</v>
      </c>
    </row>
    <row r="1420" spans="1:7" x14ac:dyDescent="0.25">
      <c r="A1420" s="10">
        <v>2024</v>
      </c>
      <c r="B1420" s="10" t="s">
        <v>136</v>
      </c>
      <c r="C1420" s="10" t="s">
        <v>187</v>
      </c>
      <c r="D1420" s="10" t="s">
        <v>121</v>
      </c>
      <c r="E1420" t="str">
        <f>VLOOKUP(D1420,'Lista de Produtos CLASSIFICAÇÃO'!$A$103:$B$144,2,FALSE)</f>
        <v>Biocombustíveis</v>
      </c>
      <c r="F1420" s="53">
        <v>850000</v>
      </c>
      <c r="G1420" s="56" t="str">
        <f>VLOOKUP(C1420,clientes!$C$3:$D$60,2,FALSE)</f>
        <v>TEREOS / INPASA / GLENCORE / FS</v>
      </c>
    </row>
    <row r="1421" spans="1:7" x14ac:dyDescent="0.25">
      <c r="A1421" s="10">
        <v>2024</v>
      </c>
      <c r="B1421" s="10" t="s">
        <v>136</v>
      </c>
      <c r="C1421" s="10" t="s">
        <v>188</v>
      </c>
      <c r="D1421" s="10" t="s">
        <v>123</v>
      </c>
      <c r="E1421" t="str">
        <f>VLOOKUP(D1421,'Lista de Produtos CLASSIFICAÇÃO'!$A$103:$B$144,2,FALSE)</f>
        <v>Aquecidos</v>
      </c>
      <c r="F1421" s="53">
        <v>535273</v>
      </c>
      <c r="G1421" s="56" t="str">
        <f>VLOOKUP(C1421,clientes!$C$3:$D$60,2,FALSE)</f>
        <v>ARES MERCHANTS PTE LIMITE</v>
      </c>
    </row>
    <row r="1422" spans="1:7" x14ac:dyDescent="0.25">
      <c r="A1422" s="10">
        <v>2024</v>
      </c>
      <c r="B1422" s="10" t="s">
        <v>136</v>
      </c>
      <c r="C1422" s="10" t="s">
        <v>18</v>
      </c>
      <c r="D1422" s="10" t="s">
        <v>17</v>
      </c>
      <c r="E1422" t="str">
        <f>VLOOKUP(D1422,'Lista de Produtos CLASSIFICAÇÃO'!$A$103:$B$144,2,FALSE)</f>
        <v>Acostagem</v>
      </c>
      <c r="F1422" s="53">
        <v>479507.18</v>
      </c>
      <c r="G1422" s="56" t="str">
        <f>VLOOKUP(C1422,clientes!$C$3:$D$60,2,FALSE)</f>
        <v>ACOSTAGEM</v>
      </c>
    </row>
    <row r="1423" spans="1:7" x14ac:dyDescent="0.25">
      <c r="A1423" s="10">
        <v>2024</v>
      </c>
      <c r="B1423" s="10" t="s">
        <v>136</v>
      </c>
      <c r="C1423" s="10" t="s">
        <v>189</v>
      </c>
      <c r="D1423" s="10" t="s">
        <v>123</v>
      </c>
      <c r="E1423" t="str">
        <f>VLOOKUP(D1423,'Lista de Produtos CLASSIFICAÇÃO'!$A$103:$B$144,2,FALSE)</f>
        <v>Aquecidos</v>
      </c>
      <c r="F1423" s="53">
        <v>503774</v>
      </c>
      <c r="G1423" s="56" t="str">
        <f>VLOOKUP(C1423,clientes!$C$3:$D$60,2,FALSE)</f>
        <v>ICOF</v>
      </c>
    </row>
    <row r="1424" spans="1:7" x14ac:dyDescent="0.25">
      <c r="A1424" s="10">
        <v>2024</v>
      </c>
      <c r="B1424" s="10" t="s">
        <v>137</v>
      </c>
      <c r="C1424" s="10" t="s">
        <v>155</v>
      </c>
      <c r="D1424" s="10" t="s">
        <v>16</v>
      </c>
      <c r="E1424" t="str">
        <f>VLOOKUP(D1424,'Lista de Produtos CLASSIFICAÇÃO'!$A$103:$B$144,2,FALSE)</f>
        <v>Outros</v>
      </c>
      <c r="F1424" s="53">
        <v>886810</v>
      </c>
      <c r="G1424" s="56" t="str">
        <f>VLOOKUP(C1424,clientes!$C$3:$D$60,2,FALSE)</f>
        <v>ADISSEO</v>
      </c>
    </row>
    <row r="1425" spans="1:7" x14ac:dyDescent="0.25">
      <c r="A1425" s="10">
        <v>2024</v>
      </c>
      <c r="B1425" s="10" t="s">
        <v>137</v>
      </c>
      <c r="C1425" s="10" t="s">
        <v>156</v>
      </c>
      <c r="D1425" s="10" t="s">
        <v>123</v>
      </c>
      <c r="E1425" t="str">
        <f>VLOOKUP(D1425,'Lista de Produtos CLASSIFICAÇÃO'!$A$103:$B$144,2,FALSE)</f>
        <v>Aquecidos</v>
      </c>
      <c r="F1425" s="53">
        <v>377129</v>
      </c>
      <c r="G1425" s="56" t="str">
        <f>VLOOKUP(C1425,clientes!$C$3:$D$60,2,FALSE)</f>
        <v>BUNGE</v>
      </c>
    </row>
    <row r="1426" spans="1:7" x14ac:dyDescent="0.25">
      <c r="A1426" s="10">
        <v>2024</v>
      </c>
      <c r="B1426" s="10" t="s">
        <v>137</v>
      </c>
      <c r="C1426" s="10" t="s">
        <v>157</v>
      </c>
      <c r="D1426" s="10" t="s">
        <v>122</v>
      </c>
      <c r="E1426" t="str">
        <f>VLOOKUP(D1426,'Lista de Produtos CLASSIFICAÇÃO'!$A$103:$B$144,2,FALSE)</f>
        <v>Óleo Vegetal</v>
      </c>
      <c r="F1426" s="53">
        <v>187113</v>
      </c>
      <c r="G1426" s="56" t="str">
        <f>VLOOKUP(C1426,clientes!$C$3:$D$60,2,FALSE)</f>
        <v>ADM</v>
      </c>
    </row>
    <row r="1427" spans="1:7" x14ac:dyDescent="0.25">
      <c r="A1427" s="10">
        <v>2024</v>
      </c>
      <c r="B1427" s="10" t="s">
        <v>137</v>
      </c>
      <c r="C1427" s="10" t="s">
        <v>158</v>
      </c>
      <c r="D1427" s="10" t="s">
        <v>120</v>
      </c>
      <c r="E1427" t="str">
        <f>VLOOKUP(D1427,'Lista de Produtos CLASSIFICAÇÃO'!$A$103:$B$144,2,FALSE)</f>
        <v>Derivados</v>
      </c>
      <c r="F1427" s="53">
        <v>7226175</v>
      </c>
      <c r="G1427" s="56" t="str">
        <f>VLOOKUP(C1427,clientes!$C$3:$D$60,2,FALSE)</f>
        <v>IPIRANGA</v>
      </c>
    </row>
    <row r="1428" spans="1:7" x14ac:dyDescent="0.25">
      <c r="A1428" s="10">
        <v>2024</v>
      </c>
      <c r="B1428" s="10" t="s">
        <v>137</v>
      </c>
      <c r="C1428" s="10" t="s">
        <v>159</v>
      </c>
      <c r="D1428" s="10" t="s">
        <v>120</v>
      </c>
      <c r="E1428" t="str">
        <f>VLOOKUP(D1428,'Lista de Produtos CLASSIFICAÇÃO'!$A$103:$B$144,2,FALSE)</f>
        <v>Derivados</v>
      </c>
      <c r="F1428" s="53">
        <v>2968315</v>
      </c>
      <c r="G1428" s="56" t="str">
        <f>VLOOKUP(C1428,clientes!$C$3:$D$60,2,FALSE)</f>
        <v>RAIZEN</v>
      </c>
    </row>
    <row r="1429" spans="1:7" x14ac:dyDescent="0.25">
      <c r="A1429" s="10">
        <v>2024</v>
      </c>
      <c r="B1429" s="10" t="s">
        <v>137</v>
      </c>
      <c r="C1429" s="10" t="s">
        <v>160</v>
      </c>
      <c r="D1429" s="10" t="s">
        <v>120</v>
      </c>
      <c r="E1429" t="str">
        <f>VLOOKUP(D1429,'Lista de Produtos CLASSIFICAÇÃO'!$A$103:$B$144,2,FALSE)</f>
        <v>Derivados</v>
      </c>
      <c r="F1429" s="53">
        <v>1811877</v>
      </c>
      <c r="G1429" s="56" t="str">
        <f>VLOOKUP(C1429,clientes!$C$3:$D$60,2,FALSE)</f>
        <v>VIBRA</v>
      </c>
    </row>
    <row r="1430" spans="1:7" x14ac:dyDescent="0.25">
      <c r="A1430" s="10">
        <v>2024</v>
      </c>
      <c r="B1430" s="10" t="s">
        <v>137</v>
      </c>
      <c r="C1430" s="10" t="s">
        <v>161</v>
      </c>
      <c r="D1430" s="10" t="s">
        <v>120</v>
      </c>
      <c r="E1430" t="str">
        <f>VLOOKUP(D1430,'Lista de Produtos CLASSIFICAÇÃO'!$A$103:$B$144,2,FALSE)</f>
        <v>Derivados</v>
      </c>
      <c r="F1430" s="53">
        <v>3650396</v>
      </c>
      <c r="G1430" s="56" t="str">
        <f>VLOOKUP(C1430,clientes!$C$3:$D$60,2,FALSE)</f>
        <v>SUL PLATA</v>
      </c>
    </row>
    <row r="1431" spans="1:7" x14ac:dyDescent="0.25">
      <c r="A1431" s="10">
        <v>2024</v>
      </c>
      <c r="B1431" s="10" t="s">
        <v>137</v>
      </c>
      <c r="C1431" s="10" t="s">
        <v>162</v>
      </c>
      <c r="D1431" s="10" t="s">
        <v>115</v>
      </c>
      <c r="E1431" t="str">
        <f>VLOOKUP(D1431,'Lista de Produtos CLASSIFICAÇÃO'!$A$103:$B$144,2,FALSE)</f>
        <v>Soda Caustica</v>
      </c>
      <c r="F1431" s="53">
        <v>179417</v>
      </c>
      <c r="G1431" s="56" t="str">
        <f>VLOOKUP(C1431,clientes!$C$3:$D$60,2,FALSE)</f>
        <v>JBS</v>
      </c>
    </row>
    <row r="1432" spans="1:7" x14ac:dyDescent="0.25">
      <c r="A1432" s="10">
        <v>2024</v>
      </c>
      <c r="B1432" s="10" t="s">
        <v>137</v>
      </c>
      <c r="C1432" s="10" t="s">
        <v>163</v>
      </c>
      <c r="D1432" s="10" t="s">
        <v>115</v>
      </c>
      <c r="E1432" t="str">
        <f>VLOOKUP(D1432,'Lista de Produtos CLASSIFICAÇÃO'!$A$103:$B$144,2,FALSE)</f>
        <v>Soda Caustica</v>
      </c>
      <c r="F1432" s="53">
        <v>396611</v>
      </c>
      <c r="G1432" s="56" t="str">
        <f>VLOOKUP(C1432,clientes!$C$3:$D$60,2,FALSE)</f>
        <v>TRICON ENERGY</v>
      </c>
    </row>
    <row r="1433" spans="1:7" x14ac:dyDescent="0.25">
      <c r="A1433" s="10">
        <v>2024</v>
      </c>
      <c r="B1433" s="10" t="s">
        <v>137</v>
      </c>
      <c r="C1433" s="10" t="s">
        <v>164</v>
      </c>
      <c r="D1433" s="10" t="s">
        <v>115</v>
      </c>
      <c r="E1433" t="str">
        <f>VLOOKUP(D1433,'Lista de Produtos CLASSIFICAÇÃO'!$A$103:$B$144,2,FALSE)</f>
        <v>Soda Caustica</v>
      </c>
      <c r="F1433" s="53">
        <v>273415</v>
      </c>
      <c r="G1433" s="56" t="str">
        <f>VLOOKUP(C1433,clientes!$C$3:$D$60,2,FALSE)</f>
        <v>BRASKEM</v>
      </c>
    </row>
    <row r="1434" spans="1:7" x14ac:dyDescent="0.25">
      <c r="A1434" s="10">
        <v>2024</v>
      </c>
      <c r="B1434" s="10" t="s">
        <v>137</v>
      </c>
      <c r="C1434" s="10" t="s">
        <v>165</v>
      </c>
      <c r="D1434" s="10" t="s">
        <v>123</v>
      </c>
      <c r="E1434" t="str">
        <f>VLOOKUP(D1434,'Lista de Produtos CLASSIFICAÇÃO'!$A$103:$B$144,2,FALSE)</f>
        <v>Aquecidos</v>
      </c>
      <c r="F1434" s="53">
        <v>988196</v>
      </c>
      <c r="G1434" s="56" t="str">
        <f>VLOOKUP(C1434,clientes!$C$3:$D$60,2,FALSE)</f>
        <v>BRF</v>
      </c>
    </row>
    <row r="1435" spans="1:7" x14ac:dyDescent="0.25">
      <c r="A1435" s="10">
        <v>2024</v>
      </c>
      <c r="B1435" s="10" t="s">
        <v>137</v>
      </c>
      <c r="C1435" s="10" t="s">
        <v>162</v>
      </c>
      <c r="D1435" s="10" t="s">
        <v>123</v>
      </c>
      <c r="E1435" t="str">
        <f>VLOOKUP(D1435,'Lista de Produtos CLASSIFICAÇÃO'!$A$103:$B$144,2,FALSE)</f>
        <v>Aquecidos</v>
      </c>
      <c r="F1435" s="53">
        <v>355713</v>
      </c>
      <c r="G1435" s="56" t="str">
        <f>VLOOKUP(C1435,clientes!$C$3:$D$60,2,FALSE)</f>
        <v>JBS</v>
      </c>
    </row>
    <row r="1436" spans="1:7" x14ac:dyDescent="0.25">
      <c r="A1436" s="10">
        <v>2024</v>
      </c>
      <c r="B1436" s="10" t="s">
        <v>137</v>
      </c>
      <c r="C1436" s="10" t="s">
        <v>166</v>
      </c>
      <c r="D1436" s="10" t="s">
        <v>123</v>
      </c>
      <c r="E1436" t="str">
        <f>VLOOKUP(D1436,'Lista de Produtos CLASSIFICAÇÃO'!$A$103:$B$144,2,FALSE)</f>
        <v>Aquecidos</v>
      </c>
      <c r="F1436" s="53">
        <v>521117</v>
      </c>
      <c r="G1436" s="56" t="str">
        <f>VLOOKUP(C1436,clientes!$C$3:$D$60,2,FALSE)</f>
        <v>CARGILL</v>
      </c>
    </row>
    <row r="1437" spans="1:7" x14ac:dyDescent="0.25">
      <c r="A1437" s="10">
        <v>2024</v>
      </c>
      <c r="B1437" s="10" t="s">
        <v>137</v>
      </c>
      <c r="C1437" s="10" t="s">
        <v>167</v>
      </c>
      <c r="D1437" s="10" t="s">
        <v>122</v>
      </c>
      <c r="E1437" t="str">
        <f>VLOOKUP(D1437,'Lista de Produtos CLASSIFICAÇÃO'!$A$103:$B$144,2,FALSE)</f>
        <v>Óleo Vegetal</v>
      </c>
      <c r="F1437" s="53">
        <v>4726765</v>
      </c>
      <c r="G1437" s="56" t="str">
        <f>VLOOKUP(C1437,clientes!$C$3:$D$60,2,FALSE)</f>
        <v>POOL</v>
      </c>
    </row>
    <row r="1438" spans="1:7" x14ac:dyDescent="0.25">
      <c r="A1438" s="10">
        <v>2024</v>
      </c>
      <c r="B1438" s="10" t="s">
        <v>137</v>
      </c>
      <c r="C1438" s="10" t="s">
        <v>168</v>
      </c>
      <c r="D1438" s="10" t="s">
        <v>122</v>
      </c>
      <c r="E1438" t="str">
        <f>VLOOKUP(D1438,'Lista de Produtos CLASSIFICAÇÃO'!$A$103:$B$144,2,FALSE)</f>
        <v>Óleo Vegetal</v>
      </c>
      <c r="F1438" s="53">
        <v>0</v>
      </c>
      <c r="G1438" s="56" t="str">
        <f>VLOOKUP(C1438,clientes!$C$3:$D$60,2,FALSE)</f>
        <v>POOL EXCEDENTE</v>
      </c>
    </row>
    <row r="1439" spans="1:7" x14ac:dyDescent="0.25">
      <c r="A1439" s="10">
        <v>2024</v>
      </c>
      <c r="B1439" s="10" t="s">
        <v>137</v>
      </c>
      <c r="C1439" s="10" t="s">
        <v>169</v>
      </c>
      <c r="D1439" s="10" t="s">
        <v>22</v>
      </c>
      <c r="E1439" t="str">
        <f>VLOOKUP(D1439,'Lista de Produtos CLASSIFICAÇÃO'!$A$103:$B$144,2,FALSE)</f>
        <v>Metanol</v>
      </c>
      <c r="F1439" s="53">
        <v>5852002</v>
      </c>
      <c r="G1439" s="56" t="str">
        <f>VLOOKUP(C1439,clientes!$C$3:$D$60,2,FALSE)</f>
        <v>METHANEX</v>
      </c>
    </row>
    <row r="1440" spans="1:7" x14ac:dyDescent="0.25">
      <c r="A1440" s="10">
        <v>2024</v>
      </c>
      <c r="B1440" s="10" t="s">
        <v>137</v>
      </c>
      <c r="C1440" s="10" t="s">
        <v>170</v>
      </c>
      <c r="D1440" s="10" t="s">
        <v>22</v>
      </c>
      <c r="E1440" t="str">
        <f>VLOOKUP(D1440,'Lista de Produtos CLASSIFICAÇÃO'!$A$103:$B$144,2,FALSE)</f>
        <v>Metanol</v>
      </c>
      <c r="F1440" s="53">
        <v>3046681</v>
      </c>
      <c r="G1440" s="56" t="str">
        <f>VLOOKUP(C1440,clientes!$C$3:$D$60,2,FALSE)</f>
        <v>MITSUBISHI</v>
      </c>
    </row>
    <row r="1441" spans="1:7" x14ac:dyDescent="0.25">
      <c r="A1441" s="10">
        <v>2024</v>
      </c>
      <c r="B1441" s="10" t="s">
        <v>137</v>
      </c>
      <c r="C1441" s="10" t="s">
        <v>171</v>
      </c>
      <c r="D1441" s="10" t="s">
        <v>22</v>
      </c>
      <c r="E1441" t="str">
        <f>VLOOKUP(D1441,'Lista de Produtos CLASSIFICAÇÃO'!$A$103:$B$144,2,FALSE)</f>
        <v>Metanol</v>
      </c>
      <c r="F1441" s="53">
        <v>5179714</v>
      </c>
      <c r="G1441" s="56" t="str">
        <f>VLOOKUP(C1441,clientes!$C$3:$D$60,2,FALSE)</f>
        <v>VALENZ</v>
      </c>
    </row>
    <row r="1442" spans="1:7" x14ac:dyDescent="0.25">
      <c r="A1442" s="10">
        <v>2024</v>
      </c>
      <c r="B1442" s="10" t="s">
        <v>137</v>
      </c>
      <c r="C1442" s="10" t="s">
        <v>172</v>
      </c>
      <c r="D1442" s="10" t="s">
        <v>124</v>
      </c>
      <c r="E1442" t="str">
        <f>VLOOKUP(D1442,'Lista de Produtos CLASSIFICAÇÃO'!$A$103:$B$144,2,FALSE)</f>
        <v>Outros</v>
      </c>
      <c r="F1442" s="53">
        <v>406450</v>
      </c>
      <c r="G1442" s="56" t="str">
        <f>VLOOKUP(C1442,clientes!$C$3:$D$60,2,FALSE)</f>
        <v>EVONIK</v>
      </c>
    </row>
    <row r="1443" spans="1:7" x14ac:dyDescent="0.25">
      <c r="A1443" s="10">
        <v>2024</v>
      </c>
      <c r="B1443" s="10" t="s">
        <v>137</v>
      </c>
      <c r="C1443" s="10" t="s">
        <v>173</v>
      </c>
      <c r="D1443" s="10" t="s">
        <v>22</v>
      </c>
      <c r="E1443" t="str">
        <f>VLOOKUP(D1443,'Lista de Produtos CLASSIFICAÇÃO'!$A$103:$B$144,2,FALSE)</f>
        <v>Metanol</v>
      </c>
      <c r="F1443" s="53">
        <v>490592</v>
      </c>
      <c r="G1443" s="56" t="str">
        <f>VLOOKUP(C1443,clientes!$C$3:$D$60,2,FALSE)</f>
        <v>YPF SOCIEDAD ANONIMA</v>
      </c>
    </row>
    <row r="1444" spans="1:7" x14ac:dyDescent="0.25">
      <c r="A1444" s="10">
        <v>2024</v>
      </c>
      <c r="B1444" s="10" t="s">
        <v>137</v>
      </c>
      <c r="C1444" s="10" t="s">
        <v>174</v>
      </c>
      <c r="D1444" s="10" t="s">
        <v>123</v>
      </c>
      <c r="E1444" t="str">
        <f>VLOOKUP(D1444,'Lista de Produtos CLASSIFICAÇÃO'!$A$103:$B$144,2,FALSE)</f>
        <v>Aquecidos</v>
      </c>
      <c r="F1444" s="53">
        <v>315191</v>
      </c>
      <c r="G1444" s="56" t="str">
        <f>VLOOKUP(C1444,clientes!$C$3:$D$60,2,FALSE)</f>
        <v>CELENA</v>
      </c>
    </row>
    <row r="1445" spans="1:7" x14ac:dyDescent="0.25">
      <c r="A1445" s="10">
        <v>2024</v>
      </c>
      <c r="B1445" s="10" t="s">
        <v>137</v>
      </c>
      <c r="C1445" s="10" t="s">
        <v>175</v>
      </c>
      <c r="D1445" s="10" t="s">
        <v>123</v>
      </c>
      <c r="E1445" t="str">
        <f>VLOOKUP(D1445,'Lista de Produtos CLASSIFICAÇÃO'!$A$103:$B$144,2,FALSE)</f>
        <v>Aquecidos</v>
      </c>
      <c r="F1445" s="53">
        <v>582352</v>
      </c>
      <c r="G1445" s="56" t="str">
        <f>VLOOKUP(C1445,clientes!$C$3:$D$60,2,FALSE)</f>
        <v>AAK DO BRASIL</v>
      </c>
    </row>
    <row r="1446" spans="1:7" x14ac:dyDescent="0.25">
      <c r="A1446" s="10">
        <v>2024</v>
      </c>
      <c r="B1446" s="10" t="s">
        <v>137</v>
      </c>
      <c r="C1446" s="10" t="s">
        <v>166</v>
      </c>
      <c r="D1446" s="10" t="s">
        <v>122</v>
      </c>
      <c r="E1446" t="str">
        <f>VLOOKUP(D1446,'Lista de Produtos CLASSIFICAÇÃO'!$A$103:$B$144,2,FALSE)</f>
        <v>Óleo Vegetal</v>
      </c>
      <c r="F1446" s="53">
        <v>234062</v>
      </c>
      <c r="G1446" s="56" t="str">
        <f>VLOOKUP(C1446,clientes!$C$3:$D$60,2,FALSE)</f>
        <v>CARGILL</v>
      </c>
    </row>
    <row r="1447" spans="1:7" x14ac:dyDescent="0.25">
      <c r="A1447" s="10">
        <v>2024</v>
      </c>
      <c r="B1447" s="10" t="s">
        <v>137</v>
      </c>
      <c r="C1447" s="10" t="s">
        <v>176</v>
      </c>
      <c r="D1447" s="10" t="s">
        <v>123</v>
      </c>
      <c r="E1447" t="str">
        <f>VLOOKUP(D1447,'Lista de Produtos CLASSIFICAÇÃO'!$A$103:$B$144,2,FALSE)</f>
        <v>Aquecidos</v>
      </c>
      <c r="F1447" s="53">
        <v>360148</v>
      </c>
      <c r="G1447" s="56" t="str">
        <f>VLOOKUP(C1447,clientes!$C$3:$D$60,2,FALSE)</f>
        <v>AGROPALMA</v>
      </c>
    </row>
    <row r="1448" spans="1:7" x14ac:dyDescent="0.25">
      <c r="A1448" s="10">
        <v>2024</v>
      </c>
      <c r="B1448" s="10" t="s">
        <v>137</v>
      </c>
      <c r="C1448" s="10" t="s">
        <v>177</v>
      </c>
      <c r="D1448" s="10" t="s">
        <v>115</v>
      </c>
      <c r="E1448" t="str">
        <f>VLOOKUP(D1448,'Lista de Produtos CLASSIFICAÇÃO'!$A$103:$B$144,2,FALSE)</f>
        <v>Soda Caustica</v>
      </c>
      <c r="F1448" s="53">
        <v>426494</v>
      </c>
      <c r="G1448" s="56" t="str">
        <f>VLOOKUP(C1448,clientes!$C$3:$D$60,2,FALSE)</f>
        <v>BRENNTAG</v>
      </c>
    </row>
    <row r="1449" spans="1:7" x14ac:dyDescent="0.25">
      <c r="A1449" s="10">
        <v>2024</v>
      </c>
      <c r="B1449" s="10" t="s">
        <v>137</v>
      </c>
      <c r="C1449" s="10" t="s">
        <v>178</v>
      </c>
      <c r="D1449" s="10" t="s">
        <v>115</v>
      </c>
      <c r="E1449" t="str">
        <f>VLOOKUP(D1449,'Lista de Produtos CLASSIFICAÇÃO'!$A$103:$B$144,2,FALSE)</f>
        <v>Soda Caustica</v>
      </c>
      <c r="F1449" s="53">
        <v>1524504</v>
      </c>
      <c r="G1449" s="56" t="str">
        <f>VLOOKUP(C1449,clientes!$C$3:$D$60,2,FALSE)</f>
        <v>OLIN BLUE CUBE</v>
      </c>
    </row>
    <row r="1450" spans="1:7" x14ac:dyDescent="0.25">
      <c r="A1450" s="10">
        <v>2024</v>
      </c>
      <c r="B1450" s="10" t="s">
        <v>137</v>
      </c>
      <c r="C1450" s="10" t="s">
        <v>179</v>
      </c>
      <c r="D1450" s="10" t="s">
        <v>26</v>
      </c>
      <c r="E1450" t="str">
        <f>VLOOKUP(D1450,'Lista de Produtos CLASSIFICAÇÃO'!$A$103:$B$144,2,FALSE)</f>
        <v>Biocombustíveis</v>
      </c>
      <c r="F1450" s="53">
        <v>467791</v>
      </c>
      <c r="G1450" s="56" t="str">
        <f>VLOOKUP(C1450,clientes!$C$3:$D$60,2,FALSE)</f>
        <v>BSBIOS</v>
      </c>
    </row>
    <row r="1451" spans="1:7" x14ac:dyDescent="0.25">
      <c r="A1451" s="10">
        <v>2024</v>
      </c>
      <c r="B1451" s="10" t="s">
        <v>137</v>
      </c>
      <c r="C1451" s="10" t="s">
        <v>180</v>
      </c>
      <c r="D1451" s="10" t="s">
        <v>30</v>
      </c>
      <c r="E1451" t="str">
        <f>VLOOKUP(D1451,'Lista de Produtos CLASSIFICAÇÃO'!$A$103:$B$144,2,FALSE)</f>
        <v>Outros</v>
      </c>
      <c r="F1451" s="53">
        <v>192330</v>
      </c>
      <c r="G1451" s="56" t="str">
        <f>VLOOKUP(C1451,clientes!$C$3:$D$60,2,FALSE)</f>
        <v>TRICHEM</v>
      </c>
    </row>
    <row r="1452" spans="1:7" x14ac:dyDescent="0.25">
      <c r="A1452" s="10">
        <v>2024</v>
      </c>
      <c r="B1452" s="10" t="s">
        <v>137</v>
      </c>
      <c r="C1452" s="10" t="s">
        <v>181</v>
      </c>
      <c r="D1452" s="10" t="s">
        <v>123</v>
      </c>
      <c r="E1452" t="str">
        <f>VLOOKUP(D1452,'Lista de Produtos CLASSIFICAÇÃO'!$A$103:$B$144,2,FALSE)</f>
        <v>Aquecidos</v>
      </c>
      <c r="F1452" s="53">
        <v>186529</v>
      </c>
      <c r="G1452" s="56" t="str">
        <f>VLOOKUP(C1452,clientes!$C$3:$D$60,2,FALSE)</f>
        <v>COAMO</v>
      </c>
    </row>
    <row r="1453" spans="1:7" x14ac:dyDescent="0.25">
      <c r="A1453" s="10">
        <v>2024</v>
      </c>
      <c r="B1453" s="10" t="s">
        <v>137</v>
      </c>
      <c r="C1453" s="10" t="s">
        <v>182</v>
      </c>
      <c r="D1453" s="10" t="s">
        <v>120</v>
      </c>
      <c r="E1453" t="str">
        <f>VLOOKUP(D1453,'Lista de Produtos CLASSIFICAÇÃO'!$A$103:$B$144,2,FALSE)</f>
        <v>Derivados</v>
      </c>
      <c r="F1453" s="53">
        <v>0</v>
      </c>
      <c r="G1453" s="56" t="str">
        <f>VLOOKUP(C1453,clientes!$C$3:$D$60,2,FALSE)</f>
        <v>ATEM</v>
      </c>
    </row>
    <row r="1454" spans="1:7" x14ac:dyDescent="0.25">
      <c r="A1454" s="10">
        <v>2024</v>
      </c>
      <c r="B1454" s="10" t="s">
        <v>137</v>
      </c>
      <c r="C1454" s="10" t="s">
        <v>174</v>
      </c>
      <c r="D1454" s="10" t="s">
        <v>123</v>
      </c>
      <c r="E1454" t="str">
        <f>VLOOKUP(D1454,'Lista de Produtos CLASSIFICAÇÃO'!$A$103:$B$144,2,FALSE)</f>
        <v>Aquecidos</v>
      </c>
      <c r="F1454" s="53">
        <v>1607710</v>
      </c>
      <c r="G1454" s="56" t="str">
        <f>VLOOKUP(C1454,clientes!$C$3:$D$60,2,FALSE)</f>
        <v>CELENA</v>
      </c>
    </row>
    <row r="1455" spans="1:7" x14ac:dyDescent="0.25">
      <c r="A1455" s="10">
        <v>2024</v>
      </c>
      <c r="B1455" s="10" t="s">
        <v>137</v>
      </c>
      <c r="C1455" s="10" t="s">
        <v>173</v>
      </c>
      <c r="D1455" s="10" t="s">
        <v>183</v>
      </c>
      <c r="E1455" t="str">
        <f>VLOOKUP(D1455,'Lista de Produtos CLASSIFICAÇÃO'!$A$103:$B$144,2,FALSE)</f>
        <v>Outros</v>
      </c>
      <c r="F1455" s="53">
        <v>159474</v>
      </c>
      <c r="G1455" s="56" t="str">
        <f>VLOOKUP(C1455,clientes!$C$3:$D$60,2,FALSE)</f>
        <v>YPF SOCIEDAD ANONIMA</v>
      </c>
    </row>
    <row r="1456" spans="1:7" x14ac:dyDescent="0.25">
      <c r="A1456" s="10">
        <v>2024</v>
      </c>
      <c r="B1456" s="10" t="s">
        <v>137</v>
      </c>
      <c r="C1456" s="10" t="s">
        <v>184</v>
      </c>
      <c r="D1456" s="10" t="s">
        <v>122</v>
      </c>
      <c r="E1456" t="str">
        <f>VLOOKUP(D1456,'Lista de Produtos CLASSIFICAÇÃO'!$A$103:$B$144,2,FALSE)</f>
        <v>Óleo Vegetal</v>
      </c>
      <c r="F1456" s="53">
        <v>246808</v>
      </c>
      <c r="G1456" s="56" t="str">
        <f>VLOOKUP(C1456,clientes!$C$3:$D$60,2,FALSE)</f>
        <v>INGREDION</v>
      </c>
    </row>
    <row r="1457" spans="1:7" x14ac:dyDescent="0.25">
      <c r="A1457" s="10">
        <v>2024</v>
      </c>
      <c r="B1457" s="10" t="s">
        <v>137</v>
      </c>
      <c r="C1457" s="10" t="s">
        <v>185</v>
      </c>
      <c r="D1457" s="10" t="s">
        <v>120</v>
      </c>
      <c r="E1457" t="str">
        <f>VLOOKUP(D1457,'Lista de Produtos CLASSIFICAÇÃO'!$A$103:$B$144,2,FALSE)</f>
        <v>Derivados</v>
      </c>
      <c r="F1457" s="53">
        <v>1214701</v>
      </c>
      <c r="G1457" s="56" t="str">
        <f>VLOOKUP(C1457,clientes!$C$3:$D$60,2,FALSE)</f>
        <v>CIAPETRO</v>
      </c>
    </row>
    <row r="1458" spans="1:7" x14ac:dyDescent="0.25">
      <c r="A1458" s="10">
        <v>2024</v>
      </c>
      <c r="B1458" s="10" t="s">
        <v>137</v>
      </c>
      <c r="C1458" s="10" t="s">
        <v>186</v>
      </c>
      <c r="D1458" s="10" t="s">
        <v>22</v>
      </c>
      <c r="E1458" t="str">
        <f>VLOOKUP(D1458,'Lista de Produtos CLASSIFICAÇÃO'!$A$103:$B$144,2,FALSE)</f>
        <v>Metanol</v>
      </c>
      <c r="F1458" s="53">
        <v>351392</v>
      </c>
      <c r="G1458" s="56" t="str">
        <f>VLOOKUP(C1458,clientes!$C$3:$D$60,2,FALSE)</f>
        <v>OQ TRADING</v>
      </c>
    </row>
    <row r="1459" spans="1:7" x14ac:dyDescent="0.25">
      <c r="A1459" s="10">
        <v>2024</v>
      </c>
      <c r="B1459" s="10" t="s">
        <v>137</v>
      </c>
      <c r="C1459" s="10" t="s">
        <v>187</v>
      </c>
      <c r="D1459" s="10" t="s">
        <v>121</v>
      </c>
      <c r="E1459" t="str">
        <f>VLOOKUP(D1459,'Lista de Produtos CLASSIFICAÇÃO'!$A$103:$B$144,2,FALSE)</f>
        <v>Biocombustíveis</v>
      </c>
      <c r="F1459" s="53">
        <v>850000</v>
      </c>
      <c r="G1459" s="56" t="str">
        <f>VLOOKUP(C1459,clientes!$C$3:$D$60,2,FALSE)</f>
        <v>TEREOS / INPASA / GLENCORE / FS</v>
      </c>
    </row>
    <row r="1460" spans="1:7" x14ac:dyDescent="0.25">
      <c r="A1460" s="10">
        <v>2024</v>
      </c>
      <c r="B1460" s="10" t="s">
        <v>137</v>
      </c>
      <c r="C1460" s="10" t="s">
        <v>188</v>
      </c>
      <c r="D1460" s="10" t="s">
        <v>123</v>
      </c>
      <c r="E1460" t="str">
        <f>VLOOKUP(D1460,'Lista de Produtos CLASSIFICAÇÃO'!$A$103:$B$144,2,FALSE)</f>
        <v>Aquecidos</v>
      </c>
      <c r="F1460" s="53">
        <v>535273</v>
      </c>
      <c r="G1460" s="56" t="str">
        <f>VLOOKUP(C1460,clientes!$C$3:$D$60,2,FALSE)</f>
        <v>ARES MERCHANTS PTE LIMITE</v>
      </c>
    </row>
    <row r="1461" spans="1:7" x14ac:dyDescent="0.25">
      <c r="A1461" s="10">
        <v>2024</v>
      </c>
      <c r="B1461" s="10" t="s">
        <v>137</v>
      </c>
      <c r="C1461" s="10" t="s">
        <v>18</v>
      </c>
      <c r="D1461" s="10" t="s">
        <v>17</v>
      </c>
      <c r="E1461" t="str">
        <f>VLOOKUP(D1461,'Lista de Produtos CLASSIFICAÇÃO'!$A$103:$B$144,2,FALSE)</f>
        <v>Acostagem</v>
      </c>
      <c r="F1461" s="53">
        <v>432759.80800000002</v>
      </c>
      <c r="G1461" s="56" t="str">
        <f>VLOOKUP(C1461,clientes!$C$3:$D$60,2,FALSE)</f>
        <v>ACOSTAGEM</v>
      </c>
    </row>
    <row r="1462" spans="1:7" x14ac:dyDescent="0.25">
      <c r="A1462" s="10">
        <v>2024</v>
      </c>
      <c r="B1462" s="10" t="s">
        <v>137</v>
      </c>
      <c r="C1462" s="10" t="s">
        <v>189</v>
      </c>
      <c r="D1462" s="10" t="s">
        <v>123</v>
      </c>
      <c r="E1462" t="str">
        <f>VLOOKUP(D1462,'Lista de Produtos CLASSIFICAÇÃO'!$A$103:$B$144,2,FALSE)</f>
        <v>Aquecidos</v>
      </c>
      <c r="F1462" s="53">
        <v>503774</v>
      </c>
      <c r="G1462" s="56" t="str">
        <f>VLOOKUP(C1462,clientes!$C$3:$D$60,2,FALSE)</f>
        <v>ICOF</v>
      </c>
    </row>
    <row r="1463" spans="1:7" x14ac:dyDescent="0.25">
      <c r="A1463" s="10">
        <v>2024</v>
      </c>
      <c r="B1463" s="10" t="s">
        <v>138</v>
      </c>
      <c r="C1463" s="10" t="s">
        <v>155</v>
      </c>
      <c r="D1463" s="10" t="s">
        <v>16</v>
      </c>
      <c r="E1463" t="str">
        <f>VLOOKUP(D1463,'Lista de Produtos CLASSIFICAÇÃO'!$A$103:$B$144,2,FALSE)</f>
        <v>Outros</v>
      </c>
      <c r="F1463" s="53">
        <v>886810</v>
      </c>
      <c r="G1463" s="56" t="str">
        <f>VLOOKUP(C1463,clientes!$C$3:$D$60,2,FALSE)</f>
        <v>ADISSEO</v>
      </c>
    </row>
    <row r="1464" spans="1:7" x14ac:dyDescent="0.25">
      <c r="A1464" s="10">
        <v>2024</v>
      </c>
      <c r="B1464" s="10" t="s">
        <v>138</v>
      </c>
      <c r="C1464" s="10" t="s">
        <v>156</v>
      </c>
      <c r="D1464" s="10" t="s">
        <v>123</v>
      </c>
      <c r="E1464" t="str">
        <f>VLOOKUP(D1464,'Lista de Produtos CLASSIFICAÇÃO'!$A$103:$B$144,2,FALSE)</f>
        <v>Aquecidos</v>
      </c>
      <c r="F1464" s="53">
        <v>377129</v>
      </c>
      <c r="G1464" s="56" t="str">
        <f>VLOOKUP(C1464,clientes!$C$3:$D$60,2,FALSE)</f>
        <v>BUNGE</v>
      </c>
    </row>
    <row r="1465" spans="1:7" x14ac:dyDescent="0.25">
      <c r="A1465" s="10">
        <v>2024</v>
      </c>
      <c r="B1465" s="10" t="s">
        <v>138</v>
      </c>
      <c r="C1465" s="10" t="s">
        <v>157</v>
      </c>
      <c r="D1465" s="10" t="s">
        <v>122</v>
      </c>
      <c r="E1465" t="str">
        <f>VLOOKUP(D1465,'Lista de Produtos CLASSIFICAÇÃO'!$A$103:$B$144,2,FALSE)</f>
        <v>Óleo Vegetal</v>
      </c>
      <c r="F1465" s="53">
        <v>187113</v>
      </c>
      <c r="G1465" s="56" t="str">
        <f>VLOOKUP(C1465,clientes!$C$3:$D$60,2,FALSE)</f>
        <v>ADM</v>
      </c>
    </row>
    <row r="1466" spans="1:7" x14ac:dyDescent="0.25">
      <c r="A1466" s="10">
        <v>2024</v>
      </c>
      <c r="B1466" s="10" t="s">
        <v>138</v>
      </c>
      <c r="C1466" s="10" t="s">
        <v>158</v>
      </c>
      <c r="D1466" s="10" t="s">
        <v>120</v>
      </c>
      <c r="E1466" t="str">
        <f>VLOOKUP(D1466,'Lista de Produtos CLASSIFICAÇÃO'!$A$103:$B$144,2,FALSE)</f>
        <v>Derivados</v>
      </c>
      <c r="F1466" s="53">
        <v>7226175</v>
      </c>
      <c r="G1466" s="56" t="str">
        <f>VLOOKUP(C1466,clientes!$C$3:$D$60,2,FALSE)</f>
        <v>IPIRANGA</v>
      </c>
    </row>
    <row r="1467" spans="1:7" x14ac:dyDescent="0.25">
      <c r="A1467" s="10">
        <v>2024</v>
      </c>
      <c r="B1467" s="10" t="s">
        <v>138</v>
      </c>
      <c r="C1467" s="10" t="s">
        <v>159</v>
      </c>
      <c r="D1467" s="10" t="s">
        <v>120</v>
      </c>
      <c r="E1467" t="str">
        <f>VLOOKUP(D1467,'Lista de Produtos CLASSIFICAÇÃO'!$A$103:$B$144,2,FALSE)</f>
        <v>Derivados</v>
      </c>
      <c r="F1467" s="53">
        <v>2968315</v>
      </c>
      <c r="G1467" s="56" t="str">
        <f>VLOOKUP(C1467,clientes!$C$3:$D$60,2,FALSE)</f>
        <v>RAIZEN</v>
      </c>
    </row>
    <row r="1468" spans="1:7" x14ac:dyDescent="0.25">
      <c r="A1468" s="10">
        <v>2024</v>
      </c>
      <c r="B1468" s="10" t="s">
        <v>138</v>
      </c>
      <c r="C1468" s="10" t="s">
        <v>160</v>
      </c>
      <c r="D1468" s="10" t="s">
        <v>120</v>
      </c>
      <c r="E1468" t="str">
        <f>VLOOKUP(D1468,'Lista de Produtos CLASSIFICAÇÃO'!$A$103:$B$144,2,FALSE)</f>
        <v>Derivados</v>
      </c>
      <c r="F1468" s="53">
        <v>1811877</v>
      </c>
      <c r="G1468" s="56" t="str">
        <f>VLOOKUP(C1468,clientes!$C$3:$D$60,2,FALSE)</f>
        <v>VIBRA</v>
      </c>
    </row>
    <row r="1469" spans="1:7" x14ac:dyDescent="0.25">
      <c r="A1469" s="10">
        <v>2024</v>
      </c>
      <c r="B1469" s="10" t="s">
        <v>138</v>
      </c>
      <c r="C1469" s="10" t="s">
        <v>161</v>
      </c>
      <c r="D1469" s="10" t="s">
        <v>120</v>
      </c>
      <c r="E1469" t="str">
        <f>VLOOKUP(D1469,'Lista de Produtos CLASSIFICAÇÃO'!$A$103:$B$144,2,FALSE)</f>
        <v>Derivados</v>
      </c>
      <c r="F1469" s="53">
        <v>3650396</v>
      </c>
      <c r="G1469" s="56" t="str">
        <f>VLOOKUP(C1469,clientes!$C$3:$D$60,2,FALSE)</f>
        <v>SUL PLATA</v>
      </c>
    </row>
    <row r="1470" spans="1:7" x14ac:dyDescent="0.25">
      <c r="A1470" s="10">
        <v>2024</v>
      </c>
      <c r="B1470" s="10" t="s">
        <v>138</v>
      </c>
      <c r="C1470" s="10" t="s">
        <v>162</v>
      </c>
      <c r="D1470" s="10" t="s">
        <v>115</v>
      </c>
      <c r="E1470" t="str">
        <f>VLOOKUP(D1470,'Lista de Produtos CLASSIFICAÇÃO'!$A$103:$B$144,2,FALSE)</f>
        <v>Soda Caustica</v>
      </c>
      <c r="F1470" s="53">
        <v>179417</v>
      </c>
      <c r="G1470" s="56" t="str">
        <f>VLOOKUP(C1470,clientes!$C$3:$D$60,2,FALSE)</f>
        <v>JBS</v>
      </c>
    </row>
    <row r="1471" spans="1:7" x14ac:dyDescent="0.25">
      <c r="A1471" s="10">
        <v>2024</v>
      </c>
      <c r="B1471" s="10" t="s">
        <v>138</v>
      </c>
      <c r="C1471" s="10" t="s">
        <v>163</v>
      </c>
      <c r="D1471" s="10" t="s">
        <v>115</v>
      </c>
      <c r="E1471" t="str">
        <f>VLOOKUP(D1471,'Lista de Produtos CLASSIFICAÇÃO'!$A$103:$B$144,2,FALSE)</f>
        <v>Soda Caustica</v>
      </c>
      <c r="F1471" s="53">
        <v>396611</v>
      </c>
      <c r="G1471" s="56" t="str">
        <f>VLOOKUP(C1471,clientes!$C$3:$D$60,2,FALSE)</f>
        <v>TRICON ENERGY</v>
      </c>
    </row>
    <row r="1472" spans="1:7" x14ac:dyDescent="0.25">
      <c r="A1472" s="10">
        <v>2024</v>
      </c>
      <c r="B1472" s="10" t="s">
        <v>138</v>
      </c>
      <c r="C1472" s="10" t="s">
        <v>164</v>
      </c>
      <c r="D1472" s="10" t="s">
        <v>115</v>
      </c>
      <c r="E1472" t="str">
        <f>VLOOKUP(D1472,'Lista de Produtos CLASSIFICAÇÃO'!$A$103:$B$144,2,FALSE)</f>
        <v>Soda Caustica</v>
      </c>
      <c r="F1472" s="53">
        <v>273415</v>
      </c>
      <c r="G1472" s="56" t="str">
        <f>VLOOKUP(C1472,clientes!$C$3:$D$60,2,FALSE)</f>
        <v>BRASKEM</v>
      </c>
    </row>
    <row r="1473" spans="1:7" x14ac:dyDescent="0.25">
      <c r="A1473" s="10">
        <v>2024</v>
      </c>
      <c r="B1473" s="10" t="s">
        <v>138</v>
      </c>
      <c r="C1473" s="10" t="s">
        <v>165</v>
      </c>
      <c r="D1473" s="10" t="s">
        <v>123</v>
      </c>
      <c r="E1473" t="str">
        <f>VLOOKUP(D1473,'Lista de Produtos CLASSIFICAÇÃO'!$A$103:$B$144,2,FALSE)</f>
        <v>Aquecidos</v>
      </c>
      <c r="F1473" s="53">
        <v>988196</v>
      </c>
      <c r="G1473" s="56" t="str">
        <f>VLOOKUP(C1473,clientes!$C$3:$D$60,2,FALSE)</f>
        <v>BRF</v>
      </c>
    </row>
    <row r="1474" spans="1:7" x14ac:dyDescent="0.25">
      <c r="A1474" s="10">
        <v>2024</v>
      </c>
      <c r="B1474" s="10" t="s">
        <v>138</v>
      </c>
      <c r="C1474" s="10" t="s">
        <v>162</v>
      </c>
      <c r="D1474" s="10" t="s">
        <v>123</v>
      </c>
      <c r="E1474" t="str">
        <f>VLOOKUP(D1474,'Lista de Produtos CLASSIFICAÇÃO'!$A$103:$B$144,2,FALSE)</f>
        <v>Aquecidos</v>
      </c>
      <c r="F1474" s="53">
        <v>355713</v>
      </c>
      <c r="G1474" s="56" t="str">
        <f>VLOOKUP(C1474,clientes!$C$3:$D$60,2,FALSE)</f>
        <v>JBS</v>
      </c>
    </row>
    <row r="1475" spans="1:7" x14ac:dyDescent="0.25">
      <c r="A1475" s="10">
        <v>2024</v>
      </c>
      <c r="B1475" s="10" t="s">
        <v>138</v>
      </c>
      <c r="C1475" s="10" t="s">
        <v>166</v>
      </c>
      <c r="D1475" s="10" t="s">
        <v>123</v>
      </c>
      <c r="E1475" t="str">
        <f>VLOOKUP(D1475,'Lista de Produtos CLASSIFICAÇÃO'!$A$103:$B$144,2,FALSE)</f>
        <v>Aquecidos</v>
      </c>
      <c r="F1475" s="53">
        <v>521117</v>
      </c>
      <c r="G1475" s="56" t="str">
        <f>VLOOKUP(C1475,clientes!$C$3:$D$60,2,FALSE)</f>
        <v>CARGILL</v>
      </c>
    </row>
    <row r="1476" spans="1:7" x14ac:dyDescent="0.25">
      <c r="A1476" s="10">
        <v>2024</v>
      </c>
      <c r="B1476" s="10" t="s">
        <v>138</v>
      </c>
      <c r="C1476" s="10" t="s">
        <v>167</v>
      </c>
      <c r="D1476" s="10" t="s">
        <v>122</v>
      </c>
      <c r="E1476" t="str">
        <f>VLOOKUP(D1476,'Lista de Produtos CLASSIFICAÇÃO'!$A$103:$B$144,2,FALSE)</f>
        <v>Óleo Vegetal</v>
      </c>
      <c r="F1476" s="53">
        <v>6764940</v>
      </c>
      <c r="G1476" s="56" t="str">
        <f>VLOOKUP(C1476,clientes!$C$3:$D$60,2,FALSE)</f>
        <v>POOL</v>
      </c>
    </row>
    <row r="1477" spans="1:7" x14ac:dyDescent="0.25">
      <c r="A1477" s="10">
        <v>2024</v>
      </c>
      <c r="B1477" s="10" t="s">
        <v>138</v>
      </c>
      <c r="C1477" s="10" t="s">
        <v>168</v>
      </c>
      <c r="D1477" s="10" t="s">
        <v>122</v>
      </c>
      <c r="E1477" t="str">
        <f>VLOOKUP(D1477,'Lista de Produtos CLASSIFICAÇÃO'!$A$103:$B$144,2,FALSE)</f>
        <v>Óleo Vegetal</v>
      </c>
      <c r="F1477" s="53">
        <v>0</v>
      </c>
      <c r="G1477" s="56" t="str">
        <f>VLOOKUP(C1477,clientes!$C$3:$D$60,2,FALSE)</f>
        <v>POOL EXCEDENTE</v>
      </c>
    </row>
    <row r="1478" spans="1:7" x14ac:dyDescent="0.25">
      <c r="A1478" s="10">
        <v>2024</v>
      </c>
      <c r="B1478" s="10" t="s">
        <v>138</v>
      </c>
      <c r="C1478" s="10" t="s">
        <v>169</v>
      </c>
      <c r="D1478" s="10" t="s">
        <v>22</v>
      </c>
      <c r="E1478" t="str">
        <f>VLOOKUP(D1478,'Lista de Produtos CLASSIFICAÇÃO'!$A$103:$B$144,2,FALSE)</f>
        <v>Metanol</v>
      </c>
      <c r="F1478" s="53">
        <v>5852002</v>
      </c>
      <c r="G1478" s="56" t="str">
        <f>VLOOKUP(C1478,clientes!$C$3:$D$60,2,FALSE)</f>
        <v>METHANEX</v>
      </c>
    </row>
    <row r="1479" spans="1:7" x14ac:dyDescent="0.25">
      <c r="A1479" s="10">
        <v>2024</v>
      </c>
      <c r="B1479" s="10" t="s">
        <v>138</v>
      </c>
      <c r="C1479" s="10" t="s">
        <v>170</v>
      </c>
      <c r="D1479" s="10" t="s">
        <v>22</v>
      </c>
      <c r="E1479" t="str">
        <f>VLOOKUP(D1479,'Lista de Produtos CLASSIFICAÇÃO'!$A$103:$B$144,2,FALSE)</f>
        <v>Metanol</v>
      </c>
      <c r="F1479" s="53">
        <v>3046681</v>
      </c>
      <c r="G1479" s="56" t="str">
        <f>VLOOKUP(C1479,clientes!$C$3:$D$60,2,FALSE)</f>
        <v>MITSUBISHI</v>
      </c>
    </row>
    <row r="1480" spans="1:7" x14ac:dyDescent="0.25">
      <c r="A1480" s="10">
        <v>2024</v>
      </c>
      <c r="B1480" s="10" t="s">
        <v>138</v>
      </c>
      <c r="C1480" s="10" t="s">
        <v>171</v>
      </c>
      <c r="D1480" s="10" t="s">
        <v>22</v>
      </c>
      <c r="E1480" t="str">
        <f>VLOOKUP(D1480,'Lista de Produtos CLASSIFICAÇÃO'!$A$103:$B$144,2,FALSE)</f>
        <v>Metanol</v>
      </c>
      <c r="F1480" s="53">
        <v>5179714</v>
      </c>
      <c r="G1480" s="56" t="str">
        <f>VLOOKUP(C1480,clientes!$C$3:$D$60,2,FALSE)</f>
        <v>VALENZ</v>
      </c>
    </row>
    <row r="1481" spans="1:7" x14ac:dyDescent="0.25">
      <c r="A1481" s="10">
        <v>2024</v>
      </c>
      <c r="B1481" s="10" t="s">
        <v>138</v>
      </c>
      <c r="C1481" s="10" t="s">
        <v>172</v>
      </c>
      <c r="D1481" s="10" t="s">
        <v>124</v>
      </c>
      <c r="E1481" t="str">
        <f>VLOOKUP(D1481,'Lista de Produtos CLASSIFICAÇÃO'!$A$103:$B$144,2,FALSE)</f>
        <v>Outros</v>
      </c>
      <c r="F1481" s="53">
        <v>406450</v>
      </c>
      <c r="G1481" s="56" t="str">
        <f>VLOOKUP(C1481,clientes!$C$3:$D$60,2,FALSE)</f>
        <v>EVONIK</v>
      </c>
    </row>
    <row r="1482" spans="1:7" x14ac:dyDescent="0.25">
      <c r="A1482" s="10">
        <v>2024</v>
      </c>
      <c r="B1482" s="10" t="s">
        <v>138</v>
      </c>
      <c r="C1482" s="10" t="s">
        <v>173</v>
      </c>
      <c r="D1482" s="10" t="s">
        <v>22</v>
      </c>
      <c r="E1482" t="str">
        <f>VLOOKUP(D1482,'Lista de Produtos CLASSIFICAÇÃO'!$A$103:$B$144,2,FALSE)</f>
        <v>Metanol</v>
      </c>
      <c r="F1482" s="53">
        <v>490592</v>
      </c>
      <c r="G1482" s="56" t="str">
        <f>VLOOKUP(C1482,clientes!$C$3:$D$60,2,FALSE)</f>
        <v>YPF SOCIEDAD ANONIMA</v>
      </c>
    </row>
    <row r="1483" spans="1:7" x14ac:dyDescent="0.25">
      <c r="A1483" s="10">
        <v>2024</v>
      </c>
      <c r="B1483" s="10" t="s">
        <v>138</v>
      </c>
      <c r="C1483" s="10" t="s">
        <v>174</v>
      </c>
      <c r="D1483" s="10" t="s">
        <v>123</v>
      </c>
      <c r="E1483" t="str">
        <f>VLOOKUP(D1483,'Lista de Produtos CLASSIFICAÇÃO'!$A$103:$B$144,2,FALSE)</f>
        <v>Aquecidos</v>
      </c>
      <c r="F1483" s="53">
        <v>315191</v>
      </c>
      <c r="G1483" s="56" t="str">
        <f>VLOOKUP(C1483,clientes!$C$3:$D$60,2,FALSE)</f>
        <v>CELENA</v>
      </c>
    </row>
    <row r="1484" spans="1:7" x14ac:dyDescent="0.25">
      <c r="A1484" s="10">
        <v>2024</v>
      </c>
      <c r="B1484" s="10" t="s">
        <v>138</v>
      </c>
      <c r="C1484" s="10" t="s">
        <v>175</v>
      </c>
      <c r="D1484" s="10" t="s">
        <v>123</v>
      </c>
      <c r="E1484" t="str">
        <f>VLOOKUP(D1484,'Lista de Produtos CLASSIFICAÇÃO'!$A$103:$B$144,2,FALSE)</f>
        <v>Aquecidos</v>
      </c>
      <c r="F1484" s="53">
        <v>582352</v>
      </c>
      <c r="G1484" s="56" t="str">
        <f>VLOOKUP(C1484,clientes!$C$3:$D$60,2,FALSE)</f>
        <v>AAK DO BRASIL</v>
      </c>
    </row>
    <row r="1485" spans="1:7" x14ac:dyDescent="0.25">
      <c r="A1485" s="10">
        <v>2024</v>
      </c>
      <c r="B1485" s="10" t="s">
        <v>138</v>
      </c>
      <c r="C1485" s="10" t="s">
        <v>166</v>
      </c>
      <c r="D1485" s="10" t="s">
        <v>122</v>
      </c>
      <c r="E1485" t="str">
        <f>VLOOKUP(D1485,'Lista de Produtos CLASSIFICAÇÃO'!$A$103:$B$144,2,FALSE)</f>
        <v>Óleo Vegetal</v>
      </c>
      <c r="F1485" s="53">
        <v>199164</v>
      </c>
      <c r="G1485" s="56" t="str">
        <f>VLOOKUP(C1485,clientes!$C$3:$D$60,2,FALSE)</f>
        <v>CARGILL</v>
      </c>
    </row>
    <row r="1486" spans="1:7" x14ac:dyDescent="0.25">
      <c r="A1486" s="10">
        <v>2024</v>
      </c>
      <c r="B1486" s="10" t="s">
        <v>138</v>
      </c>
      <c r="C1486" s="10" t="s">
        <v>176</v>
      </c>
      <c r="D1486" s="10" t="s">
        <v>123</v>
      </c>
      <c r="E1486" t="str">
        <f>VLOOKUP(D1486,'Lista de Produtos CLASSIFICAÇÃO'!$A$103:$B$144,2,FALSE)</f>
        <v>Aquecidos</v>
      </c>
      <c r="F1486" s="53">
        <v>360148</v>
      </c>
      <c r="G1486" s="56" t="str">
        <f>VLOOKUP(C1486,clientes!$C$3:$D$60,2,FALSE)</f>
        <v>AGROPALMA</v>
      </c>
    </row>
    <row r="1487" spans="1:7" x14ac:dyDescent="0.25">
      <c r="A1487" s="10">
        <v>2024</v>
      </c>
      <c r="B1487" s="10" t="s">
        <v>138</v>
      </c>
      <c r="C1487" s="10" t="s">
        <v>177</v>
      </c>
      <c r="D1487" s="10" t="s">
        <v>115</v>
      </c>
      <c r="E1487" t="str">
        <f>VLOOKUP(D1487,'Lista de Produtos CLASSIFICAÇÃO'!$A$103:$B$144,2,FALSE)</f>
        <v>Soda Caustica</v>
      </c>
      <c r="F1487" s="53">
        <v>426494</v>
      </c>
      <c r="G1487" s="56" t="str">
        <f>VLOOKUP(C1487,clientes!$C$3:$D$60,2,FALSE)</f>
        <v>BRENNTAG</v>
      </c>
    </row>
    <row r="1488" spans="1:7" x14ac:dyDescent="0.25">
      <c r="A1488" s="10">
        <v>2024</v>
      </c>
      <c r="B1488" s="10" t="s">
        <v>138</v>
      </c>
      <c r="C1488" s="10" t="s">
        <v>178</v>
      </c>
      <c r="D1488" s="10" t="s">
        <v>115</v>
      </c>
      <c r="E1488" t="str">
        <f>VLOOKUP(D1488,'Lista de Produtos CLASSIFICAÇÃO'!$A$103:$B$144,2,FALSE)</f>
        <v>Soda Caustica</v>
      </c>
      <c r="F1488" s="53">
        <v>1524504</v>
      </c>
      <c r="G1488" s="56" t="str">
        <f>VLOOKUP(C1488,clientes!$C$3:$D$60,2,FALSE)</f>
        <v>OLIN BLUE CUBE</v>
      </c>
    </row>
    <row r="1489" spans="1:7" x14ac:dyDescent="0.25">
      <c r="A1489" s="10">
        <v>2024</v>
      </c>
      <c r="B1489" s="10" t="s">
        <v>138</v>
      </c>
      <c r="C1489" s="10" t="s">
        <v>179</v>
      </c>
      <c r="D1489" s="10" t="s">
        <v>26</v>
      </c>
      <c r="E1489" t="str">
        <f>VLOOKUP(D1489,'Lista de Produtos CLASSIFICAÇÃO'!$A$103:$B$144,2,FALSE)</f>
        <v>Biocombustíveis</v>
      </c>
      <c r="F1489" s="53">
        <v>467791</v>
      </c>
      <c r="G1489" s="56" t="str">
        <f>VLOOKUP(C1489,clientes!$C$3:$D$60,2,FALSE)</f>
        <v>BSBIOS</v>
      </c>
    </row>
    <row r="1490" spans="1:7" x14ac:dyDescent="0.25">
      <c r="A1490" s="10">
        <v>2024</v>
      </c>
      <c r="B1490" s="10" t="s">
        <v>138</v>
      </c>
      <c r="C1490" s="10" t="s">
        <v>180</v>
      </c>
      <c r="D1490" s="10" t="s">
        <v>30</v>
      </c>
      <c r="E1490" t="str">
        <f>VLOOKUP(D1490,'Lista de Produtos CLASSIFICAÇÃO'!$A$103:$B$144,2,FALSE)</f>
        <v>Outros</v>
      </c>
      <c r="F1490" s="53">
        <v>192330</v>
      </c>
      <c r="G1490" s="56" t="str">
        <f>VLOOKUP(C1490,clientes!$C$3:$D$60,2,FALSE)</f>
        <v>TRICHEM</v>
      </c>
    </row>
    <row r="1491" spans="1:7" x14ac:dyDescent="0.25">
      <c r="A1491" s="10">
        <v>2024</v>
      </c>
      <c r="B1491" s="10" t="s">
        <v>138</v>
      </c>
      <c r="C1491" s="10" t="s">
        <v>181</v>
      </c>
      <c r="D1491" s="10" t="s">
        <v>123</v>
      </c>
      <c r="E1491" t="str">
        <f>VLOOKUP(D1491,'Lista de Produtos CLASSIFICAÇÃO'!$A$103:$B$144,2,FALSE)</f>
        <v>Aquecidos</v>
      </c>
      <c r="F1491" s="53">
        <v>186529</v>
      </c>
      <c r="G1491" s="56" t="str">
        <f>VLOOKUP(C1491,clientes!$C$3:$D$60,2,FALSE)</f>
        <v>COAMO</v>
      </c>
    </row>
    <row r="1492" spans="1:7" x14ac:dyDescent="0.25">
      <c r="A1492" s="10">
        <v>2024</v>
      </c>
      <c r="B1492" s="10" t="s">
        <v>138</v>
      </c>
      <c r="C1492" s="10" t="s">
        <v>182</v>
      </c>
      <c r="D1492" s="10" t="s">
        <v>120</v>
      </c>
      <c r="E1492" t="str">
        <f>VLOOKUP(D1492,'Lista de Produtos CLASSIFICAÇÃO'!$A$103:$B$144,2,FALSE)</f>
        <v>Derivados</v>
      </c>
      <c r="F1492" s="53">
        <v>0</v>
      </c>
      <c r="G1492" s="56" t="str">
        <f>VLOOKUP(C1492,clientes!$C$3:$D$60,2,FALSE)</f>
        <v>ATEM</v>
      </c>
    </row>
    <row r="1493" spans="1:7" x14ac:dyDescent="0.25">
      <c r="A1493" s="10">
        <v>2024</v>
      </c>
      <c r="B1493" s="10" t="s">
        <v>138</v>
      </c>
      <c r="C1493" s="10" t="s">
        <v>174</v>
      </c>
      <c r="D1493" s="10" t="s">
        <v>123</v>
      </c>
      <c r="E1493" t="str">
        <f>VLOOKUP(D1493,'Lista de Produtos CLASSIFICAÇÃO'!$A$103:$B$144,2,FALSE)</f>
        <v>Aquecidos</v>
      </c>
      <c r="F1493" s="53">
        <v>1870436</v>
      </c>
      <c r="G1493" s="56" t="str">
        <f>VLOOKUP(C1493,clientes!$C$3:$D$60,2,FALSE)</f>
        <v>CELENA</v>
      </c>
    </row>
    <row r="1494" spans="1:7" x14ac:dyDescent="0.25">
      <c r="A1494" s="10">
        <v>2024</v>
      </c>
      <c r="B1494" s="10" t="s">
        <v>138</v>
      </c>
      <c r="C1494" s="10" t="s">
        <v>173</v>
      </c>
      <c r="D1494" s="10" t="s">
        <v>183</v>
      </c>
      <c r="E1494" t="str">
        <f>VLOOKUP(D1494,'Lista de Produtos CLASSIFICAÇÃO'!$A$103:$B$144,2,FALSE)</f>
        <v>Outros</v>
      </c>
      <c r="F1494" s="53">
        <v>140762</v>
      </c>
      <c r="G1494" s="56" t="str">
        <f>VLOOKUP(C1494,clientes!$C$3:$D$60,2,FALSE)</f>
        <v>YPF SOCIEDAD ANONIMA</v>
      </c>
    </row>
    <row r="1495" spans="1:7" x14ac:dyDescent="0.25">
      <c r="A1495" s="10">
        <v>2024</v>
      </c>
      <c r="B1495" s="10" t="s">
        <v>138</v>
      </c>
      <c r="C1495" s="10" t="s">
        <v>184</v>
      </c>
      <c r="D1495" s="10" t="s">
        <v>122</v>
      </c>
      <c r="E1495" t="str">
        <f>VLOOKUP(D1495,'Lista de Produtos CLASSIFICAÇÃO'!$A$103:$B$144,2,FALSE)</f>
        <v>Óleo Vegetal</v>
      </c>
      <c r="F1495" s="53">
        <v>192335</v>
      </c>
      <c r="G1495" s="56" t="str">
        <f>VLOOKUP(C1495,clientes!$C$3:$D$60,2,FALSE)</f>
        <v>INGREDION</v>
      </c>
    </row>
    <row r="1496" spans="1:7" x14ac:dyDescent="0.25">
      <c r="A1496" s="10">
        <v>2024</v>
      </c>
      <c r="B1496" s="10" t="s">
        <v>138</v>
      </c>
      <c r="C1496" s="10" t="s">
        <v>185</v>
      </c>
      <c r="D1496" s="10" t="s">
        <v>120</v>
      </c>
      <c r="E1496" t="str">
        <f>VLOOKUP(D1496,'Lista de Produtos CLASSIFICAÇÃO'!$A$103:$B$144,2,FALSE)</f>
        <v>Derivados</v>
      </c>
      <c r="F1496" s="53">
        <v>1214701</v>
      </c>
      <c r="G1496" s="56" t="str">
        <f>VLOOKUP(C1496,clientes!$C$3:$D$60,2,FALSE)</f>
        <v>CIAPETRO</v>
      </c>
    </row>
    <row r="1497" spans="1:7" x14ac:dyDescent="0.25">
      <c r="A1497" s="10">
        <v>2024</v>
      </c>
      <c r="B1497" s="10" t="s">
        <v>138</v>
      </c>
      <c r="C1497" s="10" t="s">
        <v>186</v>
      </c>
      <c r="D1497" s="10" t="s">
        <v>22</v>
      </c>
      <c r="E1497" t="str">
        <f>VLOOKUP(D1497,'Lista de Produtos CLASSIFICAÇÃO'!$A$103:$B$144,2,FALSE)</f>
        <v>Metanol</v>
      </c>
      <c r="F1497" s="53">
        <v>641825</v>
      </c>
      <c r="G1497" s="56" t="str">
        <f>VLOOKUP(C1497,clientes!$C$3:$D$60,2,FALSE)</f>
        <v>OQ TRADING</v>
      </c>
    </row>
    <row r="1498" spans="1:7" x14ac:dyDescent="0.25">
      <c r="A1498" s="10">
        <v>2024</v>
      </c>
      <c r="B1498" s="10" t="s">
        <v>138</v>
      </c>
      <c r="C1498" s="10" t="s">
        <v>187</v>
      </c>
      <c r="D1498" s="10" t="s">
        <v>121</v>
      </c>
      <c r="E1498" t="str">
        <f>VLOOKUP(D1498,'Lista de Produtos CLASSIFICAÇÃO'!$A$103:$B$144,2,FALSE)</f>
        <v>Biocombustíveis</v>
      </c>
      <c r="F1498" s="53">
        <v>850000</v>
      </c>
      <c r="G1498" s="56" t="str">
        <f>VLOOKUP(C1498,clientes!$C$3:$D$60,2,FALSE)</f>
        <v>TEREOS / INPASA / GLENCORE / FS</v>
      </c>
    </row>
    <row r="1499" spans="1:7" x14ac:dyDescent="0.25">
      <c r="A1499" s="10">
        <v>2024</v>
      </c>
      <c r="B1499" s="10" t="s">
        <v>138</v>
      </c>
      <c r="C1499" s="10" t="s">
        <v>188</v>
      </c>
      <c r="D1499" s="10" t="s">
        <v>123</v>
      </c>
      <c r="E1499" t="str">
        <f>VLOOKUP(D1499,'Lista de Produtos CLASSIFICAÇÃO'!$A$103:$B$144,2,FALSE)</f>
        <v>Aquecidos</v>
      </c>
      <c r="F1499" s="53">
        <v>535273</v>
      </c>
      <c r="G1499" s="56" t="str">
        <f>VLOOKUP(C1499,clientes!$C$3:$D$60,2,FALSE)</f>
        <v>ARES MERCHANTS PTE LIMITE</v>
      </c>
    </row>
    <row r="1500" spans="1:7" x14ac:dyDescent="0.25">
      <c r="A1500" s="10">
        <v>2024</v>
      </c>
      <c r="B1500" s="10" t="s">
        <v>138</v>
      </c>
      <c r="C1500" s="10" t="s">
        <v>18</v>
      </c>
      <c r="D1500" s="10" t="s">
        <v>17</v>
      </c>
      <c r="E1500" t="str">
        <f>VLOOKUP(D1500,'Lista de Produtos CLASSIFICAÇÃO'!$A$103:$B$144,2,FALSE)</f>
        <v>Acostagem</v>
      </c>
      <c r="F1500" s="53">
        <v>479063.41600000003</v>
      </c>
      <c r="G1500" s="56" t="str">
        <f>VLOOKUP(C1500,clientes!$C$3:$D$60,2,FALSE)</f>
        <v>ACOSTAGEM</v>
      </c>
    </row>
    <row r="1501" spans="1:7" x14ac:dyDescent="0.25">
      <c r="A1501" s="10">
        <v>2024</v>
      </c>
      <c r="B1501" s="10" t="s">
        <v>138</v>
      </c>
      <c r="C1501" s="10" t="s">
        <v>189</v>
      </c>
      <c r="D1501" s="10" t="s">
        <v>123</v>
      </c>
      <c r="E1501" t="str">
        <f>VLOOKUP(D1501,'Lista de Produtos CLASSIFICAÇÃO'!$A$103:$B$144,2,FALSE)</f>
        <v>Aquecidos</v>
      </c>
      <c r="F1501" s="53">
        <v>503774</v>
      </c>
      <c r="G1501" s="56" t="str">
        <f>VLOOKUP(C1501,clientes!$C$3:$D$60,2,FALSE)</f>
        <v>ICOF</v>
      </c>
    </row>
    <row r="1502" spans="1:7" x14ac:dyDescent="0.25">
      <c r="A1502" s="10">
        <v>2024</v>
      </c>
      <c r="B1502" s="10" t="s">
        <v>139</v>
      </c>
      <c r="C1502" s="10" t="s">
        <v>155</v>
      </c>
      <c r="D1502" s="10" t="s">
        <v>16</v>
      </c>
      <c r="E1502" t="str">
        <f>VLOOKUP(D1502,'Lista de Produtos CLASSIFICAÇÃO'!$A$103:$B$144,2,FALSE)</f>
        <v>Outros</v>
      </c>
      <c r="F1502" s="53">
        <v>886810</v>
      </c>
      <c r="G1502" s="56" t="str">
        <f>VLOOKUP(C1502,clientes!$C$3:$D$60,2,FALSE)</f>
        <v>ADISSEO</v>
      </c>
    </row>
    <row r="1503" spans="1:7" x14ac:dyDescent="0.25">
      <c r="A1503" s="10">
        <v>2024</v>
      </c>
      <c r="B1503" s="10" t="s">
        <v>139</v>
      </c>
      <c r="C1503" s="10" t="s">
        <v>156</v>
      </c>
      <c r="D1503" s="10" t="s">
        <v>123</v>
      </c>
      <c r="E1503" t="str">
        <f>VLOOKUP(D1503,'Lista de Produtos CLASSIFICAÇÃO'!$A$103:$B$144,2,FALSE)</f>
        <v>Aquecidos</v>
      </c>
      <c r="F1503" s="53">
        <v>394665</v>
      </c>
      <c r="G1503" s="56" t="str">
        <f>VLOOKUP(C1503,clientes!$C$3:$D$60,2,FALSE)</f>
        <v>BUNGE</v>
      </c>
    </row>
    <row r="1504" spans="1:7" x14ac:dyDescent="0.25">
      <c r="A1504" s="10">
        <v>2024</v>
      </c>
      <c r="B1504" s="10" t="s">
        <v>139</v>
      </c>
      <c r="C1504" s="10" t="s">
        <v>157</v>
      </c>
      <c r="D1504" s="10" t="s">
        <v>122</v>
      </c>
      <c r="E1504" t="str">
        <f>VLOOKUP(D1504,'Lista de Produtos CLASSIFICAÇÃO'!$A$103:$B$144,2,FALSE)</f>
        <v>Óleo Vegetal</v>
      </c>
      <c r="F1504" s="53">
        <v>187113</v>
      </c>
      <c r="G1504" s="56" t="str">
        <f>VLOOKUP(C1504,clientes!$C$3:$D$60,2,FALSE)</f>
        <v>ADM</v>
      </c>
    </row>
    <row r="1505" spans="1:7" x14ac:dyDescent="0.25">
      <c r="A1505" s="10">
        <v>2024</v>
      </c>
      <c r="B1505" s="10" t="s">
        <v>139</v>
      </c>
      <c r="C1505" s="10" t="s">
        <v>158</v>
      </c>
      <c r="D1505" s="10" t="s">
        <v>120</v>
      </c>
      <c r="E1505" t="str">
        <f>VLOOKUP(D1505,'Lista de Produtos CLASSIFICAÇÃO'!$A$103:$B$144,2,FALSE)</f>
        <v>Derivados</v>
      </c>
      <c r="F1505" s="53">
        <v>7226175</v>
      </c>
      <c r="G1505" s="56" t="str">
        <f>VLOOKUP(C1505,clientes!$C$3:$D$60,2,FALSE)</f>
        <v>IPIRANGA</v>
      </c>
    </row>
    <row r="1506" spans="1:7" x14ac:dyDescent="0.25">
      <c r="A1506" s="10">
        <v>2024</v>
      </c>
      <c r="B1506" s="10" t="s">
        <v>139</v>
      </c>
      <c r="C1506" s="10" t="s">
        <v>159</v>
      </c>
      <c r="D1506" s="10" t="s">
        <v>120</v>
      </c>
      <c r="E1506" t="str">
        <f>VLOOKUP(D1506,'Lista de Produtos CLASSIFICAÇÃO'!$A$103:$B$144,2,FALSE)</f>
        <v>Derivados</v>
      </c>
      <c r="F1506" s="53">
        <v>2968315</v>
      </c>
      <c r="G1506" s="56" t="str">
        <f>VLOOKUP(C1506,clientes!$C$3:$D$60,2,FALSE)</f>
        <v>RAIZEN</v>
      </c>
    </row>
    <row r="1507" spans="1:7" x14ac:dyDescent="0.25">
      <c r="A1507" s="10">
        <v>2024</v>
      </c>
      <c r="B1507" s="10" t="s">
        <v>139</v>
      </c>
      <c r="C1507" s="10" t="s">
        <v>160</v>
      </c>
      <c r="D1507" s="10" t="s">
        <v>120</v>
      </c>
      <c r="E1507" t="str">
        <f>VLOOKUP(D1507,'Lista de Produtos CLASSIFICAÇÃO'!$A$103:$B$144,2,FALSE)</f>
        <v>Derivados</v>
      </c>
      <c r="F1507" s="53">
        <v>1811877</v>
      </c>
      <c r="G1507" s="56" t="str">
        <f>VLOOKUP(C1507,clientes!$C$3:$D$60,2,FALSE)</f>
        <v>VIBRA</v>
      </c>
    </row>
    <row r="1508" spans="1:7" x14ac:dyDescent="0.25">
      <c r="A1508" s="10">
        <v>2024</v>
      </c>
      <c r="B1508" s="10" t="s">
        <v>139</v>
      </c>
      <c r="C1508" s="10" t="s">
        <v>161</v>
      </c>
      <c r="D1508" s="10" t="s">
        <v>120</v>
      </c>
      <c r="E1508" t="str">
        <f>VLOOKUP(D1508,'Lista de Produtos CLASSIFICAÇÃO'!$A$103:$B$144,2,FALSE)</f>
        <v>Derivados</v>
      </c>
      <c r="F1508" s="53">
        <v>3650396</v>
      </c>
      <c r="G1508" s="56" t="str">
        <f>VLOOKUP(C1508,clientes!$C$3:$D$60,2,FALSE)</f>
        <v>SUL PLATA</v>
      </c>
    </row>
    <row r="1509" spans="1:7" x14ac:dyDescent="0.25">
      <c r="A1509" s="10">
        <v>2024</v>
      </c>
      <c r="B1509" s="10" t="s">
        <v>139</v>
      </c>
      <c r="C1509" s="10" t="s">
        <v>162</v>
      </c>
      <c r="D1509" s="10" t="s">
        <v>115</v>
      </c>
      <c r="E1509" t="str">
        <f>VLOOKUP(D1509,'Lista de Produtos CLASSIFICAÇÃO'!$A$103:$B$144,2,FALSE)</f>
        <v>Soda Caustica</v>
      </c>
      <c r="F1509" s="53">
        <v>179417</v>
      </c>
      <c r="G1509" s="56" t="str">
        <f>VLOOKUP(C1509,clientes!$C$3:$D$60,2,FALSE)</f>
        <v>JBS</v>
      </c>
    </row>
    <row r="1510" spans="1:7" x14ac:dyDescent="0.25">
      <c r="A1510" s="10">
        <v>2024</v>
      </c>
      <c r="B1510" s="10" t="s">
        <v>139</v>
      </c>
      <c r="C1510" s="10" t="s">
        <v>163</v>
      </c>
      <c r="D1510" s="10" t="s">
        <v>115</v>
      </c>
      <c r="E1510" t="str">
        <f>VLOOKUP(D1510,'Lista de Produtos CLASSIFICAÇÃO'!$A$103:$B$144,2,FALSE)</f>
        <v>Soda Caustica</v>
      </c>
      <c r="F1510" s="53">
        <v>396611</v>
      </c>
      <c r="G1510" s="56" t="str">
        <f>VLOOKUP(C1510,clientes!$C$3:$D$60,2,FALSE)</f>
        <v>TRICON ENERGY</v>
      </c>
    </row>
    <row r="1511" spans="1:7" x14ac:dyDescent="0.25">
      <c r="A1511" s="10">
        <v>2024</v>
      </c>
      <c r="B1511" s="10" t="s">
        <v>139</v>
      </c>
      <c r="C1511" s="10" t="s">
        <v>164</v>
      </c>
      <c r="D1511" s="10" t="s">
        <v>115</v>
      </c>
      <c r="E1511" t="str">
        <f>VLOOKUP(D1511,'Lista de Produtos CLASSIFICAÇÃO'!$A$103:$B$144,2,FALSE)</f>
        <v>Soda Caustica</v>
      </c>
      <c r="F1511" s="53">
        <v>273415</v>
      </c>
      <c r="G1511" s="56" t="str">
        <f>VLOOKUP(C1511,clientes!$C$3:$D$60,2,FALSE)</f>
        <v>BRASKEM</v>
      </c>
    </row>
    <row r="1512" spans="1:7" x14ac:dyDescent="0.25">
      <c r="A1512" s="10">
        <v>2024</v>
      </c>
      <c r="B1512" s="10" t="s">
        <v>139</v>
      </c>
      <c r="C1512" s="10" t="s">
        <v>165</v>
      </c>
      <c r="D1512" s="10" t="s">
        <v>123</v>
      </c>
      <c r="E1512" t="str">
        <f>VLOOKUP(D1512,'Lista de Produtos CLASSIFICAÇÃO'!$A$103:$B$144,2,FALSE)</f>
        <v>Aquecidos</v>
      </c>
      <c r="F1512" s="53">
        <v>988196</v>
      </c>
      <c r="G1512" s="56" t="str">
        <f>VLOOKUP(C1512,clientes!$C$3:$D$60,2,FALSE)</f>
        <v>BRF</v>
      </c>
    </row>
    <row r="1513" spans="1:7" x14ac:dyDescent="0.25">
      <c r="A1513" s="10">
        <v>2024</v>
      </c>
      <c r="B1513" s="10" t="s">
        <v>139</v>
      </c>
      <c r="C1513" s="10" t="s">
        <v>162</v>
      </c>
      <c r="D1513" s="10" t="s">
        <v>123</v>
      </c>
      <c r="E1513" t="str">
        <f>VLOOKUP(D1513,'Lista de Produtos CLASSIFICAÇÃO'!$A$103:$B$144,2,FALSE)</f>
        <v>Aquecidos</v>
      </c>
      <c r="F1513" s="53">
        <v>355713</v>
      </c>
      <c r="G1513" s="56" t="str">
        <f>VLOOKUP(C1513,clientes!$C$3:$D$60,2,FALSE)</f>
        <v>JBS</v>
      </c>
    </row>
    <row r="1514" spans="1:7" x14ac:dyDescent="0.25">
      <c r="A1514" s="10">
        <v>2024</v>
      </c>
      <c r="B1514" s="10" t="s">
        <v>139</v>
      </c>
      <c r="C1514" s="10" t="s">
        <v>166</v>
      </c>
      <c r="D1514" s="10" t="s">
        <v>123</v>
      </c>
      <c r="E1514" t="str">
        <f>VLOOKUP(D1514,'Lista de Produtos CLASSIFICAÇÃO'!$A$103:$B$144,2,FALSE)</f>
        <v>Aquecidos</v>
      </c>
      <c r="F1514" s="53">
        <v>521117</v>
      </c>
      <c r="G1514" s="56" t="str">
        <f>VLOOKUP(C1514,clientes!$C$3:$D$60,2,FALSE)</f>
        <v>CARGILL</v>
      </c>
    </row>
    <row r="1515" spans="1:7" x14ac:dyDescent="0.25">
      <c r="A1515" s="10">
        <v>2024</v>
      </c>
      <c r="B1515" s="10" t="s">
        <v>139</v>
      </c>
      <c r="C1515" s="10" t="s">
        <v>167</v>
      </c>
      <c r="D1515" s="10" t="s">
        <v>122</v>
      </c>
      <c r="E1515" t="str">
        <f>VLOOKUP(D1515,'Lista de Produtos CLASSIFICAÇÃO'!$A$103:$B$144,2,FALSE)</f>
        <v>Óleo Vegetal</v>
      </c>
      <c r="F1515" s="53">
        <v>4726415</v>
      </c>
      <c r="G1515" s="56" t="str">
        <f>VLOOKUP(C1515,clientes!$C$3:$D$60,2,FALSE)</f>
        <v>POOL</v>
      </c>
    </row>
    <row r="1516" spans="1:7" x14ac:dyDescent="0.25">
      <c r="A1516" s="10">
        <v>2024</v>
      </c>
      <c r="B1516" s="10" t="s">
        <v>139</v>
      </c>
      <c r="C1516" s="10" t="s">
        <v>168</v>
      </c>
      <c r="D1516" s="10" t="s">
        <v>122</v>
      </c>
      <c r="E1516" t="str">
        <f>VLOOKUP(D1516,'Lista de Produtos CLASSIFICAÇÃO'!$A$103:$B$144,2,FALSE)</f>
        <v>Óleo Vegetal</v>
      </c>
      <c r="F1516" s="53">
        <v>0</v>
      </c>
      <c r="G1516" s="56" t="str">
        <f>VLOOKUP(C1516,clientes!$C$3:$D$60,2,FALSE)</f>
        <v>POOL EXCEDENTE</v>
      </c>
    </row>
    <row r="1517" spans="1:7" x14ac:dyDescent="0.25">
      <c r="A1517" s="10">
        <v>2024</v>
      </c>
      <c r="B1517" s="10" t="s">
        <v>139</v>
      </c>
      <c r="C1517" s="10" t="s">
        <v>169</v>
      </c>
      <c r="D1517" s="10" t="s">
        <v>22</v>
      </c>
      <c r="E1517" t="str">
        <f>VLOOKUP(D1517,'Lista de Produtos CLASSIFICAÇÃO'!$A$103:$B$144,2,FALSE)</f>
        <v>Metanol</v>
      </c>
      <c r="F1517" s="53">
        <v>5852002</v>
      </c>
      <c r="G1517" s="56" t="str">
        <f>VLOOKUP(C1517,clientes!$C$3:$D$60,2,FALSE)</f>
        <v>METHANEX</v>
      </c>
    </row>
    <row r="1518" spans="1:7" x14ac:dyDescent="0.25">
      <c r="A1518" s="10">
        <v>2024</v>
      </c>
      <c r="B1518" s="10" t="s">
        <v>139</v>
      </c>
      <c r="C1518" s="10" t="s">
        <v>170</v>
      </c>
      <c r="D1518" s="10" t="s">
        <v>22</v>
      </c>
      <c r="E1518" t="str">
        <f>VLOOKUP(D1518,'Lista de Produtos CLASSIFICAÇÃO'!$A$103:$B$144,2,FALSE)</f>
        <v>Metanol</v>
      </c>
      <c r="F1518" s="53">
        <v>3046681</v>
      </c>
      <c r="G1518" s="56" t="str">
        <f>VLOOKUP(C1518,clientes!$C$3:$D$60,2,FALSE)</f>
        <v>MITSUBISHI</v>
      </c>
    </row>
    <row r="1519" spans="1:7" x14ac:dyDescent="0.25">
      <c r="A1519" s="10">
        <v>2024</v>
      </c>
      <c r="B1519" s="10" t="s">
        <v>139</v>
      </c>
      <c r="C1519" s="10" t="s">
        <v>171</v>
      </c>
      <c r="D1519" s="10" t="s">
        <v>22</v>
      </c>
      <c r="E1519" t="str">
        <f>VLOOKUP(D1519,'Lista de Produtos CLASSIFICAÇÃO'!$A$103:$B$144,2,FALSE)</f>
        <v>Metanol</v>
      </c>
      <c r="F1519" s="53">
        <v>5179714</v>
      </c>
      <c r="G1519" s="56" t="str">
        <f>VLOOKUP(C1519,clientes!$C$3:$D$60,2,FALSE)</f>
        <v>VALENZ</v>
      </c>
    </row>
    <row r="1520" spans="1:7" x14ac:dyDescent="0.25">
      <c r="A1520" s="10">
        <v>2024</v>
      </c>
      <c r="B1520" s="10" t="s">
        <v>139</v>
      </c>
      <c r="C1520" s="10" t="s">
        <v>172</v>
      </c>
      <c r="D1520" s="10" t="s">
        <v>124</v>
      </c>
      <c r="E1520" t="str">
        <f>VLOOKUP(D1520,'Lista de Produtos CLASSIFICAÇÃO'!$A$103:$B$144,2,FALSE)</f>
        <v>Outros</v>
      </c>
      <c r="F1520" s="53">
        <v>406450</v>
      </c>
      <c r="G1520" s="56" t="str">
        <f>VLOOKUP(C1520,clientes!$C$3:$D$60,2,FALSE)</f>
        <v>EVONIK</v>
      </c>
    </row>
    <row r="1521" spans="1:7" x14ac:dyDescent="0.25">
      <c r="A1521" s="10">
        <v>2024</v>
      </c>
      <c r="B1521" s="10" t="s">
        <v>139</v>
      </c>
      <c r="C1521" s="10" t="s">
        <v>173</v>
      </c>
      <c r="D1521" s="10" t="s">
        <v>22</v>
      </c>
      <c r="E1521" t="str">
        <f>VLOOKUP(D1521,'Lista de Produtos CLASSIFICAÇÃO'!$A$103:$B$144,2,FALSE)</f>
        <v>Metanol</v>
      </c>
      <c r="F1521" s="53">
        <v>559878</v>
      </c>
      <c r="G1521" s="56" t="str">
        <f>VLOOKUP(C1521,clientes!$C$3:$D$60,2,FALSE)</f>
        <v>YPF SOCIEDAD ANONIMA</v>
      </c>
    </row>
    <row r="1522" spans="1:7" x14ac:dyDescent="0.25">
      <c r="A1522" s="10">
        <v>2024</v>
      </c>
      <c r="B1522" s="10" t="s">
        <v>139</v>
      </c>
      <c r="C1522" s="10" t="s">
        <v>174</v>
      </c>
      <c r="D1522" s="10" t="s">
        <v>123</v>
      </c>
      <c r="E1522" t="str">
        <f>VLOOKUP(D1522,'Lista de Produtos CLASSIFICAÇÃO'!$A$103:$B$144,2,FALSE)</f>
        <v>Aquecidos</v>
      </c>
      <c r="F1522" s="53">
        <v>315191</v>
      </c>
      <c r="G1522" s="56" t="str">
        <f>VLOOKUP(C1522,clientes!$C$3:$D$60,2,FALSE)</f>
        <v>CELENA</v>
      </c>
    </row>
    <row r="1523" spans="1:7" x14ac:dyDescent="0.25">
      <c r="A1523" s="10">
        <v>2024</v>
      </c>
      <c r="B1523" s="10" t="s">
        <v>139</v>
      </c>
      <c r="C1523" s="10" t="s">
        <v>175</v>
      </c>
      <c r="D1523" s="10" t="s">
        <v>123</v>
      </c>
      <c r="E1523" t="str">
        <f>VLOOKUP(D1523,'Lista de Produtos CLASSIFICAÇÃO'!$A$103:$B$144,2,FALSE)</f>
        <v>Aquecidos</v>
      </c>
      <c r="F1523" s="53">
        <v>582352</v>
      </c>
      <c r="G1523" s="56" t="str">
        <f>VLOOKUP(C1523,clientes!$C$3:$D$60,2,FALSE)</f>
        <v>AAK DO BRASIL</v>
      </c>
    </row>
    <row r="1524" spans="1:7" x14ac:dyDescent="0.25">
      <c r="A1524" s="10">
        <v>2024</v>
      </c>
      <c r="B1524" s="10" t="s">
        <v>139</v>
      </c>
      <c r="C1524" s="10" t="s">
        <v>166</v>
      </c>
      <c r="D1524" s="10" t="s">
        <v>122</v>
      </c>
      <c r="E1524" t="str">
        <f>VLOOKUP(D1524,'Lista de Produtos CLASSIFICAÇÃO'!$A$103:$B$144,2,FALSE)</f>
        <v>Óleo Vegetal</v>
      </c>
      <c r="F1524" s="53">
        <v>199164</v>
      </c>
      <c r="G1524" s="56" t="str">
        <f>VLOOKUP(C1524,clientes!$C$3:$D$60,2,FALSE)</f>
        <v>CARGILL</v>
      </c>
    </row>
    <row r="1525" spans="1:7" x14ac:dyDescent="0.25">
      <c r="A1525" s="10">
        <v>2024</v>
      </c>
      <c r="B1525" s="10" t="s">
        <v>139</v>
      </c>
      <c r="C1525" s="10" t="s">
        <v>176</v>
      </c>
      <c r="D1525" s="10" t="s">
        <v>123</v>
      </c>
      <c r="E1525" t="str">
        <f>VLOOKUP(D1525,'Lista de Produtos CLASSIFICAÇÃO'!$A$103:$B$144,2,FALSE)</f>
        <v>Aquecidos</v>
      </c>
      <c r="F1525" s="53">
        <v>360148</v>
      </c>
      <c r="G1525" s="56" t="str">
        <f>VLOOKUP(C1525,clientes!$C$3:$D$60,2,FALSE)</f>
        <v>AGROPALMA</v>
      </c>
    </row>
    <row r="1526" spans="1:7" x14ac:dyDescent="0.25">
      <c r="A1526" s="10">
        <v>2024</v>
      </c>
      <c r="B1526" s="10" t="s">
        <v>139</v>
      </c>
      <c r="C1526" s="10" t="s">
        <v>177</v>
      </c>
      <c r="D1526" s="10" t="s">
        <v>115</v>
      </c>
      <c r="E1526" t="str">
        <f>VLOOKUP(D1526,'Lista de Produtos CLASSIFICAÇÃO'!$A$103:$B$144,2,FALSE)</f>
        <v>Soda Caustica</v>
      </c>
      <c r="F1526" s="53">
        <v>426494</v>
      </c>
      <c r="G1526" s="56" t="str">
        <f>VLOOKUP(C1526,clientes!$C$3:$D$60,2,FALSE)</f>
        <v>BRENNTAG</v>
      </c>
    </row>
    <row r="1527" spans="1:7" x14ac:dyDescent="0.25">
      <c r="A1527" s="10">
        <v>2024</v>
      </c>
      <c r="B1527" s="10" t="s">
        <v>139</v>
      </c>
      <c r="C1527" s="10" t="s">
        <v>178</v>
      </c>
      <c r="D1527" s="10" t="s">
        <v>115</v>
      </c>
      <c r="E1527" t="str">
        <f>VLOOKUP(D1527,'Lista de Produtos CLASSIFICAÇÃO'!$A$103:$B$144,2,FALSE)</f>
        <v>Soda Caustica</v>
      </c>
      <c r="F1527" s="53">
        <v>1524504</v>
      </c>
      <c r="G1527" s="56" t="str">
        <f>VLOOKUP(C1527,clientes!$C$3:$D$60,2,FALSE)</f>
        <v>OLIN BLUE CUBE</v>
      </c>
    </row>
    <row r="1528" spans="1:7" x14ac:dyDescent="0.25">
      <c r="A1528" s="10">
        <v>2024</v>
      </c>
      <c r="B1528" s="10" t="s">
        <v>139</v>
      </c>
      <c r="C1528" s="10" t="s">
        <v>179</v>
      </c>
      <c r="D1528" s="10" t="s">
        <v>26</v>
      </c>
      <c r="E1528" t="str">
        <f>VLOOKUP(D1528,'Lista de Produtos CLASSIFICAÇÃO'!$A$103:$B$144,2,FALSE)</f>
        <v>Biocombustíveis</v>
      </c>
      <c r="F1528" s="53">
        <v>467791</v>
      </c>
      <c r="G1528" s="56" t="str">
        <f>VLOOKUP(C1528,clientes!$C$3:$D$60,2,FALSE)</f>
        <v>BSBIOS</v>
      </c>
    </row>
    <row r="1529" spans="1:7" x14ac:dyDescent="0.25">
      <c r="A1529" s="10">
        <v>2024</v>
      </c>
      <c r="B1529" s="10" t="s">
        <v>139</v>
      </c>
      <c r="C1529" s="10" t="s">
        <v>180</v>
      </c>
      <c r="D1529" s="10" t="s">
        <v>30</v>
      </c>
      <c r="E1529" t="str">
        <f>VLOOKUP(D1529,'Lista de Produtos CLASSIFICAÇÃO'!$A$103:$B$144,2,FALSE)</f>
        <v>Outros</v>
      </c>
      <c r="F1529" s="53">
        <v>192330</v>
      </c>
      <c r="G1529" s="56" t="str">
        <f>VLOOKUP(C1529,clientes!$C$3:$D$60,2,FALSE)</f>
        <v>TRICHEM</v>
      </c>
    </row>
    <row r="1530" spans="1:7" x14ac:dyDescent="0.25">
      <c r="A1530" s="10">
        <v>2024</v>
      </c>
      <c r="B1530" s="10" t="s">
        <v>139</v>
      </c>
      <c r="C1530" s="10" t="s">
        <v>181</v>
      </c>
      <c r="D1530" s="10" t="s">
        <v>123</v>
      </c>
      <c r="E1530" t="str">
        <f>VLOOKUP(D1530,'Lista de Produtos CLASSIFICAÇÃO'!$A$103:$B$144,2,FALSE)</f>
        <v>Aquecidos</v>
      </c>
      <c r="F1530" s="53">
        <v>186529</v>
      </c>
      <c r="G1530" s="56" t="str">
        <f>VLOOKUP(C1530,clientes!$C$3:$D$60,2,FALSE)</f>
        <v>COAMO</v>
      </c>
    </row>
    <row r="1531" spans="1:7" x14ac:dyDescent="0.25">
      <c r="A1531" s="10">
        <v>2024</v>
      </c>
      <c r="B1531" s="10" t="s">
        <v>139</v>
      </c>
      <c r="C1531" s="10" t="s">
        <v>182</v>
      </c>
      <c r="D1531" s="10" t="s">
        <v>120</v>
      </c>
      <c r="E1531" t="str">
        <f>VLOOKUP(D1531,'Lista de Produtos CLASSIFICAÇÃO'!$A$103:$B$144,2,FALSE)</f>
        <v>Derivados</v>
      </c>
      <c r="F1531" s="53">
        <v>0</v>
      </c>
      <c r="G1531" s="56" t="str">
        <f>VLOOKUP(C1531,clientes!$C$3:$D$60,2,FALSE)</f>
        <v>ATEM</v>
      </c>
    </row>
    <row r="1532" spans="1:7" x14ac:dyDescent="0.25">
      <c r="A1532" s="10">
        <v>2024</v>
      </c>
      <c r="B1532" s="10" t="s">
        <v>139</v>
      </c>
      <c r="C1532" s="10" t="s">
        <v>174</v>
      </c>
      <c r="D1532" s="10" t="s">
        <v>123</v>
      </c>
      <c r="E1532" t="str">
        <f>VLOOKUP(D1532,'Lista de Produtos CLASSIFICAÇÃO'!$A$103:$B$144,2,FALSE)</f>
        <v>Aquecidos</v>
      </c>
      <c r="F1532" s="53">
        <v>1607710</v>
      </c>
      <c r="G1532" s="56" t="str">
        <f>VLOOKUP(C1532,clientes!$C$3:$D$60,2,FALSE)</f>
        <v>CELENA</v>
      </c>
    </row>
    <row r="1533" spans="1:7" x14ac:dyDescent="0.25">
      <c r="A1533" s="10">
        <v>2024</v>
      </c>
      <c r="B1533" s="10" t="s">
        <v>139</v>
      </c>
      <c r="C1533" s="10" t="s">
        <v>173</v>
      </c>
      <c r="D1533" s="10" t="s">
        <v>183</v>
      </c>
      <c r="E1533" t="str">
        <f>VLOOKUP(D1533,'Lista de Produtos CLASSIFICAÇÃO'!$A$103:$B$144,2,FALSE)</f>
        <v>Outros</v>
      </c>
      <c r="F1533" s="53">
        <v>140762</v>
      </c>
      <c r="G1533" s="56" t="str">
        <f>VLOOKUP(C1533,clientes!$C$3:$D$60,2,FALSE)</f>
        <v>YPF SOCIEDAD ANONIMA</v>
      </c>
    </row>
    <row r="1534" spans="1:7" x14ac:dyDescent="0.25">
      <c r="A1534" s="10">
        <v>2024</v>
      </c>
      <c r="B1534" s="10" t="s">
        <v>139</v>
      </c>
      <c r="C1534" s="10" t="s">
        <v>184</v>
      </c>
      <c r="D1534" s="10" t="s">
        <v>122</v>
      </c>
      <c r="E1534" t="str">
        <f>VLOOKUP(D1534,'Lista de Produtos CLASSIFICAÇÃO'!$A$103:$B$144,2,FALSE)</f>
        <v>Óleo Vegetal</v>
      </c>
      <c r="F1534" s="53">
        <v>246808</v>
      </c>
      <c r="G1534" s="56" t="str">
        <f>VLOOKUP(C1534,clientes!$C$3:$D$60,2,FALSE)</f>
        <v>INGREDION</v>
      </c>
    </row>
    <row r="1535" spans="1:7" x14ac:dyDescent="0.25">
      <c r="A1535" s="10">
        <v>2024</v>
      </c>
      <c r="B1535" s="10" t="s">
        <v>139</v>
      </c>
      <c r="C1535" s="10" t="s">
        <v>185</v>
      </c>
      <c r="D1535" s="10" t="s">
        <v>120</v>
      </c>
      <c r="E1535" t="str">
        <f>VLOOKUP(D1535,'Lista de Produtos CLASSIFICAÇÃO'!$A$103:$B$144,2,FALSE)</f>
        <v>Derivados</v>
      </c>
      <c r="F1535" s="53">
        <v>1214701</v>
      </c>
      <c r="G1535" s="56" t="str">
        <f>VLOOKUP(C1535,clientes!$C$3:$D$60,2,FALSE)</f>
        <v>CIAPETRO</v>
      </c>
    </row>
    <row r="1536" spans="1:7" x14ac:dyDescent="0.25">
      <c r="A1536" s="10">
        <v>2024</v>
      </c>
      <c r="B1536" s="10" t="s">
        <v>139</v>
      </c>
      <c r="C1536" s="10" t="s">
        <v>186</v>
      </c>
      <c r="D1536" s="10" t="s">
        <v>22</v>
      </c>
      <c r="E1536" t="str">
        <f>VLOOKUP(D1536,'Lista de Produtos CLASSIFICAÇÃO'!$A$103:$B$144,2,FALSE)</f>
        <v>Metanol</v>
      </c>
      <c r="F1536" s="53">
        <v>351392</v>
      </c>
      <c r="G1536" s="56" t="str">
        <f>VLOOKUP(C1536,clientes!$C$3:$D$60,2,FALSE)</f>
        <v>OQ TRADING</v>
      </c>
    </row>
    <row r="1537" spans="1:7" x14ac:dyDescent="0.25">
      <c r="A1537" s="10">
        <v>2024</v>
      </c>
      <c r="B1537" s="10" t="s">
        <v>139</v>
      </c>
      <c r="C1537" s="10" t="s">
        <v>187</v>
      </c>
      <c r="D1537" s="10" t="s">
        <v>121</v>
      </c>
      <c r="E1537" t="str">
        <f>VLOOKUP(D1537,'Lista de Produtos CLASSIFICAÇÃO'!$A$103:$B$144,2,FALSE)</f>
        <v>Biocombustíveis</v>
      </c>
      <c r="F1537" s="53">
        <v>850000</v>
      </c>
      <c r="G1537" s="56" t="str">
        <f>VLOOKUP(C1537,clientes!$C$3:$D$60,2,FALSE)</f>
        <v>TEREOS / INPASA / GLENCORE / FS</v>
      </c>
    </row>
    <row r="1538" spans="1:7" x14ac:dyDescent="0.25">
      <c r="A1538" s="10">
        <v>2024</v>
      </c>
      <c r="B1538" s="10" t="s">
        <v>139</v>
      </c>
      <c r="C1538" s="10" t="s">
        <v>188</v>
      </c>
      <c r="D1538" s="10" t="s">
        <v>123</v>
      </c>
      <c r="E1538" t="str">
        <f>VLOOKUP(D1538,'Lista de Produtos CLASSIFICAÇÃO'!$A$103:$B$144,2,FALSE)</f>
        <v>Aquecidos</v>
      </c>
      <c r="F1538" s="53">
        <v>535273</v>
      </c>
      <c r="G1538" s="56" t="str">
        <f>VLOOKUP(C1538,clientes!$C$3:$D$60,2,FALSE)</f>
        <v>ARES MERCHANTS PTE LIMITE</v>
      </c>
    </row>
    <row r="1539" spans="1:7" x14ac:dyDescent="0.25">
      <c r="A1539" s="10">
        <v>2024</v>
      </c>
      <c r="B1539" s="10" t="s">
        <v>139</v>
      </c>
      <c r="C1539" s="10" t="s">
        <v>18</v>
      </c>
      <c r="D1539" s="10" t="s">
        <v>17</v>
      </c>
      <c r="E1539" t="str">
        <f>VLOOKUP(D1539,'Lista de Produtos CLASSIFICAÇÃO'!$A$103:$B$144,2,FALSE)</f>
        <v>Acostagem</v>
      </c>
      <c r="F1539" s="53">
        <v>430283.95599999995</v>
      </c>
      <c r="G1539" s="56" t="str">
        <f>VLOOKUP(C1539,clientes!$C$3:$D$60,2,FALSE)</f>
        <v>ACOSTAGEM</v>
      </c>
    </row>
    <row r="1540" spans="1:7" x14ac:dyDescent="0.25">
      <c r="A1540" s="10">
        <v>2024</v>
      </c>
      <c r="B1540" s="10" t="s">
        <v>139</v>
      </c>
      <c r="C1540" s="10" t="s">
        <v>189</v>
      </c>
      <c r="D1540" s="10" t="s">
        <v>123</v>
      </c>
      <c r="E1540" t="str">
        <f>VLOOKUP(D1540,'Lista de Produtos CLASSIFICAÇÃO'!$A$103:$B$144,2,FALSE)</f>
        <v>Aquecidos</v>
      </c>
      <c r="F1540" s="53">
        <v>503774</v>
      </c>
      <c r="G1540" s="56" t="str">
        <f>VLOOKUP(C1540,clientes!$C$3:$D$60,2,FALSE)</f>
        <v>ICOF</v>
      </c>
    </row>
    <row r="1541" spans="1:7" x14ac:dyDescent="0.25">
      <c r="A1541" s="10">
        <v>2024</v>
      </c>
      <c r="B1541" s="10" t="s">
        <v>140</v>
      </c>
      <c r="C1541" s="10" t="s">
        <v>155</v>
      </c>
      <c r="D1541" s="10" t="s">
        <v>16</v>
      </c>
      <c r="E1541" t="str">
        <f>VLOOKUP(D1541,'Lista de Produtos CLASSIFICAÇÃO'!$A$103:$B$144,2,FALSE)</f>
        <v>Outros</v>
      </c>
      <c r="F1541" s="53">
        <v>886810</v>
      </c>
      <c r="G1541" s="56" t="str">
        <f>VLOOKUP(C1541,clientes!$C$3:$D$60,2,FALSE)</f>
        <v>ADISSEO</v>
      </c>
    </row>
    <row r="1542" spans="1:7" x14ac:dyDescent="0.25">
      <c r="A1542" s="10">
        <v>2024</v>
      </c>
      <c r="B1542" s="10" t="s">
        <v>140</v>
      </c>
      <c r="C1542" s="10" t="s">
        <v>156</v>
      </c>
      <c r="D1542" s="10" t="s">
        <v>123</v>
      </c>
      <c r="E1542" t="str">
        <f>VLOOKUP(D1542,'Lista de Produtos CLASSIFICAÇÃO'!$A$103:$B$144,2,FALSE)</f>
        <v>Aquecidos</v>
      </c>
      <c r="F1542" s="53">
        <v>394665</v>
      </c>
      <c r="G1542" s="56" t="str">
        <f>VLOOKUP(C1542,clientes!$C$3:$D$60,2,FALSE)</f>
        <v>BUNGE</v>
      </c>
    </row>
    <row r="1543" spans="1:7" x14ac:dyDescent="0.25">
      <c r="A1543" s="10">
        <v>2024</v>
      </c>
      <c r="B1543" s="10" t="s">
        <v>140</v>
      </c>
      <c r="C1543" s="10" t="s">
        <v>157</v>
      </c>
      <c r="D1543" s="10" t="s">
        <v>122</v>
      </c>
      <c r="E1543" t="str">
        <f>VLOOKUP(D1543,'Lista de Produtos CLASSIFICAÇÃO'!$A$103:$B$144,2,FALSE)</f>
        <v>Óleo Vegetal</v>
      </c>
      <c r="F1543" s="53">
        <v>187113</v>
      </c>
      <c r="G1543" s="56" t="str">
        <f>VLOOKUP(C1543,clientes!$C$3:$D$60,2,FALSE)</f>
        <v>ADM</v>
      </c>
    </row>
    <row r="1544" spans="1:7" x14ac:dyDescent="0.25">
      <c r="A1544" s="10">
        <v>2024</v>
      </c>
      <c r="B1544" s="10" t="s">
        <v>140</v>
      </c>
      <c r="C1544" s="10" t="s">
        <v>158</v>
      </c>
      <c r="D1544" s="10" t="s">
        <v>120</v>
      </c>
      <c r="E1544" t="str">
        <f>VLOOKUP(D1544,'Lista de Produtos CLASSIFICAÇÃO'!$A$103:$B$144,2,FALSE)</f>
        <v>Derivados</v>
      </c>
      <c r="F1544" s="53">
        <v>7226175</v>
      </c>
      <c r="G1544" s="56" t="str">
        <f>VLOOKUP(C1544,clientes!$C$3:$D$60,2,FALSE)</f>
        <v>IPIRANGA</v>
      </c>
    </row>
    <row r="1545" spans="1:7" x14ac:dyDescent="0.25">
      <c r="A1545" s="10">
        <v>2024</v>
      </c>
      <c r="B1545" s="10" t="s">
        <v>140</v>
      </c>
      <c r="C1545" s="10" t="s">
        <v>159</v>
      </c>
      <c r="D1545" s="10" t="s">
        <v>120</v>
      </c>
      <c r="E1545" t="str">
        <f>VLOOKUP(D1545,'Lista de Produtos CLASSIFICAÇÃO'!$A$103:$B$144,2,FALSE)</f>
        <v>Derivados</v>
      </c>
      <c r="F1545" s="53">
        <v>2968315</v>
      </c>
      <c r="G1545" s="56" t="str">
        <f>VLOOKUP(C1545,clientes!$C$3:$D$60,2,FALSE)</f>
        <v>RAIZEN</v>
      </c>
    </row>
    <row r="1546" spans="1:7" x14ac:dyDescent="0.25">
      <c r="A1546" s="10">
        <v>2024</v>
      </c>
      <c r="B1546" s="10" t="s">
        <v>140</v>
      </c>
      <c r="C1546" s="10" t="s">
        <v>160</v>
      </c>
      <c r="D1546" s="10" t="s">
        <v>120</v>
      </c>
      <c r="E1546" t="str">
        <f>VLOOKUP(D1546,'Lista de Produtos CLASSIFICAÇÃO'!$A$103:$B$144,2,FALSE)</f>
        <v>Derivados</v>
      </c>
      <c r="F1546" s="53">
        <v>1811877</v>
      </c>
      <c r="G1546" s="56" t="str">
        <f>VLOOKUP(C1546,clientes!$C$3:$D$60,2,FALSE)</f>
        <v>VIBRA</v>
      </c>
    </row>
    <row r="1547" spans="1:7" x14ac:dyDescent="0.25">
      <c r="A1547" s="10">
        <v>2024</v>
      </c>
      <c r="B1547" s="10" t="s">
        <v>140</v>
      </c>
      <c r="C1547" s="10" t="s">
        <v>161</v>
      </c>
      <c r="D1547" s="10" t="s">
        <v>120</v>
      </c>
      <c r="E1547" t="str">
        <f>VLOOKUP(D1547,'Lista de Produtos CLASSIFICAÇÃO'!$A$103:$B$144,2,FALSE)</f>
        <v>Derivados</v>
      </c>
      <c r="F1547" s="53">
        <v>3650396</v>
      </c>
      <c r="G1547" s="56" t="str">
        <f>VLOOKUP(C1547,clientes!$C$3:$D$60,2,FALSE)</f>
        <v>SUL PLATA</v>
      </c>
    </row>
    <row r="1548" spans="1:7" x14ac:dyDescent="0.25">
      <c r="A1548" s="10">
        <v>2024</v>
      </c>
      <c r="B1548" s="10" t="s">
        <v>140</v>
      </c>
      <c r="C1548" s="10" t="s">
        <v>162</v>
      </c>
      <c r="D1548" s="10" t="s">
        <v>115</v>
      </c>
      <c r="E1548" t="str">
        <f>VLOOKUP(D1548,'Lista de Produtos CLASSIFICAÇÃO'!$A$103:$B$144,2,FALSE)</f>
        <v>Soda Caustica</v>
      </c>
      <c r="F1548" s="53">
        <v>187760</v>
      </c>
      <c r="G1548" s="56" t="str">
        <f>VLOOKUP(C1548,clientes!$C$3:$D$60,2,FALSE)</f>
        <v>JBS</v>
      </c>
    </row>
    <row r="1549" spans="1:7" x14ac:dyDescent="0.25">
      <c r="A1549" s="10">
        <v>2024</v>
      </c>
      <c r="B1549" s="10" t="s">
        <v>140</v>
      </c>
      <c r="C1549" s="10" t="s">
        <v>163</v>
      </c>
      <c r="D1549" s="10" t="s">
        <v>115</v>
      </c>
      <c r="E1549" t="str">
        <f>VLOOKUP(D1549,'Lista de Produtos CLASSIFICAÇÃO'!$A$103:$B$144,2,FALSE)</f>
        <v>Soda Caustica</v>
      </c>
      <c r="F1549" s="53">
        <v>396611</v>
      </c>
      <c r="G1549" s="56" t="str">
        <f>VLOOKUP(C1549,clientes!$C$3:$D$60,2,FALSE)</f>
        <v>TRICON ENERGY</v>
      </c>
    </row>
    <row r="1550" spans="1:7" x14ac:dyDescent="0.25">
      <c r="A1550" s="10">
        <v>2024</v>
      </c>
      <c r="B1550" s="10" t="s">
        <v>140</v>
      </c>
      <c r="C1550" s="10" t="s">
        <v>164</v>
      </c>
      <c r="D1550" s="10" t="s">
        <v>115</v>
      </c>
      <c r="E1550" t="str">
        <f>VLOOKUP(D1550,'Lista de Produtos CLASSIFICAÇÃO'!$A$103:$B$144,2,FALSE)</f>
        <v>Soda Caustica</v>
      </c>
      <c r="F1550" s="53">
        <v>273415</v>
      </c>
      <c r="G1550" s="56" t="str">
        <f>VLOOKUP(C1550,clientes!$C$3:$D$60,2,FALSE)</f>
        <v>BRASKEM</v>
      </c>
    </row>
    <row r="1551" spans="1:7" x14ac:dyDescent="0.25">
      <c r="A1551" s="10">
        <v>2024</v>
      </c>
      <c r="B1551" s="10" t="s">
        <v>140</v>
      </c>
      <c r="C1551" s="10" t="s">
        <v>165</v>
      </c>
      <c r="D1551" s="10" t="s">
        <v>123</v>
      </c>
      <c r="E1551" t="str">
        <f>VLOOKUP(D1551,'Lista de Produtos CLASSIFICAÇÃO'!$A$103:$B$144,2,FALSE)</f>
        <v>Aquecidos</v>
      </c>
      <c r="F1551" s="53">
        <v>988196</v>
      </c>
      <c r="G1551" s="56" t="str">
        <f>VLOOKUP(C1551,clientes!$C$3:$D$60,2,FALSE)</f>
        <v>BRF</v>
      </c>
    </row>
    <row r="1552" spans="1:7" x14ac:dyDescent="0.25">
      <c r="A1552" s="10">
        <v>2024</v>
      </c>
      <c r="B1552" s="10" t="s">
        <v>140</v>
      </c>
      <c r="C1552" s="10" t="s">
        <v>162</v>
      </c>
      <c r="D1552" s="10" t="s">
        <v>123</v>
      </c>
      <c r="E1552" t="str">
        <f>VLOOKUP(D1552,'Lista de Produtos CLASSIFICAÇÃO'!$A$103:$B$144,2,FALSE)</f>
        <v>Aquecidos</v>
      </c>
      <c r="F1552" s="53">
        <v>372254</v>
      </c>
      <c r="G1552" s="56" t="str">
        <f>VLOOKUP(C1552,clientes!$C$3:$D$60,2,FALSE)</f>
        <v>JBS</v>
      </c>
    </row>
    <row r="1553" spans="1:7" x14ac:dyDescent="0.25">
      <c r="A1553" s="10">
        <v>2024</v>
      </c>
      <c r="B1553" s="10" t="s">
        <v>140</v>
      </c>
      <c r="C1553" s="10" t="s">
        <v>166</v>
      </c>
      <c r="D1553" s="10" t="s">
        <v>123</v>
      </c>
      <c r="E1553" t="str">
        <f>VLOOKUP(D1553,'Lista de Produtos CLASSIFICAÇÃO'!$A$103:$B$144,2,FALSE)</f>
        <v>Aquecidos</v>
      </c>
      <c r="F1553" s="53">
        <v>521117</v>
      </c>
      <c r="G1553" s="56" t="str">
        <f>VLOOKUP(C1553,clientes!$C$3:$D$60,2,FALSE)</f>
        <v>CARGILL</v>
      </c>
    </row>
    <row r="1554" spans="1:7" x14ac:dyDescent="0.25">
      <c r="A1554" s="10">
        <v>2024</v>
      </c>
      <c r="B1554" s="10" t="s">
        <v>140</v>
      </c>
      <c r="C1554" s="10" t="s">
        <v>167</v>
      </c>
      <c r="D1554" s="10" t="s">
        <v>122</v>
      </c>
      <c r="E1554" t="str">
        <f>VLOOKUP(D1554,'Lista de Produtos CLASSIFICAÇÃO'!$A$103:$B$144,2,FALSE)</f>
        <v>Óleo Vegetal</v>
      </c>
      <c r="F1554" s="53">
        <v>900784</v>
      </c>
      <c r="G1554" s="56" t="str">
        <f>VLOOKUP(C1554,clientes!$C$3:$D$60,2,FALSE)</f>
        <v>POOL</v>
      </c>
    </row>
    <row r="1555" spans="1:7" x14ac:dyDescent="0.25">
      <c r="A1555" s="10">
        <v>2024</v>
      </c>
      <c r="B1555" s="10" t="s">
        <v>140</v>
      </c>
      <c r="C1555" s="10" t="s">
        <v>168</v>
      </c>
      <c r="D1555" s="10" t="s">
        <v>122</v>
      </c>
      <c r="E1555" t="str">
        <f>VLOOKUP(D1555,'Lista de Produtos CLASSIFICAÇÃO'!$A$103:$B$144,2,FALSE)</f>
        <v>Óleo Vegetal</v>
      </c>
      <c r="F1555" s="53">
        <v>0</v>
      </c>
      <c r="G1555" s="56" t="str">
        <f>VLOOKUP(C1555,clientes!$C$3:$D$60,2,FALSE)</f>
        <v>POOL EXCEDENTE</v>
      </c>
    </row>
    <row r="1556" spans="1:7" x14ac:dyDescent="0.25">
      <c r="A1556" s="10">
        <v>2024</v>
      </c>
      <c r="B1556" s="10" t="s">
        <v>140</v>
      </c>
      <c r="C1556" s="10" t="s">
        <v>169</v>
      </c>
      <c r="D1556" s="10" t="s">
        <v>22</v>
      </c>
      <c r="E1556" t="str">
        <f>VLOOKUP(D1556,'Lista de Produtos CLASSIFICAÇÃO'!$A$103:$B$144,2,FALSE)</f>
        <v>Metanol</v>
      </c>
      <c r="F1556" s="53">
        <v>5852002</v>
      </c>
      <c r="G1556" s="56" t="str">
        <f>VLOOKUP(C1556,clientes!$C$3:$D$60,2,FALSE)</f>
        <v>METHANEX</v>
      </c>
    </row>
    <row r="1557" spans="1:7" x14ac:dyDescent="0.25">
      <c r="A1557" s="10">
        <v>2024</v>
      </c>
      <c r="B1557" s="10" t="s">
        <v>140</v>
      </c>
      <c r="C1557" s="10" t="s">
        <v>170</v>
      </c>
      <c r="D1557" s="10" t="s">
        <v>22</v>
      </c>
      <c r="E1557" t="str">
        <f>VLOOKUP(D1557,'Lista de Produtos CLASSIFICAÇÃO'!$A$103:$B$144,2,FALSE)</f>
        <v>Metanol</v>
      </c>
      <c r="F1557" s="53">
        <v>3046681</v>
      </c>
      <c r="G1557" s="56" t="str">
        <f>VLOOKUP(C1557,clientes!$C$3:$D$60,2,FALSE)</f>
        <v>MITSUBISHI</v>
      </c>
    </row>
    <row r="1558" spans="1:7" x14ac:dyDescent="0.25">
      <c r="A1558" s="10">
        <v>2024</v>
      </c>
      <c r="B1558" s="10" t="s">
        <v>140</v>
      </c>
      <c r="C1558" s="10" t="s">
        <v>171</v>
      </c>
      <c r="D1558" s="10" t="s">
        <v>22</v>
      </c>
      <c r="E1558" t="str">
        <f>VLOOKUP(D1558,'Lista de Produtos CLASSIFICAÇÃO'!$A$103:$B$144,2,FALSE)</f>
        <v>Metanol</v>
      </c>
      <c r="F1558" s="53">
        <v>5179714</v>
      </c>
      <c r="G1558" s="56" t="str">
        <f>VLOOKUP(C1558,clientes!$C$3:$D$60,2,FALSE)</f>
        <v>VALENZ</v>
      </c>
    </row>
    <row r="1559" spans="1:7" x14ac:dyDescent="0.25">
      <c r="A1559" s="10">
        <v>2024</v>
      </c>
      <c r="B1559" s="10" t="s">
        <v>140</v>
      </c>
      <c r="C1559" s="10" t="s">
        <v>172</v>
      </c>
      <c r="D1559" s="10" t="s">
        <v>124</v>
      </c>
      <c r="E1559" t="str">
        <f>VLOOKUP(D1559,'Lista de Produtos CLASSIFICAÇÃO'!$A$103:$B$144,2,FALSE)</f>
        <v>Outros</v>
      </c>
      <c r="F1559" s="53">
        <v>406450</v>
      </c>
      <c r="G1559" s="56" t="str">
        <f>VLOOKUP(C1559,clientes!$C$3:$D$60,2,FALSE)</f>
        <v>EVONIK</v>
      </c>
    </row>
    <row r="1560" spans="1:7" x14ac:dyDescent="0.25">
      <c r="A1560" s="10">
        <v>2024</v>
      </c>
      <c r="B1560" s="10" t="s">
        <v>140</v>
      </c>
      <c r="C1560" s="10" t="s">
        <v>173</v>
      </c>
      <c r="D1560" s="10" t="s">
        <v>22</v>
      </c>
      <c r="E1560" t="str">
        <f>VLOOKUP(D1560,'Lista de Produtos CLASSIFICAÇÃO'!$A$103:$B$144,2,FALSE)</f>
        <v>Metanol</v>
      </c>
      <c r="F1560" s="53">
        <v>490592</v>
      </c>
      <c r="G1560" s="56" t="str">
        <f>VLOOKUP(C1560,clientes!$C$3:$D$60,2,FALSE)</f>
        <v>YPF SOCIEDAD ANONIMA</v>
      </c>
    </row>
    <row r="1561" spans="1:7" x14ac:dyDescent="0.25">
      <c r="A1561" s="10">
        <v>2024</v>
      </c>
      <c r="B1561" s="10" t="s">
        <v>140</v>
      </c>
      <c r="C1561" s="10" t="s">
        <v>174</v>
      </c>
      <c r="D1561" s="10" t="s">
        <v>123</v>
      </c>
      <c r="E1561" t="str">
        <f>VLOOKUP(D1561,'Lista de Produtos CLASSIFICAÇÃO'!$A$103:$B$144,2,FALSE)</f>
        <v>Aquecidos</v>
      </c>
      <c r="F1561" s="53">
        <v>315191</v>
      </c>
      <c r="G1561" s="56" t="str">
        <f>VLOOKUP(C1561,clientes!$C$3:$D$60,2,FALSE)</f>
        <v>CELENA</v>
      </c>
    </row>
    <row r="1562" spans="1:7" x14ac:dyDescent="0.25">
      <c r="A1562" s="10">
        <v>2024</v>
      </c>
      <c r="B1562" s="10" t="s">
        <v>140</v>
      </c>
      <c r="C1562" s="10" t="s">
        <v>175</v>
      </c>
      <c r="D1562" s="10" t="s">
        <v>123</v>
      </c>
      <c r="E1562" t="str">
        <f>VLOOKUP(D1562,'Lista de Produtos CLASSIFICAÇÃO'!$A$103:$B$144,2,FALSE)</f>
        <v>Aquecidos</v>
      </c>
      <c r="F1562" s="53">
        <v>582352</v>
      </c>
      <c r="G1562" s="56" t="str">
        <f>VLOOKUP(C1562,clientes!$C$3:$D$60,2,FALSE)</f>
        <v>AAK DO BRASIL</v>
      </c>
    </row>
    <row r="1563" spans="1:7" x14ac:dyDescent="0.25">
      <c r="A1563" s="10">
        <v>2024</v>
      </c>
      <c r="B1563" s="10" t="s">
        <v>140</v>
      </c>
      <c r="C1563" s="10" t="s">
        <v>166</v>
      </c>
      <c r="D1563" s="10" t="s">
        <v>122</v>
      </c>
      <c r="E1563" t="str">
        <f>VLOOKUP(D1563,'Lista de Produtos CLASSIFICAÇÃO'!$A$103:$B$144,2,FALSE)</f>
        <v>Óleo Vegetal</v>
      </c>
      <c r="F1563" s="53">
        <v>199164</v>
      </c>
      <c r="G1563" s="56" t="str">
        <f>VLOOKUP(C1563,clientes!$C$3:$D$60,2,FALSE)</f>
        <v>CARGILL</v>
      </c>
    </row>
    <row r="1564" spans="1:7" x14ac:dyDescent="0.25">
      <c r="A1564" s="10">
        <v>2024</v>
      </c>
      <c r="B1564" s="10" t="s">
        <v>140</v>
      </c>
      <c r="C1564" s="10" t="s">
        <v>176</v>
      </c>
      <c r="D1564" s="10" t="s">
        <v>123</v>
      </c>
      <c r="E1564" t="str">
        <f>VLOOKUP(D1564,'Lista de Produtos CLASSIFICAÇÃO'!$A$103:$B$144,2,FALSE)</f>
        <v>Aquecidos</v>
      </c>
      <c r="F1564" s="53">
        <v>360148</v>
      </c>
      <c r="G1564" s="56" t="str">
        <f>VLOOKUP(C1564,clientes!$C$3:$D$60,2,FALSE)</f>
        <v>AGROPALMA</v>
      </c>
    </row>
    <row r="1565" spans="1:7" x14ac:dyDescent="0.25">
      <c r="A1565" s="10">
        <v>2024</v>
      </c>
      <c r="B1565" s="10" t="s">
        <v>140</v>
      </c>
      <c r="C1565" s="10" t="s">
        <v>177</v>
      </c>
      <c r="D1565" s="10" t="s">
        <v>115</v>
      </c>
      <c r="E1565" t="str">
        <f>VLOOKUP(D1565,'Lista de Produtos CLASSIFICAÇÃO'!$A$103:$B$144,2,FALSE)</f>
        <v>Soda Caustica</v>
      </c>
      <c r="F1565" s="53">
        <v>426494</v>
      </c>
      <c r="G1565" s="56" t="str">
        <f>VLOOKUP(C1565,clientes!$C$3:$D$60,2,FALSE)</f>
        <v>BRENNTAG</v>
      </c>
    </row>
    <row r="1566" spans="1:7" x14ac:dyDescent="0.25">
      <c r="A1566" s="10">
        <v>2024</v>
      </c>
      <c r="B1566" s="10" t="s">
        <v>140</v>
      </c>
      <c r="C1566" s="10" t="s">
        <v>178</v>
      </c>
      <c r="D1566" s="10" t="s">
        <v>115</v>
      </c>
      <c r="E1566" t="str">
        <f>VLOOKUP(D1566,'Lista de Produtos CLASSIFICAÇÃO'!$A$103:$B$144,2,FALSE)</f>
        <v>Soda Caustica</v>
      </c>
      <c r="F1566" s="53">
        <v>1524504</v>
      </c>
      <c r="G1566" s="56" t="str">
        <f>VLOOKUP(C1566,clientes!$C$3:$D$60,2,FALSE)</f>
        <v>OLIN BLUE CUBE</v>
      </c>
    </row>
    <row r="1567" spans="1:7" x14ac:dyDescent="0.25">
      <c r="A1567" s="10">
        <v>2024</v>
      </c>
      <c r="B1567" s="10" t="s">
        <v>140</v>
      </c>
      <c r="C1567" s="10" t="s">
        <v>179</v>
      </c>
      <c r="D1567" s="10" t="s">
        <v>26</v>
      </c>
      <c r="E1567" t="str">
        <f>VLOOKUP(D1567,'Lista de Produtos CLASSIFICAÇÃO'!$A$103:$B$144,2,FALSE)</f>
        <v>Biocombustíveis</v>
      </c>
      <c r="F1567" s="53">
        <v>467791</v>
      </c>
      <c r="G1567" s="56" t="str">
        <f>VLOOKUP(C1567,clientes!$C$3:$D$60,2,FALSE)</f>
        <v>BSBIOS</v>
      </c>
    </row>
    <row r="1568" spans="1:7" x14ac:dyDescent="0.25">
      <c r="A1568" s="10">
        <v>2024</v>
      </c>
      <c r="B1568" s="10" t="s">
        <v>140</v>
      </c>
      <c r="C1568" s="10" t="s">
        <v>180</v>
      </c>
      <c r="D1568" s="10" t="s">
        <v>30</v>
      </c>
      <c r="E1568" t="str">
        <f>VLOOKUP(D1568,'Lista de Produtos CLASSIFICAÇÃO'!$A$103:$B$144,2,FALSE)</f>
        <v>Outros</v>
      </c>
      <c r="F1568" s="53">
        <v>192330</v>
      </c>
      <c r="G1568" s="56" t="str">
        <f>VLOOKUP(C1568,clientes!$C$3:$D$60,2,FALSE)</f>
        <v>TRICHEM</v>
      </c>
    </row>
    <row r="1569" spans="1:7" x14ac:dyDescent="0.25">
      <c r="A1569" s="10">
        <v>2024</v>
      </c>
      <c r="B1569" s="10" t="s">
        <v>140</v>
      </c>
      <c r="C1569" s="10" t="s">
        <v>181</v>
      </c>
      <c r="D1569" s="10" t="s">
        <v>123</v>
      </c>
      <c r="E1569" t="str">
        <f>VLOOKUP(D1569,'Lista de Produtos CLASSIFICAÇÃO'!$A$103:$B$144,2,FALSE)</f>
        <v>Aquecidos</v>
      </c>
      <c r="F1569" s="53">
        <v>186529</v>
      </c>
      <c r="G1569" s="56" t="str">
        <f>VLOOKUP(C1569,clientes!$C$3:$D$60,2,FALSE)</f>
        <v>COAMO</v>
      </c>
    </row>
    <row r="1570" spans="1:7" x14ac:dyDescent="0.25">
      <c r="A1570" s="10">
        <v>2024</v>
      </c>
      <c r="B1570" s="10" t="s">
        <v>140</v>
      </c>
      <c r="C1570" s="10" t="s">
        <v>182</v>
      </c>
      <c r="D1570" s="10" t="s">
        <v>120</v>
      </c>
      <c r="E1570" t="str">
        <f>VLOOKUP(D1570,'Lista de Produtos CLASSIFICAÇÃO'!$A$103:$B$144,2,FALSE)</f>
        <v>Derivados</v>
      </c>
      <c r="F1570" s="53">
        <v>0</v>
      </c>
      <c r="G1570" s="56" t="str">
        <f>VLOOKUP(C1570,clientes!$C$3:$D$60,2,FALSE)</f>
        <v>ATEM</v>
      </c>
    </row>
    <row r="1571" spans="1:7" x14ac:dyDescent="0.25">
      <c r="A1571" s="10">
        <v>2024</v>
      </c>
      <c r="B1571" s="10" t="s">
        <v>140</v>
      </c>
      <c r="C1571" s="10" t="s">
        <v>174</v>
      </c>
      <c r="D1571" s="10" t="s">
        <v>123</v>
      </c>
      <c r="E1571" t="str">
        <f>VLOOKUP(D1571,'Lista de Produtos CLASSIFICAÇÃO'!$A$103:$B$144,2,FALSE)</f>
        <v>Aquecidos</v>
      </c>
      <c r="F1571" s="53">
        <v>1870436</v>
      </c>
      <c r="G1571" s="56" t="str">
        <f>VLOOKUP(C1571,clientes!$C$3:$D$60,2,FALSE)</f>
        <v>CELENA</v>
      </c>
    </row>
    <row r="1572" spans="1:7" x14ac:dyDescent="0.25">
      <c r="A1572" s="10">
        <v>2024</v>
      </c>
      <c r="B1572" s="10" t="s">
        <v>140</v>
      </c>
      <c r="C1572" s="10" t="s">
        <v>173</v>
      </c>
      <c r="D1572" s="10" t="s">
        <v>183</v>
      </c>
      <c r="E1572" t="str">
        <f>VLOOKUP(D1572,'Lista de Produtos CLASSIFICAÇÃO'!$A$103:$B$144,2,FALSE)</f>
        <v>Outros</v>
      </c>
      <c r="F1572" s="53">
        <v>159474</v>
      </c>
      <c r="G1572" s="56" t="str">
        <f>VLOOKUP(C1572,clientes!$C$3:$D$60,2,FALSE)</f>
        <v>YPF SOCIEDAD ANONIMA</v>
      </c>
    </row>
    <row r="1573" spans="1:7" x14ac:dyDescent="0.25">
      <c r="A1573" s="10">
        <v>2024</v>
      </c>
      <c r="B1573" s="10" t="s">
        <v>140</v>
      </c>
      <c r="C1573" s="10" t="s">
        <v>184</v>
      </c>
      <c r="D1573" s="10" t="s">
        <v>122</v>
      </c>
      <c r="E1573" t="str">
        <f>VLOOKUP(D1573,'Lista de Produtos CLASSIFICAÇÃO'!$A$103:$B$144,2,FALSE)</f>
        <v>Óleo Vegetal</v>
      </c>
      <c r="F1573" s="53">
        <v>192335</v>
      </c>
      <c r="G1573" s="56" t="str">
        <f>VLOOKUP(C1573,clientes!$C$3:$D$60,2,FALSE)</f>
        <v>INGREDION</v>
      </c>
    </row>
    <row r="1574" spans="1:7" x14ac:dyDescent="0.25">
      <c r="A1574" s="10">
        <v>2024</v>
      </c>
      <c r="B1574" s="10" t="s">
        <v>140</v>
      </c>
      <c r="C1574" s="10" t="s">
        <v>185</v>
      </c>
      <c r="D1574" s="10" t="s">
        <v>120</v>
      </c>
      <c r="E1574" t="str">
        <f>VLOOKUP(D1574,'Lista de Produtos CLASSIFICAÇÃO'!$A$103:$B$144,2,FALSE)</f>
        <v>Derivados</v>
      </c>
      <c r="F1574" s="53">
        <v>1214701</v>
      </c>
      <c r="G1574" s="56" t="str">
        <f>VLOOKUP(C1574,clientes!$C$3:$D$60,2,FALSE)</f>
        <v>CIAPETRO</v>
      </c>
    </row>
    <row r="1575" spans="1:7" x14ac:dyDescent="0.25">
      <c r="A1575" s="10">
        <v>2024</v>
      </c>
      <c r="B1575" s="10" t="s">
        <v>140</v>
      </c>
      <c r="C1575" s="10" t="s">
        <v>186</v>
      </c>
      <c r="D1575" s="10" t="s">
        <v>22</v>
      </c>
      <c r="E1575" t="str">
        <f>VLOOKUP(D1575,'Lista de Produtos CLASSIFICAÇÃO'!$A$103:$B$144,2,FALSE)</f>
        <v>Metanol</v>
      </c>
      <c r="F1575" s="53">
        <v>641825</v>
      </c>
      <c r="G1575" s="56" t="str">
        <f>VLOOKUP(C1575,clientes!$C$3:$D$60,2,FALSE)</f>
        <v>OQ TRADING</v>
      </c>
    </row>
    <row r="1576" spans="1:7" x14ac:dyDescent="0.25">
      <c r="A1576" s="10">
        <v>2024</v>
      </c>
      <c r="B1576" s="10" t="s">
        <v>140</v>
      </c>
      <c r="C1576" s="10" t="s">
        <v>187</v>
      </c>
      <c r="D1576" s="10" t="s">
        <v>121</v>
      </c>
      <c r="E1576" t="str">
        <f>VLOOKUP(D1576,'Lista de Produtos CLASSIFICAÇÃO'!$A$103:$B$144,2,FALSE)</f>
        <v>Biocombustíveis</v>
      </c>
      <c r="F1576" s="53">
        <v>850000</v>
      </c>
      <c r="G1576" s="56" t="str">
        <f>VLOOKUP(C1576,clientes!$C$3:$D$60,2,FALSE)</f>
        <v>TEREOS / INPASA / GLENCORE / FS</v>
      </c>
    </row>
    <row r="1577" spans="1:7" x14ac:dyDescent="0.25">
      <c r="A1577" s="10">
        <v>2024</v>
      </c>
      <c r="B1577" s="10" t="s">
        <v>140</v>
      </c>
      <c r="C1577" s="10" t="s">
        <v>188</v>
      </c>
      <c r="D1577" s="10" t="s">
        <v>123</v>
      </c>
      <c r="E1577" t="str">
        <f>VLOOKUP(D1577,'Lista de Produtos CLASSIFICAÇÃO'!$A$103:$B$144,2,FALSE)</f>
        <v>Aquecidos</v>
      </c>
      <c r="F1577" s="53">
        <v>535273</v>
      </c>
      <c r="G1577" s="56" t="str">
        <f>VLOOKUP(C1577,clientes!$C$3:$D$60,2,FALSE)</f>
        <v>ARES MERCHANTS PTE LIMITE</v>
      </c>
    </row>
    <row r="1578" spans="1:7" x14ac:dyDescent="0.25">
      <c r="A1578" s="10">
        <v>2024</v>
      </c>
      <c r="B1578" s="10" t="s">
        <v>140</v>
      </c>
      <c r="C1578" s="10" t="s">
        <v>18</v>
      </c>
      <c r="D1578" s="10" t="s">
        <v>17</v>
      </c>
      <c r="E1578" t="str">
        <f>VLOOKUP(D1578,'Lista de Produtos CLASSIFICAÇÃO'!$A$103:$B$144,2,FALSE)</f>
        <v>Acostagem</v>
      </c>
      <c r="F1578" s="53">
        <v>384045.1</v>
      </c>
      <c r="G1578" s="56" t="str">
        <f>VLOOKUP(C1578,clientes!$C$3:$D$60,2,FALSE)</f>
        <v>ACOSTAGEM</v>
      </c>
    </row>
    <row r="1579" spans="1:7" x14ac:dyDescent="0.25">
      <c r="A1579" s="10">
        <v>2024</v>
      </c>
      <c r="B1579" s="10" t="s">
        <v>140</v>
      </c>
      <c r="C1579" s="10" t="s">
        <v>189</v>
      </c>
      <c r="D1579" s="10" t="s">
        <v>123</v>
      </c>
      <c r="E1579" t="str">
        <f>VLOOKUP(D1579,'Lista de Produtos CLASSIFICAÇÃO'!$A$103:$B$144,2,FALSE)</f>
        <v>Aquecidos</v>
      </c>
      <c r="F1579" s="53">
        <v>503774</v>
      </c>
      <c r="G1579" s="56" t="str">
        <f>VLOOKUP(C1579,clientes!$C$3:$D$60,2,FALSE)</f>
        <v>ICOF</v>
      </c>
    </row>
    <row r="1580" spans="1:7" x14ac:dyDescent="0.25">
      <c r="A1580" s="10">
        <v>2024</v>
      </c>
      <c r="B1580" s="10" t="s">
        <v>141</v>
      </c>
      <c r="C1580" s="10" t="s">
        <v>155</v>
      </c>
      <c r="D1580" s="10" t="s">
        <v>16</v>
      </c>
      <c r="E1580" t="str">
        <f>VLOOKUP(D1580,'Lista de Produtos CLASSIFICAÇÃO'!$A$103:$B$144,2,FALSE)</f>
        <v>Outros</v>
      </c>
      <c r="F1580" s="53">
        <v>886810</v>
      </c>
      <c r="G1580" s="56" t="str">
        <f>VLOOKUP(C1580,clientes!$C$3:$D$60,2,FALSE)</f>
        <v>ADISSEO</v>
      </c>
    </row>
    <row r="1581" spans="1:7" x14ac:dyDescent="0.25">
      <c r="A1581" s="10">
        <v>2024</v>
      </c>
      <c r="B1581" s="10" t="s">
        <v>141</v>
      </c>
      <c r="C1581" s="10" t="s">
        <v>156</v>
      </c>
      <c r="D1581" s="10" t="s">
        <v>123</v>
      </c>
      <c r="E1581" t="str">
        <f>VLOOKUP(D1581,'Lista de Produtos CLASSIFICAÇÃO'!$A$103:$B$144,2,FALSE)</f>
        <v>Aquecidos</v>
      </c>
      <c r="F1581" s="53">
        <v>394665</v>
      </c>
      <c r="G1581" s="56" t="str">
        <f>VLOOKUP(C1581,clientes!$C$3:$D$60,2,FALSE)</f>
        <v>BUNGE</v>
      </c>
    </row>
    <row r="1582" spans="1:7" x14ac:dyDescent="0.25">
      <c r="A1582" s="10">
        <v>2024</v>
      </c>
      <c r="B1582" s="10" t="s">
        <v>141</v>
      </c>
      <c r="C1582" s="10" t="s">
        <v>157</v>
      </c>
      <c r="D1582" s="10" t="s">
        <v>122</v>
      </c>
      <c r="E1582" t="str">
        <f>VLOOKUP(D1582,'Lista de Produtos CLASSIFICAÇÃO'!$A$103:$B$144,2,FALSE)</f>
        <v>Óleo Vegetal</v>
      </c>
      <c r="F1582" s="53">
        <v>187113</v>
      </c>
      <c r="G1582" s="56" t="str">
        <f>VLOOKUP(C1582,clientes!$C$3:$D$60,2,FALSE)</f>
        <v>ADM</v>
      </c>
    </row>
    <row r="1583" spans="1:7" x14ac:dyDescent="0.25">
      <c r="A1583" s="10">
        <v>2024</v>
      </c>
      <c r="B1583" s="10" t="s">
        <v>141</v>
      </c>
      <c r="C1583" s="10" t="s">
        <v>158</v>
      </c>
      <c r="D1583" s="10" t="s">
        <v>120</v>
      </c>
      <c r="E1583" t="str">
        <f>VLOOKUP(D1583,'Lista de Produtos CLASSIFICAÇÃO'!$A$103:$B$144,2,FALSE)</f>
        <v>Derivados</v>
      </c>
      <c r="F1583" s="53">
        <v>7226175</v>
      </c>
      <c r="G1583" s="56" t="str">
        <f>VLOOKUP(C1583,clientes!$C$3:$D$60,2,FALSE)</f>
        <v>IPIRANGA</v>
      </c>
    </row>
    <row r="1584" spans="1:7" x14ac:dyDescent="0.25">
      <c r="A1584" s="10">
        <v>2024</v>
      </c>
      <c r="B1584" s="10" t="s">
        <v>141</v>
      </c>
      <c r="C1584" s="10" t="s">
        <v>159</v>
      </c>
      <c r="D1584" s="10" t="s">
        <v>120</v>
      </c>
      <c r="E1584" t="str">
        <f>VLOOKUP(D1584,'Lista de Produtos CLASSIFICAÇÃO'!$A$103:$B$144,2,FALSE)</f>
        <v>Derivados</v>
      </c>
      <c r="F1584" s="53">
        <v>2968315</v>
      </c>
      <c r="G1584" s="56" t="str">
        <f>VLOOKUP(C1584,clientes!$C$3:$D$60,2,FALSE)</f>
        <v>RAIZEN</v>
      </c>
    </row>
    <row r="1585" spans="1:7" x14ac:dyDescent="0.25">
      <c r="A1585" s="10">
        <v>2024</v>
      </c>
      <c r="B1585" s="10" t="s">
        <v>141</v>
      </c>
      <c r="C1585" s="10" t="s">
        <v>160</v>
      </c>
      <c r="D1585" s="10" t="s">
        <v>120</v>
      </c>
      <c r="E1585" t="str">
        <f>VLOOKUP(D1585,'Lista de Produtos CLASSIFICAÇÃO'!$A$103:$B$144,2,FALSE)</f>
        <v>Derivados</v>
      </c>
      <c r="F1585" s="53">
        <v>1811877</v>
      </c>
      <c r="G1585" s="56" t="str">
        <f>VLOOKUP(C1585,clientes!$C$3:$D$60,2,FALSE)</f>
        <v>VIBRA</v>
      </c>
    </row>
    <row r="1586" spans="1:7" x14ac:dyDescent="0.25">
      <c r="A1586" s="10">
        <v>2024</v>
      </c>
      <c r="B1586" s="10" t="s">
        <v>141</v>
      </c>
      <c r="C1586" s="10" t="s">
        <v>161</v>
      </c>
      <c r="D1586" s="10" t="s">
        <v>120</v>
      </c>
      <c r="E1586" t="str">
        <f>VLOOKUP(D1586,'Lista de Produtos CLASSIFICAÇÃO'!$A$103:$B$144,2,FALSE)</f>
        <v>Derivados</v>
      </c>
      <c r="F1586" s="53">
        <v>3650396</v>
      </c>
      <c r="G1586" s="56" t="str">
        <f>VLOOKUP(C1586,clientes!$C$3:$D$60,2,FALSE)</f>
        <v>SUL PLATA</v>
      </c>
    </row>
    <row r="1587" spans="1:7" x14ac:dyDescent="0.25">
      <c r="A1587" s="10">
        <v>2024</v>
      </c>
      <c r="B1587" s="10" t="s">
        <v>141</v>
      </c>
      <c r="C1587" s="10" t="s">
        <v>162</v>
      </c>
      <c r="D1587" s="10" t="s">
        <v>115</v>
      </c>
      <c r="E1587" t="str">
        <f>VLOOKUP(D1587,'Lista de Produtos CLASSIFICAÇÃO'!$A$103:$B$144,2,FALSE)</f>
        <v>Soda Caustica</v>
      </c>
      <c r="F1587" s="53">
        <v>187760</v>
      </c>
      <c r="G1587" s="56" t="str">
        <f>VLOOKUP(C1587,clientes!$C$3:$D$60,2,FALSE)</f>
        <v>JBS</v>
      </c>
    </row>
    <row r="1588" spans="1:7" x14ac:dyDescent="0.25">
      <c r="A1588" s="10">
        <v>2024</v>
      </c>
      <c r="B1588" s="10" t="s">
        <v>141</v>
      </c>
      <c r="C1588" s="10" t="s">
        <v>163</v>
      </c>
      <c r="D1588" s="10" t="s">
        <v>115</v>
      </c>
      <c r="E1588" t="str">
        <f>VLOOKUP(D1588,'Lista de Produtos CLASSIFICAÇÃO'!$A$103:$B$144,2,FALSE)</f>
        <v>Soda Caustica</v>
      </c>
      <c r="F1588" s="53">
        <v>396611</v>
      </c>
      <c r="G1588" s="56" t="str">
        <f>VLOOKUP(C1588,clientes!$C$3:$D$60,2,FALSE)</f>
        <v>TRICON ENERGY</v>
      </c>
    </row>
    <row r="1589" spans="1:7" x14ac:dyDescent="0.25">
      <c r="A1589" s="10">
        <v>2024</v>
      </c>
      <c r="B1589" s="10" t="s">
        <v>141</v>
      </c>
      <c r="C1589" s="10" t="s">
        <v>164</v>
      </c>
      <c r="D1589" s="10" t="s">
        <v>115</v>
      </c>
      <c r="E1589" t="str">
        <f>VLOOKUP(D1589,'Lista de Produtos CLASSIFICAÇÃO'!$A$103:$B$144,2,FALSE)</f>
        <v>Soda Caustica</v>
      </c>
      <c r="F1589" s="53">
        <v>273415</v>
      </c>
      <c r="G1589" s="56" t="str">
        <f>VLOOKUP(C1589,clientes!$C$3:$D$60,2,FALSE)</f>
        <v>BRASKEM</v>
      </c>
    </row>
    <row r="1590" spans="1:7" x14ac:dyDescent="0.25">
      <c r="A1590" s="10">
        <v>2024</v>
      </c>
      <c r="B1590" s="10" t="s">
        <v>141</v>
      </c>
      <c r="C1590" s="10" t="s">
        <v>165</v>
      </c>
      <c r="D1590" s="10" t="s">
        <v>123</v>
      </c>
      <c r="E1590" t="str">
        <f>VLOOKUP(D1590,'Lista de Produtos CLASSIFICAÇÃO'!$A$103:$B$144,2,FALSE)</f>
        <v>Aquecidos</v>
      </c>
      <c r="F1590" s="53">
        <v>988196</v>
      </c>
      <c r="G1590" s="56" t="str">
        <f>VLOOKUP(C1590,clientes!$C$3:$D$60,2,FALSE)</f>
        <v>BRF</v>
      </c>
    </row>
    <row r="1591" spans="1:7" x14ac:dyDescent="0.25">
      <c r="A1591" s="10">
        <v>2024</v>
      </c>
      <c r="B1591" s="10" t="s">
        <v>141</v>
      </c>
      <c r="C1591" s="10" t="s">
        <v>162</v>
      </c>
      <c r="D1591" s="10" t="s">
        <v>123</v>
      </c>
      <c r="E1591" t="str">
        <f>VLOOKUP(D1591,'Lista de Produtos CLASSIFICAÇÃO'!$A$103:$B$144,2,FALSE)</f>
        <v>Aquecidos</v>
      </c>
      <c r="F1591" s="53">
        <v>372254</v>
      </c>
      <c r="G1591" s="56" t="str">
        <f>VLOOKUP(C1591,clientes!$C$3:$D$60,2,FALSE)</f>
        <v>JBS</v>
      </c>
    </row>
    <row r="1592" spans="1:7" x14ac:dyDescent="0.25">
      <c r="A1592" s="10">
        <v>2024</v>
      </c>
      <c r="B1592" s="10" t="s">
        <v>141</v>
      </c>
      <c r="C1592" s="10" t="s">
        <v>166</v>
      </c>
      <c r="D1592" s="10" t="s">
        <v>123</v>
      </c>
      <c r="E1592" t="str">
        <f>VLOOKUP(D1592,'Lista de Produtos CLASSIFICAÇÃO'!$A$103:$B$144,2,FALSE)</f>
        <v>Aquecidos</v>
      </c>
      <c r="F1592" s="53">
        <v>521117</v>
      </c>
      <c r="G1592" s="56" t="str">
        <f>VLOOKUP(C1592,clientes!$C$3:$D$60,2,FALSE)</f>
        <v>CARGILL</v>
      </c>
    </row>
    <row r="1593" spans="1:7" x14ac:dyDescent="0.25">
      <c r="A1593" s="10">
        <v>2024</v>
      </c>
      <c r="B1593" s="10" t="s">
        <v>141</v>
      </c>
      <c r="C1593" s="10" t="s">
        <v>167</v>
      </c>
      <c r="D1593" s="10" t="s">
        <v>122</v>
      </c>
      <c r="E1593" t="str">
        <f>VLOOKUP(D1593,'Lista de Produtos CLASSIFICAÇÃO'!$A$103:$B$144,2,FALSE)</f>
        <v>Óleo Vegetal</v>
      </c>
      <c r="F1593" s="53">
        <v>4003486</v>
      </c>
      <c r="G1593" s="56" t="str">
        <f>VLOOKUP(C1593,clientes!$C$3:$D$60,2,FALSE)</f>
        <v>POOL</v>
      </c>
    </row>
    <row r="1594" spans="1:7" x14ac:dyDescent="0.25">
      <c r="A1594" s="10">
        <v>2024</v>
      </c>
      <c r="B1594" s="10" t="s">
        <v>141</v>
      </c>
      <c r="C1594" s="10" t="s">
        <v>168</v>
      </c>
      <c r="D1594" s="10" t="s">
        <v>122</v>
      </c>
      <c r="E1594" t="str">
        <f>VLOOKUP(D1594,'Lista de Produtos CLASSIFICAÇÃO'!$A$103:$B$144,2,FALSE)</f>
        <v>Óleo Vegetal</v>
      </c>
      <c r="F1594" s="53">
        <v>0</v>
      </c>
      <c r="G1594" s="56" t="str">
        <f>VLOOKUP(C1594,clientes!$C$3:$D$60,2,FALSE)</f>
        <v>POOL EXCEDENTE</v>
      </c>
    </row>
    <row r="1595" spans="1:7" x14ac:dyDescent="0.25">
      <c r="A1595" s="10">
        <v>2024</v>
      </c>
      <c r="B1595" s="10" t="s">
        <v>141</v>
      </c>
      <c r="C1595" s="10" t="s">
        <v>169</v>
      </c>
      <c r="D1595" s="10" t="s">
        <v>22</v>
      </c>
      <c r="E1595" t="str">
        <f>VLOOKUP(D1595,'Lista de Produtos CLASSIFICAÇÃO'!$A$103:$B$144,2,FALSE)</f>
        <v>Metanol</v>
      </c>
      <c r="F1595" s="53">
        <v>5852002</v>
      </c>
      <c r="G1595" s="56" t="str">
        <f>VLOOKUP(C1595,clientes!$C$3:$D$60,2,FALSE)</f>
        <v>METHANEX</v>
      </c>
    </row>
    <row r="1596" spans="1:7" x14ac:dyDescent="0.25">
      <c r="A1596" s="10">
        <v>2024</v>
      </c>
      <c r="B1596" s="10" t="s">
        <v>141</v>
      </c>
      <c r="C1596" s="10" t="s">
        <v>170</v>
      </c>
      <c r="D1596" s="10" t="s">
        <v>22</v>
      </c>
      <c r="E1596" t="str">
        <f>VLOOKUP(D1596,'Lista de Produtos CLASSIFICAÇÃO'!$A$103:$B$144,2,FALSE)</f>
        <v>Metanol</v>
      </c>
      <c r="F1596" s="53">
        <v>3046681</v>
      </c>
      <c r="G1596" s="56" t="str">
        <f>VLOOKUP(C1596,clientes!$C$3:$D$60,2,FALSE)</f>
        <v>MITSUBISHI</v>
      </c>
    </row>
    <row r="1597" spans="1:7" x14ac:dyDescent="0.25">
      <c r="A1597" s="10">
        <v>2024</v>
      </c>
      <c r="B1597" s="10" t="s">
        <v>141</v>
      </c>
      <c r="C1597" s="10" t="s">
        <v>171</v>
      </c>
      <c r="D1597" s="10" t="s">
        <v>22</v>
      </c>
      <c r="E1597" t="str">
        <f>VLOOKUP(D1597,'Lista de Produtos CLASSIFICAÇÃO'!$A$103:$B$144,2,FALSE)</f>
        <v>Metanol</v>
      </c>
      <c r="F1597" s="53">
        <v>5179714</v>
      </c>
      <c r="G1597" s="56" t="str">
        <f>VLOOKUP(C1597,clientes!$C$3:$D$60,2,FALSE)</f>
        <v>VALENZ</v>
      </c>
    </row>
    <row r="1598" spans="1:7" x14ac:dyDescent="0.25">
      <c r="A1598" s="10">
        <v>2024</v>
      </c>
      <c r="B1598" s="10" t="s">
        <v>141</v>
      </c>
      <c r="C1598" s="10" t="s">
        <v>172</v>
      </c>
      <c r="D1598" s="10" t="s">
        <v>124</v>
      </c>
      <c r="E1598" t="str">
        <f>VLOOKUP(D1598,'Lista de Produtos CLASSIFICAÇÃO'!$A$103:$B$144,2,FALSE)</f>
        <v>Outros</v>
      </c>
      <c r="F1598" s="53">
        <v>406450</v>
      </c>
      <c r="G1598" s="56" t="str">
        <f>VLOOKUP(C1598,clientes!$C$3:$D$60,2,FALSE)</f>
        <v>EVONIK</v>
      </c>
    </row>
    <row r="1599" spans="1:7" x14ac:dyDescent="0.25">
      <c r="A1599" s="10">
        <v>2024</v>
      </c>
      <c r="B1599" s="10" t="s">
        <v>141</v>
      </c>
      <c r="C1599" s="10" t="s">
        <v>173</v>
      </c>
      <c r="D1599" s="10" t="s">
        <v>22</v>
      </c>
      <c r="E1599" t="str">
        <f>VLOOKUP(D1599,'Lista de Produtos CLASSIFICAÇÃO'!$A$103:$B$144,2,FALSE)</f>
        <v>Metanol</v>
      </c>
      <c r="F1599" s="53">
        <v>490592</v>
      </c>
      <c r="G1599" s="56" t="str">
        <f>VLOOKUP(C1599,clientes!$C$3:$D$60,2,FALSE)</f>
        <v>YPF SOCIEDAD ANONIMA</v>
      </c>
    </row>
    <row r="1600" spans="1:7" x14ac:dyDescent="0.25">
      <c r="A1600" s="10">
        <v>2024</v>
      </c>
      <c r="B1600" s="10" t="s">
        <v>141</v>
      </c>
      <c r="C1600" s="10" t="s">
        <v>174</v>
      </c>
      <c r="D1600" s="10" t="s">
        <v>123</v>
      </c>
      <c r="E1600" t="str">
        <f>VLOOKUP(D1600,'Lista de Produtos CLASSIFICAÇÃO'!$A$103:$B$144,2,FALSE)</f>
        <v>Aquecidos</v>
      </c>
      <c r="F1600" s="53">
        <v>315191</v>
      </c>
      <c r="G1600" s="56" t="str">
        <f>VLOOKUP(C1600,clientes!$C$3:$D$60,2,FALSE)</f>
        <v>CELENA</v>
      </c>
    </row>
    <row r="1601" spans="1:7" x14ac:dyDescent="0.25">
      <c r="A1601" s="10">
        <v>2024</v>
      </c>
      <c r="B1601" s="10" t="s">
        <v>141</v>
      </c>
      <c r="C1601" s="10" t="s">
        <v>175</v>
      </c>
      <c r="D1601" s="10" t="s">
        <v>123</v>
      </c>
      <c r="E1601" t="str">
        <f>VLOOKUP(D1601,'Lista de Produtos CLASSIFICAÇÃO'!$A$103:$B$144,2,FALSE)</f>
        <v>Aquecidos</v>
      </c>
      <c r="F1601" s="53">
        <v>582352</v>
      </c>
      <c r="G1601" s="56" t="str">
        <f>VLOOKUP(C1601,clientes!$C$3:$D$60,2,FALSE)</f>
        <v>AAK DO BRASIL</v>
      </c>
    </row>
    <row r="1602" spans="1:7" x14ac:dyDescent="0.25">
      <c r="A1602" s="10">
        <v>2024</v>
      </c>
      <c r="B1602" s="10" t="s">
        <v>141</v>
      </c>
      <c r="C1602" s="10" t="s">
        <v>166</v>
      </c>
      <c r="D1602" s="10" t="s">
        <v>122</v>
      </c>
      <c r="E1602" t="str">
        <f>VLOOKUP(D1602,'Lista de Produtos CLASSIFICAÇÃO'!$A$103:$B$144,2,FALSE)</f>
        <v>Óleo Vegetal</v>
      </c>
      <c r="F1602" s="53">
        <v>234062</v>
      </c>
      <c r="G1602" s="56" t="str">
        <f>VLOOKUP(C1602,clientes!$C$3:$D$60,2,FALSE)</f>
        <v>CARGILL</v>
      </c>
    </row>
    <row r="1603" spans="1:7" x14ac:dyDescent="0.25">
      <c r="A1603" s="10">
        <v>2024</v>
      </c>
      <c r="B1603" s="10" t="s">
        <v>141</v>
      </c>
      <c r="C1603" s="10" t="s">
        <v>176</v>
      </c>
      <c r="D1603" s="10" t="s">
        <v>123</v>
      </c>
      <c r="E1603" t="str">
        <f>VLOOKUP(D1603,'Lista de Produtos CLASSIFICAÇÃO'!$A$103:$B$144,2,FALSE)</f>
        <v>Aquecidos</v>
      </c>
      <c r="F1603" s="53">
        <v>360148</v>
      </c>
      <c r="G1603" s="56" t="str">
        <f>VLOOKUP(C1603,clientes!$C$3:$D$60,2,FALSE)</f>
        <v>AGROPALMA</v>
      </c>
    </row>
    <row r="1604" spans="1:7" x14ac:dyDescent="0.25">
      <c r="A1604" s="10">
        <v>2024</v>
      </c>
      <c r="B1604" s="10" t="s">
        <v>141</v>
      </c>
      <c r="C1604" s="10" t="s">
        <v>177</v>
      </c>
      <c r="D1604" s="10" t="s">
        <v>115</v>
      </c>
      <c r="E1604" t="str">
        <f>VLOOKUP(D1604,'Lista de Produtos CLASSIFICAÇÃO'!$A$103:$B$144,2,FALSE)</f>
        <v>Soda Caustica</v>
      </c>
      <c r="F1604" s="53">
        <v>426494</v>
      </c>
      <c r="G1604" s="56" t="str">
        <f>VLOOKUP(C1604,clientes!$C$3:$D$60,2,FALSE)</f>
        <v>BRENNTAG</v>
      </c>
    </row>
    <row r="1605" spans="1:7" x14ac:dyDescent="0.25">
      <c r="A1605" s="10">
        <v>2024</v>
      </c>
      <c r="B1605" s="10" t="s">
        <v>141</v>
      </c>
      <c r="C1605" s="10" t="s">
        <v>178</v>
      </c>
      <c r="D1605" s="10" t="s">
        <v>115</v>
      </c>
      <c r="E1605" t="str">
        <f>VLOOKUP(D1605,'Lista de Produtos CLASSIFICAÇÃO'!$A$103:$B$144,2,FALSE)</f>
        <v>Soda Caustica</v>
      </c>
      <c r="F1605" s="53">
        <v>1524504</v>
      </c>
      <c r="G1605" s="56" t="str">
        <f>VLOOKUP(C1605,clientes!$C$3:$D$60,2,FALSE)</f>
        <v>OLIN BLUE CUBE</v>
      </c>
    </row>
    <row r="1606" spans="1:7" x14ac:dyDescent="0.25">
      <c r="A1606" s="10">
        <v>2024</v>
      </c>
      <c r="B1606" s="10" t="s">
        <v>141</v>
      </c>
      <c r="C1606" s="10" t="s">
        <v>179</v>
      </c>
      <c r="D1606" s="10" t="s">
        <v>26</v>
      </c>
      <c r="E1606" t="str">
        <f>VLOOKUP(D1606,'Lista de Produtos CLASSIFICAÇÃO'!$A$103:$B$144,2,FALSE)</f>
        <v>Biocombustíveis</v>
      </c>
      <c r="F1606" s="53">
        <v>467791</v>
      </c>
      <c r="G1606" s="56" t="str">
        <f>VLOOKUP(C1606,clientes!$C$3:$D$60,2,FALSE)</f>
        <v>BSBIOS</v>
      </c>
    </row>
    <row r="1607" spans="1:7" x14ac:dyDescent="0.25">
      <c r="A1607" s="10">
        <v>2024</v>
      </c>
      <c r="B1607" s="10" t="s">
        <v>141</v>
      </c>
      <c r="C1607" s="10" t="s">
        <v>180</v>
      </c>
      <c r="D1607" s="10" t="s">
        <v>30</v>
      </c>
      <c r="E1607" t="str">
        <f>VLOOKUP(D1607,'Lista de Produtos CLASSIFICAÇÃO'!$A$103:$B$144,2,FALSE)</f>
        <v>Outros</v>
      </c>
      <c r="F1607" s="53">
        <v>192330</v>
      </c>
      <c r="G1607" s="56" t="str">
        <f>VLOOKUP(C1607,clientes!$C$3:$D$60,2,FALSE)</f>
        <v>TRICHEM</v>
      </c>
    </row>
    <row r="1608" spans="1:7" x14ac:dyDescent="0.25">
      <c r="A1608" s="10">
        <v>2024</v>
      </c>
      <c r="B1608" s="10" t="s">
        <v>141</v>
      </c>
      <c r="C1608" s="10" t="s">
        <v>181</v>
      </c>
      <c r="D1608" s="10" t="s">
        <v>123</v>
      </c>
      <c r="E1608" t="str">
        <f>VLOOKUP(D1608,'Lista de Produtos CLASSIFICAÇÃO'!$A$103:$B$144,2,FALSE)</f>
        <v>Aquecidos</v>
      </c>
      <c r="F1608" s="53">
        <v>186529</v>
      </c>
      <c r="G1608" s="56" t="str">
        <f>VLOOKUP(C1608,clientes!$C$3:$D$60,2,FALSE)</f>
        <v>COAMO</v>
      </c>
    </row>
    <row r="1609" spans="1:7" x14ac:dyDescent="0.25">
      <c r="A1609" s="10">
        <v>2024</v>
      </c>
      <c r="B1609" s="10" t="s">
        <v>141</v>
      </c>
      <c r="C1609" s="10" t="s">
        <v>182</v>
      </c>
      <c r="D1609" s="10" t="s">
        <v>120</v>
      </c>
      <c r="E1609" t="str">
        <f>VLOOKUP(D1609,'Lista de Produtos CLASSIFICAÇÃO'!$A$103:$B$144,2,FALSE)</f>
        <v>Derivados</v>
      </c>
      <c r="F1609" s="53">
        <v>0</v>
      </c>
      <c r="G1609" s="56" t="str">
        <f>VLOOKUP(C1609,clientes!$C$3:$D$60,2,FALSE)</f>
        <v>ATEM</v>
      </c>
    </row>
    <row r="1610" spans="1:7" x14ac:dyDescent="0.25">
      <c r="A1610" s="10">
        <v>2024</v>
      </c>
      <c r="B1610" s="10" t="s">
        <v>141</v>
      </c>
      <c r="C1610" s="10" t="s">
        <v>174</v>
      </c>
      <c r="D1610" s="10" t="s">
        <v>123</v>
      </c>
      <c r="E1610" t="str">
        <f>VLOOKUP(D1610,'Lista de Produtos CLASSIFICAÇÃO'!$A$103:$B$144,2,FALSE)</f>
        <v>Aquecidos</v>
      </c>
      <c r="F1610" s="53">
        <v>1607710</v>
      </c>
      <c r="G1610" s="56" t="str">
        <f>VLOOKUP(C1610,clientes!$C$3:$D$60,2,FALSE)</f>
        <v>CELENA</v>
      </c>
    </row>
    <row r="1611" spans="1:7" x14ac:dyDescent="0.25">
      <c r="A1611" s="10">
        <v>2024</v>
      </c>
      <c r="B1611" s="10" t="s">
        <v>141</v>
      </c>
      <c r="C1611" s="10" t="s">
        <v>173</v>
      </c>
      <c r="D1611" s="10" t="s">
        <v>183</v>
      </c>
      <c r="E1611" t="str">
        <f>VLOOKUP(D1611,'Lista de Produtos CLASSIFICAÇÃO'!$A$103:$B$144,2,FALSE)</f>
        <v>Outros</v>
      </c>
      <c r="F1611" s="53">
        <v>140762</v>
      </c>
      <c r="G1611" s="56" t="str">
        <f>VLOOKUP(C1611,clientes!$C$3:$D$60,2,FALSE)</f>
        <v>YPF SOCIEDAD ANONIMA</v>
      </c>
    </row>
    <row r="1612" spans="1:7" x14ac:dyDescent="0.25">
      <c r="A1612" s="10">
        <v>2024</v>
      </c>
      <c r="B1612" s="10" t="s">
        <v>141</v>
      </c>
      <c r="C1612" s="10" t="s">
        <v>184</v>
      </c>
      <c r="D1612" s="10" t="s">
        <v>122</v>
      </c>
      <c r="E1612" t="str">
        <f>VLOOKUP(D1612,'Lista de Produtos CLASSIFICAÇÃO'!$A$103:$B$144,2,FALSE)</f>
        <v>Óleo Vegetal</v>
      </c>
      <c r="F1612" s="53">
        <v>246808</v>
      </c>
      <c r="G1612" s="56" t="str">
        <f>VLOOKUP(C1612,clientes!$C$3:$D$60,2,FALSE)</f>
        <v>INGREDION</v>
      </c>
    </row>
    <row r="1613" spans="1:7" x14ac:dyDescent="0.25">
      <c r="A1613" s="10">
        <v>2024</v>
      </c>
      <c r="B1613" s="10" t="s">
        <v>141</v>
      </c>
      <c r="C1613" s="10" t="s">
        <v>185</v>
      </c>
      <c r="D1613" s="10" t="s">
        <v>120</v>
      </c>
      <c r="E1613" t="str">
        <f>VLOOKUP(D1613,'Lista de Produtos CLASSIFICAÇÃO'!$A$103:$B$144,2,FALSE)</f>
        <v>Derivados</v>
      </c>
      <c r="F1613" s="53">
        <v>1214701</v>
      </c>
      <c r="G1613" s="56" t="str">
        <f>VLOOKUP(C1613,clientes!$C$3:$D$60,2,FALSE)</f>
        <v>CIAPETRO</v>
      </c>
    </row>
    <row r="1614" spans="1:7" x14ac:dyDescent="0.25">
      <c r="A1614" s="10">
        <v>2024</v>
      </c>
      <c r="B1614" s="10" t="s">
        <v>141</v>
      </c>
      <c r="C1614" s="10" t="s">
        <v>186</v>
      </c>
      <c r="D1614" s="10" t="s">
        <v>22</v>
      </c>
      <c r="E1614" t="str">
        <f>VLOOKUP(D1614,'Lista de Produtos CLASSIFICAÇÃO'!$A$103:$B$144,2,FALSE)</f>
        <v>Metanol</v>
      </c>
      <c r="F1614" s="53">
        <v>351392</v>
      </c>
      <c r="G1614" s="56" t="str">
        <f>VLOOKUP(C1614,clientes!$C$3:$D$60,2,FALSE)</f>
        <v>OQ TRADING</v>
      </c>
    </row>
    <row r="1615" spans="1:7" x14ac:dyDescent="0.25">
      <c r="A1615" s="10">
        <v>2024</v>
      </c>
      <c r="B1615" s="10" t="s">
        <v>141</v>
      </c>
      <c r="C1615" s="10" t="s">
        <v>187</v>
      </c>
      <c r="D1615" s="10" t="s">
        <v>121</v>
      </c>
      <c r="E1615" t="str">
        <f>VLOOKUP(D1615,'Lista de Produtos CLASSIFICAÇÃO'!$A$103:$B$144,2,FALSE)</f>
        <v>Biocombustíveis</v>
      </c>
      <c r="F1615" s="53">
        <v>850000</v>
      </c>
      <c r="G1615" s="56" t="str">
        <f>VLOOKUP(C1615,clientes!$C$3:$D$60,2,FALSE)</f>
        <v>TEREOS / INPASA / GLENCORE / FS</v>
      </c>
    </row>
    <row r="1616" spans="1:7" x14ac:dyDescent="0.25">
      <c r="A1616" s="10">
        <v>2024</v>
      </c>
      <c r="B1616" s="10" t="s">
        <v>141</v>
      </c>
      <c r="C1616" s="10" t="s">
        <v>188</v>
      </c>
      <c r="D1616" s="10" t="s">
        <v>123</v>
      </c>
      <c r="E1616" t="str">
        <f>VLOOKUP(D1616,'Lista de Produtos CLASSIFICAÇÃO'!$A$103:$B$144,2,FALSE)</f>
        <v>Aquecidos</v>
      </c>
      <c r="F1616" s="53">
        <v>535273</v>
      </c>
      <c r="G1616" s="56" t="str">
        <f>VLOOKUP(C1616,clientes!$C$3:$D$60,2,FALSE)</f>
        <v>ARES MERCHANTS PTE LIMITE</v>
      </c>
    </row>
    <row r="1617" spans="1:7" x14ac:dyDescent="0.25">
      <c r="A1617" s="10">
        <v>2024</v>
      </c>
      <c r="B1617" s="10" t="s">
        <v>141</v>
      </c>
      <c r="C1617" s="10" t="s">
        <v>18</v>
      </c>
      <c r="D1617" s="10" t="s">
        <v>17</v>
      </c>
      <c r="E1617" t="str">
        <f>VLOOKUP(D1617,'Lista de Produtos CLASSIFICAÇÃO'!$A$103:$B$144,2,FALSE)</f>
        <v>Acostagem</v>
      </c>
      <c r="F1617" s="53">
        <v>417732.1</v>
      </c>
      <c r="G1617" s="56" t="str">
        <f>VLOOKUP(C1617,clientes!$C$3:$D$60,2,FALSE)</f>
        <v>ACOSTAGEM</v>
      </c>
    </row>
    <row r="1618" spans="1:7" x14ac:dyDescent="0.25">
      <c r="A1618" s="10">
        <v>2024</v>
      </c>
      <c r="B1618" s="10" t="s">
        <v>141</v>
      </c>
      <c r="C1618" s="10" t="s">
        <v>189</v>
      </c>
      <c r="D1618" s="10" t="s">
        <v>123</v>
      </c>
      <c r="E1618" t="str">
        <f>VLOOKUP(D1618,'Lista de Produtos CLASSIFICAÇÃO'!$A$103:$B$144,2,FALSE)</f>
        <v>Aquecidos</v>
      </c>
      <c r="F1618" s="53">
        <v>503774</v>
      </c>
      <c r="G1618" s="56" t="str">
        <f>VLOOKUP(C1618,clientes!$C$3:$D$60,2,FALSE)</f>
        <v>ICOF</v>
      </c>
    </row>
    <row r="1619" spans="1:7" x14ac:dyDescent="0.25">
      <c r="A1619" s="10">
        <v>2024</v>
      </c>
      <c r="B1619" s="10" t="s">
        <v>142</v>
      </c>
      <c r="C1619" s="10" t="s">
        <v>155</v>
      </c>
      <c r="D1619" s="10" t="s">
        <v>16</v>
      </c>
      <c r="E1619" t="str">
        <f>VLOOKUP(D1619,'Lista de Produtos CLASSIFICAÇÃO'!$A$103:$B$144,2,FALSE)</f>
        <v>Outros</v>
      </c>
      <c r="F1619" s="53">
        <v>886810</v>
      </c>
      <c r="G1619" s="56" t="str">
        <f>VLOOKUP(C1619,clientes!$C$3:$D$60,2,FALSE)</f>
        <v>ADISSEO</v>
      </c>
    </row>
    <row r="1620" spans="1:7" x14ac:dyDescent="0.25">
      <c r="A1620" s="10">
        <v>2024</v>
      </c>
      <c r="B1620" s="10" t="s">
        <v>142</v>
      </c>
      <c r="C1620" s="10" t="s">
        <v>156</v>
      </c>
      <c r="D1620" s="10" t="s">
        <v>123</v>
      </c>
      <c r="E1620" t="str">
        <f>VLOOKUP(D1620,'Lista de Produtos CLASSIFICAÇÃO'!$A$103:$B$144,2,FALSE)</f>
        <v>Aquecidos</v>
      </c>
      <c r="F1620" s="53">
        <v>394665</v>
      </c>
      <c r="G1620" s="56" t="str">
        <f>VLOOKUP(C1620,clientes!$C$3:$D$60,2,FALSE)</f>
        <v>BUNGE</v>
      </c>
    </row>
    <row r="1621" spans="1:7" x14ac:dyDescent="0.25">
      <c r="A1621" s="10">
        <v>2024</v>
      </c>
      <c r="B1621" s="10" t="s">
        <v>142</v>
      </c>
      <c r="C1621" s="10" t="s">
        <v>157</v>
      </c>
      <c r="D1621" s="10" t="s">
        <v>122</v>
      </c>
      <c r="E1621" t="str">
        <f>VLOOKUP(D1621,'Lista de Produtos CLASSIFICAÇÃO'!$A$103:$B$144,2,FALSE)</f>
        <v>Óleo Vegetal</v>
      </c>
      <c r="F1621" s="53">
        <v>187113</v>
      </c>
      <c r="G1621" s="56" t="str">
        <f>VLOOKUP(C1621,clientes!$C$3:$D$60,2,FALSE)</f>
        <v>ADM</v>
      </c>
    </row>
    <row r="1622" spans="1:7" x14ac:dyDescent="0.25">
      <c r="A1622" s="10">
        <v>2024</v>
      </c>
      <c r="B1622" s="10" t="s">
        <v>142</v>
      </c>
      <c r="C1622" s="10" t="s">
        <v>158</v>
      </c>
      <c r="D1622" s="10" t="s">
        <v>120</v>
      </c>
      <c r="E1622" t="str">
        <f>VLOOKUP(D1622,'Lista de Produtos CLASSIFICAÇÃO'!$A$103:$B$144,2,FALSE)</f>
        <v>Derivados</v>
      </c>
      <c r="F1622" s="53">
        <v>7226175</v>
      </c>
      <c r="G1622" s="56" t="str">
        <f>VLOOKUP(C1622,clientes!$C$3:$D$60,2,FALSE)</f>
        <v>IPIRANGA</v>
      </c>
    </row>
    <row r="1623" spans="1:7" x14ac:dyDescent="0.25">
      <c r="A1623" s="10">
        <v>2024</v>
      </c>
      <c r="B1623" s="10" t="s">
        <v>142</v>
      </c>
      <c r="C1623" s="10" t="s">
        <v>159</v>
      </c>
      <c r="D1623" s="10" t="s">
        <v>120</v>
      </c>
      <c r="E1623" t="str">
        <f>VLOOKUP(D1623,'Lista de Produtos CLASSIFICAÇÃO'!$A$103:$B$144,2,FALSE)</f>
        <v>Derivados</v>
      </c>
      <c r="F1623" s="53">
        <v>2968315</v>
      </c>
      <c r="G1623" s="56" t="str">
        <f>VLOOKUP(C1623,clientes!$C$3:$D$60,2,FALSE)</f>
        <v>RAIZEN</v>
      </c>
    </row>
    <row r="1624" spans="1:7" x14ac:dyDescent="0.25">
      <c r="A1624" s="10">
        <v>2024</v>
      </c>
      <c r="B1624" s="10" t="s">
        <v>142</v>
      </c>
      <c r="C1624" s="10" t="s">
        <v>160</v>
      </c>
      <c r="D1624" s="10" t="s">
        <v>120</v>
      </c>
      <c r="E1624" t="str">
        <f>VLOOKUP(D1624,'Lista de Produtos CLASSIFICAÇÃO'!$A$103:$B$144,2,FALSE)</f>
        <v>Derivados</v>
      </c>
      <c r="F1624" s="53">
        <v>1811877</v>
      </c>
      <c r="G1624" s="56" t="str">
        <f>VLOOKUP(C1624,clientes!$C$3:$D$60,2,FALSE)</f>
        <v>VIBRA</v>
      </c>
    </row>
    <row r="1625" spans="1:7" x14ac:dyDescent="0.25">
      <c r="A1625" s="10">
        <v>2024</v>
      </c>
      <c r="B1625" s="10" t="s">
        <v>142</v>
      </c>
      <c r="C1625" s="10" t="s">
        <v>161</v>
      </c>
      <c r="D1625" s="10" t="s">
        <v>120</v>
      </c>
      <c r="E1625" t="str">
        <f>VLOOKUP(D1625,'Lista de Produtos CLASSIFICAÇÃO'!$A$103:$B$144,2,FALSE)</f>
        <v>Derivados</v>
      </c>
      <c r="F1625" s="53">
        <v>3650396</v>
      </c>
      <c r="G1625" s="56" t="str">
        <f>VLOOKUP(C1625,clientes!$C$3:$D$60,2,FALSE)</f>
        <v>SUL PLATA</v>
      </c>
    </row>
    <row r="1626" spans="1:7" x14ac:dyDescent="0.25">
      <c r="A1626" s="10">
        <v>2024</v>
      </c>
      <c r="B1626" s="10" t="s">
        <v>142</v>
      </c>
      <c r="C1626" s="10" t="s">
        <v>162</v>
      </c>
      <c r="D1626" s="10" t="s">
        <v>115</v>
      </c>
      <c r="E1626" t="str">
        <f>VLOOKUP(D1626,'Lista de Produtos CLASSIFICAÇÃO'!$A$103:$B$144,2,FALSE)</f>
        <v>Soda Caustica</v>
      </c>
      <c r="F1626" s="53">
        <v>187760</v>
      </c>
      <c r="G1626" s="56" t="str">
        <f>VLOOKUP(C1626,clientes!$C$3:$D$60,2,FALSE)</f>
        <v>JBS</v>
      </c>
    </row>
    <row r="1627" spans="1:7" x14ac:dyDescent="0.25">
      <c r="A1627" s="10">
        <v>2024</v>
      </c>
      <c r="B1627" s="10" t="s">
        <v>142</v>
      </c>
      <c r="C1627" s="10" t="s">
        <v>163</v>
      </c>
      <c r="D1627" s="10" t="s">
        <v>115</v>
      </c>
      <c r="E1627" t="str">
        <f>VLOOKUP(D1627,'Lista de Produtos CLASSIFICAÇÃO'!$A$103:$B$144,2,FALSE)</f>
        <v>Soda Caustica</v>
      </c>
      <c r="F1627" s="53">
        <v>396611</v>
      </c>
      <c r="G1627" s="56" t="str">
        <f>VLOOKUP(C1627,clientes!$C$3:$D$60,2,FALSE)</f>
        <v>TRICON ENERGY</v>
      </c>
    </row>
    <row r="1628" spans="1:7" x14ac:dyDescent="0.25">
      <c r="A1628" s="10">
        <v>2024</v>
      </c>
      <c r="B1628" s="10" t="s">
        <v>142</v>
      </c>
      <c r="C1628" s="10" t="s">
        <v>164</v>
      </c>
      <c r="D1628" s="10" t="s">
        <v>115</v>
      </c>
      <c r="E1628" t="str">
        <f>VLOOKUP(D1628,'Lista de Produtos CLASSIFICAÇÃO'!$A$103:$B$144,2,FALSE)</f>
        <v>Soda Caustica</v>
      </c>
      <c r="F1628" s="53">
        <v>273415</v>
      </c>
      <c r="G1628" s="56" t="str">
        <f>VLOOKUP(C1628,clientes!$C$3:$D$60,2,FALSE)</f>
        <v>BRASKEM</v>
      </c>
    </row>
    <row r="1629" spans="1:7" x14ac:dyDescent="0.25">
      <c r="A1629" s="10">
        <v>2024</v>
      </c>
      <c r="B1629" s="10" t="s">
        <v>142</v>
      </c>
      <c r="C1629" s="10" t="s">
        <v>165</v>
      </c>
      <c r="D1629" s="10" t="s">
        <v>123</v>
      </c>
      <c r="E1629" t="str">
        <f>VLOOKUP(D1629,'Lista de Produtos CLASSIFICAÇÃO'!$A$103:$B$144,2,FALSE)</f>
        <v>Aquecidos</v>
      </c>
      <c r="F1629" s="53">
        <v>988196</v>
      </c>
      <c r="G1629" s="56" t="str">
        <f>VLOOKUP(C1629,clientes!$C$3:$D$60,2,FALSE)</f>
        <v>BRF</v>
      </c>
    </row>
    <row r="1630" spans="1:7" x14ac:dyDescent="0.25">
      <c r="A1630" s="10">
        <v>2024</v>
      </c>
      <c r="B1630" s="10" t="s">
        <v>142</v>
      </c>
      <c r="C1630" s="10" t="s">
        <v>162</v>
      </c>
      <c r="D1630" s="10" t="s">
        <v>123</v>
      </c>
      <c r="E1630" t="str">
        <f>VLOOKUP(D1630,'Lista de Produtos CLASSIFICAÇÃO'!$A$103:$B$144,2,FALSE)</f>
        <v>Aquecidos</v>
      </c>
      <c r="F1630" s="53">
        <v>372254</v>
      </c>
      <c r="G1630" s="56" t="str">
        <f>VLOOKUP(C1630,clientes!$C$3:$D$60,2,FALSE)</f>
        <v>JBS</v>
      </c>
    </row>
    <row r="1631" spans="1:7" x14ac:dyDescent="0.25">
      <c r="A1631" s="10">
        <v>2024</v>
      </c>
      <c r="B1631" s="10" t="s">
        <v>142</v>
      </c>
      <c r="C1631" s="10" t="s">
        <v>166</v>
      </c>
      <c r="D1631" s="10" t="s">
        <v>123</v>
      </c>
      <c r="E1631" t="str">
        <f>VLOOKUP(D1631,'Lista de Produtos CLASSIFICAÇÃO'!$A$103:$B$144,2,FALSE)</f>
        <v>Aquecidos</v>
      </c>
      <c r="F1631" s="53">
        <v>521117</v>
      </c>
      <c r="G1631" s="56" t="str">
        <f>VLOOKUP(C1631,clientes!$C$3:$D$60,2,FALSE)</f>
        <v>CARGILL</v>
      </c>
    </row>
    <row r="1632" spans="1:7" x14ac:dyDescent="0.25">
      <c r="A1632" s="10">
        <v>2024</v>
      </c>
      <c r="B1632" s="10" t="s">
        <v>142</v>
      </c>
      <c r="C1632" s="10" t="s">
        <v>167</v>
      </c>
      <c r="D1632" s="10" t="s">
        <v>122</v>
      </c>
      <c r="E1632" t="str">
        <f>VLOOKUP(D1632,'Lista de Produtos CLASSIFICAÇÃO'!$A$103:$B$144,2,FALSE)</f>
        <v>Óleo Vegetal</v>
      </c>
      <c r="F1632" s="53">
        <v>3503050</v>
      </c>
      <c r="G1632" s="56" t="str">
        <f>VLOOKUP(C1632,clientes!$C$3:$D$60,2,FALSE)</f>
        <v>POOL</v>
      </c>
    </row>
    <row r="1633" spans="1:7" x14ac:dyDescent="0.25">
      <c r="A1633" s="10">
        <v>2024</v>
      </c>
      <c r="B1633" s="10" t="s">
        <v>142</v>
      </c>
      <c r="C1633" s="10" t="s">
        <v>168</v>
      </c>
      <c r="D1633" s="10" t="s">
        <v>122</v>
      </c>
      <c r="E1633" t="str">
        <f>VLOOKUP(D1633,'Lista de Produtos CLASSIFICAÇÃO'!$A$103:$B$144,2,FALSE)</f>
        <v>Óleo Vegetal</v>
      </c>
      <c r="F1633" s="53">
        <v>0</v>
      </c>
      <c r="G1633" s="56" t="str">
        <f>VLOOKUP(C1633,clientes!$C$3:$D$60,2,FALSE)</f>
        <v>POOL EXCEDENTE</v>
      </c>
    </row>
    <row r="1634" spans="1:7" x14ac:dyDescent="0.25">
      <c r="A1634" s="10">
        <v>2024</v>
      </c>
      <c r="B1634" s="10" t="s">
        <v>142</v>
      </c>
      <c r="C1634" s="10" t="s">
        <v>169</v>
      </c>
      <c r="D1634" s="10" t="s">
        <v>22</v>
      </c>
      <c r="E1634" t="str">
        <f>VLOOKUP(D1634,'Lista de Produtos CLASSIFICAÇÃO'!$A$103:$B$144,2,FALSE)</f>
        <v>Metanol</v>
      </c>
      <c r="F1634" s="53">
        <v>5852002</v>
      </c>
      <c r="G1634" s="56" t="str">
        <f>VLOOKUP(C1634,clientes!$C$3:$D$60,2,FALSE)</f>
        <v>METHANEX</v>
      </c>
    </row>
    <row r="1635" spans="1:7" x14ac:dyDescent="0.25">
      <c r="A1635" s="10">
        <v>2024</v>
      </c>
      <c r="B1635" s="10" t="s">
        <v>142</v>
      </c>
      <c r="C1635" s="10" t="s">
        <v>170</v>
      </c>
      <c r="D1635" s="10" t="s">
        <v>22</v>
      </c>
      <c r="E1635" t="str">
        <f>VLOOKUP(D1635,'Lista de Produtos CLASSIFICAÇÃO'!$A$103:$B$144,2,FALSE)</f>
        <v>Metanol</v>
      </c>
      <c r="F1635" s="53">
        <v>3046681</v>
      </c>
      <c r="G1635" s="56" t="str">
        <f>VLOOKUP(C1635,clientes!$C$3:$D$60,2,FALSE)</f>
        <v>MITSUBISHI</v>
      </c>
    </row>
    <row r="1636" spans="1:7" x14ac:dyDescent="0.25">
      <c r="A1636" s="10">
        <v>2024</v>
      </c>
      <c r="B1636" s="10" t="s">
        <v>142</v>
      </c>
      <c r="C1636" s="10" t="s">
        <v>171</v>
      </c>
      <c r="D1636" s="10" t="s">
        <v>22</v>
      </c>
      <c r="E1636" t="str">
        <f>VLOOKUP(D1636,'Lista de Produtos CLASSIFICAÇÃO'!$A$103:$B$144,2,FALSE)</f>
        <v>Metanol</v>
      </c>
      <c r="F1636" s="53">
        <v>5179714</v>
      </c>
      <c r="G1636" s="56" t="str">
        <f>VLOOKUP(C1636,clientes!$C$3:$D$60,2,FALSE)</f>
        <v>VALENZ</v>
      </c>
    </row>
    <row r="1637" spans="1:7" x14ac:dyDescent="0.25">
      <c r="A1637" s="10">
        <v>2024</v>
      </c>
      <c r="B1637" s="10" t="s">
        <v>142</v>
      </c>
      <c r="C1637" s="10" t="s">
        <v>172</v>
      </c>
      <c r="D1637" s="10" t="s">
        <v>124</v>
      </c>
      <c r="E1637" t="str">
        <f>VLOOKUP(D1637,'Lista de Produtos CLASSIFICAÇÃO'!$A$103:$B$144,2,FALSE)</f>
        <v>Outros</v>
      </c>
      <c r="F1637" s="53">
        <v>406450</v>
      </c>
      <c r="G1637" s="56" t="str">
        <f>VLOOKUP(C1637,clientes!$C$3:$D$60,2,FALSE)</f>
        <v>EVONIK</v>
      </c>
    </row>
    <row r="1638" spans="1:7" x14ac:dyDescent="0.25">
      <c r="A1638" s="10">
        <v>2024</v>
      </c>
      <c r="B1638" s="10" t="s">
        <v>142</v>
      </c>
      <c r="C1638" s="10" t="s">
        <v>173</v>
      </c>
      <c r="D1638" s="10" t="s">
        <v>22</v>
      </c>
      <c r="E1638" t="str">
        <f>VLOOKUP(D1638,'Lista de Produtos CLASSIFICAÇÃO'!$A$103:$B$144,2,FALSE)</f>
        <v>Metanol</v>
      </c>
      <c r="F1638" s="53">
        <v>559878</v>
      </c>
      <c r="G1638" s="56" t="str">
        <f>VLOOKUP(C1638,clientes!$C$3:$D$60,2,FALSE)</f>
        <v>YPF SOCIEDAD ANONIMA</v>
      </c>
    </row>
    <row r="1639" spans="1:7" x14ac:dyDescent="0.25">
      <c r="A1639" s="10">
        <v>2024</v>
      </c>
      <c r="B1639" s="10" t="s">
        <v>142</v>
      </c>
      <c r="C1639" s="10" t="s">
        <v>174</v>
      </c>
      <c r="D1639" s="10" t="s">
        <v>123</v>
      </c>
      <c r="E1639" t="str">
        <f>VLOOKUP(D1639,'Lista de Produtos CLASSIFICAÇÃO'!$A$103:$B$144,2,FALSE)</f>
        <v>Aquecidos</v>
      </c>
      <c r="F1639" s="53">
        <v>315191</v>
      </c>
      <c r="G1639" s="56" t="str">
        <f>VLOOKUP(C1639,clientes!$C$3:$D$60,2,FALSE)</f>
        <v>CELENA</v>
      </c>
    </row>
    <row r="1640" spans="1:7" x14ac:dyDescent="0.25">
      <c r="A1640" s="10">
        <v>2024</v>
      </c>
      <c r="B1640" s="10" t="s">
        <v>142</v>
      </c>
      <c r="C1640" s="10" t="s">
        <v>175</v>
      </c>
      <c r="D1640" s="10" t="s">
        <v>123</v>
      </c>
      <c r="E1640" t="str">
        <f>VLOOKUP(D1640,'Lista de Produtos CLASSIFICAÇÃO'!$A$103:$B$144,2,FALSE)</f>
        <v>Aquecidos</v>
      </c>
      <c r="F1640" s="53">
        <v>582352</v>
      </c>
      <c r="G1640" s="56" t="str">
        <f>VLOOKUP(C1640,clientes!$C$3:$D$60,2,FALSE)</f>
        <v>AAK DO BRASIL</v>
      </c>
    </row>
    <row r="1641" spans="1:7" x14ac:dyDescent="0.25">
      <c r="A1641" s="10">
        <v>2024</v>
      </c>
      <c r="B1641" s="10" t="s">
        <v>142</v>
      </c>
      <c r="C1641" s="10" t="s">
        <v>166</v>
      </c>
      <c r="D1641" s="10" t="s">
        <v>122</v>
      </c>
      <c r="E1641" t="str">
        <f>VLOOKUP(D1641,'Lista de Produtos CLASSIFICAÇÃO'!$A$103:$B$144,2,FALSE)</f>
        <v>Óleo Vegetal</v>
      </c>
      <c r="F1641" s="53">
        <v>199164</v>
      </c>
      <c r="G1641" s="56" t="str">
        <f>VLOOKUP(C1641,clientes!$C$3:$D$60,2,FALSE)</f>
        <v>CARGILL</v>
      </c>
    </row>
    <row r="1642" spans="1:7" x14ac:dyDescent="0.25">
      <c r="A1642" s="10">
        <v>2024</v>
      </c>
      <c r="B1642" s="10" t="s">
        <v>142</v>
      </c>
      <c r="C1642" s="10" t="s">
        <v>176</v>
      </c>
      <c r="D1642" s="10" t="s">
        <v>123</v>
      </c>
      <c r="E1642" t="str">
        <f>VLOOKUP(D1642,'Lista de Produtos CLASSIFICAÇÃO'!$A$103:$B$144,2,FALSE)</f>
        <v>Aquecidos</v>
      </c>
      <c r="F1642" s="53">
        <v>360148</v>
      </c>
      <c r="G1642" s="56" t="str">
        <f>VLOOKUP(C1642,clientes!$C$3:$D$60,2,FALSE)</f>
        <v>AGROPALMA</v>
      </c>
    </row>
    <row r="1643" spans="1:7" x14ac:dyDescent="0.25">
      <c r="A1643" s="10">
        <v>2024</v>
      </c>
      <c r="B1643" s="10" t="s">
        <v>142</v>
      </c>
      <c r="C1643" s="10" t="s">
        <v>177</v>
      </c>
      <c r="D1643" s="10" t="s">
        <v>115</v>
      </c>
      <c r="E1643" t="str">
        <f>VLOOKUP(D1643,'Lista de Produtos CLASSIFICAÇÃO'!$A$103:$B$144,2,FALSE)</f>
        <v>Soda Caustica</v>
      </c>
      <c r="F1643" s="53">
        <v>426494</v>
      </c>
      <c r="G1643" s="56" t="str">
        <f>VLOOKUP(C1643,clientes!$C$3:$D$60,2,FALSE)</f>
        <v>BRENNTAG</v>
      </c>
    </row>
    <row r="1644" spans="1:7" x14ac:dyDescent="0.25">
      <c r="A1644" s="10">
        <v>2024</v>
      </c>
      <c r="B1644" s="10" t="s">
        <v>142</v>
      </c>
      <c r="C1644" s="10" t="s">
        <v>178</v>
      </c>
      <c r="D1644" s="10" t="s">
        <v>115</v>
      </c>
      <c r="E1644" t="str">
        <f>VLOOKUP(D1644,'Lista de Produtos CLASSIFICAÇÃO'!$A$103:$B$144,2,FALSE)</f>
        <v>Soda Caustica</v>
      </c>
      <c r="F1644" s="53">
        <v>1524504</v>
      </c>
      <c r="G1644" s="56" t="str">
        <f>VLOOKUP(C1644,clientes!$C$3:$D$60,2,FALSE)</f>
        <v>OLIN BLUE CUBE</v>
      </c>
    </row>
    <row r="1645" spans="1:7" x14ac:dyDescent="0.25">
      <c r="A1645" s="10">
        <v>2024</v>
      </c>
      <c r="B1645" s="10" t="s">
        <v>142</v>
      </c>
      <c r="C1645" s="10" t="s">
        <v>179</v>
      </c>
      <c r="D1645" s="10" t="s">
        <v>26</v>
      </c>
      <c r="E1645" t="str">
        <f>VLOOKUP(D1645,'Lista de Produtos CLASSIFICAÇÃO'!$A$103:$B$144,2,FALSE)</f>
        <v>Biocombustíveis</v>
      </c>
      <c r="F1645" s="53">
        <v>467791</v>
      </c>
      <c r="G1645" s="56" t="str">
        <f>VLOOKUP(C1645,clientes!$C$3:$D$60,2,FALSE)</f>
        <v>BSBIOS</v>
      </c>
    </row>
    <row r="1646" spans="1:7" x14ac:dyDescent="0.25">
      <c r="A1646" s="10">
        <v>2024</v>
      </c>
      <c r="B1646" s="10" t="s">
        <v>142</v>
      </c>
      <c r="C1646" s="10" t="s">
        <v>180</v>
      </c>
      <c r="D1646" s="10" t="s">
        <v>30</v>
      </c>
      <c r="E1646" t="str">
        <f>VLOOKUP(D1646,'Lista de Produtos CLASSIFICAÇÃO'!$A$103:$B$144,2,FALSE)</f>
        <v>Outros</v>
      </c>
      <c r="F1646" s="53">
        <v>192330</v>
      </c>
      <c r="G1646" s="56" t="str">
        <f>VLOOKUP(C1646,clientes!$C$3:$D$60,2,FALSE)</f>
        <v>TRICHEM</v>
      </c>
    </row>
    <row r="1647" spans="1:7" x14ac:dyDescent="0.25">
      <c r="A1647" s="10">
        <v>2024</v>
      </c>
      <c r="B1647" s="10" t="s">
        <v>142</v>
      </c>
      <c r="C1647" s="10" t="s">
        <v>181</v>
      </c>
      <c r="D1647" s="10" t="s">
        <v>123</v>
      </c>
      <c r="E1647" t="str">
        <f>VLOOKUP(D1647,'Lista de Produtos CLASSIFICAÇÃO'!$A$103:$B$144,2,FALSE)</f>
        <v>Aquecidos</v>
      </c>
      <c r="F1647" s="53">
        <v>186529</v>
      </c>
      <c r="G1647" s="56" t="str">
        <f>VLOOKUP(C1647,clientes!$C$3:$D$60,2,FALSE)</f>
        <v>COAMO</v>
      </c>
    </row>
    <row r="1648" spans="1:7" x14ac:dyDescent="0.25">
      <c r="A1648" s="10">
        <v>2024</v>
      </c>
      <c r="B1648" s="10" t="s">
        <v>142</v>
      </c>
      <c r="C1648" s="10" t="s">
        <v>182</v>
      </c>
      <c r="D1648" s="10" t="s">
        <v>120</v>
      </c>
      <c r="E1648" t="str">
        <f>VLOOKUP(D1648,'Lista de Produtos CLASSIFICAÇÃO'!$A$103:$B$144,2,FALSE)</f>
        <v>Derivados</v>
      </c>
      <c r="F1648" s="53">
        <v>0</v>
      </c>
      <c r="G1648" s="56" t="str">
        <f>VLOOKUP(C1648,clientes!$C$3:$D$60,2,FALSE)</f>
        <v>ATEM</v>
      </c>
    </row>
    <row r="1649" spans="1:7" x14ac:dyDescent="0.25">
      <c r="A1649" s="10">
        <v>2024</v>
      </c>
      <c r="B1649" s="10" t="s">
        <v>142</v>
      </c>
      <c r="C1649" s="10" t="s">
        <v>174</v>
      </c>
      <c r="D1649" s="10" t="s">
        <v>123</v>
      </c>
      <c r="E1649" t="str">
        <f>VLOOKUP(D1649,'Lista de Produtos CLASSIFICAÇÃO'!$A$103:$B$144,2,FALSE)</f>
        <v>Aquecidos</v>
      </c>
      <c r="F1649" s="53">
        <v>1870436</v>
      </c>
      <c r="G1649" s="56" t="str">
        <f>VLOOKUP(C1649,clientes!$C$3:$D$60,2,FALSE)</f>
        <v>CELENA</v>
      </c>
    </row>
    <row r="1650" spans="1:7" x14ac:dyDescent="0.25">
      <c r="A1650" s="10">
        <v>2024</v>
      </c>
      <c r="B1650" s="10" t="s">
        <v>142</v>
      </c>
      <c r="C1650" s="10" t="s">
        <v>173</v>
      </c>
      <c r="D1650" s="10" t="s">
        <v>183</v>
      </c>
      <c r="E1650" t="str">
        <f>VLOOKUP(D1650,'Lista de Produtos CLASSIFICAÇÃO'!$A$103:$B$144,2,FALSE)</f>
        <v>Outros</v>
      </c>
      <c r="F1650" s="53">
        <v>140762</v>
      </c>
      <c r="G1650" s="56" t="str">
        <f>VLOOKUP(C1650,clientes!$C$3:$D$60,2,FALSE)</f>
        <v>YPF SOCIEDAD ANONIMA</v>
      </c>
    </row>
    <row r="1651" spans="1:7" x14ac:dyDescent="0.25">
      <c r="A1651" s="10">
        <v>2024</v>
      </c>
      <c r="B1651" s="10" t="s">
        <v>142</v>
      </c>
      <c r="C1651" s="10" t="s">
        <v>184</v>
      </c>
      <c r="D1651" s="10" t="s">
        <v>122</v>
      </c>
      <c r="E1651" t="str">
        <f>VLOOKUP(D1651,'Lista de Produtos CLASSIFICAÇÃO'!$A$103:$B$144,2,FALSE)</f>
        <v>Óleo Vegetal</v>
      </c>
      <c r="F1651" s="53">
        <v>192335</v>
      </c>
      <c r="G1651" s="56" t="str">
        <f>VLOOKUP(C1651,clientes!$C$3:$D$60,2,FALSE)</f>
        <v>INGREDION</v>
      </c>
    </row>
    <row r="1652" spans="1:7" x14ac:dyDescent="0.25">
      <c r="A1652" s="10">
        <v>2024</v>
      </c>
      <c r="B1652" s="10" t="s">
        <v>142</v>
      </c>
      <c r="C1652" s="10" t="s">
        <v>185</v>
      </c>
      <c r="D1652" s="10" t="s">
        <v>120</v>
      </c>
      <c r="E1652" t="str">
        <f>VLOOKUP(D1652,'Lista de Produtos CLASSIFICAÇÃO'!$A$103:$B$144,2,FALSE)</f>
        <v>Derivados</v>
      </c>
      <c r="F1652" s="53">
        <v>1214701</v>
      </c>
      <c r="G1652" s="56" t="str">
        <f>VLOOKUP(C1652,clientes!$C$3:$D$60,2,FALSE)</f>
        <v>CIAPETRO</v>
      </c>
    </row>
    <row r="1653" spans="1:7" x14ac:dyDescent="0.25">
      <c r="A1653" s="10">
        <v>2024</v>
      </c>
      <c r="B1653" s="10" t="s">
        <v>142</v>
      </c>
      <c r="C1653" s="10" t="s">
        <v>186</v>
      </c>
      <c r="D1653" s="10" t="s">
        <v>22</v>
      </c>
      <c r="E1653" t="str">
        <f>VLOOKUP(D1653,'Lista de Produtos CLASSIFICAÇÃO'!$A$103:$B$144,2,FALSE)</f>
        <v>Metanol</v>
      </c>
      <c r="F1653" s="53">
        <v>641825</v>
      </c>
      <c r="G1653" s="56" t="str">
        <f>VLOOKUP(C1653,clientes!$C$3:$D$60,2,FALSE)</f>
        <v>OQ TRADING</v>
      </c>
    </row>
    <row r="1654" spans="1:7" x14ac:dyDescent="0.25">
      <c r="A1654" s="10">
        <v>2024</v>
      </c>
      <c r="B1654" s="10" t="s">
        <v>142</v>
      </c>
      <c r="C1654" s="10" t="s">
        <v>187</v>
      </c>
      <c r="D1654" s="10" t="s">
        <v>121</v>
      </c>
      <c r="E1654" t="str">
        <f>VLOOKUP(D1654,'Lista de Produtos CLASSIFICAÇÃO'!$A$103:$B$144,2,FALSE)</f>
        <v>Biocombustíveis</v>
      </c>
      <c r="F1654" s="53">
        <v>850000</v>
      </c>
      <c r="G1654" s="56" t="str">
        <f>VLOOKUP(C1654,clientes!$C$3:$D$60,2,FALSE)</f>
        <v>TEREOS / INPASA / GLENCORE / FS</v>
      </c>
    </row>
    <row r="1655" spans="1:7" x14ac:dyDescent="0.25">
      <c r="A1655" s="10">
        <v>2024</v>
      </c>
      <c r="B1655" s="10" t="s">
        <v>142</v>
      </c>
      <c r="C1655" s="10" t="s">
        <v>188</v>
      </c>
      <c r="D1655" s="10" t="s">
        <v>123</v>
      </c>
      <c r="E1655" t="str">
        <f>VLOOKUP(D1655,'Lista de Produtos CLASSIFICAÇÃO'!$A$103:$B$144,2,FALSE)</f>
        <v>Aquecidos</v>
      </c>
      <c r="F1655" s="53">
        <v>535273</v>
      </c>
      <c r="G1655" s="56" t="str">
        <f>VLOOKUP(C1655,clientes!$C$3:$D$60,2,FALSE)</f>
        <v>ARES MERCHANTS PTE LIMITE</v>
      </c>
    </row>
    <row r="1656" spans="1:7" x14ac:dyDescent="0.25">
      <c r="A1656" s="10">
        <v>2024</v>
      </c>
      <c r="B1656" s="10" t="s">
        <v>142</v>
      </c>
      <c r="C1656" s="10" t="s">
        <v>18</v>
      </c>
      <c r="D1656" s="10" t="s">
        <v>17</v>
      </c>
      <c r="E1656" t="str">
        <f>VLOOKUP(D1656,'Lista de Produtos CLASSIFICAÇÃO'!$A$103:$B$144,2,FALSE)</f>
        <v>Acostagem</v>
      </c>
      <c r="F1656" s="53">
        <v>431222.1</v>
      </c>
      <c r="G1656" s="56" t="str">
        <f>VLOOKUP(C1656,clientes!$C$3:$D$60,2,FALSE)</f>
        <v>ACOSTAGEM</v>
      </c>
    </row>
    <row r="1657" spans="1:7" x14ac:dyDescent="0.25">
      <c r="A1657" s="10">
        <v>2024</v>
      </c>
      <c r="B1657" s="10" t="s">
        <v>142</v>
      </c>
      <c r="C1657" s="10" t="s">
        <v>189</v>
      </c>
      <c r="D1657" s="10" t="s">
        <v>123</v>
      </c>
      <c r="E1657" t="str">
        <f>VLOOKUP(D1657,'Lista de Produtos CLASSIFICAÇÃO'!$A$103:$B$144,2,FALSE)</f>
        <v>Aquecidos</v>
      </c>
      <c r="F1657" s="53">
        <v>503774</v>
      </c>
      <c r="G1657" s="56" t="str">
        <f>VLOOKUP(C1657,clientes!$C$3:$D$60,2,FALSE)</f>
        <v>ICOF</v>
      </c>
    </row>
    <row r="1658" spans="1:7" x14ac:dyDescent="0.25">
      <c r="A1658" s="10">
        <v>2025</v>
      </c>
      <c r="B1658" s="10" t="s">
        <v>128</v>
      </c>
      <c r="C1658" s="10" t="s">
        <v>155</v>
      </c>
      <c r="D1658" s="10" t="s">
        <v>16</v>
      </c>
      <c r="E1658" t="str">
        <f>VLOOKUP(D1658,'Lista de Produtos CLASSIFICAÇÃO'!$A$103:$B$144,2,FALSE)</f>
        <v>Outros</v>
      </c>
      <c r="F1658" s="53">
        <v>878484</v>
      </c>
      <c r="G1658" s="56" t="str">
        <f>VLOOKUP(C1658,clientes!$C$3:$D$60,2,FALSE)</f>
        <v>ADISSEO</v>
      </c>
    </row>
    <row r="1659" spans="1:7" x14ac:dyDescent="0.25">
      <c r="A1659" s="10">
        <v>2025</v>
      </c>
      <c r="B1659" s="10" t="s">
        <v>128</v>
      </c>
      <c r="C1659" s="10" t="s">
        <v>156</v>
      </c>
      <c r="D1659" s="10" t="s">
        <v>123</v>
      </c>
      <c r="E1659" t="str">
        <f>VLOOKUP(D1659,'Lista de Produtos CLASSIFICAÇÃO'!$A$103:$B$144,2,FALSE)</f>
        <v>Aquecidos</v>
      </c>
      <c r="F1659" s="53">
        <v>378593</v>
      </c>
      <c r="G1659" s="56" t="str">
        <f>VLOOKUP(C1659,clientes!$C$3:$D$60,2,FALSE)</f>
        <v>BUNGE</v>
      </c>
    </row>
    <row r="1660" spans="1:7" x14ac:dyDescent="0.25">
      <c r="A1660" s="10">
        <v>2025</v>
      </c>
      <c r="B1660" s="10" t="s">
        <v>128</v>
      </c>
      <c r="C1660" s="10" t="s">
        <v>157</v>
      </c>
      <c r="D1660" s="10" t="s">
        <v>122</v>
      </c>
      <c r="E1660" t="str">
        <f>VLOOKUP(D1660,'Lista de Produtos CLASSIFICAÇÃO'!$A$103:$B$144,2,FALSE)</f>
        <v>Óleo Vegetal</v>
      </c>
      <c r="F1660" s="53">
        <v>161866</v>
      </c>
      <c r="G1660" s="56" t="str">
        <f>VLOOKUP(C1660,clientes!$C$3:$D$60,2,FALSE)</f>
        <v>ADM</v>
      </c>
    </row>
    <row r="1661" spans="1:7" x14ac:dyDescent="0.25">
      <c r="A1661" s="10">
        <v>2025</v>
      </c>
      <c r="B1661" s="10" t="s">
        <v>128</v>
      </c>
      <c r="C1661" s="10" t="s">
        <v>158</v>
      </c>
      <c r="D1661" s="10" t="s">
        <v>120</v>
      </c>
      <c r="E1661" t="str">
        <f>VLOOKUP(D1661,'Lista de Produtos CLASSIFICAÇÃO'!$A$103:$B$144,2,FALSE)</f>
        <v>Derivados</v>
      </c>
      <c r="F1661" s="53">
        <v>5957914</v>
      </c>
      <c r="G1661" s="56" t="str">
        <f>VLOOKUP(C1661,clientes!$C$3:$D$60,2,FALSE)</f>
        <v>IPIRANGA</v>
      </c>
    </row>
    <row r="1662" spans="1:7" x14ac:dyDescent="0.25">
      <c r="A1662" s="10">
        <v>2025</v>
      </c>
      <c r="B1662" s="10" t="s">
        <v>128</v>
      </c>
      <c r="C1662" s="10" t="s">
        <v>159</v>
      </c>
      <c r="D1662" s="10" t="s">
        <v>120</v>
      </c>
      <c r="E1662" t="str">
        <f>VLOOKUP(D1662,'Lista de Produtos CLASSIFICAÇÃO'!$A$103:$B$144,2,FALSE)</f>
        <v>Derivados</v>
      </c>
      <c r="F1662" s="53">
        <v>3979329</v>
      </c>
      <c r="G1662" s="56" t="str">
        <f>VLOOKUP(C1662,clientes!$C$3:$D$60,2,FALSE)</f>
        <v>RAIZEN</v>
      </c>
    </row>
    <row r="1663" spans="1:7" x14ac:dyDescent="0.25">
      <c r="A1663" s="10">
        <v>2025</v>
      </c>
      <c r="B1663" s="10" t="s">
        <v>128</v>
      </c>
      <c r="C1663" s="10" t="s">
        <v>160</v>
      </c>
      <c r="D1663" s="10" t="s">
        <v>120</v>
      </c>
      <c r="E1663" t="str">
        <f>VLOOKUP(D1663,'Lista de Produtos CLASSIFICAÇÃO'!$A$103:$B$144,2,FALSE)</f>
        <v>Derivados</v>
      </c>
      <c r="F1663" s="53">
        <v>1971343</v>
      </c>
      <c r="G1663" s="56" t="str">
        <f>VLOOKUP(C1663,clientes!$C$3:$D$60,2,FALSE)</f>
        <v>VIBRA</v>
      </c>
    </row>
    <row r="1664" spans="1:7" x14ac:dyDescent="0.25">
      <c r="A1664" s="10">
        <v>2025</v>
      </c>
      <c r="B1664" s="10" t="s">
        <v>128</v>
      </c>
      <c r="C1664" s="10" t="s">
        <v>161</v>
      </c>
      <c r="D1664" s="10" t="s">
        <v>120</v>
      </c>
      <c r="E1664" t="str">
        <f>VLOOKUP(D1664,'Lista de Produtos CLASSIFICAÇÃO'!$A$103:$B$144,2,FALSE)</f>
        <v>Derivados</v>
      </c>
      <c r="F1664" s="53">
        <v>3059732</v>
      </c>
      <c r="G1664" s="56" t="str">
        <f>VLOOKUP(C1664,clientes!$C$3:$D$60,2,FALSE)</f>
        <v>SUL PLATA</v>
      </c>
    </row>
    <row r="1665" spans="1:7" x14ac:dyDescent="0.25">
      <c r="A1665" s="10">
        <v>2025</v>
      </c>
      <c r="B1665" s="10" t="s">
        <v>128</v>
      </c>
      <c r="C1665" s="10" t="s">
        <v>162</v>
      </c>
      <c r="D1665" s="10" t="s">
        <v>115</v>
      </c>
      <c r="E1665" t="str">
        <f>VLOOKUP(D1665,'Lista de Produtos CLASSIFICAÇÃO'!$A$103:$B$144,2,FALSE)</f>
        <v>Soda Caustica</v>
      </c>
      <c r="F1665" s="53">
        <v>243956</v>
      </c>
      <c r="G1665" s="56" t="str">
        <f>VLOOKUP(C1665,clientes!$C$3:$D$60,2,FALSE)</f>
        <v>JBS</v>
      </c>
    </row>
    <row r="1666" spans="1:7" x14ac:dyDescent="0.25">
      <c r="A1666" s="10">
        <v>2025</v>
      </c>
      <c r="B1666" s="10" t="s">
        <v>128</v>
      </c>
      <c r="C1666" s="10" t="s">
        <v>163</v>
      </c>
      <c r="D1666" t="s">
        <v>115</v>
      </c>
      <c r="E1666" t="str">
        <f>VLOOKUP(D1666,'Lista de Produtos CLASSIFICAÇÃO'!$A$103:$B$144,2,FALSE)</f>
        <v>Soda Caustica</v>
      </c>
      <c r="F1666" s="53">
        <v>406299</v>
      </c>
      <c r="G1666" s="56" t="str">
        <f>VLOOKUP(C1666,clientes!$C$3:$D$60,2,FALSE)</f>
        <v>TRICON ENERGY</v>
      </c>
    </row>
    <row r="1667" spans="1:7" x14ac:dyDescent="0.25">
      <c r="A1667" s="10">
        <v>2025</v>
      </c>
      <c r="B1667" s="10" t="s">
        <v>128</v>
      </c>
      <c r="C1667" s="10" t="s">
        <v>164</v>
      </c>
      <c r="D1667" t="s">
        <v>115</v>
      </c>
      <c r="E1667" t="str">
        <f>VLOOKUP(D1667,'Lista de Produtos CLASSIFICAÇÃO'!$A$103:$B$144,2,FALSE)</f>
        <v>Soda Caustica</v>
      </c>
      <c r="F1667" s="53">
        <v>220436</v>
      </c>
      <c r="G1667" s="56" t="str">
        <f>VLOOKUP(C1667,clientes!$C$3:$D$60,2,FALSE)</f>
        <v>BRASKEM</v>
      </c>
    </row>
    <row r="1668" spans="1:7" x14ac:dyDescent="0.25">
      <c r="A1668" s="10">
        <v>2025</v>
      </c>
      <c r="B1668" s="10" t="s">
        <v>128</v>
      </c>
      <c r="C1668" s="10" t="s">
        <v>165</v>
      </c>
      <c r="D1668" s="10" t="s">
        <v>123</v>
      </c>
      <c r="E1668" t="str">
        <f>VLOOKUP(D1668,'Lista de Produtos CLASSIFICAÇÃO'!$A$103:$B$144,2,FALSE)</f>
        <v>Aquecidos</v>
      </c>
      <c r="F1668" s="53">
        <v>983040</v>
      </c>
      <c r="G1668" s="56" t="str">
        <f>VLOOKUP(C1668,clientes!$C$3:$D$60,2,FALSE)</f>
        <v>BRF</v>
      </c>
    </row>
    <row r="1669" spans="1:7" x14ac:dyDescent="0.25">
      <c r="A1669" s="10">
        <v>2025</v>
      </c>
      <c r="B1669" s="10" t="s">
        <v>128</v>
      </c>
      <c r="C1669" s="10" t="s">
        <v>162</v>
      </c>
      <c r="D1669" s="10" t="s">
        <v>123</v>
      </c>
      <c r="E1669" t="str">
        <f>VLOOKUP(D1669,'Lista de Produtos CLASSIFICAÇÃO'!$A$103:$B$144,2,FALSE)</f>
        <v>Aquecidos</v>
      </c>
      <c r="F1669" s="53">
        <v>569771</v>
      </c>
      <c r="G1669" s="56" t="str">
        <f>VLOOKUP(C1669,clientes!$C$3:$D$60,2,FALSE)</f>
        <v>JBS</v>
      </c>
    </row>
    <row r="1670" spans="1:7" x14ac:dyDescent="0.25">
      <c r="A1670" s="10">
        <v>2025</v>
      </c>
      <c r="B1670" s="10" t="s">
        <v>128</v>
      </c>
      <c r="C1670" s="10" t="s">
        <v>166</v>
      </c>
      <c r="D1670" s="10" t="s">
        <v>123</v>
      </c>
      <c r="E1670" t="str">
        <f>VLOOKUP(D1670,'Lista de Produtos CLASSIFICAÇÃO'!$A$103:$B$144,2,FALSE)</f>
        <v>Aquecidos</v>
      </c>
      <c r="F1670" s="53">
        <v>537650</v>
      </c>
      <c r="G1670" s="56" t="str">
        <f>VLOOKUP(C1670,clientes!$C$3:$D$60,2,FALSE)</f>
        <v>CARGILL</v>
      </c>
    </row>
    <row r="1671" spans="1:7" x14ac:dyDescent="0.25">
      <c r="A1671" s="10">
        <v>2025</v>
      </c>
      <c r="B1671" s="10" t="s">
        <v>128</v>
      </c>
      <c r="C1671" s="10" t="s">
        <v>167</v>
      </c>
      <c r="D1671" s="10" t="s">
        <v>122</v>
      </c>
      <c r="E1671" t="str">
        <f>VLOOKUP(D1671,'Lista de Produtos CLASSIFICAÇÃO'!$A$103:$B$144,2,FALSE)</f>
        <v>Óleo Vegetal</v>
      </c>
      <c r="F1671" s="53">
        <v>667753</v>
      </c>
      <c r="G1671" s="56" t="str">
        <f>VLOOKUP(C1671,clientes!$C$3:$D$60,2,FALSE)</f>
        <v>POOL</v>
      </c>
    </row>
    <row r="1672" spans="1:7" x14ac:dyDescent="0.25">
      <c r="A1672" s="10">
        <v>2025</v>
      </c>
      <c r="B1672" s="10" t="s">
        <v>128</v>
      </c>
      <c r="C1672" s="10" t="s">
        <v>168</v>
      </c>
      <c r="D1672" s="10" t="s">
        <v>122</v>
      </c>
      <c r="E1672" t="str">
        <f>VLOOKUP(D1672,'Lista de Produtos CLASSIFICAÇÃO'!$A$103:$B$144,2,FALSE)</f>
        <v>Óleo Vegetal</v>
      </c>
      <c r="F1672" s="53">
        <v>0</v>
      </c>
      <c r="G1672" s="56" t="str">
        <f>VLOOKUP(C1672,clientes!$C$3:$D$60,2,FALSE)</f>
        <v>POOL EXCEDENTE</v>
      </c>
    </row>
    <row r="1673" spans="1:7" x14ac:dyDescent="0.25">
      <c r="A1673" s="10">
        <v>2025</v>
      </c>
      <c r="B1673" s="10" t="s">
        <v>128</v>
      </c>
      <c r="C1673" s="10" t="s">
        <v>169</v>
      </c>
      <c r="D1673" s="10" t="s">
        <v>22</v>
      </c>
      <c r="E1673" t="str">
        <f>VLOOKUP(D1673,'Lista de Produtos CLASSIFICAÇÃO'!$A$103:$B$144,2,FALSE)</f>
        <v>Metanol</v>
      </c>
      <c r="F1673" s="53">
        <v>7893225</v>
      </c>
      <c r="G1673" s="56" t="str">
        <f>VLOOKUP(C1673,clientes!$C$3:$D$60,2,FALSE)</f>
        <v>METHANEX</v>
      </c>
    </row>
    <row r="1674" spans="1:7" x14ac:dyDescent="0.25">
      <c r="A1674" s="10">
        <v>2025</v>
      </c>
      <c r="B1674" s="10" t="s">
        <v>128</v>
      </c>
      <c r="C1674" s="10" t="s">
        <v>170</v>
      </c>
      <c r="D1674" s="10" t="s">
        <v>22</v>
      </c>
      <c r="E1674" t="str">
        <f>VLOOKUP(D1674,'Lista de Produtos CLASSIFICAÇÃO'!$A$103:$B$144,2,FALSE)</f>
        <v>Metanol</v>
      </c>
      <c r="F1674" s="53">
        <v>5054137</v>
      </c>
      <c r="G1674" s="56" t="str">
        <f>VLOOKUP(C1674,clientes!$C$3:$D$60,2,FALSE)</f>
        <v>MITSUBISHI</v>
      </c>
    </row>
    <row r="1675" spans="1:7" x14ac:dyDescent="0.25">
      <c r="A1675" s="10">
        <v>2025</v>
      </c>
      <c r="B1675" s="10" t="s">
        <v>128</v>
      </c>
      <c r="C1675" s="10" t="s">
        <v>171</v>
      </c>
      <c r="D1675" s="10" t="s">
        <v>22</v>
      </c>
      <c r="E1675" t="str">
        <f>VLOOKUP(D1675,'Lista de Produtos CLASSIFICAÇÃO'!$A$103:$B$144,2,FALSE)</f>
        <v>Metanol</v>
      </c>
      <c r="F1675" s="53">
        <v>6057428</v>
      </c>
      <c r="G1675" s="56" t="str">
        <f>VLOOKUP(C1675,clientes!$C$3:$D$60,2,FALSE)</f>
        <v>VALENZ</v>
      </c>
    </row>
    <row r="1676" spans="1:7" x14ac:dyDescent="0.25">
      <c r="A1676" s="10">
        <v>2025</v>
      </c>
      <c r="B1676" s="10" t="s">
        <v>128</v>
      </c>
      <c r="C1676" s="10" t="s">
        <v>172</v>
      </c>
      <c r="D1676" s="10" t="s">
        <v>124</v>
      </c>
      <c r="E1676" t="str">
        <f>VLOOKUP(D1676,'Lista de Produtos CLASSIFICAÇÃO'!$A$103:$B$144,2,FALSE)</f>
        <v>Outros</v>
      </c>
      <c r="F1676" s="53">
        <v>439941</v>
      </c>
      <c r="G1676" s="56" t="str">
        <f>VLOOKUP(C1676,clientes!$C$3:$D$60,2,FALSE)</f>
        <v>EVONIK</v>
      </c>
    </row>
    <row r="1677" spans="1:7" x14ac:dyDescent="0.25">
      <c r="A1677" s="10">
        <v>2025</v>
      </c>
      <c r="B1677" s="10" t="s">
        <v>128</v>
      </c>
      <c r="C1677" s="10" t="s">
        <v>186</v>
      </c>
      <c r="D1677" s="10" t="s">
        <v>22</v>
      </c>
      <c r="E1677" t="str">
        <f>VLOOKUP(D1677,'Lista de Produtos CLASSIFICAÇÃO'!$A$103:$B$144,2,FALSE)</f>
        <v>Metanol</v>
      </c>
      <c r="F1677" s="53">
        <v>546830</v>
      </c>
      <c r="G1677" s="56" t="str">
        <f>VLOOKUP(C1677,clientes!$C$3:$D$60,2,FALSE)</f>
        <v>OQ TRADING</v>
      </c>
    </row>
    <row r="1678" spans="1:7" x14ac:dyDescent="0.25">
      <c r="A1678" s="10">
        <v>2025</v>
      </c>
      <c r="B1678" s="10" t="s">
        <v>128</v>
      </c>
      <c r="C1678" s="10" t="s">
        <v>174</v>
      </c>
      <c r="D1678" s="10" t="s">
        <v>123</v>
      </c>
      <c r="E1678" t="str">
        <f>VLOOKUP(D1678,'Lista de Produtos CLASSIFICAÇÃO'!$A$103:$B$144,2,FALSE)</f>
        <v>Aquecidos</v>
      </c>
      <c r="F1678" s="53">
        <v>2000426</v>
      </c>
      <c r="G1678" s="56" t="str">
        <f>VLOOKUP(C1678,clientes!$C$3:$D$60,2,FALSE)</f>
        <v>CELENA</v>
      </c>
    </row>
    <row r="1679" spans="1:7" x14ac:dyDescent="0.25">
      <c r="A1679" s="10">
        <v>2025</v>
      </c>
      <c r="B1679" s="10" t="s">
        <v>128</v>
      </c>
      <c r="C1679" s="10" t="s">
        <v>175</v>
      </c>
      <c r="D1679" s="10" t="s">
        <v>123</v>
      </c>
      <c r="E1679" t="str">
        <f>VLOOKUP(D1679,'Lista de Produtos CLASSIFICAÇÃO'!$A$103:$B$144,2,FALSE)</f>
        <v>Aquecidos</v>
      </c>
      <c r="F1679" s="53">
        <v>846373</v>
      </c>
      <c r="G1679" s="56" t="str">
        <f>VLOOKUP(C1679,clientes!$C$3:$D$60,2,FALSE)</f>
        <v>AAK DO BRASIL</v>
      </c>
    </row>
    <row r="1680" spans="1:7" x14ac:dyDescent="0.25">
      <c r="A1680" s="10">
        <v>2025</v>
      </c>
      <c r="B1680" s="10" t="s">
        <v>128</v>
      </c>
      <c r="C1680" s="10" t="s">
        <v>166</v>
      </c>
      <c r="D1680" s="10" t="s">
        <v>122</v>
      </c>
      <c r="E1680" t="str">
        <f>VLOOKUP(D1680,'Lista de Produtos CLASSIFICAÇÃO'!$A$103:$B$144,2,FALSE)</f>
        <v>Óleo Vegetal</v>
      </c>
      <c r="F1680" s="53">
        <v>245362</v>
      </c>
      <c r="G1680" s="56" t="str">
        <f>VLOOKUP(C1680,clientes!$C$3:$D$60,2,FALSE)</f>
        <v>CARGILL</v>
      </c>
    </row>
    <row r="1681" spans="1:7" x14ac:dyDescent="0.25">
      <c r="A1681" s="10">
        <v>2025</v>
      </c>
      <c r="B1681" s="10" t="s">
        <v>128</v>
      </c>
      <c r="C1681" s="10" t="s">
        <v>176</v>
      </c>
      <c r="D1681" s="10" t="s">
        <v>123</v>
      </c>
      <c r="E1681" t="str">
        <f>VLOOKUP(D1681,'Lista de Produtos CLASSIFICAÇÃO'!$A$103:$B$144,2,FALSE)</f>
        <v>Aquecidos</v>
      </c>
      <c r="F1681" s="53">
        <v>466210</v>
      </c>
      <c r="G1681" s="56" t="str">
        <f>VLOOKUP(C1681,clientes!$C$3:$D$60,2,FALSE)</f>
        <v>AGROPALMA</v>
      </c>
    </row>
    <row r="1682" spans="1:7" x14ac:dyDescent="0.25">
      <c r="A1682" s="10">
        <v>2025</v>
      </c>
      <c r="B1682" s="10" t="s">
        <v>128</v>
      </c>
      <c r="C1682" s="10" t="s">
        <v>177</v>
      </c>
      <c r="D1682" s="10" t="s">
        <v>115</v>
      </c>
      <c r="E1682" t="str">
        <f>VLOOKUP(D1682,'Lista de Produtos CLASSIFICAÇÃO'!$A$103:$B$144,2,FALSE)</f>
        <v>Soda Caustica</v>
      </c>
      <c r="F1682" s="53">
        <v>306345</v>
      </c>
      <c r="G1682" s="56" t="str">
        <f>VLOOKUP(C1682,clientes!$C$3:$D$60,2,FALSE)</f>
        <v>BRENNTAG</v>
      </c>
    </row>
    <row r="1683" spans="1:7" x14ac:dyDescent="0.25">
      <c r="A1683" s="10">
        <v>2025</v>
      </c>
      <c r="B1683" s="10" t="s">
        <v>128</v>
      </c>
      <c r="C1683" s="10" t="s">
        <v>178</v>
      </c>
      <c r="D1683" s="10" t="s">
        <v>115</v>
      </c>
      <c r="E1683" t="str">
        <f>VLOOKUP(D1683,'Lista de Produtos CLASSIFICAÇÃO'!$A$103:$B$144,2,FALSE)</f>
        <v>Soda Caustica</v>
      </c>
      <c r="F1683" s="53">
        <v>1697471</v>
      </c>
      <c r="G1683" s="56" t="str">
        <f>VLOOKUP(C1683,clientes!$C$3:$D$60,2,FALSE)</f>
        <v>OLIN BLUE CUBE</v>
      </c>
    </row>
    <row r="1684" spans="1:7" x14ac:dyDescent="0.25">
      <c r="A1684" s="10">
        <v>2025</v>
      </c>
      <c r="B1684" s="10" t="s">
        <v>128</v>
      </c>
      <c r="C1684" s="10" t="s">
        <v>179</v>
      </c>
      <c r="D1684" s="10" t="s">
        <v>26</v>
      </c>
      <c r="E1684" t="str">
        <f>VLOOKUP(D1684,'Lista de Produtos CLASSIFICAÇÃO'!$A$103:$B$144,2,FALSE)</f>
        <v>Biocombustíveis</v>
      </c>
      <c r="F1684" s="53">
        <v>437969</v>
      </c>
      <c r="G1684" s="56" t="str">
        <f>VLOOKUP(C1684,clientes!$C$3:$D$60,2,FALSE)</f>
        <v>BSBIOS</v>
      </c>
    </row>
    <row r="1685" spans="1:7" x14ac:dyDescent="0.25">
      <c r="A1685" s="10">
        <v>2025</v>
      </c>
      <c r="B1685" s="10" t="s">
        <v>128</v>
      </c>
      <c r="C1685" s="10" t="s">
        <v>181</v>
      </c>
      <c r="D1685" s="10" t="s">
        <v>123</v>
      </c>
      <c r="E1685" t="str">
        <f>VLOOKUP(D1685,'Lista de Produtos CLASSIFICAÇÃO'!$A$103:$B$144,2,FALSE)</f>
        <v>Aquecidos</v>
      </c>
      <c r="F1685" s="53">
        <v>208225</v>
      </c>
      <c r="G1685" s="56" t="str">
        <f>VLOOKUP(C1685,clientes!$C$3:$D$60,2,FALSE)</f>
        <v>COAMO</v>
      </c>
    </row>
    <row r="1686" spans="1:7" x14ac:dyDescent="0.25">
      <c r="A1686" s="10">
        <v>2025</v>
      </c>
      <c r="B1686" s="10" t="s">
        <v>128</v>
      </c>
      <c r="C1686" s="10" t="s">
        <v>182</v>
      </c>
      <c r="D1686" s="10" t="s">
        <v>120</v>
      </c>
      <c r="E1686" t="str">
        <f>VLOOKUP(D1686,'Lista de Produtos CLASSIFICAÇÃO'!$A$103:$B$144,2,FALSE)</f>
        <v>Derivados</v>
      </c>
      <c r="F1686" s="53">
        <v>1147677</v>
      </c>
      <c r="G1686" s="56" t="str">
        <f>VLOOKUP(C1686,clientes!$C$3:$D$60,2,FALSE)</f>
        <v>ATEM</v>
      </c>
    </row>
    <row r="1687" spans="1:7" x14ac:dyDescent="0.25">
      <c r="A1687" s="10">
        <v>2025</v>
      </c>
      <c r="B1687" s="10" t="s">
        <v>128</v>
      </c>
      <c r="C1687" s="10" t="s">
        <v>184</v>
      </c>
      <c r="D1687" s="10" t="s">
        <v>122</v>
      </c>
      <c r="E1687" t="str">
        <f>VLOOKUP(D1687,'Lista de Produtos CLASSIFICAÇÃO'!$A$103:$B$144,2,FALSE)</f>
        <v>Óleo Vegetal</v>
      </c>
      <c r="F1687" s="53">
        <v>230660</v>
      </c>
      <c r="G1687" s="56" t="str">
        <f>VLOOKUP(C1687,clientes!$C$3:$D$60,2,FALSE)</f>
        <v>INGREDION</v>
      </c>
    </row>
    <row r="1688" spans="1:7" x14ac:dyDescent="0.25">
      <c r="A1688" s="10">
        <v>2025</v>
      </c>
      <c r="B1688" s="10" t="s">
        <v>128</v>
      </c>
      <c r="C1688" s="10" t="s">
        <v>185</v>
      </c>
      <c r="D1688" s="10" t="s">
        <v>120</v>
      </c>
      <c r="E1688" t="str">
        <f>VLOOKUP(D1688,'Lista de Produtos CLASSIFICAÇÃO'!$A$103:$B$144,2,FALSE)</f>
        <v>Derivados</v>
      </c>
      <c r="F1688" s="53">
        <v>1076739</v>
      </c>
      <c r="G1688" s="56" t="str">
        <f>VLOOKUP(C1688,clientes!$C$3:$D$60,2,FALSE)</f>
        <v>CIAPETRO</v>
      </c>
    </row>
    <row r="1689" spans="1:7" x14ac:dyDescent="0.25">
      <c r="A1689" s="10">
        <v>2025</v>
      </c>
      <c r="B1689" s="10" t="s">
        <v>128</v>
      </c>
      <c r="C1689" s="10" t="s">
        <v>187</v>
      </c>
      <c r="D1689" s="10" t="s">
        <v>121</v>
      </c>
      <c r="E1689" t="str">
        <f>VLOOKUP(D1689,'Lista de Produtos CLASSIFICAÇÃO'!$A$103:$B$144,2,FALSE)</f>
        <v>Biocombustíveis</v>
      </c>
      <c r="F1689" s="53">
        <v>900000</v>
      </c>
      <c r="G1689" s="56" t="str">
        <f>VLOOKUP(C1689,clientes!$C$3:$D$60,2,FALSE)</f>
        <v>TEREOS / INPASA / GLENCORE / FS</v>
      </c>
    </row>
    <row r="1690" spans="1:7" x14ac:dyDescent="0.25">
      <c r="A1690" s="10">
        <v>2025</v>
      </c>
      <c r="B1690" s="10" t="s">
        <v>128</v>
      </c>
      <c r="C1690" s="10" t="s">
        <v>188</v>
      </c>
      <c r="D1690" s="10" t="s">
        <v>123</v>
      </c>
      <c r="E1690" t="str">
        <f>VLOOKUP(D1690,'Lista de Produtos CLASSIFICAÇÃO'!$A$103:$B$144,2,FALSE)</f>
        <v>Aquecidos</v>
      </c>
      <c r="F1690" s="53">
        <v>608544</v>
      </c>
      <c r="G1690" s="56" t="str">
        <f>VLOOKUP(C1690,clientes!$C$3:$D$60,2,FALSE)</f>
        <v>ARES MERCHANTS PTE LIMITE</v>
      </c>
    </row>
    <row r="1691" spans="1:7" x14ac:dyDescent="0.25">
      <c r="A1691" s="10">
        <v>2025</v>
      </c>
      <c r="B1691" s="10" t="s">
        <v>128</v>
      </c>
      <c r="C1691" s="10" t="s">
        <v>18</v>
      </c>
      <c r="D1691" s="10" t="s">
        <v>17</v>
      </c>
      <c r="E1691" t="str">
        <f>VLOOKUP(D1691,'Lista de Produtos CLASSIFICAÇÃO'!$A$103:$B$144,2,FALSE)</f>
        <v>Acostagem</v>
      </c>
      <c r="F1691" s="53">
        <v>455669.51874999999</v>
      </c>
      <c r="G1691" s="56" t="str">
        <f>VLOOKUP(C1691,clientes!$C$3:$D$60,2,FALSE)</f>
        <v>ACOSTAGEM</v>
      </c>
    </row>
    <row r="1692" spans="1:7" x14ac:dyDescent="0.25">
      <c r="A1692" s="10">
        <v>2025</v>
      </c>
      <c r="B1692" s="10" t="s">
        <v>128</v>
      </c>
      <c r="C1692" s="10" t="s">
        <v>189</v>
      </c>
      <c r="D1692" t="s">
        <v>123</v>
      </c>
      <c r="E1692" t="str">
        <f>VLOOKUP(D1692,'Lista de Produtos CLASSIFICAÇÃO'!$A$103:$B$144,2,FALSE)</f>
        <v>Aquecidos</v>
      </c>
      <c r="F1692" s="53">
        <v>557826</v>
      </c>
      <c r="G1692" s="56" t="str">
        <f>VLOOKUP(C1692,clientes!$C$3:$D$60,2,FALSE)</f>
        <v>ICOF</v>
      </c>
    </row>
    <row r="1693" spans="1:7" x14ac:dyDescent="0.25">
      <c r="A1693" s="10">
        <v>2025</v>
      </c>
      <c r="B1693" s="10" t="s">
        <v>128</v>
      </c>
      <c r="C1693" s="10" t="s">
        <v>191</v>
      </c>
      <c r="D1693" t="s">
        <v>115</v>
      </c>
      <c r="E1693" t="str">
        <f>VLOOKUP(D1693,'Lista de Produtos CLASSIFICAÇÃO'!$A$103:$B$144,2,FALSE)</f>
        <v>Soda Caustica</v>
      </c>
      <c r="F1693" s="53">
        <v>136044</v>
      </c>
      <c r="G1693" s="56" t="str">
        <f>VLOOKUP(C1693,clientes!$C$3:$D$60,2,FALSE)</f>
        <v>GPC</v>
      </c>
    </row>
    <row r="1694" spans="1:7" x14ac:dyDescent="0.25">
      <c r="A1694" s="10">
        <v>2025</v>
      </c>
      <c r="B1694" s="10" t="s">
        <v>128</v>
      </c>
      <c r="C1694" s="10" t="s">
        <v>192</v>
      </c>
      <c r="D1694" s="10" t="s">
        <v>121</v>
      </c>
      <c r="E1694" t="str">
        <f>VLOOKUP(D1694,'Lista de Produtos CLASSIFICAÇÃO'!$A$103:$B$144,2,FALSE)</f>
        <v>Biocombustíveis</v>
      </c>
      <c r="F1694" s="53">
        <v>1477279</v>
      </c>
      <c r="G1694" s="56" t="str">
        <f>VLOOKUP(C1694,clientes!$C$3:$D$60,2,FALSE)</f>
        <v>INPASA</v>
      </c>
    </row>
    <row r="1695" spans="1:7" x14ac:dyDescent="0.25">
      <c r="A1695" s="10">
        <v>2025</v>
      </c>
      <c r="B1695" s="10" t="s">
        <v>132</v>
      </c>
      <c r="C1695" s="10" t="s">
        <v>155</v>
      </c>
      <c r="D1695" s="10" t="s">
        <v>16</v>
      </c>
      <c r="E1695" t="str">
        <f>VLOOKUP(D1695,'Lista de Produtos CLASSIFICAÇÃO'!$A$103:$B$144,2,FALSE)</f>
        <v>Outros</v>
      </c>
      <c r="F1695" s="53">
        <v>878484</v>
      </c>
      <c r="G1695" s="56" t="str">
        <f>VLOOKUP(C1695,clientes!$C$3:$D$60,2,FALSE)</f>
        <v>ADISSEO</v>
      </c>
    </row>
    <row r="1696" spans="1:7" x14ac:dyDescent="0.25">
      <c r="A1696" s="10">
        <v>2025</v>
      </c>
      <c r="B1696" s="10" t="s">
        <v>132</v>
      </c>
      <c r="C1696" s="10" t="s">
        <v>156</v>
      </c>
      <c r="D1696" s="10" t="s">
        <v>123</v>
      </c>
      <c r="E1696" t="str">
        <f>VLOOKUP(D1696,'Lista de Produtos CLASSIFICAÇÃO'!$A$103:$B$144,2,FALSE)</f>
        <v>Aquecidos</v>
      </c>
      <c r="F1696" s="53">
        <v>378593</v>
      </c>
      <c r="G1696" s="56" t="str">
        <f>VLOOKUP(C1696,clientes!$C$3:$D$60,2,FALSE)</f>
        <v>BUNGE</v>
      </c>
    </row>
    <row r="1697" spans="1:7" x14ac:dyDescent="0.25">
      <c r="A1697" s="10">
        <v>2025</v>
      </c>
      <c r="B1697" s="10" t="s">
        <v>132</v>
      </c>
      <c r="C1697" s="10" t="s">
        <v>157</v>
      </c>
      <c r="D1697" s="10" t="s">
        <v>122</v>
      </c>
      <c r="E1697" t="str">
        <f>VLOOKUP(D1697,'Lista de Produtos CLASSIFICAÇÃO'!$A$103:$B$144,2,FALSE)</f>
        <v>Óleo Vegetal</v>
      </c>
      <c r="F1697" s="53">
        <v>161866</v>
      </c>
      <c r="G1697" s="56" t="str">
        <f>VLOOKUP(C1697,clientes!$C$3:$D$60,2,FALSE)</f>
        <v>ADM</v>
      </c>
    </row>
    <row r="1698" spans="1:7" x14ac:dyDescent="0.25">
      <c r="A1698" s="10">
        <v>2025</v>
      </c>
      <c r="B1698" s="10" t="s">
        <v>132</v>
      </c>
      <c r="C1698" s="10" t="s">
        <v>158</v>
      </c>
      <c r="D1698" s="10" t="s">
        <v>120</v>
      </c>
      <c r="E1698" t="str">
        <f>VLOOKUP(D1698,'Lista de Produtos CLASSIFICAÇÃO'!$A$103:$B$144,2,FALSE)</f>
        <v>Derivados</v>
      </c>
      <c r="F1698" s="53">
        <v>5957914</v>
      </c>
      <c r="G1698" s="56" t="str">
        <f>VLOOKUP(C1698,clientes!$C$3:$D$60,2,FALSE)</f>
        <v>IPIRANGA</v>
      </c>
    </row>
    <row r="1699" spans="1:7" x14ac:dyDescent="0.25">
      <c r="A1699" s="10">
        <v>2025</v>
      </c>
      <c r="B1699" s="10" t="s">
        <v>132</v>
      </c>
      <c r="C1699" s="10" t="s">
        <v>159</v>
      </c>
      <c r="D1699" s="10" t="s">
        <v>120</v>
      </c>
      <c r="E1699" t="str">
        <f>VLOOKUP(D1699,'Lista de Produtos CLASSIFICAÇÃO'!$A$103:$B$144,2,FALSE)</f>
        <v>Derivados</v>
      </c>
      <c r="F1699" s="53">
        <v>3979329</v>
      </c>
      <c r="G1699" s="56" t="str">
        <f>VLOOKUP(C1699,clientes!$C$3:$D$60,2,FALSE)</f>
        <v>RAIZEN</v>
      </c>
    </row>
    <row r="1700" spans="1:7" x14ac:dyDescent="0.25">
      <c r="A1700" s="10">
        <v>2025</v>
      </c>
      <c r="B1700" s="10" t="s">
        <v>132</v>
      </c>
      <c r="C1700" s="10" t="s">
        <v>160</v>
      </c>
      <c r="D1700" s="10" t="s">
        <v>120</v>
      </c>
      <c r="E1700" t="str">
        <f>VLOOKUP(D1700,'Lista de Produtos CLASSIFICAÇÃO'!$A$103:$B$144,2,FALSE)</f>
        <v>Derivados</v>
      </c>
      <c r="F1700" s="53">
        <v>1971343</v>
      </c>
      <c r="G1700" s="56" t="str">
        <f>VLOOKUP(C1700,clientes!$C$3:$D$60,2,FALSE)</f>
        <v>VIBRA</v>
      </c>
    </row>
    <row r="1701" spans="1:7" x14ac:dyDescent="0.25">
      <c r="A1701" s="10">
        <v>2025</v>
      </c>
      <c r="B1701" s="10" t="s">
        <v>132</v>
      </c>
      <c r="C1701" s="10" t="s">
        <v>161</v>
      </c>
      <c r="D1701" s="10" t="s">
        <v>120</v>
      </c>
      <c r="E1701" t="str">
        <f>VLOOKUP(D1701,'Lista de Produtos CLASSIFICAÇÃO'!$A$103:$B$144,2,FALSE)</f>
        <v>Derivados</v>
      </c>
      <c r="F1701" s="53">
        <v>3059732</v>
      </c>
      <c r="G1701" s="56" t="str">
        <f>VLOOKUP(C1701,clientes!$C$3:$D$60,2,FALSE)</f>
        <v>SUL PLATA</v>
      </c>
    </row>
    <row r="1702" spans="1:7" x14ac:dyDescent="0.25">
      <c r="A1702" s="10">
        <v>2025</v>
      </c>
      <c r="B1702" s="10" t="s">
        <v>132</v>
      </c>
      <c r="C1702" s="10" t="s">
        <v>162</v>
      </c>
      <c r="D1702" s="10" t="s">
        <v>115</v>
      </c>
      <c r="E1702" t="str">
        <f>VLOOKUP(D1702,'Lista de Produtos CLASSIFICAÇÃO'!$A$103:$B$144,2,FALSE)</f>
        <v>Soda Caustica</v>
      </c>
      <c r="F1702" s="53">
        <v>243956</v>
      </c>
      <c r="G1702" s="56" t="str">
        <f>VLOOKUP(C1702,clientes!$C$3:$D$60,2,FALSE)</f>
        <v>JBS</v>
      </c>
    </row>
    <row r="1703" spans="1:7" x14ac:dyDescent="0.25">
      <c r="A1703" s="10">
        <v>2025</v>
      </c>
      <c r="B1703" s="10" t="s">
        <v>132</v>
      </c>
      <c r="C1703" s="10" t="s">
        <v>163</v>
      </c>
      <c r="D1703" t="s">
        <v>115</v>
      </c>
      <c r="E1703" t="str">
        <f>VLOOKUP(D1703,'Lista de Produtos CLASSIFICAÇÃO'!$A$103:$B$144,2,FALSE)</f>
        <v>Soda Caustica</v>
      </c>
      <c r="F1703" s="53">
        <v>406299</v>
      </c>
      <c r="G1703" s="56" t="str">
        <f>VLOOKUP(C1703,clientes!$C$3:$D$60,2,FALSE)</f>
        <v>TRICON ENERGY</v>
      </c>
    </row>
    <row r="1704" spans="1:7" x14ac:dyDescent="0.25">
      <c r="A1704" s="10">
        <v>2025</v>
      </c>
      <c r="B1704" s="10" t="s">
        <v>132</v>
      </c>
      <c r="C1704" s="10" t="s">
        <v>164</v>
      </c>
      <c r="D1704" t="s">
        <v>115</v>
      </c>
      <c r="E1704" t="str">
        <f>VLOOKUP(D1704,'Lista de Produtos CLASSIFICAÇÃO'!$A$103:$B$144,2,FALSE)</f>
        <v>Soda Caustica</v>
      </c>
      <c r="F1704" s="53">
        <v>220436</v>
      </c>
      <c r="G1704" s="56" t="str">
        <f>VLOOKUP(C1704,clientes!$C$3:$D$60,2,FALSE)</f>
        <v>BRASKEM</v>
      </c>
    </row>
    <row r="1705" spans="1:7" x14ac:dyDescent="0.25">
      <c r="A1705" s="10">
        <v>2025</v>
      </c>
      <c r="B1705" s="10" t="s">
        <v>132</v>
      </c>
      <c r="C1705" s="10" t="s">
        <v>165</v>
      </c>
      <c r="D1705" s="10" t="s">
        <v>123</v>
      </c>
      <c r="E1705" t="str">
        <f>VLOOKUP(D1705,'Lista de Produtos CLASSIFICAÇÃO'!$A$103:$B$144,2,FALSE)</f>
        <v>Aquecidos</v>
      </c>
      <c r="F1705" s="53">
        <v>983040</v>
      </c>
      <c r="G1705" s="56" t="str">
        <f>VLOOKUP(C1705,clientes!$C$3:$D$60,2,FALSE)</f>
        <v>BRF</v>
      </c>
    </row>
    <row r="1706" spans="1:7" x14ac:dyDescent="0.25">
      <c r="A1706" s="10">
        <v>2025</v>
      </c>
      <c r="B1706" s="10" t="s">
        <v>132</v>
      </c>
      <c r="C1706" s="10" t="s">
        <v>162</v>
      </c>
      <c r="D1706" s="10" t="s">
        <v>123</v>
      </c>
      <c r="E1706" t="str">
        <f>VLOOKUP(D1706,'Lista de Produtos CLASSIFICAÇÃO'!$A$103:$B$144,2,FALSE)</f>
        <v>Aquecidos</v>
      </c>
      <c r="F1706" s="53">
        <v>569771</v>
      </c>
      <c r="G1706" s="56" t="str">
        <f>VLOOKUP(C1706,clientes!$C$3:$D$60,2,FALSE)</f>
        <v>JBS</v>
      </c>
    </row>
    <row r="1707" spans="1:7" x14ac:dyDescent="0.25">
      <c r="A1707" s="10">
        <v>2025</v>
      </c>
      <c r="B1707" s="10" t="s">
        <v>132</v>
      </c>
      <c r="C1707" s="10" t="s">
        <v>166</v>
      </c>
      <c r="D1707" s="10" t="s">
        <v>123</v>
      </c>
      <c r="E1707" t="str">
        <f>VLOOKUP(D1707,'Lista de Produtos CLASSIFICAÇÃO'!$A$103:$B$144,2,FALSE)</f>
        <v>Aquecidos</v>
      </c>
      <c r="F1707" s="53">
        <v>537650</v>
      </c>
      <c r="G1707" s="56" t="str">
        <f>VLOOKUP(C1707,clientes!$C$3:$D$60,2,FALSE)</f>
        <v>CARGILL</v>
      </c>
    </row>
    <row r="1708" spans="1:7" x14ac:dyDescent="0.25">
      <c r="A1708" s="10">
        <v>2025</v>
      </c>
      <c r="B1708" s="10" t="s">
        <v>132</v>
      </c>
      <c r="C1708" s="10" t="s">
        <v>167</v>
      </c>
      <c r="D1708" s="10" t="s">
        <v>122</v>
      </c>
      <c r="E1708" t="str">
        <f>VLOOKUP(D1708,'Lista de Produtos CLASSIFICAÇÃO'!$A$103:$B$144,2,FALSE)</f>
        <v>Óleo Vegetal</v>
      </c>
      <c r="F1708" s="53">
        <v>1140494</v>
      </c>
      <c r="G1708" s="56" t="str">
        <f>VLOOKUP(C1708,clientes!$C$3:$D$60,2,FALSE)</f>
        <v>POOL</v>
      </c>
    </row>
    <row r="1709" spans="1:7" x14ac:dyDescent="0.25">
      <c r="A1709" s="10">
        <v>2025</v>
      </c>
      <c r="B1709" s="10" t="s">
        <v>132</v>
      </c>
      <c r="C1709" s="10" t="s">
        <v>168</v>
      </c>
      <c r="D1709" s="10" t="s">
        <v>122</v>
      </c>
      <c r="E1709" t="str">
        <f>VLOOKUP(D1709,'Lista de Produtos CLASSIFICAÇÃO'!$A$103:$B$144,2,FALSE)</f>
        <v>Óleo Vegetal</v>
      </c>
      <c r="F1709" s="53">
        <v>86043</v>
      </c>
      <c r="G1709" s="56" t="str">
        <f>VLOOKUP(C1709,clientes!$C$3:$D$60,2,FALSE)</f>
        <v>POOL EXCEDENTE</v>
      </c>
    </row>
    <row r="1710" spans="1:7" x14ac:dyDescent="0.25">
      <c r="A1710" s="10">
        <v>2025</v>
      </c>
      <c r="B1710" s="10" t="s">
        <v>132</v>
      </c>
      <c r="C1710" s="10" t="s">
        <v>169</v>
      </c>
      <c r="D1710" s="10" t="s">
        <v>22</v>
      </c>
      <c r="E1710" t="str">
        <f>VLOOKUP(D1710,'Lista de Produtos CLASSIFICAÇÃO'!$A$103:$B$144,2,FALSE)</f>
        <v>Metanol</v>
      </c>
      <c r="F1710" s="53">
        <v>7893225</v>
      </c>
      <c r="G1710" s="56" t="str">
        <f>VLOOKUP(C1710,clientes!$C$3:$D$60,2,FALSE)</f>
        <v>METHANEX</v>
      </c>
    </row>
    <row r="1711" spans="1:7" x14ac:dyDescent="0.25">
      <c r="A1711" s="10">
        <v>2025</v>
      </c>
      <c r="B1711" s="10" t="s">
        <v>132</v>
      </c>
      <c r="C1711" s="10" t="s">
        <v>170</v>
      </c>
      <c r="D1711" s="10" t="s">
        <v>22</v>
      </c>
      <c r="E1711" t="str">
        <f>VLOOKUP(D1711,'Lista de Produtos CLASSIFICAÇÃO'!$A$103:$B$144,2,FALSE)</f>
        <v>Metanol</v>
      </c>
      <c r="F1711" s="53">
        <v>5054137</v>
      </c>
      <c r="G1711" s="56" t="str">
        <f>VLOOKUP(C1711,clientes!$C$3:$D$60,2,FALSE)</f>
        <v>MITSUBISHI</v>
      </c>
    </row>
    <row r="1712" spans="1:7" x14ac:dyDescent="0.25">
      <c r="A1712" s="10">
        <v>2025</v>
      </c>
      <c r="B1712" s="10" t="s">
        <v>132</v>
      </c>
      <c r="C1712" s="10" t="s">
        <v>171</v>
      </c>
      <c r="D1712" s="10" t="s">
        <v>22</v>
      </c>
      <c r="E1712" t="str">
        <f>VLOOKUP(D1712,'Lista de Produtos CLASSIFICAÇÃO'!$A$103:$B$144,2,FALSE)</f>
        <v>Metanol</v>
      </c>
      <c r="F1712" s="53">
        <v>6057428</v>
      </c>
      <c r="G1712" s="56" t="str">
        <f>VLOOKUP(C1712,clientes!$C$3:$D$60,2,FALSE)</f>
        <v>VALENZ</v>
      </c>
    </row>
    <row r="1713" spans="1:7" x14ac:dyDescent="0.25">
      <c r="A1713" s="10">
        <v>2025</v>
      </c>
      <c r="B1713" s="10" t="s">
        <v>132</v>
      </c>
      <c r="C1713" s="10" t="s">
        <v>172</v>
      </c>
      <c r="D1713" s="10" t="s">
        <v>124</v>
      </c>
      <c r="E1713" t="str">
        <f>VLOOKUP(D1713,'Lista de Produtos CLASSIFICAÇÃO'!$A$103:$B$144,2,FALSE)</f>
        <v>Outros</v>
      </c>
      <c r="F1713" s="53">
        <v>439941</v>
      </c>
      <c r="G1713" s="56" t="str">
        <f>VLOOKUP(C1713,clientes!$C$3:$D$60,2,FALSE)</f>
        <v>EVONIK</v>
      </c>
    </row>
    <row r="1714" spans="1:7" x14ac:dyDescent="0.25">
      <c r="A1714" s="10">
        <v>2025</v>
      </c>
      <c r="B1714" s="10" t="s">
        <v>132</v>
      </c>
      <c r="C1714" s="10" t="s">
        <v>186</v>
      </c>
      <c r="D1714" s="10" t="s">
        <v>22</v>
      </c>
      <c r="E1714" t="str">
        <f>VLOOKUP(D1714,'Lista de Produtos CLASSIFICAÇÃO'!$A$103:$B$144,2,FALSE)</f>
        <v>Metanol</v>
      </c>
      <c r="F1714" s="53">
        <v>546830</v>
      </c>
      <c r="G1714" s="56" t="str">
        <f>VLOOKUP(C1714,clientes!$C$3:$D$60,2,FALSE)</f>
        <v>OQ TRADING</v>
      </c>
    </row>
    <row r="1715" spans="1:7" x14ac:dyDescent="0.25">
      <c r="A1715" s="10">
        <v>2025</v>
      </c>
      <c r="B1715" s="10" t="s">
        <v>132</v>
      </c>
      <c r="C1715" s="10" t="s">
        <v>174</v>
      </c>
      <c r="D1715" s="10" t="s">
        <v>123</v>
      </c>
      <c r="E1715" t="str">
        <f>VLOOKUP(D1715,'Lista de Produtos CLASSIFICAÇÃO'!$A$103:$B$144,2,FALSE)</f>
        <v>Aquecidos</v>
      </c>
      <c r="F1715" s="53">
        <v>2000426</v>
      </c>
      <c r="G1715" s="56" t="str">
        <f>VLOOKUP(C1715,clientes!$C$3:$D$60,2,FALSE)</f>
        <v>CELENA</v>
      </c>
    </row>
    <row r="1716" spans="1:7" x14ac:dyDescent="0.25">
      <c r="A1716" s="10">
        <v>2025</v>
      </c>
      <c r="B1716" s="10" t="s">
        <v>132</v>
      </c>
      <c r="C1716" s="10" t="s">
        <v>175</v>
      </c>
      <c r="D1716" s="10" t="s">
        <v>123</v>
      </c>
      <c r="E1716" t="str">
        <f>VLOOKUP(D1716,'Lista de Produtos CLASSIFICAÇÃO'!$A$103:$B$144,2,FALSE)</f>
        <v>Aquecidos</v>
      </c>
      <c r="F1716" s="53">
        <v>846373</v>
      </c>
      <c r="G1716" s="56" t="str">
        <f>VLOOKUP(C1716,clientes!$C$3:$D$60,2,FALSE)</f>
        <v>AAK DO BRASIL</v>
      </c>
    </row>
    <row r="1717" spans="1:7" x14ac:dyDescent="0.25">
      <c r="A1717" s="10">
        <v>2025</v>
      </c>
      <c r="B1717" s="10" t="s">
        <v>132</v>
      </c>
      <c r="C1717" s="10" t="s">
        <v>166</v>
      </c>
      <c r="D1717" s="10" t="s">
        <v>122</v>
      </c>
      <c r="E1717" t="str">
        <f>VLOOKUP(D1717,'Lista de Produtos CLASSIFICAÇÃO'!$A$103:$B$144,2,FALSE)</f>
        <v>Óleo Vegetal</v>
      </c>
      <c r="F1717" s="53">
        <v>208762</v>
      </c>
      <c r="G1717" s="56" t="str">
        <f>VLOOKUP(C1717,clientes!$C$3:$D$60,2,FALSE)</f>
        <v>CARGILL</v>
      </c>
    </row>
    <row r="1718" spans="1:7" x14ac:dyDescent="0.25">
      <c r="A1718" s="10">
        <v>2025</v>
      </c>
      <c r="B1718" s="10" t="s">
        <v>132</v>
      </c>
      <c r="C1718" s="10" t="s">
        <v>176</v>
      </c>
      <c r="D1718" s="10" t="s">
        <v>123</v>
      </c>
      <c r="E1718" t="str">
        <f>VLOOKUP(D1718,'Lista de Produtos CLASSIFICAÇÃO'!$A$103:$B$144,2,FALSE)</f>
        <v>Aquecidos</v>
      </c>
      <c r="F1718" s="53">
        <v>466210</v>
      </c>
      <c r="G1718" s="56" t="str">
        <f>VLOOKUP(C1718,clientes!$C$3:$D$60,2,FALSE)</f>
        <v>AGROPALMA</v>
      </c>
    </row>
    <row r="1719" spans="1:7" x14ac:dyDescent="0.25">
      <c r="A1719" s="10">
        <v>2025</v>
      </c>
      <c r="B1719" s="10" t="s">
        <v>132</v>
      </c>
      <c r="C1719" s="10" t="s">
        <v>177</v>
      </c>
      <c r="D1719" s="10" t="s">
        <v>115</v>
      </c>
      <c r="E1719" t="str">
        <f>VLOOKUP(D1719,'Lista de Produtos CLASSIFICAÇÃO'!$A$103:$B$144,2,FALSE)</f>
        <v>Soda Caustica</v>
      </c>
      <c r="F1719" s="53">
        <v>306345</v>
      </c>
      <c r="G1719" s="56" t="str">
        <f>VLOOKUP(C1719,clientes!$C$3:$D$60,2,FALSE)</f>
        <v>BRENNTAG</v>
      </c>
    </row>
    <row r="1720" spans="1:7" x14ac:dyDescent="0.25">
      <c r="A1720" s="10">
        <v>2025</v>
      </c>
      <c r="B1720" s="10" t="s">
        <v>132</v>
      </c>
      <c r="C1720" s="10" t="s">
        <v>178</v>
      </c>
      <c r="D1720" s="10" t="s">
        <v>115</v>
      </c>
      <c r="E1720" t="str">
        <f>VLOOKUP(D1720,'Lista de Produtos CLASSIFICAÇÃO'!$A$103:$B$144,2,FALSE)</f>
        <v>Soda Caustica</v>
      </c>
      <c r="F1720" s="53">
        <v>1779629</v>
      </c>
      <c r="G1720" s="56" t="str">
        <f>VLOOKUP(C1720,clientes!$C$3:$D$60,2,FALSE)</f>
        <v>OLIN BLUE CUBE</v>
      </c>
    </row>
    <row r="1721" spans="1:7" x14ac:dyDescent="0.25">
      <c r="A1721" s="10">
        <v>2025</v>
      </c>
      <c r="B1721" s="10" t="s">
        <v>132</v>
      </c>
      <c r="C1721" s="10" t="s">
        <v>179</v>
      </c>
      <c r="D1721" s="10" t="s">
        <v>26</v>
      </c>
      <c r="E1721" t="str">
        <f>VLOOKUP(D1721,'Lista de Produtos CLASSIFICAÇÃO'!$A$103:$B$144,2,FALSE)</f>
        <v>Biocombustíveis</v>
      </c>
      <c r="F1721" s="53">
        <v>437969</v>
      </c>
      <c r="G1721" s="56" t="str">
        <f>VLOOKUP(C1721,clientes!$C$3:$D$60,2,FALSE)</f>
        <v>BSBIOS</v>
      </c>
    </row>
    <row r="1722" spans="1:7" x14ac:dyDescent="0.25">
      <c r="A1722" s="10">
        <v>2025</v>
      </c>
      <c r="B1722" s="10" t="s">
        <v>132</v>
      </c>
      <c r="C1722" s="10" t="s">
        <v>181</v>
      </c>
      <c r="D1722" s="10" t="s">
        <v>123</v>
      </c>
      <c r="E1722" t="str">
        <f>VLOOKUP(D1722,'Lista de Produtos CLASSIFICAÇÃO'!$A$103:$B$144,2,FALSE)</f>
        <v>Aquecidos</v>
      </c>
      <c r="F1722" s="53">
        <v>208225</v>
      </c>
      <c r="G1722" s="56" t="str">
        <f>VLOOKUP(C1722,clientes!$C$3:$D$60,2,FALSE)</f>
        <v>COAMO</v>
      </c>
    </row>
    <row r="1723" spans="1:7" x14ac:dyDescent="0.25">
      <c r="A1723" s="10">
        <v>2025</v>
      </c>
      <c r="B1723" s="10" t="s">
        <v>132</v>
      </c>
      <c r="C1723" s="10" t="s">
        <v>182</v>
      </c>
      <c r="D1723" s="10" t="s">
        <v>120</v>
      </c>
      <c r="E1723" t="str">
        <f>VLOOKUP(D1723,'Lista de Produtos CLASSIFICAÇÃO'!$A$103:$B$144,2,FALSE)</f>
        <v>Derivados</v>
      </c>
      <c r="F1723" s="53">
        <v>1147677</v>
      </c>
      <c r="G1723" s="56" t="str">
        <f>VLOOKUP(C1723,clientes!$C$3:$D$60,2,FALSE)</f>
        <v>ATEM</v>
      </c>
    </row>
    <row r="1724" spans="1:7" x14ac:dyDescent="0.25">
      <c r="A1724" s="10">
        <v>2025</v>
      </c>
      <c r="B1724" s="10" t="s">
        <v>132</v>
      </c>
      <c r="C1724" s="10" t="s">
        <v>184</v>
      </c>
      <c r="D1724" s="10" t="s">
        <v>122</v>
      </c>
      <c r="E1724" t="str">
        <f>VLOOKUP(D1724,'Lista de Produtos CLASSIFICAÇÃO'!$A$103:$B$144,2,FALSE)</f>
        <v>Óleo Vegetal</v>
      </c>
      <c r="F1724" s="53">
        <v>230660</v>
      </c>
      <c r="G1724" s="56" t="str">
        <f>VLOOKUP(C1724,clientes!$C$3:$D$60,2,FALSE)</f>
        <v>INGREDION</v>
      </c>
    </row>
    <row r="1725" spans="1:7" x14ac:dyDescent="0.25">
      <c r="A1725" s="10">
        <v>2025</v>
      </c>
      <c r="B1725" s="10" t="s">
        <v>132</v>
      </c>
      <c r="C1725" s="10" t="s">
        <v>185</v>
      </c>
      <c r="D1725" s="10" t="s">
        <v>120</v>
      </c>
      <c r="E1725" t="str">
        <f>VLOOKUP(D1725,'Lista de Produtos CLASSIFICAÇÃO'!$A$103:$B$144,2,FALSE)</f>
        <v>Derivados</v>
      </c>
      <c r="F1725" s="53">
        <v>1076739</v>
      </c>
      <c r="G1725" s="56" t="str">
        <f>VLOOKUP(C1725,clientes!$C$3:$D$60,2,FALSE)</f>
        <v>CIAPETRO</v>
      </c>
    </row>
    <row r="1726" spans="1:7" x14ac:dyDescent="0.25">
      <c r="A1726" s="10">
        <v>2025</v>
      </c>
      <c r="B1726" s="10" t="s">
        <v>132</v>
      </c>
      <c r="C1726" s="10" t="s">
        <v>187</v>
      </c>
      <c r="D1726" s="10" t="s">
        <v>121</v>
      </c>
      <c r="E1726" t="str">
        <f>VLOOKUP(D1726,'Lista de Produtos CLASSIFICAÇÃO'!$A$103:$B$144,2,FALSE)</f>
        <v>Biocombustíveis</v>
      </c>
      <c r="F1726" s="53">
        <v>900000</v>
      </c>
      <c r="G1726" s="56" t="str">
        <f>VLOOKUP(C1726,clientes!$C$3:$D$60,2,FALSE)</f>
        <v>TEREOS / INPASA / GLENCORE / FS</v>
      </c>
    </row>
    <row r="1727" spans="1:7" x14ac:dyDescent="0.25">
      <c r="A1727" s="10">
        <v>2025</v>
      </c>
      <c r="B1727" s="10" t="s">
        <v>132</v>
      </c>
      <c r="C1727" s="10" t="s">
        <v>188</v>
      </c>
      <c r="D1727" s="10" t="s">
        <v>123</v>
      </c>
      <c r="E1727" t="str">
        <f>VLOOKUP(D1727,'Lista de Produtos CLASSIFICAÇÃO'!$A$103:$B$144,2,FALSE)</f>
        <v>Aquecidos</v>
      </c>
      <c r="F1727" s="53">
        <v>608544</v>
      </c>
      <c r="G1727" s="56" t="str">
        <f>VLOOKUP(C1727,clientes!$C$3:$D$60,2,FALSE)</f>
        <v>ARES MERCHANTS PTE LIMITE</v>
      </c>
    </row>
    <row r="1728" spans="1:7" x14ac:dyDescent="0.25">
      <c r="A1728" s="10">
        <v>2025</v>
      </c>
      <c r="B1728" s="10" t="s">
        <v>132</v>
      </c>
      <c r="C1728" s="10" t="s">
        <v>18</v>
      </c>
      <c r="D1728" s="10" t="s">
        <v>17</v>
      </c>
      <c r="E1728" t="str">
        <f>VLOOKUP(D1728,'Lista de Produtos CLASSIFICAÇÃO'!$A$103:$B$144,2,FALSE)</f>
        <v>Acostagem</v>
      </c>
      <c r="F1728" s="53">
        <v>448491.22375</v>
      </c>
      <c r="G1728" s="56" t="str">
        <f>VLOOKUP(C1728,clientes!$C$3:$D$60,2,FALSE)</f>
        <v>ACOSTAGEM</v>
      </c>
    </row>
    <row r="1729" spans="1:7" x14ac:dyDescent="0.25">
      <c r="A1729" s="10">
        <v>2025</v>
      </c>
      <c r="B1729" s="10" t="s">
        <v>132</v>
      </c>
      <c r="C1729" s="10" t="s">
        <v>189</v>
      </c>
      <c r="D1729" t="s">
        <v>123</v>
      </c>
      <c r="E1729" t="str">
        <f>VLOOKUP(D1729,'Lista de Produtos CLASSIFICAÇÃO'!$A$103:$B$144,2,FALSE)</f>
        <v>Aquecidos</v>
      </c>
      <c r="F1729" s="53">
        <v>557826</v>
      </c>
      <c r="G1729" s="56" t="str">
        <f>VLOOKUP(C1729,clientes!$C$3:$D$60,2,FALSE)</f>
        <v>ICOF</v>
      </c>
    </row>
    <row r="1730" spans="1:7" x14ac:dyDescent="0.25">
      <c r="A1730" s="10">
        <v>2025</v>
      </c>
      <c r="B1730" s="10" t="s">
        <v>132</v>
      </c>
      <c r="C1730" s="10" t="s">
        <v>191</v>
      </c>
      <c r="D1730" t="s">
        <v>115</v>
      </c>
      <c r="E1730" t="str">
        <f>VLOOKUP(D1730,'Lista de Produtos CLASSIFICAÇÃO'!$A$103:$B$144,2,FALSE)</f>
        <v>Soda Caustica</v>
      </c>
      <c r="F1730" s="53">
        <v>136044</v>
      </c>
      <c r="G1730" s="56" t="str">
        <f>VLOOKUP(C1730,clientes!$C$3:$D$60,2,FALSE)</f>
        <v>GPC</v>
      </c>
    </row>
    <row r="1731" spans="1:7" x14ac:dyDescent="0.25">
      <c r="A1731" s="10">
        <v>2025</v>
      </c>
      <c r="B1731" s="10" t="s">
        <v>132</v>
      </c>
      <c r="C1731" s="10" t="s">
        <v>192</v>
      </c>
      <c r="D1731" s="10" t="s">
        <v>121</v>
      </c>
      <c r="E1731" t="str">
        <f>VLOOKUP(D1731,'Lista de Produtos CLASSIFICAÇÃO'!$A$103:$B$144,2,FALSE)</f>
        <v>Biocombustíveis</v>
      </c>
      <c r="F1731" s="53">
        <v>1477279</v>
      </c>
      <c r="G1731" s="56" t="str">
        <f>VLOOKUP(C1731,clientes!$C$3:$D$60,2,FALSE)</f>
        <v>INPASA</v>
      </c>
    </row>
    <row r="1732" spans="1:7" x14ac:dyDescent="0.25">
      <c r="A1732" s="10">
        <v>2025</v>
      </c>
      <c r="B1732" s="10" t="s">
        <v>133</v>
      </c>
      <c r="C1732" s="10" t="s">
        <v>155</v>
      </c>
      <c r="D1732" s="10" t="s">
        <v>16</v>
      </c>
      <c r="E1732" t="str">
        <f>VLOOKUP(D1732,'Lista de Produtos CLASSIFICAÇÃO'!$A$103:$B$144,2,FALSE)</f>
        <v>Outros</v>
      </c>
      <c r="F1732" s="53">
        <v>878484</v>
      </c>
      <c r="G1732" s="56" t="str">
        <f>VLOOKUP(C1732,clientes!$C$3:$D$60,2,FALSE)</f>
        <v>ADISSEO</v>
      </c>
    </row>
    <row r="1733" spans="1:7" x14ac:dyDescent="0.25">
      <c r="A1733" s="10">
        <v>2025</v>
      </c>
      <c r="B1733" s="10" t="s">
        <v>133</v>
      </c>
      <c r="C1733" s="10" t="s">
        <v>156</v>
      </c>
      <c r="D1733" s="10" t="s">
        <v>123</v>
      </c>
      <c r="E1733" t="str">
        <f>VLOOKUP(D1733,'Lista de Produtos CLASSIFICAÇÃO'!$A$103:$B$144,2,FALSE)</f>
        <v>Aquecidos</v>
      </c>
      <c r="F1733" s="53">
        <v>378593</v>
      </c>
      <c r="G1733" s="56" t="str">
        <f>VLOOKUP(C1733,clientes!$C$3:$D$60,2,FALSE)</f>
        <v>BUNGE</v>
      </c>
    </row>
    <row r="1734" spans="1:7" x14ac:dyDescent="0.25">
      <c r="A1734" s="10">
        <v>2025</v>
      </c>
      <c r="B1734" s="10" t="s">
        <v>133</v>
      </c>
      <c r="C1734" s="10" t="s">
        <v>157</v>
      </c>
      <c r="D1734" s="10" t="s">
        <v>122</v>
      </c>
      <c r="E1734" t="str">
        <f>VLOOKUP(D1734,'Lista de Produtos CLASSIFICAÇÃO'!$A$103:$B$144,2,FALSE)</f>
        <v>Óleo Vegetal</v>
      </c>
      <c r="F1734" s="53">
        <v>161866</v>
      </c>
      <c r="G1734" s="56" t="str">
        <f>VLOOKUP(C1734,clientes!$C$3:$D$60,2,FALSE)</f>
        <v>ADM</v>
      </c>
    </row>
    <row r="1735" spans="1:7" x14ac:dyDescent="0.25">
      <c r="A1735" s="10">
        <v>2025</v>
      </c>
      <c r="B1735" s="10" t="s">
        <v>133</v>
      </c>
      <c r="C1735" s="10" t="s">
        <v>158</v>
      </c>
      <c r="D1735" s="10" t="s">
        <v>120</v>
      </c>
      <c r="E1735" t="str">
        <f>VLOOKUP(D1735,'Lista de Produtos CLASSIFICAÇÃO'!$A$103:$B$144,2,FALSE)</f>
        <v>Derivados</v>
      </c>
      <c r="F1735" s="53">
        <v>5957914</v>
      </c>
      <c r="G1735" s="56" t="str">
        <f>VLOOKUP(C1735,clientes!$C$3:$D$60,2,FALSE)</f>
        <v>IPIRANGA</v>
      </c>
    </row>
    <row r="1736" spans="1:7" x14ac:dyDescent="0.25">
      <c r="A1736" s="10">
        <v>2025</v>
      </c>
      <c r="B1736" s="10" t="s">
        <v>133</v>
      </c>
      <c r="C1736" s="10" t="s">
        <v>159</v>
      </c>
      <c r="D1736" s="10" t="s">
        <v>120</v>
      </c>
      <c r="E1736" t="str">
        <f>VLOOKUP(D1736,'Lista de Produtos CLASSIFICAÇÃO'!$A$103:$B$144,2,FALSE)</f>
        <v>Derivados</v>
      </c>
      <c r="F1736" s="53">
        <v>3979329</v>
      </c>
      <c r="G1736" s="56" t="str">
        <f>VLOOKUP(C1736,clientes!$C$3:$D$60,2,FALSE)</f>
        <v>RAIZEN</v>
      </c>
    </row>
    <row r="1737" spans="1:7" x14ac:dyDescent="0.25">
      <c r="A1737" s="10">
        <v>2025</v>
      </c>
      <c r="B1737" s="10" t="s">
        <v>133</v>
      </c>
      <c r="C1737" s="10" t="s">
        <v>160</v>
      </c>
      <c r="D1737" s="10" t="s">
        <v>120</v>
      </c>
      <c r="E1737" t="str">
        <f>VLOOKUP(D1737,'Lista de Produtos CLASSIFICAÇÃO'!$A$103:$B$144,2,FALSE)</f>
        <v>Derivados</v>
      </c>
      <c r="F1737" s="53">
        <v>1971343</v>
      </c>
      <c r="G1737" s="56" t="str">
        <f>VLOOKUP(C1737,clientes!$C$3:$D$60,2,FALSE)</f>
        <v>VIBRA</v>
      </c>
    </row>
    <row r="1738" spans="1:7" x14ac:dyDescent="0.25">
      <c r="A1738" s="10">
        <v>2025</v>
      </c>
      <c r="B1738" s="10" t="s">
        <v>133</v>
      </c>
      <c r="C1738" s="10" t="s">
        <v>161</v>
      </c>
      <c r="D1738" s="10" t="s">
        <v>120</v>
      </c>
      <c r="E1738" t="str">
        <f>VLOOKUP(D1738,'Lista de Produtos CLASSIFICAÇÃO'!$A$103:$B$144,2,FALSE)</f>
        <v>Derivados</v>
      </c>
      <c r="F1738" s="53">
        <v>3059732</v>
      </c>
      <c r="G1738" s="56" t="str">
        <f>VLOOKUP(C1738,clientes!$C$3:$D$60,2,FALSE)</f>
        <v>SUL PLATA</v>
      </c>
    </row>
    <row r="1739" spans="1:7" x14ac:dyDescent="0.25">
      <c r="A1739" s="10">
        <v>2025</v>
      </c>
      <c r="B1739" s="10" t="s">
        <v>133</v>
      </c>
      <c r="C1739" s="10" t="s">
        <v>162</v>
      </c>
      <c r="D1739" s="10" t="s">
        <v>115</v>
      </c>
      <c r="E1739" t="str">
        <f>VLOOKUP(D1739,'Lista de Produtos CLASSIFICAÇÃO'!$A$103:$B$144,2,FALSE)</f>
        <v>Soda Caustica</v>
      </c>
      <c r="F1739" s="53">
        <v>243956</v>
      </c>
      <c r="G1739" s="56" t="str">
        <f>VLOOKUP(C1739,clientes!$C$3:$D$60,2,FALSE)</f>
        <v>JBS</v>
      </c>
    </row>
    <row r="1740" spans="1:7" x14ac:dyDescent="0.25">
      <c r="A1740" s="10">
        <v>2025</v>
      </c>
      <c r="B1740" s="10" t="s">
        <v>133</v>
      </c>
      <c r="C1740" s="10" t="s">
        <v>163</v>
      </c>
      <c r="D1740" t="s">
        <v>115</v>
      </c>
      <c r="E1740" t="str">
        <f>VLOOKUP(D1740,'Lista de Produtos CLASSIFICAÇÃO'!$A$103:$B$144,2,FALSE)</f>
        <v>Soda Caustica</v>
      </c>
      <c r="F1740" s="53">
        <v>406299</v>
      </c>
      <c r="G1740" s="56" t="str">
        <f>VLOOKUP(C1740,clientes!$C$3:$D$60,2,FALSE)</f>
        <v>TRICON ENERGY</v>
      </c>
    </row>
    <row r="1741" spans="1:7" x14ac:dyDescent="0.25">
      <c r="A1741" s="10">
        <v>2025</v>
      </c>
      <c r="B1741" s="10" t="s">
        <v>133</v>
      </c>
      <c r="C1741" s="10" t="s">
        <v>164</v>
      </c>
      <c r="D1741" t="s">
        <v>115</v>
      </c>
      <c r="E1741" t="str">
        <f>VLOOKUP(D1741,'Lista de Produtos CLASSIFICAÇÃO'!$A$103:$B$144,2,FALSE)</f>
        <v>Soda Caustica</v>
      </c>
      <c r="F1741" s="53">
        <v>220436</v>
      </c>
      <c r="G1741" s="56" t="str">
        <f>VLOOKUP(C1741,clientes!$C$3:$D$60,2,FALSE)</f>
        <v>BRASKEM</v>
      </c>
    </row>
    <row r="1742" spans="1:7" x14ac:dyDescent="0.25">
      <c r="A1742" s="10">
        <v>2025</v>
      </c>
      <c r="B1742" s="10" t="s">
        <v>133</v>
      </c>
      <c r="C1742" s="10" t="s">
        <v>165</v>
      </c>
      <c r="D1742" s="10" t="s">
        <v>123</v>
      </c>
      <c r="E1742" t="str">
        <f>VLOOKUP(D1742,'Lista de Produtos CLASSIFICAÇÃO'!$A$103:$B$144,2,FALSE)</f>
        <v>Aquecidos</v>
      </c>
      <c r="F1742" s="53">
        <v>983040</v>
      </c>
      <c r="G1742" s="56" t="str">
        <f>VLOOKUP(C1742,clientes!$C$3:$D$60,2,FALSE)</f>
        <v>BRF</v>
      </c>
    </row>
    <row r="1743" spans="1:7" x14ac:dyDescent="0.25">
      <c r="A1743" s="10">
        <v>2025</v>
      </c>
      <c r="B1743" s="10" t="s">
        <v>133</v>
      </c>
      <c r="C1743" s="10" t="s">
        <v>162</v>
      </c>
      <c r="D1743" s="10" t="s">
        <v>123</v>
      </c>
      <c r="E1743" t="str">
        <f>VLOOKUP(D1743,'Lista de Produtos CLASSIFICAÇÃO'!$A$103:$B$144,2,FALSE)</f>
        <v>Aquecidos</v>
      </c>
      <c r="F1743" s="53">
        <v>569771</v>
      </c>
      <c r="G1743" s="56" t="str">
        <f>VLOOKUP(C1743,clientes!$C$3:$D$60,2,FALSE)</f>
        <v>JBS</v>
      </c>
    </row>
    <row r="1744" spans="1:7" x14ac:dyDescent="0.25">
      <c r="A1744" s="10">
        <v>2025</v>
      </c>
      <c r="B1744" s="10" t="s">
        <v>133</v>
      </c>
      <c r="C1744" s="10" t="s">
        <v>166</v>
      </c>
      <c r="D1744" s="10" t="s">
        <v>123</v>
      </c>
      <c r="E1744" t="str">
        <f>VLOOKUP(D1744,'Lista de Produtos CLASSIFICAÇÃO'!$A$103:$B$144,2,FALSE)</f>
        <v>Aquecidos</v>
      </c>
      <c r="F1744" s="53">
        <v>537650</v>
      </c>
      <c r="G1744" s="56" t="str">
        <f>VLOOKUP(C1744,clientes!$C$3:$D$60,2,FALSE)</f>
        <v>CARGILL</v>
      </c>
    </row>
    <row r="1745" spans="1:7" x14ac:dyDescent="0.25">
      <c r="A1745" s="10">
        <v>2025</v>
      </c>
      <c r="B1745" s="10" t="s">
        <v>133</v>
      </c>
      <c r="C1745" s="10" t="s">
        <v>167</v>
      </c>
      <c r="D1745" s="10" t="s">
        <v>122</v>
      </c>
      <c r="E1745" t="str">
        <f>VLOOKUP(D1745,'Lista de Produtos CLASSIFICAÇÃO'!$A$103:$B$144,2,FALSE)</f>
        <v>Óleo Vegetal</v>
      </c>
      <c r="F1745" s="53">
        <v>4700420</v>
      </c>
      <c r="G1745" s="56" t="str">
        <f>VLOOKUP(C1745,clientes!$C$3:$D$60,2,FALSE)</f>
        <v>POOL</v>
      </c>
    </row>
    <row r="1746" spans="1:7" x14ac:dyDescent="0.25">
      <c r="A1746" s="10">
        <v>2025</v>
      </c>
      <c r="B1746" s="10" t="s">
        <v>133</v>
      </c>
      <c r="C1746" s="10" t="s">
        <v>168</v>
      </c>
      <c r="D1746" s="10" t="s">
        <v>122</v>
      </c>
      <c r="E1746" t="str">
        <f>VLOOKUP(D1746,'Lista de Produtos CLASSIFICAÇÃO'!$A$103:$B$144,2,FALSE)</f>
        <v>Óleo Vegetal</v>
      </c>
      <c r="F1746" s="53">
        <v>0</v>
      </c>
      <c r="G1746" s="56" t="str">
        <f>VLOOKUP(C1746,clientes!$C$3:$D$60,2,FALSE)</f>
        <v>POOL EXCEDENTE</v>
      </c>
    </row>
    <row r="1747" spans="1:7" x14ac:dyDescent="0.25">
      <c r="A1747" s="10">
        <v>2025</v>
      </c>
      <c r="B1747" s="10" t="s">
        <v>133</v>
      </c>
      <c r="C1747" s="10" t="s">
        <v>169</v>
      </c>
      <c r="D1747" s="10" t="s">
        <v>22</v>
      </c>
      <c r="E1747" t="str">
        <f>VLOOKUP(D1747,'Lista de Produtos CLASSIFICAÇÃO'!$A$103:$B$144,2,FALSE)</f>
        <v>Metanol</v>
      </c>
      <c r="F1747" s="53">
        <v>7893225</v>
      </c>
      <c r="G1747" s="56" t="str">
        <f>VLOOKUP(C1747,clientes!$C$3:$D$60,2,FALSE)</f>
        <v>METHANEX</v>
      </c>
    </row>
    <row r="1748" spans="1:7" x14ac:dyDescent="0.25">
      <c r="A1748" s="10">
        <v>2025</v>
      </c>
      <c r="B1748" s="10" t="s">
        <v>133</v>
      </c>
      <c r="C1748" s="10" t="s">
        <v>170</v>
      </c>
      <c r="D1748" s="10" t="s">
        <v>22</v>
      </c>
      <c r="E1748" t="str">
        <f>VLOOKUP(D1748,'Lista de Produtos CLASSIFICAÇÃO'!$A$103:$B$144,2,FALSE)</f>
        <v>Metanol</v>
      </c>
      <c r="F1748" s="53">
        <v>5054137</v>
      </c>
      <c r="G1748" s="56" t="str">
        <f>VLOOKUP(C1748,clientes!$C$3:$D$60,2,FALSE)</f>
        <v>MITSUBISHI</v>
      </c>
    </row>
    <row r="1749" spans="1:7" x14ac:dyDescent="0.25">
      <c r="A1749" s="10">
        <v>2025</v>
      </c>
      <c r="B1749" s="10" t="s">
        <v>133</v>
      </c>
      <c r="C1749" s="10" t="s">
        <v>171</v>
      </c>
      <c r="D1749" s="10" t="s">
        <v>22</v>
      </c>
      <c r="E1749" t="str">
        <f>VLOOKUP(D1749,'Lista de Produtos CLASSIFICAÇÃO'!$A$103:$B$144,2,FALSE)</f>
        <v>Metanol</v>
      </c>
      <c r="F1749" s="53">
        <v>6057428</v>
      </c>
      <c r="G1749" s="56" t="str">
        <f>VLOOKUP(C1749,clientes!$C$3:$D$60,2,FALSE)</f>
        <v>VALENZ</v>
      </c>
    </row>
    <row r="1750" spans="1:7" x14ac:dyDescent="0.25">
      <c r="A1750" s="10">
        <v>2025</v>
      </c>
      <c r="B1750" s="10" t="s">
        <v>133</v>
      </c>
      <c r="C1750" s="10" t="s">
        <v>172</v>
      </c>
      <c r="D1750" s="10" t="s">
        <v>124</v>
      </c>
      <c r="E1750" t="str">
        <f>VLOOKUP(D1750,'Lista de Produtos CLASSIFICAÇÃO'!$A$103:$B$144,2,FALSE)</f>
        <v>Outros</v>
      </c>
      <c r="F1750" s="53">
        <v>439941</v>
      </c>
      <c r="G1750" s="56" t="str">
        <f>VLOOKUP(C1750,clientes!$C$3:$D$60,2,FALSE)</f>
        <v>EVONIK</v>
      </c>
    </row>
    <row r="1751" spans="1:7" x14ac:dyDescent="0.25">
      <c r="A1751" s="10">
        <v>2025</v>
      </c>
      <c r="B1751" s="10" t="s">
        <v>133</v>
      </c>
      <c r="C1751" s="10" t="s">
        <v>186</v>
      </c>
      <c r="D1751" s="10" t="s">
        <v>22</v>
      </c>
      <c r="E1751" t="str">
        <f>VLOOKUP(D1751,'Lista de Produtos CLASSIFICAÇÃO'!$A$103:$B$144,2,FALSE)</f>
        <v>Metanol</v>
      </c>
      <c r="F1751" s="53">
        <v>546830</v>
      </c>
      <c r="G1751" s="56" t="str">
        <f>VLOOKUP(C1751,clientes!$C$3:$D$60,2,FALSE)</f>
        <v>OQ TRADING</v>
      </c>
    </row>
    <row r="1752" spans="1:7" x14ac:dyDescent="0.25">
      <c r="A1752" s="10">
        <v>2025</v>
      </c>
      <c r="B1752" s="10" t="s">
        <v>133</v>
      </c>
      <c r="C1752" s="10" t="s">
        <v>174</v>
      </c>
      <c r="D1752" s="10" t="s">
        <v>123</v>
      </c>
      <c r="E1752" t="str">
        <f>VLOOKUP(D1752,'Lista de Produtos CLASSIFICAÇÃO'!$A$103:$B$144,2,FALSE)</f>
        <v>Aquecidos</v>
      </c>
      <c r="F1752" s="53">
        <v>2000426</v>
      </c>
      <c r="G1752" s="56" t="str">
        <f>VLOOKUP(C1752,clientes!$C$3:$D$60,2,FALSE)</f>
        <v>CELENA</v>
      </c>
    </row>
    <row r="1753" spans="1:7" x14ac:dyDescent="0.25">
      <c r="A1753" s="10">
        <v>2025</v>
      </c>
      <c r="B1753" s="10" t="s">
        <v>133</v>
      </c>
      <c r="C1753" s="10" t="s">
        <v>175</v>
      </c>
      <c r="D1753" s="10" t="s">
        <v>123</v>
      </c>
      <c r="E1753" t="str">
        <f>VLOOKUP(D1753,'Lista de Produtos CLASSIFICAÇÃO'!$A$103:$B$144,2,FALSE)</f>
        <v>Aquecidos</v>
      </c>
      <c r="F1753" s="53">
        <v>846373</v>
      </c>
      <c r="G1753" s="56" t="str">
        <f>VLOOKUP(C1753,clientes!$C$3:$D$60,2,FALSE)</f>
        <v>AAK DO BRASIL</v>
      </c>
    </row>
    <row r="1754" spans="1:7" x14ac:dyDescent="0.25">
      <c r="A1754" s="10">
        <v>2025</v>
      </c>
      <c r="B1754" s="10" t="s">
        <v>133</v>
      </c>
      <c r="C1754" s="10" t="s">
        <v>166</v>
      </c>
      <c r="D1754" s="10" t="s">
        <v>122</v>
      </c>
      <c r="E1754" t="str">
        <f>VLOOKUP(D1754,'Lista de Produtos CLASSIFICAÇÃO'!$A$103:$B$144,2,FALSE)</f>
        <v>Óleo Vegetal</v>
      </c>
      <c r="F1754" s="53">
        <v>208762</v>
      </c>
      <c r="G1754" s="56" t="str">
        <f>VLOOKUP(C1754,clientes!$C$3:$D$60,2,FALSE)</f>
        <v>CARGILL</v>
      </c>
    </row>
    <row r="1755" spans="1:7" x14ac:dyDescent="0.25">
      <c r="A1755" s="10">
        <v>2025</v>
      </c>
      <c r="B1755" s="10" t="s">
        <v>133</v>
      </c>
      <c r="C1755" s="10" t="s">
        <v>176</v>
      </c>
      <c r="D1755" s="10" t="s">
        <v>123</v>
      </c>
      <c r="E1755" t="str">
        <f>VLOOKUP(D1755,'Lista de Produtos CLASSIFICAÇÃO'!$A$103:$B$144,2,FALSE)</f>
        <v>Aquecidos</v>
      </c>
      <c r="F1755" s="53">
        <v>466210</v>
      </c>
      <c r="G1755" s="56" t="str">
        <f>VLOOKUP(C1755,clientes!$C$3:$D$60,2,FALSE)</f>
        <v>AGROPALMA</v>
      </c>
    </row>
    <row r="1756" spans="1:7" x14ac:dyDescent="0.25">
      <c r="A1756" s="10">
        <v>2025</v>
      </c>
      <c r="B1756" s="10" t="s">
        <v>133</v>
      </c>
      <c r="C1756" s="10" t="s">
        <v>177</v>
      </c>
      <c r="D1756" s="10" t="s">
        <v>115</v>
      </c>
      <c r="E1756" t="str">
        <f>VLOOKUP(D1756,'Lista de Produtos CLASSIFICAÇÃO'!$A$103:$B$144,2,FALSE)</f>
        <v>Soda Caustica</v>
      </c>
      <c r="F1756" s="53">
        <v>306345</v>
      </c>
      <c r="G1756" s="56" t="str">
        <f>VLOOKUP(C1756,clientes!$C$3:$D$60,2,FALSE)</f>
        <v>BRENNTAG</v>
      </c>
    </row>
    <row r="1757" spans="1:7" x14ac:dyDescent="0.25">
      <c r="A1757" s="10">
        <v>2025</v>
      </c>
      <c r="B1757" s="10" t="s">
        <v>133</v>
      </c>
      <c r="C1757" s="10" t="s">
        <v>178</v>
      </c>
      <c r="D1757" s="10" t="s">
        <v>115</v>
      </c>
      <c r="E1757" t="str">
        <f>VLOOKUP(D1757,'Lista de Produtos CLASSIFICAÇÃO'!$A$103:$B$144,2,FALSE)</f>
        <v>Soda Caustica</v>
      </c>
      <c r="F1757" s="53">
        <v>1779629</v>
      </c>
      <c r="G1757" s="56" t="str">
        <f>VLOOKUP(C1757,clientes!$C$3:$D$60,2,FALSE)</f>
        <v>OLIN BLUE CUBE</v>
      </c>
    </row>
    <row r="1758" spans="1:7" x14ac:dyDescent="0.25">
      <c r="A1758" s="10">
        <v>2025</v>
      </c>
      <c r="B1758" s="10" t="s">
        <v>133</v>
      </c>
      <c r="C1758" s="10" t="s">
        <v>179</v>
      </c>
      <c r="D1758" s="10" t="s">
        <v>26</v>
      </c>
      <c r="E1758" t="str">
        <f>VLOOKUP(D1758,'Lista de Produtos CLASSIFICAÇÃO'!$A$103:$B$144,2,FALSE)</f>
        <v>Biocombustíveis</v>
      </c>
      <c r="F1758" s="53">
        <v>437969</v>
      </c>
      <c r="G1758" s="56" t="str">
        <f>VLOOKUP(C1758,clientes!$C$3:$D$60,2,FALSE)</f>
        <v>BSBIOS</v>
      </c>
    </row>
    <row r="1759" spans="1:7" x14ac:dyDescent="0.25">
      <c r="A1759" s="10">
        <v>2025</v>
      </c>
      <c r="B1759" s="10" t="s">
        <v>133</v>
      </c>
      <c r="C1759" s="10" t="s">
        <v>181</v>
      </c>
      <c r="D1759" s="10" t="s">
        <v>123</v>
      </c>
      <c r="E1759" t="str">
        <f>VLOOKUP(D1759,'Lista de Produtos CLASSIFICAÇÃO'!$A$103:$B$144,2,FALSE)</f>
        <v>Aquecidos</v>
      </c>
      <c r="F1759" s="53">
        <v>208225</v>
      </c>
      <c r="G1759" s="56" t="str">
        <f>VLOOKUP(C1759,clientes!$C$3:$D$60,2,FALSE)</f>
        <v>COAMO</v>
      </c>
    </row>
    <row r="1760" spans="1:7" x14ac:dyDescent="0.25">
      <c r="A1760" s="10">
        <v>2025</v>
      </c>
      <c r="B1760" s="10" t="s">
        <v>133</v>
      </c>
      <c r="C1760" s="10" t="s">
        <v>182</v>
      </c>
      <c r="D1760" s="10" t="s">
        <v>120</v>
      </c>
      <c r="E1760" t="str">
        <f>VLOOKUP(D1760,'Lista de Produtos CLASSIFICAÇÃO'!$A$103:$B$144,2,FALSE)</f>
        <v>Derivados</v>
      </c>
      <c r="F1760" s="53">
        <v>1147677</v>
      </c>
      <c r="G1760" s="56" t="str">
        <f>VLOOKUP(C1760,clientes!$C$3:$D$60,2,FALSE)</f>
        <v>ATEM</v>
      </c>
    </row>
    <row r="1761" spans="1:9" x14ac:dyDescent="0.25">
      <c r="A1761" s="10">
        <v>2025</v>
      </c>
      <c r="B1761" s="10" t="s">
        <v>133</v>
      </c>
      <c r="C1761" s="10" t="s">
        <v>184</v>
      </c>
      <c r="D1761" s="10" t="s">
        <v>122</v>
      </c>
      <c r="E1761" t="str">
        <f>VLOOKUP(D1761,'Lista de Produtos CLASSIFICAÇÃO'!$A$103:$B$144,2,FALSE)</f>
        <v>Óleo Vegetal</v>
      </c>
      <c r="F1761" s="53">
        <v>230660</v>
      </c>
      <c r="G1761" s="56" t="str">
        <f>VLOOKUP(C1761,clientes!$C$3:$D$60,2,FALSE)</f>
        <v>INGREDION</v>
      </c>
    </row>
    <row r="1762" spans="1:9" x14ac:dyDescent="0.25">
      <c r="A1762" s="10">
        <v>2025</v>
      </c>
      <c r="B1762" s="10" t="s">
        <v>133</v>
      </c>
      <c r="C1762" s="10" t="s">
        <v>185</v>
      </c>
      <c r="D1762" s="10" t="s">
        <v>120</v>
      </c>
      <c r="E1762" t="str">
        <f>VLOOKUP(D1762,'Lista de Produtos CLASSIFICAÇÃO'!$A$103:$B$144,2,FALSE)</f>
        <v>Derivados</v>
      </c>
      <c r="F1762" s="53">
        <v>1076739</v>
      </c>
      <c r="G1762" s="56" t="str">
        <f>VLOOKUP(C1762,clientes!$C$3:$D$60,2,FALSE)</f>
        <v>CIAPETRO</v>
      </c>
    </row>
    <row r="1763" spans="1:9" x14ac:dyDescent="0.25">
      <c r="A1763" s="10">
        <v>2025</v>
      </c>
      <c r="B1763" s="10" t="s">
        <v>133</v>
      </c>
      <c r="C1763" s="10" t="s">
        <v>187</v>
      </c>
      <c r="D1763" s="10" t="s">
        <v>121</v>
      </c>
      <c r="E1763" t="str">
        <f>VLOOKUP(D1763,'Lista de Produtos CLASSIFICAÇÃO'!$A$103:$B$144,2,FALSE)</f>
        <v>Biocombustíveis</v>
      </c>
      <c r="F1763" s="53">
        <v>900000</v>
      </c>
      <c r="G1763" s="56" t="str">
        <f>VLOOKUP(C1763,clientes!$C$3:$D$60,2,FALSE)</f>
        <v>TEREOS / INPASA / GLENCORE / FS</v>
      </c>
      <c r="I1763" s="64">
        <v>163199830.25</v>
      </c>
    </row>
    <row r="1764" spans="1:9" x14ac:dyDescent="0.25">
      <c r="A1764" s="10">
        <v>2025</v>
      </c>
      <c r="B1764" s="10" t="s">
        <v>133</v>
      </c>
      <c r="C1764" s="10" t="s">
        <v>188</v>
      </c>
      <c r="D1764" s="10" t="s">
        <v>123</v>
      </c>
      <c r="E1764" t="str">
        <f>VLOOKUP(D1764,'Lista de Produtos CLASSIFICAÇÃO'!$A$103:$B$144,2,FALSE)</f>
        <v>Aquecidos</v>
      </c>
      <c r="F1764" s="53">
        <v>608544</v>
      </c>
      <c r="G1764" s="56" t="str">
        <f>VLOOKUP(C1764,clientes!$C$3:$D$60,2,FALSE)</f>
        <v>ARES MERCHANTS PTE LIMITE</v>
      </c>
    </row>
    <row r="1765" spans="1:9" x14ac:dyDescent="0.25">
      <c r="A1765" s="10">
        <v>2025</v>
      </c>
      <c r="B1765" s="10" t="s">
        <v>133</v>
      </c>
      <c r="C1765" s="10" t="s">
        <v>18</v>
      </c>
      <c r="D1765" s="10" t="s">
        <v>17</v>
      </c>
      <c r="E1765" t="str">
        <f>VLOOKUP(D1765,'Lista de Produtos CLASSIFICAÇÃO'!$A$103:$B$144,2,FALSE)</f>
        <v>Acostagem</v>
      </c>
      <c r="F1765" s="53">
        <v>537930.50562499999</v>
      </c>
      <c r="G1765" s="56" t="str">
        <f>VLOOKUP(C1765,clientes!$C$3:$D$60,2,FALSE)</f>
        <v>ACOSTAGEM</v>
      </c>
    </row>
    <row r="1766" spans="1:9" x14ac:dyDescent="0.25">
      <c r="A1766" s="10">
        <v>2025</v>
      </c>
      <c r="B1766" s="10" t="s">
        <v>133</v>
      </c>
      <c r="C1766" s="10" t="s">
        <v>189</v>
      </c>
      <c r="D1766" t="s">
        <v>123</v>
      </c>
      <c r="E1766" t="str">
        <f>VLOOKUP(D1766,'Lista de Produtos CLASSIFICAÇÃO'!$A$103:$B$144,2,FALSE)</f>
        <v>Aquecidos</v>
      </c>
      <c r="F1766" s="53">
        <v>557826</v>
      </c>
      <c r="G1766" s="56" t="str">
        <f>VLOOKUP(C1766,clientes!$C$3:$D$60,2,FALSE)</f>
        <v>ICOF</v>
      </c>
    </row>
    <row r="1767" spans="1:9" x14ac:dyDescent="0.25">
      <c r="A1767" s="10">
        <v>2025</v>
      </c>
      <c r="B1767" s="10" t="s">
        <v>133</v>
      </c>
      <c r="C1767" s="10" t="s">
        <v>191</v>
      </c>
      <c r="D1767" t="s">
        <v>115</v>
      </c>
      <c r="E1767" t="str">
        <f>VLOOKUP(D1767,'Lista de Produtos CLASSIFICAÇÃO'!$A$103:$B$144,2,FALSE)</f>
        <v>Soda Caustica</v>
      </c>
      <c r="F1767" s="53">
        <v>158585</v>
      </c>
      <c r="G1767" s="56" t="str">
        <f>VLOOKUP(C1767,clientes!$C$3:$D$60,2,FALSE)</f>
        <v>GPC</v>
      </c>
    </row>
    <row r="1768" spans="1:9" x14ac:dyDescent="0.25">
      <c r="A1768" s="10">
        <v>2025</v>
      </c>
      <c r="B1768" s="10" t="s">
        <v>133</v>
      </c>
      <c r="C1768" s="10" t="s">
        <v>192</v>
      </c>
      <c r="D1768" s="10" t="s">
        <v>121</v>
      </c>
      <c r="E1768" t="str">
        <f>VLOOKUP(D1768,'Lista de Produtos CLASSIFICAÇÃO'!$A$103:$B$144,2,FALSE)</f>
        <v>Biocombustíveis</v>
      </c>
      <c r="F1768" s="53">
        <v>1477279</v>
      </c>
      <c r="G1768" s="56" t="str">
        <f>VLOOKUP(C1768,clientes!$C$3:$D$60,2,FALSE)</f>
        <v>INPASA</v>
      </c>
    </row>
    <row r="1769" spans="1:9" x14ac:dyDescent="0.25">
      <c r="A1769" s="10">
        <v>2025</v>
      </c>
      <c r="B1769" s="10" t="s">
        <v>134</v>
      </c>
      <c r="C1769" s="10" t="s">
        <v>155</v>
      </c>
      <c r="D1769" s="10" t="s">
        <v>16</v>
      </c>
      <c r="E1769" t="str">
        <f>VLOOKUP(D1769,'Lista de Produtos CLASSIFICAÇÃO'!$A$103:$B$144,2,FALSE)</f>
        <v>Outros</v>
      </c>
      <c r="F1769" s="53">
        <v>878484</v>
      </c>
      <c r="G1769" s="56" t="str">
        <f>VLOOKUP(C1769,clientes!$C$3:$D$60,2,FALSE)</f>
        <v>ADISSEO</v>
      </c>
    </row>
    <row r="1770" spans="1:9" x14ac:dyDescent="0.25">
      <c r="A1770" s="10">
        <v>2025</v>
      </c>
      <c r="B1770" s="10" t="s">
        <v>134</v>
      </c>
      <c r="C1770" s="10" t="s">
        <v>156</v>
      </c>
      <c r="D1770" s="10" t="s">
        <v>123</v>
      </c>
      <c r="E1770" t="str">
        <f>VLOOKUP(D1770,'Lista de Produtos CLASSIFICAÇÃO'!$A$103:$B$144,2,FALSE)</f>
        <v>Aquecidos</v>
      </c>
      <c r="F1770" s="53">
        <v>378593</v>
      </c>
      <c r="G1770" s="56" t="str">
        <f>VLOOKUP(C1770,clientes!$C$3:$D$60,2,FALSE)</f>
        <v>BUNGE</v>
      </c>
    </row>
    <row r="1771" spans="1:9" x14ac:dyDescent="0.25">
      <c r="A1771" s="10">
        <v>2025</v>
      </c>
      <c r="B1771" s="10" t="s">
        <v>134</v>
      </c>
      <c r="C1771" s="10" t="s">
        <v>157</v>
      </c>
      <c r="D1771" s="10" t="s">
        <v>122</v>
      </c>
      <c r="E1771" t="str">
        <f>VLOOKUP(D1771,'Lista de Produtos CLASSIFICAÇÃO'!$A$103:$B$144,2,FALSE)</f>
        <v>Óleo Vegetal</v>
      </c>
      <c r="F1771" s="53">
        <v>161866</v>
      </c>
      <c r="G1771" s="56" t="str">
        <f>VLOOKUP(C1771,clientes!$C$3:$D$60,2,FALSE)</f>
        <v>ADM</v>
      </c>
    </row>
    <row r="1772" spans="1:9" x14ac:dyDescent="0.25">
      <c r="A1772" s="10">
        <v>2025</v>
      </c>
      <c r="B1772" s="10" t="s">
        <v>134</v>
      </c>
      <c r="C1772" s="10" t="s">
        <v>158</v>
      </c>
      <c r="D1772" s="10" t="s">
        <v>120</v>
      </c>
      <c r="E1772" t="str">
        <f>VLOOKUP(D1772,'Lista de Produtos CLASSIFICAÇÃO'!$A$103:$B$144,2,FALSE)</f>
        <v>Derivados</v>
      </c>
      <c r="F1772" s="53">
        <v>5957914</v>
      </c>
      <c r="G1772" s="56" t="str">
        <f>VLOOKUP(C1772,clientes!$C$3:$D$60,2,FALSE)</f>
        <v>IPIRANGA</v>
      </c>
    </row>
    <row r="1773" spans="1:9" x14ac:dyDescent="0.25">
      <c r="A1773" s="10">
        <v>2025</v>
      </c>
      <c r="B1773" s="10" t="s">
        <v>134</v>
      </c>
      <c r="C1773" s="10" t="s">
        <v>159</v>
      </c>
      <c r="D1773" s="10" t="s">
        <v>120</v>
      </c>
      <c r="E1773" t="str">
        <f>VLOOKUP(D1773,'Lista de Produtos CLASSIFICAÇÃO'!$A$103:$B$144,2,FALSE)</f>
        <v>Derivados</v>
      </c>
      <c r="F1773" s="53">
        <v>3979329</v>
      </c>
      <c r="G1773" s="56" t="str">
        <f>VLOOKUP(C1773,clientes!$C$3:$D$60,2,FALSE)</f>
        <v>RAIZEN</v>
      </c>
    </row>
    <row r="1774" spans="1:9" x14ac:dyDescent="0.25">
      <c r="A1774" s="10">
        <v>2025</v>
      </c>
      <c r="B1774" s="10" t="s">
        <v>134</v>
      </c>
      <c r="C1774" s="10" t="s">
        <v>160</v>
      </c>
      <c r="D1774" s="10" t="s">
        <v>120</v>
      </c>
      <c r="E1774" t="str">
        <f>VLOOKUP(D1774,'Lista de Produtos CLASSIFICAÇÃO'!$A$103:$B$144,2,FALSE)</f>
        <v>Derivados</v>
      </c>
      <c r="F1774" s="53">
        <v>1971343</v>
      </c>
      <c r="G1774" s="56" t="str">
        <f>VLOOKUP(C1774,clientes!$C$3:$D$60,2,FALSE)</f>
        <v>VIBRA</v>
      </c>
    </row>
    <row r="1775" spans="1:9" x14ac:dyDescent="0.25">
      <c r="A1775" s="10">
        <v>2025</v>
      </c>
      <c r="B1775" s="10" t="s">
        <v>134</v>
      </c>
      <c r="C1775" s="10" t="s">
        <v>161</v>
      </c>
      <c r="D1775" s="10" t="s">
        <v>120</v>
      </c>
      <c r="E1775" t="str">
        <f>VLOOKUP(D1775,'Lista de Produtos CLASSIFICAÇÃO'!$A$103:$B$144,2,FALSE)</f>
        <v>Derivados</v>
      </c>
      <c r="F1775" s="53">
        <v>3059732</v>
      </c>
      <c r="G1775" s="56" t="str">
        <f>VLOOKUP(C1775,clientes!$C$3:$D$60,2,FALSE)</f>
        <v>SUL PLATA</v>
      </c>
    </row>
    <row r="1776" spans="1:9" x14ac:dyDescent="0.25">
      <c r="A1776" s="10">
        <v>2025</v>
      </c>
      <c r="B1776" s="10" t="s">
        <v>134</v>
      </c>
      <c r="C1776" s="10" t="s">
        <v>162</v>
      </c>
      <c r="D1776" s="10" t="s">
        <v>115</v>
      </c>
      <c r="E1776" t="str">
        <f>VLOOKUP(D1776,'Lista de Produtos CLASSIFICAÇÃO'!$A$103:$B$144,2,FALSE)</f>
        <v>Soda Caustica</v>
      </c>
      <c r="F1776" s="53">
        <v>243956</v>
      </c>
      <c r="G1776" s="56" t="str">
        <f>VLOOKUP(C1776,clientes!$C$3:$D$60,2,FALSE)</f>
        <v>JBS</v>
      </c>
    </row>
    <row r="1777" spans="1:7" x14ac:dyDescent="0.25">
      <c r="A1777" s="10">
        <v>2025</v>
      </c>
      <c r="B1777" s="10" t="s">
        <v>134</v>
      </c>
      <c r="C1777" s="10" t="s">
        <v>163</v>
      </c>
      <c r="D1777" t="s">
        <v>115</v>
      </c>
      <c r="E1777" t="str">
        <f>VLOOKUP(D1777,'Lista de Produtos CLASSIFICAÇÃO'!$A$103:$B$144,2,FALSE)</f>
        <v>Soda Caustica</v>
      </c>
      <c r="F1777" s="53">
        <v>406299</v>
      </c>
      <c r="G1777" s="56" t="str">
        <f>VLOOKUP(C1777,clientes!$C$3:$D$60,2,FALSE)</f>
        <v>TRICON ENERGY</v>
      </c>
    </row>
    <row r="1778" spans="1:7" x14ac:dyDescent="0.25">
      <c r="A1778" s="10">
        <v>2025</v>
      </c>
      <c r="B1778" s="10" t="s">
        <v>134</v>
      </c>
      <c r="C1778" s="10" t="s">
        <v>164</v>
      </c>
      <c r="D1778" t="s">
        <v>115</v>
      </c>
      <c r="E1778" t="str">
        <f>VLOOKUP(D1778,'Lista de Produtos CLASSIFICAÇÃO'!$A$103:$B$144,2,FALSE)</f>
        <v>Soda Caustica</v>
      </c>
      <c r="F1778" s="53">
        <v>220436</v>
      </c>
      <c r="G1778" s="56" t="str">
        <f>VLOOKUP(C1778,clientes!$C$3:$D$60,2,FALSE)</f>
        <v>BRASKEM</v>
      </c>
    </row>
    <row r="1779" spans="1:7" x14ac:dyDescent="0.25">
      <c r="A1779" s="10">
        <v>2025</v>
      </c>
      <c r="B1779" s="10" t="s">
        <v>134</v>
      </c>
      <c r="C1779" s="10" t="s">
        <v>165</v>
      </c>
      <c r="D1779" s="10" t="s">
        <v>123</v>
      </c>
      <c r="E1779" t="str">
        <f>VLOOKUP(D1779,'Lista de Produtos CLASSIFICAÇÃO'!$A$103:$B$144,2,FALSE)</f>
        <v>Aquecidos</v>
      </c>
      <c r="F1779" s="53">
        <v>983040</v>
      </c>
      <c r="G1779" s="56" t="str">
        <f>VLOOKUP(C1779,clientes!$C$3:$D$60,2,FALSE)</f>
        <v>BRF</v>
      </c>
    </row>
    <row r="1780" spans="1:7" x14ac:dyDescent="0.25">
      <c r="A1780" s="10">
        <v>2025</v>
      </c>
      <c r="B1780" s="10" t="s">
        <v>134</v>
      </c>
      <c r="C1780" s="10" t="s">
        <v>162</v>
      </c>
      <c r="D1780" s="10" t="s">
        <v>123</v>
      </c>
      <c r="E1780" t="str">
        <f>VLOOKUP(D1780,'Lista de Produtos CLASSIFICAÇÃO'!$A$103:$B$144,2,FALSE)</f>
        <v>Aquecidos</v>
      </c>
      <c r="F1780" s="53">
        <v>569771</v>
      </c>
      <c r="G1780" s="56" t="str">
        <f>VLOOKUP(C1780,clientes!$C$3:$D$60,2,FALSE)</f>
        <v>JBS</v>
      </c>
    </row>
    <row r="1781" spans="1:7" x14ac:dyDescent="0.25">
      <c r="A1781" s="10">
        <v>2025</v>
      </c>
      <c r="B1781" s="10" t="s">
        <v>134</v>
      </c>
      <c r="C1781" s="10" t="s">
        <v>166</v>
      </c>
      <c r="D1781" s="10" t="s">
        <v>123</v>
      </c>
      <c r="E1781" t="str">
        <f>VLOOKUP(D1781,'Lista de Produtos CLASSIFICAÇÃO'!$A$103:$B$144,2,FALSE)</f>
        <v>Aquecidos</v>
      </c>
      <c r="F1781" s="53">
        <v>537650</v>
      </c>
      <c r="G1781" s="56" t="str">
        <f>VLOOKUP(C1781,clientes!$C$3:$D$60,2,FALSE)</f>
        <v>CARGILL</v>
      </c>
    </row>
    <row r="1782" spans="1:7" x14ac:dyDescent="0.25">
      <c r="A1782" s="10">
        <v>2025</v>
      </c>
      <c r="B1782" s="10" t="s">
        <v>134</v>
      </c>
      <c r="C1782" s="10" t="s">
        <v>167</v>
      </c>
      <c r="D1782" s="10" t="s">
        <v>122</v>
      </c>
      <c r="E1782" t="str">
        <f>VLOOKUP(D1782,'Lista de Produtos CLASSIFICAÇÃO'!$A$103:$B$144,2,FALSE)</f>
        <v>Óleo Vegetal</v>
      </c>
      <c r="F1782" s="53">
        <v>2971893</v>
      </c>
      <c r="G1782" s="56" t="str">
        <f>VLOOKUP(C1782,clientes!$C$3:$D$60,2,FALSE)</f>
        <v>POOL</v>
      </c>
    </row>
    <row r="1783" spans="1:7" x14ac:dyDescent="0.25">
      <c r="A1783" s="10">
        <v>2025</v>
      </c>
      <c r="B1783" s="10" t="s">
        <v>134</v>
      </c>
      <c r="C1783" s="10" t="s">
        <v>168</v>
      </c>
      <c r="D1783" s="10" t="s">
        <v>122</v>
      </c>
      <c r="E1783" t="str">
        <f>VLOOKUP(D1783,'Lista de Produtos CLASSIFICAÇÃO'!$A$103:$B$144,2,FALSE)</f>
        <v>Óleo Vegetal</v>
      </c>
      <c r="F1783" s="53">
        <v>86043</v>
      </c>
      <c r="G1783" s="56" t="str">
        <f>VLOOKUP(C1783,clientes!$C$3:$D$60,2,FALSE)</f>
        <v>POOL EXCEDENTE</v>
      </c>
    </row>
    <row r="1784" spans="1:7" x14ac:dyDescent="0.25">
      <c r="A1784" s="10">
        <v>2025</v>
      </c>
      <c r="B1784" s="10" t="s">
        <v>134</v>
      </c>
      <c r="C1784" s="10" t="s">
        <v>169</v>
      </c>
      <c r="D1784" s="10" t="s">
        <v>22</v>
      </c>
      <c r="E1784" t="str">
        <f>VLOOKUP(D1784,'Lista de Produtos CLASSIFICAÇÃO'!$A$103:$B$144,2,FALSE)</f>
        <v>Metanol</v>
      </c>
      <c r="F1784" s="53">
        <v>7893225</v>
      </c>
      <c r="G1784" s="56" t="str">
        <f>VLOOKUP(C1784,clientes!$C$3:$D$60,2,FALSE)</f>
        <v>METHANEX</v>
      </c>
    </row>
    <row r="1785" spans="1:7" x14ac:dyDescent="0.25">
      <c r="A1785" s="10">
        <v>2025</v>
      </c>
      <c r="B1785" s="10" t="s">
        <v>134</v>
      </c>
      <c r="C1785" s="10" t="s">
        <v>170</v>
      </c>
      <c r="D1785" s="10" t="s">
        <v>22</v>
      </c>
      <c r="E1785" t="str">
        <f>VLOOKUP(D1785,'Lista de Produtos CLASSIFICAÇÃO'!$A$103:$B$144,2,FALSE)</f>
        <v>Metanol</v>
      </c>
      <c r="F1785" s="53">
        <v>5054137</v>
      </c>
      <c r="G1785" s="56" t="str">
        <f>VLOOKUP(C1785,clientes!$C$3:$D$60,2,FALSE)</f>
        <v>MITSUBISHI</v>
      </c>
    </row>
    <row r="1786" spans="1:7" x14ac:dyDescent="0.25">
      <c r="A1786" s="10">
        <v>2025</v>
      </c>
      <c r="B1786" s="10" t="s">
        <v>134</v>
      </c>
      <c r="C1786" s="10" t="s">
        <v>171</v>
      </c>
      <c r="D1786" s="10" t="s">
        <v>22</v>
      </c>
      <c r="E1786" t="str">
        <f>VLOOKUP(D1786,'Lista de Produtos CLASSIFICAÇÃO'!$A$103:$B$144,2,FALSE)</f>
        <v>Metanol</v>
      </c>
      <c r="F1786" s="53">
        <v>6057428</v>
      </c>
      <c r="G1786" s="56" t="str">
        <f>VLOOKUP(C1786,clientes!$C$3:$D$60,2,FALSE)</f>
        <v>VALENZ</v>
      </c>
    </row>
    <row r="1787" spans="1:7" x14ac:dyDescent="0.25">
      <c r="A1787" s="10">
        <v>2025</v>
      </c>
      <c r="B1787" s="10" t="s">
        <v>134</v>
      </c>
      <c r="C1787" s="10" t="s">
        <v>172</v>
      </c>
      <c r="D1787" s="10" t="s">
        <v>124</v>
      </c>
      <c r="E1787" t="str">
        <f>VLOOKUP(D1787,'Lista de Produtos CLASSIFICAÇÃO'!$A$103:$B$144,2,FALSE)</f>
        <v>Outros</v>
      </c>
      <c r="F1787" s="53">
        <v>439941</v>
      </c>
      <c r="G1787" s="56" t="str">
        <f>VLOOKUP(C1787,clientes!$C$3:$D$60,2,FALSE)</f>
        <v>EVONIK</v>
      </c>
    </row>
    <row r="1788" spans="1:7" x14ac:dyDescent="0.25">
      <c r="A1788" s="10">
        <v>2025</v>
      </c>
      <c r="B1788" s="10" t="s">
        <v>134</v>
      </c>
      <c r="C1788" s="10" t="s">
        <v>186</v>
      </c>
      <c r="D1788" s="10" t="s">
        <v>22</v>
      </c>
      <c r="E1788" t="str">
        <f>VLOOKUP(D1788,'Lista de Produtos CLASSIFICAÇÃO'!$A$103:$B$144,2,FALSE)</f>
        <v>Metanol</v>
      </c>
      <c r="F1788" s="53">
        <v>546830</v>
      </c>
      <c r="G1788" s="56" t="str">
        <f>VLOOKUP(C1788,clientes!$C$3:$D$60,2,FALSE)</f>
        <v>OQ TRADING</v>
      </c>
    </row>
    <row r="1789" spans="1:7" x14ac:dyDescent="0.25">
      <c r="A1789" s="10">
        <v>2025</v>
      </c>
      <c r="B1789" s="10" t="s">
        <v>134</v>
      </c>
      <c r="C1789" s="10" t="s">
        <v>174</v>
      </c>
      <c r="D1789" s="10" t="s">
        <v>123</v>
      </c>
      <c r="E1789" t="str">
        <f>VLOOKUP(D1789,'Lista de Produtos CLASSIFICAÇÃO'!$A$103:$B$144,2,FALSE)</f>
        <v>Aquecidos</v>
      </c>
      <c r="F1789" s="53">
        <v>2000426</v>
      </c>
      <c r="G1789" s="56" t="str">
        <f>VLOOKUP(C1789,clientes!$C$3:$D$60,2,FALSE)</f>
        <v>CELENA</v>
      </c>
    </row>
    <row r="1790" spans="1:7" x14ac:dyDescent="0.25">
      <c r="A1790" s="10">
        <v>2025</v>
      </c>
      <c r="B1790" s="10" t="s">
        <v>134</v>
      </c>
      <c r="C1790" s="10" t="s">
        <v>175</v>
      </c>
      <c r="D1790" s="10" t="s">
        <v>123</v>
      </c>
      <c r="E1790" t="str">
        <f>VLOOKUP(D1790,'Lista de Produtos CLASSIFICAÇÃO'!$A$103:$B$144,2,FALSE)</f>
        <v>Aquecidos</v>
      </c>
      <c r="F1790" s="53">
        <v>846373</v>
      </c>
      <c r="G1790" s="56" t="str">
        <f>VLOOKUP(C1790,clientes!$C$3:$D$60,2,FALSE)</f>
        <v>AAK DO BRASIL</v>
      </c>
    </row>
    <row r="1791" spans="1:7" x14ac:dyDescent="0.25">
      <c r="A1791" s="10">
        <v>2025</v>
      </c>
      <c r="B1791" s="10" t="s">
        <v>134</v>
      </c>
      <c r="C1791" s="10" t="s">
        <v>166</v>
      </c>
      <c r="D1791" s="10" t="s">
        <v>122</v>
      </c>
      <c r="E1791" t="str">
        <f>VLOOKUP(D1791,'Lista de Produtos CLASSIFICAÇÃO'!$A$103:$B$144,2,FALSE)</f>
        <v>Óleo Vegetal</v>
      </c>
      <c r="F1791" s="53">
        <v>245362</v>
      </c>
      <c r="G1791" s="56" t="str">
        <f>VLOOKUP(C1791,clientes!$C$3:$D$60,2,FALSE)</f>
        <v>CARGILL</v>
      </c>
    </row>
    <row r="1792" spans="1:7" x14ac:dyDescent="0.25">
      <c r="A1792" s="10">
        <v>2025</v>
      </c>
      <c r="B1792" s="10" t="s">
        <v>134</v>
      </c>
      <c r="C1792" s="10" t="s">
        <v>176</v>
      </c>
      <c r="D1792" s="10" t="s">
        <v>123</v>
      </c>
      <c r="E1792" t="str">
        <f>VLOOKUP(D1792,'Lista de Produtos CLASSIFICAÇÃO'!$A$103:$B$144,2,FALSE)</f>
        <v>Aquecidos</v>
      </c>
      <c r="F1792" s="53">
        <v>466210</v>
      </c>
      <c r="G1792" s="56" t="str">
        <f>VLOOKUP(C1792,clientes!$C$3:$D$60,2,FALSE)</f>
        <v>AGROPALMA</v>
      </c>
    </row>
    <row r="1793" spans="1:7" x14ac:dyDescent="0.25">
      <c r="A1793" s="10">
        <v>2025</v>
      </c>
      <c r="B1793" s="10" t="s">
        <v>134</v>
      </c>
      <c r="C1793" s="10" t="s">
        <v>177</v>
      </c>
      <c r="D1793" s="10" t="s">
        <v>115</v>
      </c>
      <c r="E1793" t="str">
        <f>VLOOKUP(D1793,'Lista de Produtos CLASSIFICAÇÃO'!$A$103:$B$144,2,FALSE)</f>
        <v>Soda Caustica</v>
      </c>
      <c r="F1793" s="53">
        <v>306345</v>
      </c>
      <c r="G1793" s="56" t="str">
        <f>VLOOKUP(C1793,clientes!$C$3:$D$60,2,FALSE)</f>
        <v>BRENNTAG</v>
      </c>
    </row>
    <row r="1794" spans="1:7" x14ac:dyDescent="0.25">
      <c r="A1794" s="10">
        <v>2025</v>
      </c>
      <c r="B1794" s="10" t="s">
        <v>134</v>
      </c>
      <c r="C1794" s="10" t="s">
        <v>178</v>
      </c>
      <c r="D1794" s="10" t="s">
        <v>115</v>
      </c>
      <c r="E1794" t="str">
        <f>VLOOKUP(D1794,'Lista de Produtos CLASSIFICAÇÃO'!$A$103:$B$144,2,FALSE)</f>
        <v>Soda Caustica</v>
      </c>
      <c r="F1794" s="53">
        <v>1779629</v>
      </c>
      <c r="G1794" s="56" t="str">
        <f>VLOOKUP(C1794,clientes!$C$3:$D$60,2,FALSE)</f>
        <v>OLIN BLUE CUBE</v>
      </c>
    </row>
    <row r="1795" spans="1:7" x14ac:dyDescent="0.25">
      <c r="A1795" s="10">
        <v>2025</v>
      </c>
      <c r="B1795" s="10" t="s">
        <v>134</v>
      </c>
      <c r="C1795" s="10" t="s">
        <v>179</v>
      </c>
      <c r="D1795" s="10" t="s">
        <v>26</v>
      </c>
      <c r="E1795" t="str">
        <f>VLOOKUP(D1795,'Lista de Produtos CLASSIFICAÇÃO'!$A$103:$B$144,2,FALSE)</f>
        <v>Biocombustíveis</v>
      </c>
      <c r="F1795" s="53">
        <v>437969</v>
      </c>
      <c r="G1795" s="56" t="str">
        <f>VLOOKUP(C1795,clientes!$C$3:$D$60,2,FALSE)</f>
        <v>BSBIOS</v>
      </c>
    </row>
    <row r="1796" spans="1:7" x14ac:dyDescent="0.25">
      <c r="A1796" s="10">
        <v>2025</v>
      </c>
      <c r="B1796" s="10" t="s">
        <v>134</v>
      </c>
      <c r="C1796" s="10" t="s">
        <v>181</v>
      </c>
      <c r="D1796" s="10" t="s">
        <v>123</v>
      </c>
      <c r="E1796" t="str">
        <f>VLOOKUP(D1796,'Lista de Produtos CLASSIFICAÇÃO'!$A$103:$B$144,2,FALSE)</f>
        <v>Aquecidos</v>
      </c>
      <c r="F1796" s="53">
        <v>208225</v>
      </c>
      <c r="G1796" s="56" t="str">
        <f>VLOOKUP(C1796,clientes!$C$3:$D$60,2,FALSE)</f>
        <v>COAMO</v>
      </c>
    </row>
    <row r="1797" spans="1:7" x14ac:dyDescent="0.25">
      <c r="A1797" s="10">
        <v>2025</v>
      </c>
      <c r="B1797" s="10" t="s">
        <v>134</v>
      </c>
      <c r="C1797" s="10" t="s">
        <v>182</v>
      </c>
      <c r="D1797" s="10" t="s">
        <v>120</v>
      </c>
      <c r="E1797" t="str">
        <f>VLOOKUP(D1797,'Lista de Produtos CLASSIFICAÇÃO'!$A$103:$B$144,2,FALSE)</f>
        <v>Derivados</v>
      </c>
      <c r="F1797" s="53">
        <v>1147677</v>
      </c>
      <c r="G1797" s="56" t="str">
        <f>VLOOKUP(C1797,clientes!$C$3:$D$60,2,FALSE)</f>
        <v>ATEM</v>
      </c>
    </row>
    <row r="1798" spans="1:7" x14ac:dyDescent="0.25">
      <c r="A1798" s="10">
        <v>2025</v>
      </c>
      <c r="B1798" s="10" t="s">
        <v>134</v>
      </c>
      <c r="C1798" s="10" t="s">
        <v>184</v>
      </c>
      <c r="D1798" s="10" t="s">
        <v>122</v>
      </c>
      <c r="E1798" t="str">
        <f>VLOOKUP(D1798,'Lista de Produtos CLASSIFICAÇÃO'!$A$103:$B$144,2,FALSE)</f>
        <v>Óleo Vegetal</v>
      </c>
      <c r="F1798" s="53">
        <v>290026</v>
      </c>
      <c r="G1798" s="56" t="str">
        <f>VLOOKUP(C1798,clientes!$C$3:$D$60,2,FALSE)</f>
        <v>INGREDION</v>
      </c>
    </row>
    <row r="1799" spans="1:7" x14ac:dyDescent="0.25">
      <c r="A1799" s="10">
        <v>2025</v>
      </c>
      <c r="B1799" s="10" t="s">
        <v>134</v>
      </c>
      <c r="C1799" s="10" t="s">
        <v>185</v>
      </c>
      <c r="D1799" s="10" t="s">
        <v>120</v>
      </c>
      <c r="E1799" t="str">
        <f>VLOOKUP(D1799,'Lista de Produtos CLASSIFICAÇÃO'!$A$103:$B$144,2,FALSE)</f>
        <v>Derivados</v>
      </c>
      <c r="F1799" s="53">
        <v>1076739</v>
      </c>
      <c r="G1799" s="56" t="str">
        <f>VLOOKUP(C1799,clientes!$C$3:$D$60,2,FALSE)</f>
        <v>CIAPETRO</v>
      </c>
    </row>
    <row r="1800" spans="1:7" x14ac:dyDescent="0.25">
      <c r="A1800" s="10">
        <v>2025</v>
      </c>
      <c r="B1800" s="10" t="s">
        <v>134</v>
      </c>
      <c r="C1800" s="10" t="s">
        <v>187</v>
      </c>
      <c r="D1800" s="10" t="s">
        <v>121</v>
      </c>
      <c r="E1800" t="str">
        <f>VLOOKUP(D1800,'Lista de Produtos CLASSIFICAÇÃO'!$A$103:$B$144,2,FALSE)</f>
        <v>Biocombustíveis</v>
      </c>
      <c r="F1800" s="53">
        <v>900000</v>
      </c>
      <c r="G1800" s="56" t="str">
        <f>VLOOKUP(C1800,clientes!$C$3:$D$60,2,FALSE)</f>
        <v>TEREOS / INPASA / GLENCORE / FS</v>
      </c>
    </row>
    <row r="1801" spans="1:7" x14ac:dyDescent="0.25">
      <c r="A1801" s="10">
        <v>2025</v>
      </c>
      <c r="B1801" s="10" t="s">
        <v>134</v>
      </c>
      <c r="C1801" s="10" t="s">
        <v>188</v>
      </c>
      <c r="D1801" s="10" t="s">
        <v>123</v>
      </c>
      <c r="E1801" t="str">
        <f>VLOOKUP(D1801,'Lista de Produtos CLASSIFICAÇÃO'!$A$103:$B$144,2,FALSE)</f>
        <v>Aquecidos</v>
      </c>
      <c r="F1801" s="53">
        <v>608544</v>
      </c>
      <c r="G1801" s="56" t="str">
        <f>VLOOKUP(C1801,clientes!$C$3:$D$60,2,FALSE)</f>
        <v>ARES MERCHANTS PTE LIMITE</v>
      </c>
    </row>
    <row r="1802" spans="1:7" x14ac:dyDescent="0.25">
      <c r="A1802" s="10">
        <v>2025</v>
      </c>
      <c r="B1802" s="10" t="s">
        <v>134</v>
      </c>
      <c r="C1802" s="10" t="s">
        <v>18</v>
      </c>
      <c r="D1802" s="10" t="s">
        <v>17</v>
      </c>
      <c r="E1802" t="str">
        <f>VLOOKUP(D1802,'Lista de Produtos CLASSIFICAÇÃO'!$A$103:$B$144,2,FALSE)</f>
        <v>Acostagem</v>
      </c>
      <c r="F1802" s="53">
        <v>495359.14125000004</v>
      </c>
      <c r="G1802" s="56" t="str">
        <f>VLOOKUP(C1802,clientes!$C$3:$D$60,2,FALSE)</f>
        <v>ACOSTAGEM</v>
      </c>
    </row>
    <row r="1803" spans="1:7" x14ac:dyDescent="0.25">
      <c r="A1803" s="10">
        <v>2025</v>
      </c>
      <c r="B1803" s="10" t="s">
        <v>134</v>
      </c>
      <c r="C1803" s="10" t="s">
        <v>189</v>
      </c>
      <c r="D1803" t="s">
        <v>123</v>
      </c>
      <c r="E1803" t="str">
        <f>VLOOKUP(D1803,'Lista de Produtos CLASSIFICAÇÃO'!$A$103:$B$144,2,FALSE)</f>
        <v>Aquecidos</v>
      </c>
      <c r="F1803" s="53">
        <v>557826</v>
      </c>
      <c r="G1803" s="56" t="str">
        <f>VLOOKUP(C1803,clientes!$C$3:$D$60,2,FALSE)</f>
        <v>ICOF</v>
      </c>
    </row>
    <row r="1804" spans="1:7" x14ac:dyDescent="0.25">
      <c r="A1804" s="10">
        <v>2025</v>
      </c>
      <c r="B1804" s="10" t="s">
        <v>134</v>
      </c>
      <c r="C1804" s="10" t="s">
        <v>191</v>
      </c>
      <c r="D1804" t="s">
        <v>115</v>
      </c>
      <c r="E1804" t="str">
        <f>VLOOKUP(D1804,'Lista de Produtos CLASSIFICAÇÃO'!$A$103:$B$144,2,FALSE)</f>
        <v>Soda Caustica</v>
      </c>
      <c r="F1804" s="53">
        <v>136044</v>
      </c>
      <c r="G1804" s="56" t="str">
        <f>VLOOKUP(C1804,clientes!$C$3:$D$60,2,FALSE)</f>
        <v>GPC</v>
      </c>
    </row>
    <row r="1805" spans="1:7" x14ac:dyDescent="0.25">
      <c r="A1805" s="10">
        <v>2025</v>
      </c>
      <c r="B1805" s="10" t="s">
        <v>134</v>
      </c>
      <c r="C1805" s="10" t="s">
        <v>192</v>
      </c>
      <c r="D1805" s="10" t="s">
        <v>121</v>
      </c>
      <c r="E1805" t="str">
        <f>VLOOKUP(D1805,'Lista de Produtos CLASSIFICAÇÃO'!$A$103:$B$144,2,FALSE)</f>
        <v>Biocombustíveis</v>
      </c>
      <c r="F1805" s="53">
        <v>1477279</v>
      </c>
      <c r="G1805" s="56" t="str">
        <f>VLOOKUP(C1805,clientes!$C$3:$D$60,2,FALSE)</f>
        <v>INPASA</v>
      </c>
    </row>
    <row r="1806" spans="1:7" x14ac:dyDescent="0.25">
      <c r="A1806" s="10">
        <v>2025</v>
      </c>
      <c r="B1806" s="10" t="s">
        <v>135</v>
      </c>
      <c r="C1806" s="10" t="s">
        <v>155</v>
      </c>
      <c r="D1806" s="10" t="s">
        <v>16</v>
      </c>
      <c r="E1806" t="str">
        <f>VLOOKUP(D1806,'Lista de Produtos CLASSIFICAÇÃO'!$A$103:$B$144,2,FALSE)</f>
        <v>Outros</v>
      </c>
      <c r="F1806" s="53">
        <v>878484</v>
      </c>
      <c r="G1806" s="56" t="str">
        <f>VLOOKUP(C1806,clientes!$C$3:$D$60,2,FALSE)</f>
        <v>ADISSEO</v>
      </c>
    </row>
    <row r="1807" spans="1:7" x14ac:dyDescent="0.25">
      <c r="A1807" s="10">
        <v>2025</v>
      </c>
      <c r="B1807" s="10" t="s">
        <v>135</v>
      </c>
      <c r="C1807" s="10" t="s">
        <v>156</v>
      </c>
      <c r="D1807" s="10" t="s">
        <v>123</v>
      </c>
      <c r="E1807" t="str">
        <f>VLOOKUP(D1807,'Lista de Produtos CLASSIFICAÇÃO'!$A$103:$B$144,2,FALSE)</f>
        <v>Aquecidos</v>
      </c>
      <c r="F1807" s="53">
        <v>378593</v>
      </c>
      <c r="G1807" s="56" t="str">
        <f>VLOOKUP(C1807,clientes!$C$3:$D$60,2,FALSE)</f>
        <v>BUNGE</v>
      </c>
    </row>
    <row r="1808" spans="1:7" x14ac:dyDescent="0.25">
      <c r="A1808" s="10">
        <v>2025</v>
      </c>
      <c r="B1808" s="10" t="s">
        <v>135</v>
      </c>
      <c r="C1808" s="10" t="s">
        <v>157</v>
      </c>
      <c r="D1808" s="10" t="s">
        <v>122</v>
      </c>
      <c r="E1808" t="str">
        <f>VLOOKUP(D1808,'Lista de Produtos CLASSIFICAÇÃO'!$A$103:$B$144,2,FALSE)</f>
        <v>Óleo Vegetal</v>
      </c>
      <c r="F1808" s="53">
        <v>161866</v>
      </c>
      <c r="G1808" s="56" t="str">
        <f>VLOOKUP(C1808,clientes!$C$3:$D$60,2,FALSE)</f>
        <v>ADM</v>
      </c>
    </row>
    <row r="1809" spans="1:7" x14ac:dyDescent="0.25">
      <c r="A1809" s="10">
        <v>2025</v>
      </c>
      <c r="B1809" s="10" t="s">
        <v>135</v>
      </c>
      <c r="C1809" s="10" t="s">
        <v>158</v>
      </c>
      <c r="D1809" s="10" t="s">
        <v>120</v>
      </c>
      <c r="E1809" t="str">
        <f>VLOOKUP(D1809,'Lista de Produtos CLASSIFICAÇÃO'!$A$103:$B$144,2,FALSE)</f>
        <v>Derivados</v>
      </c>
      <c r="F1809" s="53">
        <v>5957914</v>
      </c>
      <c r="G1809" s="56" t="str">
        <f>VLOOKUP(C1809,clientes!$C$3:$D$60,2,FALSE)</f>
        <v>IPIRANGA</v>
      </c>
    </row>
    <row r="1810" spans="1:7" x14ac:dyDescent="0.25">
      <c r="A1810" s="10">
        <v>2025</v>
      </c>
      <c r="B1810" s="10" t="s">
        <v>135</v>
      </c>
      <c r="C1810" s="10" t="s">
        <v>159</v>
      </c>
      <c r="D1810" s="10" t="s">
        <v>120</v>
      </c>
      <c r="E1810" t="str">
        <f>VLOOKUP(D1810,'Lista de Produtos CLASSIFICAÇÃO'!$A$103:$B$144,2,FALSE)</f>
        <v>Derivados</v>
      </c>
      <c r="F1810" s="53">
        <v>3979329</v>
      </c>
      <c r="G1810" s="56" t="str">
        <f>VLOOKUP(C1810,clientes!$C$3:$D$60,2,FALSE)</f>
        <v>RAIZEN</v>
      </c>
    </row>
    <row r="1811" spans="1:7" x14ac:dyDescent="0.25">
      <c r="A1811" s="10">
        <v>2025</v>
      </c>
      <c r="B1811" s="10" t="s">
        <v>135</v>
      </c>
      <c r="C1811" s="10" t="s">
        <v>160</v>
      </c>
      <c r="D1811" s="10" t="s">
        <v>120</v>
      </c>
      <c r="E1811" t="str">
        <f>VLOOKUP(D1811,'Lista de Produtos CLASSIFICAÇÃO'!$A$103:$B$144,2,FALSE)</f>
        <v>Derivados</v>
      </c>
      <c r="F1811" s="53">
        <v>1971343</v>
      </c>
      <c r="G1811" s="56" t="str">
        <f>VLOOKUP(C1811,clientes!$C$3:$D$60,2,FALSE)</f>
        <v>VIBRA</v>
      </c>
    </row>
    <row r="1812" spans="1:7" x14ac:dyDescent="0.25">
      <c r="A1812" s="10">
        <v>2025</v>
      </c>
      <c r="B1812" s="10" t="s">
        <v>135</v>
      </c>
      <c r="C1812" s="10" t="s">
        <v>161</v>
      </c>
      <c r="D1812" s="10" t="s">
        <v>120</v>
      </c>
      <c r="E1812" t="str">
        <f>VLOOKUP(D1812,'Lista de Produtos CLASSIFICAÇÃO'!$A$103:$B$144,2,FALSE)</f>
        <v>Derivados</v>
      </c>
      <c r="F1812" s="53">
        <v>3059732</v>
      </c>
      <c r="G1812" s="56" t="str">
        <f>VLOOKUP(C1812,clientes!$C$3:$D$60,2,FALSE)</f>
        <v>SUL PLATA</v>
      </c>
    </row>
    <row r="1813" spans="1:7" x14ac:dyDescent="0.25">
      <c r="A1813" s="10">
        <v>2025</v>
      </c>
      <c r="B1813" s="10" t="s">
        <v>135</v>
      </c>
      <c r="C1813" s="10" t="s">
        <v>162</v>
      </c>
      <c r="D1813" s="10" t="s">
        <v>115</v>
      </c>
      <c r="E1813" t="str">
        <f>VLOOKUP(D1813,'Lista de Produtos CLASSIFICAÇÃO'!$A$103:$B$144,2,FALSE)</f>
        <v>Soda Caustica</v>
      </c>
      <c r="F1813" s="53">
        <v>243956</v>
      </c>
      <c r="G1813" s="56" t="str">
        <f>VLOOKUP(C1813,clientes!$C$3:$D$60,2,FALSE)</f>
        <v>JBS</v>
      </c>
    </row>
    <row r="1814" spans="1:7" x14ac:dyDescent="0.25">
      <c r="A1814" s="10">
        <v>2025</v>
      </c>
      <c r="B1814" s="10" t="s">
        <v>135</v>
      </c>
      <c r="C1814" s="10" t="s">
        <v>163</v>
      </c>
      <c r="D1814" t="s">
        <v>115</v>
      </c>
      <c r="E1814" t="str">
        <f>VLOOKUP(D1814,'Lista de Produtos CLASSIFICAÇÃO'!$A$103:$B$144,2,FALSE)</f>
        <v>Soda Caustica</v>
      </c>
      <c r="F1814" s="53">
        <v>406299</v>
      </c>
      <c r="G1814" s="56" t="str">
        <f>VLOOKUP(C1814,clientes!$C$3:$D$60,2,FALSE)</f>
        <v>TRICON ENERGY</v>
      </c>
    </row>
    <row r="1815" spans="1:7" x14ac:dyDescent="0.25">
      <c r="A1815" s="10">
        <v>2025</v>
      </c>
      <c r="B1815" s="10" t="s">
        <v>135</v>
      </c>
      <c r="C1815" s="10" t="s">
        <v>164</v>
      </c>
      <c r="D1815" t="s">
        <v>115</v>
      </c>
      <c r="E1815" t="str">
        <f>VLOOKUP(D1815,'Lista de Produtos CLASSIFICAÇÃO'!$A$103:$B$144,2,FALSE)</f>
        <v>Soda Caustica</v>
      </c>
      <c r="F1815" s="53">
        <v>220436</v>
      </c>
      <c r="G1815" s="56" t="str">
        <f>VLOOKUP(C1815,clientes!$C$3:$D$60,2,FALSE)</f>
        <v>BRASKEM</v>
      </c>
    </row>
    <row r="1816" spans="1:7" x14ac:dyDescent="0.25">
      <c r="A1816" s="10">
        <v>2025</v>
      </c>
      <c r="B1816" s="10" t="s">
        <v>135</v>
      </c>
      <c r="C1816" s="10" t="s">
        <v>165</v>
      </c>
      <c r="D1816" s="10" t="s">
        <v>123</v>
      </c>
      <c r="E1816" t="str">
        <f>VLOOKUP(D1816,'Lista de Produtos CLASSIFICAÇÃO'!$A$103:$B$144,2,FALSE)</f>
        <v>Aquecidos</v>
      </c>
      <c r="F1816" s="53">
        <v>1030619</v>
      </c>
      <c r="G1816" s="56" t="str">
        <f>VLOOKUP(C1816,clientes!$C$3:$D$60,2,FALSE)</f>
        <v>BRF</v>
      </c>
    </row>
    <row r="1817" spans="1:7" x14ac:dyDescent="0.25">
      <c r="A1817" s="10">
        <v>2025</v>
      </c>
      <c r="B1817" s="10" t="s">
        <v>135</v>
      </c>
      <c r="C1817" s="10" t="s">
        <v>162</v>
      </c>
      <c r="D1817" s="10" t="s">
        <v>123</v>
      </c>
      <c r="E1817" t="str">
        <f>VLOOKUP(D1817,'Lista de Produtos CLASSIFICAÇÃO'!$A$103:$B$144,2,FALSE)</f>
        <v>Aquecidos</v>
      </c>
      <c r="F1817" s="53">
        <v>569771</v>
      </c>
      <c r="G1817" s="56" t="str">
        <f>VLOOKUP(C1817,clientes!$C$3:$D$60,2,FALSE)</f>
        <v>JBS</v>
      </c>
    </row>
    <row r="1818" spans="1:7" x14ac:dyDescent="0.25">
      <c r="A1818" s="10">
        <v>2025</v>
      </c>
      <c r="B1818" s="10" t="s">
        <v>135</v>
      </c>
      <c r="C1818" s="10" t="s">
        <v>166</v>
      </c>
      <c r="D1818" s="10" t="s">
        <v>123</v>
      </c>
      <c r="E1818" t="str">
        <f>VLOOKUP(D1818,'Lista de Produtos CLASSIFICAÇÃO'!$A$103:$B$144,2,FALSE)</f>
        <v>Aquecidos</v>
      </c>
      <c r="F1818" s="53">
        <v>537650</v>
      </c>
      <c r="G1818" s="56" t="str">
        <f>VLOOKUP(C1818,clientes!$C$3:$D$60,2,FALSE)</f>
        <v>CARGILL</v>
      </c>
    </row>
    <row r="1819" spans="1:7" x14ac:dyDescent="0.25">
      <c r="A1819" s="10">
        <v>2025</v>
      </c>
      <c r="B1819" s="10" t="s">
        <v>135</v>
      </c>
      <c r="C1819" s="10" t="s">
        <v>167</v>
      </c>
      <c r="D1819" s="10" t="s">
        <v>122</v>
      </c>
      <c r="E1819" t="str">
        <f>VLOOKUP(D1819,'Lista de Produtos CLASSIFICAÇÃO'!$A$103:$B$144,2,FALSE)</f>
        <v>Óleo Vegetal</v>
      </c>
      <c r="F1819" s="53">
        <v>2938374</v>
      </c>
      <c r="G1819" s="56" t="str">
        <f>VLOOKUP(C1819,clientes!$C$3:$D$60,2,FALSE)</f>
        <v>POOL</v>
      </c>
    </row>
    <row r="1820" spans="1:7" x14ac:dyDescent="0.25">
      <c r="A1820" s="10">
        <v>2025</v>
      </c>
      <c r="B1820" s="10" t="s">
        <v>135</v>
      </c>
      <c r="C1820" s="10" t="s">
        <v>168</v>
      </c>
      <c r="D1820" s="10" t="s">
        <v>122</v>
      </c>
      <c r="E1820" t="str">
        <f>VLOOKUP(D1820,'Lista de Produtos CLASSIFICAÇÃO'!$A$103:$B$144,2,FALSE)</f>
        <v>Óleo Vegetal</v>
      </c>
      <c r="F1820" s="53">
        <v>0</v>
      </c>
      <c r="G1820" s="56" t="str">
        <f>VLOOKUP(C1820,clientes!$C$3:$D$60,2,FALSE)</f>
        <v>POOL EXCEDENTE</v>
      </c>
    </row>
    <row r="1821" spans="1:7" x14ac:dyDescent="0.25">
      <c r="A1821" s="10">
        <v>2025</v>
      </c>
      <c r="B1821" s="10" t="s">
        <v>135</v>
      </c>
      <c r="C1821" s="10" t="s">
        <v>169</v>
      </c>
      <c r="D1821" s="10" t="s">
        <v>22</v>
      </c>
      <c r="E1821" t="str">
        <f>VLOOKUP(D1821,'Lista de Produtos CLASSIFICAÇÃO'!$A$103:$B$144,2,FALSE)</f>
        <v>Metanol</v>
      </c>
      <c r="F1821" s="53">
        <v>7893225</v>
      </c>
      <c r="G1821" s="56" t="str">
        <f>VLOOKUP(C1821,clientes!$C$3:$D$60,2,FALSE)</f>
        <v>METHANEX</v>
      </c>
    </row>
    <row r="1822" spans="1:7" x14ac:dyDescent="0.25">
      <c r="A1822" s="10">
        <v>2025</v>
      </c>
      <c r="B1822" s="10" t="s">
        <v>135</v>
      </c>
      <c r="C1822" s="10" t="s">
        <v>170</v>
      </c>
      <c r="D1822" s="10" t="s">
        <v>22</v>
      </c>
      <c r="E1822" t="str">
        <f>VLOOKUP(D1822,'Lista de Produtos CLASSIFICAÇÃO'!$A$103:$B$144,2,FALSE)</f>
        <v>Metanol</v>
      </c>
      <c r="F1822" s="53">
        <v>5054137</v>
      </c>
      <c r="G1822" s="56" t="str">
        <f>VLOOKUP(C1822,clientes!$C$3:$D$60,2,FALSE)</f>
        <v>MITSUBISHI</v>
      </c>
    </row>
    <row r="1823" spans="1:7" x14ac:dyDescent="0.25">
      <c r="A1823" s="10">
        <v>2025</v>
      </c>
      <c r="B1823" s="10" t="s">
        <v>135</v>
      </c>
      <c r="C1823" s="10" t="s">
        <v>171</v>
      </c>
      <c r="D1823" s="10" t="s">
        <v>22</v>
      </c>
      <c r="E1823" t="str">
        <f>VLOOKUP(D1823,'Lista de Produtos CLASSIFICAÇÃO'!$A$103:$B$144,2,FALSE)</f>
        <v>Metanol</v>
      </c>
      <c r="F1823" s="53">
        <v>6057428</v>
      </c>
      <c r="G1823" s="56" t="str">
        <f>VLOOKUP(C1823,clientes!$C$3:$D$60,2,FALSE)</f>
        <v>VALENZ</v>
      </c>
    </row>
    <row r="1824" spans="1:7" x14ac:dyDescent="0.25">
      <c r="A1824" s="10">
        <v>2025</v>
      </c>
      <c r="B1824" s="10" t="s">
        <v>135</v>
      </c>
      <c r="C1824" s="10" t="s">
        <v>172</v>
      </c>
      <c r="D1824" s="10" t="s">
        <v>124</v>
      </c>
      <c r="E1824" t="str">
        <f>VLOOKUP(D1824,'Lista de Produtos CLASSIFICAÇÃO'!$A$103:$B$144,2,FALSE)</f>
        <v>Outros</v>
      </c>
      <c r="F1824" s="53">
        <v>439941</v>
      </c>
      <c r="G1824" s="56" t="str">
        <f>VLOOKUP(C1824,clientes!$C$3:$D$60,2,FALSE)</f>
        <v>EVONIK</v>
      </c>
    </row>
    <row r="1825" spans="1:7" x14ac:dyDescent="0.25">
      <c r="A1825" s="10">
        <v>2025</v>
      </c>
      <c r="B1825" s="10" t="s">
        <v>135</v>
      </c>
      <c r="C1825" s="10" t="s">
        <v>186</v>
      </c>
      <c r="D1825" s="10" t="s">
        <v>22</v>
      </c>
      <c r="E1825" t="str">
        <f>VLOOKUP(D1825,'Lista de Produtos CLASSIFICAÇÃO'!$A$103:$B$144,2,FALSE)</f>
        <v>Metanol</v>
      </c>
      <c r="F1825" s="53">
        <v>546830</v>
      </c>
      <c r="G1825" s="56" t="str">
        <f>VLOOKUP(C1825,clientes!$C$3:$D$60,2,FALSE)</f>
        <v>OQ TRADING</v>
      </c>
    </row>
    <row r="1826" spans="1:7" x14ac:dyDescent="0.25">
      <c r="A1826" s="10">
        <v>2025</v>
      </c>
      <c r="B1826" s="10" t="s">
        <v>135</v>
      </c>
      <c r="C1826" s="10" t="s">
        <v>174</v>
      </c>
      <c r="D1826" s="10" t="s">
        <v>123</v>
      </c>
      <c r="E1826" t="str">
        <f>VLOOKUP(D1826,'Lista de Produtos CLASSIFICAÇÃO'!$A$103:$B$144,2,FALSE)</f>
        <v>Aquecidos</v>
      </c>
      <c r="F1826" s="53">
        <v>2000426</v>
      </c>
      <c r="G1826" s="56" t="str">
        <f>VLOOKUP(C1826,clientes!$C$3:$D$60,2,FALSE)</f>
        <v>CELENA</v>
      </c>
    </row>
    <row r="1827" spans="1:7" x14ac:dyDescent="0.25">
      <c r="A1827" s="10">
        <v>2025</v>
      </c>
      <c r="B1827" s="10" t="s">
        <v>135</v>
      </c>
      <c r="C1827" s="10" t="s">
        <v>175</v>
      </c>
      <c r="D1827" s="10" t="s">
        <v>123</v>
      </c>
      <c r="E1827" t="str">
        <f>VLOOKUP(D1827,'Lista de Produtos CLASSIFICAÇÃO'!$A$103:$B$144,2,FALSE)</f>
        <v>Aquecidos</v>
      </c>
      <c r="F1827" s="53">
        <v>846373</v>
      </c>
      <c r="G1827" s="56" t="str">
        <f>VLOOKUP(C1827,clientes!$C$3:$D$60,2,FALSE)</f>
        <v>AAK DO BRASIL</v>
      </c>
    </row>
    <row r="1828" spans="1:7" x14ac:dyDescent="0.25">
      <c r="A1828" s="10">
        <v>2025</v>
      </c>
      <c r="B1828" s="10" t="s">
        <v>135</v>
      </c>
      <c r="C1828" s="10" t="s">
        <v>166</v>
      </c>
      <c r="D1828" s="10" t="s">
        <v>122</v>
      </c>
      <c r="E1828" t="str">
        <f>VLOOKUP(D1828,'Lista de Produtos CLASSIFICAÇÃO'!$A$103:$B$144,2,FALSE)</f>
        <v>Óleo Vegetal</v>
      </c>
      <c r="F1828" s="53">
        <v>208762</v>
      </c>
      <c r="G1828" s="56" t="str">
        <f>VLOOKUP(C1828,clientes!$C$3:$D$60,2,FALSE)</f>
        <v>CARGILL</v>
      </c>
    </row>
    <row r="1829" spans="1:7" x14ac:dyDescent="0.25">
      <c r="A1829" s="10">
        <v>2025</v>
      </c>
      <c r="B1829" s="10" t="s">
        <v>135</v>
      </c>
      <c r="C1829" s="10" t="s">
        <v>176</v>
      </c>
      <c r="D1829" s="10" t="s">
        <v>123</v>
      </c>
      <c r="E1829" t="str">
        <f>VLOOKUP(D1829,'Lista de Produtos CLASSIFICAÇÃO'!$A$103:$B$144,2,FALSE)</f>
        <v>Aquecidos</v>
      </c>
      <c r="F1829" s="53">
        <v>466210</v>
      </c>
      <c r="G1829" s="56" t="str">
        <f>VLOOKUP(C1829,clientes!$C$3:$D$60,2,FALSE)</f>
        <v>AGROPALMA</v>
      </c>
    </row>
    <row r="1830" spans="1:7" x14ac:dyDescent="0.25">
      <c r="A1830" s="10">
        <v>2025</v>
      </c>
      <c r="B1830" s="10" t="s">
        <v>135</v>
      </c>
      <c r="C1830" s="10" t="s">
        <v>177</v>
      </c>
      <c r="D1830" s="10" t="s">
        <v>115</v>
      </c>
      <c r="E1830" t="str">
        <f>VLOOKUP(D1830,'Lista de Produtos CLASSIFICAÇÃO'!$A$103:$B$144,2,FALSE)</f>
        <v>Soda Caustica</v>
      </c>
      <c r="F1830" s="53">
        <v>306345</v>
      </c>
      <c r="G1830" s="56" t="str">
        <f>VLOOKUP(C1830,clientes!$C$3:$D$60,2,FALSE)</f>
        <v>BRENNTAG</v>
      </c>
    </row>
    <row r="1831" spans="1:7" x14ac:dyDescent="0.25">
      <c r="A1831" s="10">
        <v>2025</v>
      </c>
      <c r="B1831" s="10" t="s">
        <v>135</v>
      </c>
      <c r="C1831" s="10" t="s">
        <v>178</v>
      </c>
      <c r="D1831" s="10" t="s">
        <v>115</v>
      </c>
      <c r="E1831" t="str">
        <f>VLOOKUP(D1831,'Lista de Produtos CLASSIFICAÇÃO'!$A$103:$B$144,2,FALSE)</f>
        <v>Soda Caustica</v>
      </c>
      <c r="F1831" s="53">
        <v>1779629</v>
      </c>
      <c r="G1831" s="56" t="str">
        <f>VLOOKUP(C1831,clientes!$C$3:$D$60,2,FALSE)</f>
        <v>OLIN BLUE CUBE</v>
      </c>
    </row>
    <row r="1832" spans="1:7" x14ac:dyDescent="0.25">
      <c r="A1832" s="10">
        <v>2025</v>
      </c>
      <c r="B1832" s="10" t="s">
        <v>135</v>
      </c>
      <c r="C1832" s="10" t="s">
        <v>179</v>
      </c>
      <c r="D1832" s="10" t="s">
        <v>26</v>
      </c>
      <c r="E1832" t="str">
        <f>VLOOKUP(D1832,'Lista de Produtos CLASSIFICAÇÃO'!$A$103:$B$144,2,FALSE)</f>
        <v>Biocombustíveis</v>
      </c>
      <c r="F1832" s="53">
        <v>437969</v>
      </c>
      <c r="G1832" s="56" t="str">
        <f>VLOOKUP(C1832,clientes!$C$3:$D$60,2,FALSE)</f>
        <v>BSBIOS</v>
      </c>
    </row>
    <row r="1833" spans="1:7" x14ac:dyDescent="0.25">
      <c r="A1833" s="10">
        <v>2025</v>
      </c>
      <c r="B1833" s="10" t="s">
        <v>135</v>
      </c>
      <c r="C1833" s="10" t="s">
        <v>181</v>
      </c>
      <c r="D1833" s="10" t="s">
        <v>123</v>
      </c>
      <c r="E1833" t="str">
        <f>VLOOKUP(D1833,'Lista de Produtos CLASSIFICAÇÃO'!$A$103:$B$144,2,FALSE)</f>
        <v>Aquecidos</v>
      </c>
      <c r="F1833" s="53">
        <v>208225</v>
      </c>
      <c r="G1833" s="56" t="str">
        <f>VLOOKUP(C1833,clientes!$C$3:$D$60,2,FALSE)</f>
        <v>COAMO</v>
      </c>
    </row>
    <row r="1834" spans="1:7" x14ac:dyDescent="0.25">
      <c r="A1834" s="10">
        <v>2025</v>
      </c>
      <c r="B1834" s="10" t="s">
        <v>135</v>
      </c>
      <c r="C1834" s="10" t="s">
        <v>182</v>
      </c>
      <c r="D1834" s="10" t="s">
        <v>120</v>
      </c>
      <c r="E1834" t="str">
        <f>VLOOKUP(D1834,'Lista de Produtos CLASSIFICAÇÃO'!$A$103:$B$144,2,FALSE)</f>
        <v>Derivados</v>
      </c>
      <c r="F1834" s="53">
        <v>1147677</v>
      </c>
      <c r="G1834" s="56" t="str">
        <f>VLOOKUP(C1834,clientes!$C$3:$D$60,2,FALSE)</f>
        <v>ATEM</v>
      </c>
    </row>
    <row r="1835" spans="1:7" x14ac:dyDescent="0.25">
      <c r="A1835" s="10">
        <v>2025</v>
      </c>
      <c r="B1835" s="10" t="s">
        <v>135</v>
      </c>
      <c r="C1835" s="10" t="s">
        <v>184</v>
      </c>
      <c r="D1835" s="10" t="s">
        <v>122</v>
      </c>
      <c r="E1835" t="str">
        <f>VLOOKUP(D1835,'Lista de Produtos CLASSIFICAÇÃO'!$A$103:$B$144,2,FALSE)</f>
        <v>Óleo Vegetal</v>
      </c>
      <c r="F1835" s="53">
        <v>230660</v>
      </c>
      <c r="G1835" s="56" t="str">
        <f>VLOOKUP(C1835,clientes!$C$3:$D$60,2,FALSE)</f>
        <v>INGREDION</v>
      </c>
    </row>
    <row r="1836" spans="1:7" x14ac:dyDescent="0.25">
      <c r="A1836" s="10">
        <v>2025</v>
      </c>
      <c r="B1836" s="10" t="s">
        <v>135</v>
      </c>
      <c r="C1836" s="10" t="s">
        <v>185</v>
      </c>
      <c r="D1836" s="10" t="s">
        <v>120</v>
      </c>
      <c r="E1836" t="str">
        <f>VLOOKUP(D1836,'Lista de Produtos CLASSIFICAÇÃO'!$A$103:$B$144,2,FALSE)</f>
        <v>Derivados</v>
      </c>
      <c r="F1836" s="53">
        <v>1076739</v>
      </c>
      <c r="G1836" s="56" t="str">
        <f>VLOOKUP(C1836,clientes!$C$3:$D$60,2,FALSE)</f>
        <v>CIAPETRO</v>
      </c>
    </row>
    <row r="1837" spans="1:7" x14ac:dyDescent="0.25">
      <c r="A1837" s="10">
        <v>2025</v>
      </c>
      <c r="B1837" s="10" t="s">
        <v>135</v>
      </c>
      <c r="C1837" s="10" t="s">
        <v>187</v>
      </c>
      <c r="D1837" s="10" t="s">
        <v>121</v>
      </c>
      <c r="E1837" t="str">
        <f>VLOOKUP(D1837,'Lista de Produtos CLASSIFICAÇÃO'!$A$103:$B$144,2,FALSE)</f>
        <v>Biocombustíveis</v>
      </c>
      <c r="F1837" s="53">
        <v>900000</v>
      </c>
      <c r="G1837" s="56" t="str">
        <f>VLOOKUP(C1837,clientes!$C$3:$D$60,2,FALSE)</f>
        <v>TEREOS / INPASA / GLENCORE / FS</v>
      </c>
    </row>
    <row r="1838" spans="1:7" x14ac:dyDescent="0.25">
      <c r="A1838" s="10">
        <v>2025</v>
      </c>
      <c r="B1838" s="10" t="s">
        <v>135</v>
      </c>
      <c r="C1838" s="10" t="s">
        <v>188</v>
      </c>
      <c r="D1838" s="10" t="s">
        <v>123</v>
      </c>
      <c r="E1838" t="str">
        <f>VLOOKUP(D1838,'Lista de Produtos CLASSIFICAÇÃO'!$A$103:$B$144,2,FALSE)</f>
        <v>Aquecidos</v>
      </c>
      <c r="F1838" s="53">
        <v>608544</v>
      </c>
      <c r="G1838" s="56" t="str">
        <f>VLOOKUP(C1838,clientes!$C$3:$D$60,2,FALSE)</f>
        <v>ARES MERCHANTS PTE LIMITE</v>
      </c>
    </row>
    <row r="1839" spans="1:7" x14ac:dyDescent="0.25">
      <c r="A1839" s="10">
        <v>2025</v>
      </c>
      <c r="B1839" s="10" t="s">
        <v>135</v>
      </c>
      <c r="C1839" s="10" t="s">
        <v>18</v>
      </c>
      <c r="D1839" s="10" t="s">
        <v>17</v>
      </c>
      <c r="E1839" t="str">
        <f>VLOOKUP(D1839,'Lista de Produtos CLASSIFICAÇÃO'!$A$103:$B$144,2,FALSE)</f>
        <v>Acostagem</v>
      </c>
      <c r="F1839" s="53">
        <v>497980.65437500004</v>
      </c>
      <c r="G1839" s="56" t="str">
        <f>VLOOKUP(C1839,clientes!$C$3:$D$60,2,FALSE)</f>
        <v>ACOSTAGEM</v>
      </c>
    </row>
    <row r="1840" spans="1:7" x14ac:dyDescent="0.25">
      <c r="A1840" s="10">
        <v>2025</v>
      </c>
      <c r="B1840" s="10" t="s">
        <v>135</v>
      </c>
      <c r="C1840" s="10" t="s">
        <v>189</v>
      </c>
      <c r="D1840" t="s">
        <v>123</v>
      </c>
      <c r="E1840" t="str">
        <f>VLOOKUP(D1840,'Lista de Produtos CLASSIFICAÇÃO'!$A$103:$B$144,2,FALSE)</f>
        <v>Aquecidos</v>
      </c>
      <c r="F1840" s="53">
        <v>557826</v>
      </c>
      <c r="G1840" s="56" t="str">
        <f>VLOOKUP(C1840,clientes!$C$3:$D$60,2,FALSE)</f>
        <v>ICOF</v>
      </c>
    </row>
    <row r="1841" spans="1:7" x14ac:dyDescent="0.25">
      <c r="A1841" s="10">
        <v>2025</v>
      </c>
      <c r="B1841" s="10" t="s">
        <v>135</v>
      </c>
      <c r="C1841" s="10" t="s">
        <v>191</v>
      </c>
      <c r="D1841" t="s">
        <v>115</v>
      </c>
      <c r="E1841" t="str">
        <f>VLOOKUP(D1841,'Lista de Produtos CLASSIFICAÇÃO'!$A$103:$B$144,2,FALSE)</f>
        <v>Soda Caustica</v>
      </c>
      <c r="F1841" s="53">
        <v>136044</v>
      </c>
      <c r="G1841" s="56" t="str">
        <f>VLOOKUP(C1841,clientes!$C$3:$D$60,2,FALSE)</f>
        <v>GPC</v>
      </c>
    </row>
    <row r="1842" spans="1:7" x14ac:dyDescent="0.25">
      <c r="A1842" s="10">
        <v>2025</v>
      </c>
      <c r="B1842" s="10" t="s">
        <v>135</v>
      </c>
      <c r="C1842" s="10" t="s">
        <v>192</v>
      </c>
      <c r="D1842" s="10" t="s">
        <v>121</v>
      </c>
      <c r="E1842" t="str">
        <f>VLOOKUP(D1842,'Lista de Produtos CLASSIFICAÇÃO'!$A$103:$B$144,2,FALSE)</f>
        <v>Biocombustíveis</v>
      </c>
      <c r="F1842" s="53">
        <v>1477279</v>
      </c>
      <c r="G1842" s="56" t="str">
        <f>VLOOKUP(C1842,clientes!$C$3:$D$60,2,FALSE)</f>
        <v>INPASA</v>
      </c>
    </row>
    <row r="1843" spans="1:7" x14ac:dyDescent="0.25">
      <c r="A1843" s="10">
        <v>2025</v>
      </c>
      <c r="B1843" s="10" t="s">
        <v>136</v>
      </c>
      <c r="C1843" s="10" t="s">
        <v>155</v>
      </c>
      <c r="D1843" s="10" t="s">
        <v>16</v>
      </c>
      <c r="E1843" t="str">
        <f>VLOOKUP(D1843,'Lista de Produtos CLASSIFICAÇÃO'!$A$103:$B$144,2,FALSE)</f>
        <v>Outros</v>
      </c>
      <c r="F1843" s="53">
        <v>878484</v>
      </c>
      <c r="G1843" s="56" t="str">
        <f>VLOOKUP(C1843,clientes!$C$3:$D$60,2,FALSE)</f>
        <v>ADISSEO</v>
      </c>
    </row>
    <row r="1844" spans="1:7" x14ac:dyDescent="0.25">
      <c r="A1844" s="10">
        <v>2025</v>
      </c>
      <c r="B1844" s="10" t="s">
        <v>136</v>
      </c>
      <c r="C1844" s="10" t="s">
        <v>156</v>
      </c>
      <c r="D1844" s="10" t="s">
        <v>123</v>
      </c>
      <c r="E1844" t="str">
        <f>VLOOKUP(D1844,'Lista de Produtos CLASSIFICAÇÃO'!$A$103:$B$144,2,FALSE)</f>
        <v>Aquecidos</v>
      </c>
      <c r="F1844" s="53">
        <v>378593</v>
      </c>
      <c r="G1844" s="56" t="str">
        <f>VLOOKUP(C1844,clientes!$C$3:$D$60,2,FALSE)</f>
        <v>BUNGE</v>
      </c>
    </row>
    <row r="1845" spans="1:7" x14ac:dyDescent="0.25">
      <c r="A1845" s="10">
        <v>2025</v>
      </c>
      <c r="B1845" s="10" t="s">
        <v>136</v>
      </c>
      <c r="C1845" s="10" t="s">
        <v>157</v>
      </c>
      <c r="D1845" s="10" t="s">
        <v>122</v>
      </c>
      <c r="E1845" t="str">
        <f>VLOOKUP(D1845,'Lista de Produtos CLASSIFICAÇÃO'!$A$103:$B$144,2,FALSE)</f>
        <v>Óleo Vegetal</v>
      </c>
      <c r="F1845" s="53">
        <v>168574</v>
      </c>
      <c r="G1845" s="56" t="str">
        <f>VLOOKUP(C1845,clientes!$C$3:$D$60,2,FALSE)</f>
        <v>ADM</v>
      </c>
    </row>
    <row r="1846" spans="1:7" x14ac:dyDescent="0.25">
      <c r="A1846" s="10">
        <v>2025</v>
      </c>
      <c r="B1846" s="10" t="s">
        <v>136</v>
      </c>
      <c r="C1846" s="10" t="s">
        <v>158</v>
      </c>
      <c r="D1846" s="10" t="s">
        <v>120</v>
      </c>
      <c r="E1846" t="str">
        <f>VLOOKUP(D1846,'Lista de Produtos CLASSIFICAÇÃO'!$A$103:$B$144,2,FALSE)</f>
        <v>Derivados</v>
      </c>
      <c r="F1846" s="53">
        <v>5957914</v>
      </c>
      <c r="G1846" s="56" t="str">
        <f>VLOOKUP(C1846,clientes!$C$3:$D$60,2,FALSE)</f>
        <v>IPIRANGA</v>
      </c>
    </row>
    <row r="1847" spans="1:7" x14ac:dyDescent="0.25">
      <c r="A1847" s="10">
        <v>2025</v>
      </c>
      <c r="B1847" s="10" t="s">
        <v>136</v>
      </c>
      <c r="C1847" s="10" t="s">
        <v>159</v>
      </c>
      <c r="D1847" s="10" t="s">
        <v>120</v>
      </c>
      <c r="E1847" t="str">
        <f>VLOOKUP(D1847,'Lista de Produtos CLASSIFICAÇÃO'!$A$103:$B$144,2,FALSE)</f>
        <v>Derivados</v>
      </c>
      <c r="F1847" s="53">
        <v>3979329</v>
      </c>
      <c r="G1847" s="56" t="str">
        <f>VLOOKUP(C1847,clientes!$C$3:$D$60,2,FALSE)</f>
        <v>RAIZEN</v>
      </c>
    </row>
    <row r="1848" spans="1:7" x14ac:dyDescent="0.25">
      <c r="A1848" s="10">
        <v>2025</v>
      </c>
      <c r="B1848" s="10" t="s">
        <v>136</v>
      </c>
      <c r="C1848" s="10" t="s">
        <v>160</v>
      </c>
      <c r="D1848" s="10" t="s">
        <v>120</v>
      </c>
      <c r="E1848" t="str">
        <f>VLOOKUP(D1848,'Lista de Produtos CLASSIFICAÇÃO'!$A$103:$B$144,2,FALSE)</f>
        <v>Derivados</v>
      </c>
      <c r="F1848" s="53">
        <v>1971343</v>
      </c>
      <c r="G1848" s="56" t="str">
        <f>VLOOKUP(C1848,clientes!$C$3:$D$60,2,FALSE)</f>
        <v>VIBRA</v>
      </c>
    </row>
    <row r="1849" spans="1:7" x14ac:dyDescent="0.25">
      <c r="A1849" s="10">
        <v>2025</v>
      </c>
      <c r="B1849" s="10" t="s">
        <v>136</v>
      </c>
      <c r="C1849" s="10" t="s">
        <v>161</v>
      </c>
      <c r="D1849" s="10" t="s">
        <v>120</v>
      </c>
      <c r="E1849" t="str">
        <f>VLOOKUP(D1849,'Lista de Produtos CLASSIFICAÇÃO'!$A$103:$B$144,2,FALSE)</f>
        <v>Derivados</v>
      </c>
      <c r="F1849" s="53">
        <v>3059732</v>
      </c>
      <c r="G1849" s="56" t="str">
        <f>VLOOKUP(C1849,clientes!$C$3:$D$60,2,FALSE)</f>
        <v>SUL PLATA</v>
      </c>
    </row>
    <row r="1850" spans="1:7" x14ac:dyDescent="0.25">
      <c r="A1850" s="10">
        <v>2025</v>
      </c>
      <c r="B1850" s="10" t="s">
        <v>136</v>
      </c>
      <c r="C1850" s="10" t="s">
        <v>162</v>
      </c>
      <c r="D1850" s="10" t="s">
        <v>115</v>
      </c>
      <c r="E1850" t="str">
        <f>VLOOKUP(D1850,'Lista de Produtos CLASSIFICAÇÃO'!$A$103:$B$144,2,FALSE)</f>
        <v>Soda Caustica</v>
      </c>
      <c r="F1850" s="53">
        <v>243956</v>
      </c>
      <c r="G1850" s="56" t="str">
        <f>VLOOKUP(C1850,clientes!$C$3:$D$60,2,FALSE)</f>
        <v>JBS</v>
      </c>
    </row>
    <row r="1851" spans="1:7" x14ac:dyDescent="0.25">
      <c r="A1851" s="10">
        <v>2025</v>
      </c>
      <c r="B1851" s="10" t="s">
        <v>136</v>
      </c>
      <c r="C1851" s="10" t="s">
        <v>163</v>
      </c>
      <c r="D1851" t="s">
        <v>115</v>
      </c>
      <c r="E1851" t="str">
        <f>VLOOKUP(D1851,'Lista de Produtos CLASSIFICAÇÃO'!$A$103:$B$144,2,FALSE)</f>
        <v>Soda Caustica</v>
      </c>
      <c r="F1851" s="53">
        <v>406299</v>
      </c>
      <c r="G1851" s="56" t="str">
        <f>VLOOKUP(C1851,clientes!$C$3:$D$60,2,FALSE)</f>
        <v>TRICON ENERGY</v>
      </c>
    </row>
    <row r="1852" spans="1:7" x14ac:dyDescent="0.25">
      <c r="A1852" s="10">
        <v>2025</v>
      </c>
      <c r="B1852" s="10" t="s">
        <v>136</v>
      </c>
      <c r="C1852" s="10" t="s">
        <v>164</v>
      </c>
      <c r="D1852" t="s">
        <v>115</v>
      </c>
      <c r="E1852" t="str">
        <f>VLOOKUP(D1852,'Lista de Produtos CLASSIFICAÇÃO'!$A$103:$B$144,2,FALSE)</f>
        <v>Soda Caustica</v>
      </c>
      <c r="F1852" s="53">
        <v>220436</v>
      </c>
      <c r="G1852" s="56" t="str">
        <f>VLOOKUP(C1852,clientes!$C$3:$D$60,2,FALSE)</f>
        <v>BRASKEM</v>
      </c>
    </row>
    <row r="1853" spans="1:7" x14ac:dyDescent="0.25">
      <c r="A1853" s="10">
        <v>2025</v>
      </c>
      <c r="B1853" s="10" t="s">
        <v>136</v>
      </c>
      <c r="C1853" s="10" t="s">
        <v>165</v>
      </c>
      <c r="D1853" s="10" t="s">
        <v>123</v>
      </c>
      <c r="E1853" t="str">
        <f>VLOOKUP(D1853,'Lista de Produtos CLASSIFICAÇÃO'!$A$103:$B$144,2,FALSE)</f>
        <v>Aquecidos</v>
      </c>
      <c r="F1853" s="53">
        <v>1030619</v>
      </c>
      <c r="G1853" s="56" t="str">
        <f>VLOOKUP(C1853,clientes!$C$3:$D$60,2,FALSE)</f>
        <v>BRF</v>
      </c>
    </row>
    <row r="1854" spans="1:7" x14ac:dyDescent="0.25">
      <c r="A1854" s="10">
        <v>2025</v>
      </c>
      <c r="B1854" s="10" t="s">
        <v>136</v>
      </c>
      <c r="C1854" s="10" t="s">
        <v>162</v>
      </c>
      <c r="D1854" s="10" t="s">
        <v>123</v>
      </c>
      <c r="E1854" t="str">
        <f>VLOOKUP(D1854,'Lista de Produtos CLASSIFICAÇÃO'!$A$103:$B$144,2,FALSE)</f>
        <v>Aquecidos</v>
      </c>
      <c r="F1854" s="53">
        <v>569771</v>
      </c>
      <c r="G1854" s="56" t="str">
        <f>VLOOKUP(C1854,clientes!$C$3:$D$60,2,FALSE)</f>
        <v>JBS</v>
      </c>
    </row>
    <row r="1855" spans="1:7" x14ac:dyDescent="0.25">
      <c r="A1855" s="10">
        <v>2025</v>
      </c>
      <c r="B1855" s="10" t="s">
        <v>136</v>
      </c>
      <c r="C1855" s="10" t="s">
        <v>166</v>
      </c>
      <c r="D1855" s="10" t="s">
        <v>123</v>
      </c>
      <c r="E1855" t="str">
        <f>VLOOKUP(D1855,'Lista de Produtos CLASSIFICAÇÃO'!$A$103:$B$144,2,FALSE)</f>
        <v>Aquecidos</v>
      </c>
      <c r="F1855" s="53">
        <v>537650</v>
      </c>
      <c r="G1855" s="56" t="str">
        <f>VLOOKUP(C1855,clientes!$C$3:$D$60,2,FALSE)</f>
        <v>CARGILL</v>
      </c>
    </row>
    <row r="1856" spans="1:7" x14ac:dyDescent="0.25">
      <c r="A1856" s="10">
        <v>2025</v>
      </c>
      <c r="B1856" s="10" t="s">
        <v>136</v>
      </c>
      <c r="C1856" s="10" t="s">
        <v>167</v>
      </c>
      <c r="D1856" s="10" t="s">
        <v>122</v>
      </c>
      <c r="E1856" t="str">
        <f>VLOOKUP(D1856,'Lista de Produtos CLASSIFICAÇÃO'!$A$103:$B$144,2,FALSE)</f>
        <v>Óleo Vegetal</v>
      </c>
      <c r="F1856" s="53">
        <v>4201737</v>
      </c>
      <c r="G1856" s="56" t="str">
        <f>VLOOKUP(C1856,clientes!$C$3:$D$60,2,FALSE)</f>
        <v>POOL</v>
      </c>
    </row>
    <row r="1857" spans="1:7" x14ac:dyDescent="0.25">
      <c r="A1857" s="10">
        <v>2025</v>
      </c>
      <c r="B1857" s="10" t="s">
        <v>136</v>
      </c>
      <c r="C1857" s="10" t="s">
        <v>168</v>
      </c>
      <c r="D1857" s="10" t="s">
        <v>122</v>
      </c>
      <c r="E1857" t="str">
        <f>VLOOKUP(D1857,'Lista de Produtos CLASSIFICAÇÃO'!$A$103:$B$144,2,FALSE)</f>
        <v>Óleo Vegetal</v>
      </c>
      <c r="F1857" s="53">
        <v>86043</v>
      </c>
      <c r="G1857" s="56" t="str">
        <f>VLOOKUP(C1857,clientes!$C$3:$D$60,2,FALSE)</f>
        <v>POOL EXCEDENTE</v>
      </c>
    </row>
    <row r="1858" spans="1:7" x14ac:dyDescent="0.25">
      <c r="A1858" s="10">
        <v>2025</v>
      </c>
      <c r="B1858" s="10" t="s">
        <v>136</v>
      </c>
      <c r="C1858" s="10" t="s">
        <v>169</v>
      </c>
      <c r="D1858" s="10" t="s">
        <v>22</v>
      </c>
      <c r="E1858" t="str">
        <f>VLOOKUP(D1858,'Lista de Produtos CLASSIFICAÇÃO'!$A$103:$B$144,2,FALSE)</f>
        <v>Metanol</v>
      </c>
      <c r="F1858" s="53">
        <v>7893225</v>
      </c>
      <c r="G1858" s="56" t="str">
        <f>VLOOKUP(C1858,clientes!$C$3:$D$60,2,FALSE)</f>
        <v>METHANEX</v>
      </c>
    </row>
    <row r="1859" spans="1:7" x14ac:dyDescent="0.25">
      <c r="A1859" s="10">
        <v>2025</v>
      </c>
      <c r="B1859" s="10" t="s">
        <v>136</v>
      </c>
      <c r="C1859" s="10" t="s">
        <v>170</v>
      </c>
      <c r="D1859" s="10" t="s">
        <v>22</v>
      </c>
      <c r="E1859" t="str">
        <f>VLOOKUP(D1859,'Lista de Produtos CLASSIFICAÇÃO'!$A$103:$B$144,2,FALSE)</f>
        <v>Metanol</v>
      </c>
      <c r="F1859" s="53">
        <v>5054137</v>
      </c>
      <c r="G1859" s="56" t="str">
        <f>VLOOKUP(C1859,clientes!$C$3:$D$60,2,FALSE)</f>
        <v>MITSUBISHI</v>
      </c>
    </row>
    <row r="1860" spans="1:7" x14ac:dyDescent="0.25">
      <c r="A1860" s="10">
        <v>2025</v>
      </c>
      <c r="B1860" s="10" t="s">
        <v>136</v>
      </c>
      <c r="C1860" s="10" t="s">
        <v>171</v>
      </c>
      <c r="D1860" s="10" t="s">
        <v>22</v>
      </c>
      <c r="E1860" t="str">
        <f>VLOOKUP(D1860,'Lista de Produtos CLASSIFICAÇÃO'!$A$103:$B$144,2,FALSE)</f>
        <v>Metanol</v>
      </c>
      <c r="F1860" s="53">
        <v>6057428</v>
      </c>
      <c r="G1860" s="56" t="str">
        <f>VLOOKUP(C1860,clientes!$C$3:$D$60,2,FALSE)</f>
        <v>VALENZ</v>
      </c>
    </row>
    <row r="1861" spans="1:7" x14ac:dyDescent="0.25">
      <c r="A1861" s="10">
        <v>2025</v>
      </c>
      <c r="B1861" s="10" t="s">
        <v>136</v>
      </c>
      <c r="C1861" s="10" t="s">
        <v>172</v>
      </c>
      <c r="D1861" s="10" t="s">
        <v>124</v>
      </c>
      <c r="E1861" t="str">
        <f>VLOOKUP(D1861,'Lista de Produtos CLASSIFICAÇÃO'!$A$103:$B$144,2,FALSE)</f>
        <v>Outros</v>
      </c>
      <c r="F1861" s="53">
        <v>439941</v>
      </c>
      <c r="G1861" s="56" t="str">
        <f>VLOOKUP(C1861,clientes!$C$3:$D$60,2,FALSE)</f>
        <v>EVONIK</v>
      </c>
    </row>
    <row r="1862" spans="1:7" x14ac:dyDescent="0.25">
      <c r="A1862" s="10">
        <v>2025</v>
      </c>
      <c r="B1862" s="10" t="s">
        <v>136</v>
      </c>
      <c r="C1862" s="10" t="s">
        <v>186</v>
      </c>
      <c r="D1862" s="10" t="s">
        <v>22</v>
      </c>
      <c r="E1862" t="str">
        <f>VLOOKUP(D1862,'Lista de Produtos CLASSIFICAÇÃO'!$A$103:$B$144,2,FALSE)</f>
        <v>Metanol</v>
      </c>
      <c r="F1862" s="53">
        <v>546830</v>
      </c>
      <c r="G1862" s="56" t="str">
        <f>VLOOKUP(C1862,clientes!$C$3:$D$60,2,FALSE)</f>
        <v>OQ TRADING</v>
      </c>
    </row>
    <row r="1863" spans="1:7" x14ac:dyDescent="0.25">
      <c r="A1863" s="10">
        <v>2025</v>
      </c>
      <c r="B1863" s="10" t="s">
        <v>136</v>
      </c>
      <c r="C1863" s="10" t="s">
        <v>174</v>
      </c>
      <c r="D1863" s="10" t="s">
        <v>123</v>
      </c>
      <c r="E1863" t="str">
        <f>VLOOKUP(D1863,'Lista de Produtos CLASSIFICAÇÃO'!$A$103:$B$144,2,FALSE)</f>
        <v>Aquecidos</v>
      </c>
      <c r="F1863" s="53">
        <v>2000426</v>
      </c>
      <c r="G1863" s="56" t="str">
        <f>VLOOKUP(C1863,clientes!$C$3:$D$60,2,FALSE)</f>
        <v>CELENA</v>
      </c>
    </row>
    <row r="1864" spans="1:7" x14ac:dyDescent="0.25">
      <c r="A1864" s="10">
        <v>2025</v>
      </c>
      <c r="B1864" s="10" t="s">
        <v>136</v>
      </c>
      <c r="C1864" s="10" t="s">
        <v>175</v>
      </c>
      <c r="D1864" s="10" t="s">
        <v>123</v>
      </c>
      <c r="E1864" t="str">
        <f>VLOOKUP(D1864,'Lista de Produtos CLASSIFICAÇÃO'!$A$103:$B$144,2,FALSE)</f>
        <v>Aquecidos</v>
      </c>
      <c r="F1864" s="53">
        <v>846373</v>
      </c>
      <c r="G1864" s="56" t="str">
        <f>VLOOKUP(C1864,clientes!$C$3:$D$60,2,FALSE)</f>
        <v>AAK DO BRASIL</v>
      </c>
    </row>
    <row r="1865" spans="1:7" x14ac:dyDescent="0.25">
      <c r="A1865" s="10">
        <v>2025</v>
      </c>
      <c r="B1865" s="10" t="s">
        <v>136</v>
      </c>
      <c r="C1865" s="10" t="s">
        <v>166</v>
      </c>
      <c r="D1865" s="10" t="s">
        <v>122</v>
      </c>
      <c r="E1865" t="str">
        <f>VLOOKUP(D1865,'Lista de Produtos CLASSIFICAÇÃO'!$A$103:$B$144,2,FALSE)</f>
        <v>Óleo Vegetal</v>
      </c>
      <c r="F1865" s="53">
        <v>208762</v>
      </c>
      <c r="G1865" s="56" t="str">
        <f>VLOOKUP(C1865,clientes!$C$3:$D$60,2,FALSE)</f>
        <v>CARGILL</v>
      </c>
    </row>
    <row r="1866" spans="1:7" x14ac:dyDescent="0.25">
      <c r="A1866" s="10">
        <v>2025</v>
      </c>
      <c r="B1866" s="10" t="s">
        <v>136</v>
      </c>
      <c r="C1866" s="10" t="s">
        <v>176</v>
      </c>
      <c r="D1866" s="10" t="s">
        <v>123</v>
      </c>
      <c r="E1866" t="str">
        <f>VLOOKUP(D1866,'Lista de Produtos CLASSIFICAÇÃO'!$A$103:$B$144,2,FALSE)</f>
        <v>Aquecidos</v>
      </c>
      <c r="F1866" s="53">
        <v>466210</v>
      </c>
      <c r="G1866" s="56" t="str">
        <f>VLOOKUP(C1866,clientes!$C$3:$D$60,2,FALSE)</f>
        <v>AGROPALMA</v>
      </c>
    </row>
    <row r="1867" spans="1:7" x14ac:dyDescent="0.25">
      <c r="A1867" s="10">
        <v>2025</v>
      </c>
      <c r="B1867" s="10" t="s">
        <v>136</v>
      </c>
      <c r="C1867" s="10" t="s">
        <v>177</v>
      </c>
      <c r="D1867" s="10" t="s">
        <v>115</v>
      </c>
      <c r="E1867" t="str">
        <f>VLOOKUP(D1867,'Lista de Produtos CLASSIFICAÇÃO'!$A$103:$B$144,2,FALSE)</f>
        <v>Soda Caustica</v>
      </c>
      <c r="F1867" s="53">
        <v>306345</v>
      </c>
      <c r="G1867" s="56" t="str">
        <f>VLOOKUP(C1867,clientes!$C$3:$D$60,2,FALSE)</f>
        <v>BRENNTAG</v>
      </c>
    </row>
    <row r="1868" spans="1:7" x14ac:dyDescent="0.25">
      <c r="A1868" s="10">
        <v>2025</v>
      </c>
      <c r="B1868" s="10" t="s">
        <v>136</v>
      </c>
      <c r="C1868" s="10" t="s">
        <v>178</v>
      </c>
      <c r="D1868" s="10" t="s">
        <v>115</v>
      </c>
      <c r="E1868" t="str">
        <f>VLOOKUP(D1868,'Lista de Produtos CLASSIFICAÇÃO'!$A$103:$B$144,2,FALSE)</f>
        <v>Soda Caustica</v>
      </c>
      <c r="F1868" s="53">
        <v>1779629</v>
      </c>
      <c r="G1868" s="56" t="str">
        <f>VLOOKUP(C1868,clientes!$C$3:$D$60,2,FALSE)</f>
        <v>OLIN BLUE CUBE</v>
      </c>
    </row>
    <row r="1869" spans="1:7" x14ac:dyDescent="0.25">
      <c r="A1869" s="10">
        <v>2025</v>
      </c>
      <c r="B1869" s="10" t="s">
        <v>136</v>
      </c>
      <c r="C1869" s="10" t="s">
        <v>179</v>
      </c>
      <c r="D1869" s="10" t="s">
        <v>26</v>
      </c>
      <c r="E1869" t="str">
        <f>VLOOKUP(D1869,'Lista de Produtos CLASSIFICAÇÃO'!$A$103:$B$144,2,FALSE)</f>
        <v>Biocombustíveis</v>
      </c>
      <c r="F1869" s="53">
        <v>437969</v>
      </c>
      <c r="G1869" s="56" t="str">
        <f>VLOOKUP(C1869,clientes!$C$3:$D$60,2,FALSE)</f>
        <v>BSBIOS</v>
      </c>
    </row>
    <row r="1870" spans="1:7" x14ac:dyDescent="0.25">
      <c r="A1870" s="10">
        <v>2025</v>
      </c>
      <c r="B1870" s="10" t="s">
        <v>136</v>
      </c>
      <c r="C1870" s="10" t="s">
        <v>181</v>
      </c>
      <c r="D1870" s="10" t="s">
        <v>123</v>
      </c>
      <c r="E1870" t="str">
        <f>VLOOKUP(D1870,'Lista de Produtos CLASSIFICAÇÃO'!$A$103:$B$144,2,FALSE)</f>
        <v>Aquecidos</v>
      </c>
      <c r="F1870" s="53">
        <v>208225</v>
      </c>
      <c r="G1870" s="56" t="str">
        <f>VLOOKUP(C1870,clientes!$C$3:$D$60,2,FALSE)</f>
        <v>COAMO</v>
      </c>
    </row>
    <row r="1871" spans="1:7" x14ac:dyDescent="0.25">
      <c r="A1871" s="10">
        <v>2025</v>
      </c>
      <c r="B1871" s="10" t="s">
        <v>136</v>
      </c>
      <c r="C1871" s="10" t="s">
        <v>182</v>
      </c>
      <c r="D1871" s="10" t="s">
        <v>120</v>
      </c>
      <c r="E1871" t="str">
        <f>VLOOKUP(D1871,'Lista de Produtos CLASSIFICAÇÃO'!$A$103:$B$144,2,FALSE)</f>
        <v>Derivados</v>
      </c>
      <c r="F1871" s="53">
        <v>1147677</v>
      </c>
      <c r="G1871" s="56" t="str">
        <f>VLOOKUP(C1871,clientes!$C$3:$D$60,2,FALSE)</f>
        <v>ATEM</v>
      </c>
    </row>
    <row r="1872" spans="1:7" x14ac:dyDescent="0.25">
      <c r="A1872" s="10">
        <v>2025</v>
      </c>
      <c r="B1872" s="10" t="s">
        <v>136</v>
      </c>
      <c r="C1872" s="10" t="s">
        <v>184</v>
      </c>
      <c r="D1872" s="10" t="s">
        <v>122</v>
      </c>
      <c r="E1872" t="str">
        <f>VLOOKUP(D1872,'Lista de Produtos CLASSIFICAÇÃO'!$A$103:$B$144,2,FALSE)</f>
        <v>Óleo Vegetal</v>
      </c>
      <c r="F1872" s="53">
        <v>230660</v>
      </c>
      <c r="G1872" s="56" t="str">
        <f>VLOOKUP(C1872,clientes!$C$3:$D$60,2,FALSE)</f>
        <v>INGREDION</v>
      </c>
    </row>
    <row r="1873" spans="1:7" x14ac:dyDescent="0.25">
      <c r="A1873" s="10">
        <v>2025</v>
      </c>
      <c r="B1873" s="10" t="s">
        <v>136</v>
      </c>
      <c r="C1873" s="10" t="s">
        <v>185</v>
      </c>
      <c r="D1873" s="10" t="s">
        <v>120</v>
      </c>
      <c r="E1873" t="str">
        <f>VLOOKUP(D1873,'Lista de Produtos CLASSIFICAÇÃO'!$A$103:$B$144,2,FALSE)</f>
        <v>Derivados</v>
      </c>
      <c r="F1873" s="53">
        <v>1076739</v>
      </c>
      <c r="G1873" s="56" t="str">
        <f>VLOOKUP(C1873,clientes!$C$3:$D$60,2,FALSE)</f>
        <v>CIAPETRO</v>
      </c>
    </row>
    <row r="1874" spans="1:7" x14ac:dyDescent="0.25">
      <c r="A1874" s="10">
        <v>2025</v>
      </c>
      <c r="B1874" s="10" t="s">
        <v>136</v>
      </c>
      <c r="C1874" s="10" t="s">
        <v>187</v>
      </c>
      <c r="D1874" s="10" t="s">
        <v>121</v>
      </c>
      <c r="E1874" t="str">
        <f>VLOOKUP(D1874,'Lista de Produtos CLASSIFICAÇÃO'!$A$103:$B$144,2,FALSE)</f>
        <v>Biocombustíveis</v>
      </c>
      <c r="F1874" s="53">
        <v>900000</v>
      </c>
      <c r="G1874" s="56" t="str">
        <f>VLOOKUP(C1874,clientes!$C$3:$D$60,2,FALSE)</f>
        <v>TEREOS / INPASA / GLENCORE / FS</v>
      </c>
    </row>
    <row r="1875" spans="1:7" x14ac:dyDescent="0.25">
      <c r="A1875" s="10">
        <v>2025</v>
      </c>
      <c r="B1875" s="10" t="s">
        <v>136</v>
      </c>
      <c r="C1875" s="10" t="s">
        <v>188</v>
      </c>
      <c r="D1875" s="10" t="s">
        <v>123</v>
      </c>
      <c r="E1875" t="str">
        <f>VLOOKUP(D1875,'Lista de Produtos CLASSIFICAÇÃO'!$A$103:$B$144,2,FALSE)</f>
        <v>Aquecidos</v>
      </c>
      <c r="F1875" s="53">
        <v>608544</v>
      </c>
      <c r="G1875" s="56" t="str">
        <f>VLOOKUP(C1875,clientes!$C$3:$D$60,2,FALSE)</f>
        <v>ARES MERCHANTS PTE LIMITE</v>
      </c>
    </row>
    <row r="1876" spans="1:7" x14ac:dyDescent="0.25">
      <c r="A1876" s="10">
        <v>2025</v>
      </c>
      <c r="B1876" s="10" t="s">
        <v>136</v>
      </c>
      <c r="C1876" s="10" t="s">
        <v>18</v>
      </c>
      <c r="D1876" s="10" t="s">
        <v>17</v>
      </c>
      <c r="E1876" t="str">
        <f>VLOOKUP(D1876,'Lista de Produtos CLASSIFICAÇÃO'!$A$103:$B$144,2,FALSE)</f>
        <v>Acostagem</v>
      </c>
      <c r="F1876" s="53">
        <v>513333.09375</v>
      </c>
      <c r="G1876" s="56" t="str">
        <f>VLOOKUP(C1876,clientes!$C$3:$D$60,2,FALSE)</f>
        <v>ACOSTAGEM</v>
      </c>
    </row>
    <row r="1877" spans="1:7" x14ac:dyDescent="0.25">
      <c r="A1877" s="10">
        <v>2025</v>
      </c>
      <c r="B1877" s="10" t="s">
        <v>136</v>
      </c>
      <c r="C1877" s="10" t="s">
        <v>189</v>
      </c>
      <c r="D1877" t="s">
        <v>123</v>
      </c>
      <c r="E1877" t="str">
        <f>VLOOKUP(D1877,'Lista de Produtos CLASSIFICAÇÃO'!$A$103:$B$144,2,FALSE)</f>
        <v>Aquecidos</v>
      </c>
      <c r="F1877" s="53">
        <v>557826</v>
      </c>
      <c r="G1877" s="56" t="str">
        <f>VLOOKUP(C1877,clientes!$C$3:$D$60,2,FALSE)</f>
        <v>ICOF</v>
      </c>
    </row>
    <row r="1878" spans="1:7" x14ac:dyDescent="0.25">
      <c r="A1878" s="10">
        <v>2025</v>
      </c>
      <c r="B1878" s="10" t="s">
        <v>136</v>
      </c>
      <c r="C1878" s="10" t="s">
        <v>191</v>
      </c>
      <c r="D1878" t="s">
        <v>115</v>
      </c>
      <c r="E1878" t="str">
        <f>VLOOKUP(D1878,'Lista de Produtos CLASSIFICAÇÃO'!$A$103:$B$144,2,FALSE)</f>
        <v>Soda Caustica</v>
      </c>
      <c r="F1878" s="53">
        <v>158585</v>
      </c>
      <c r="G1878" s="56" t="str">
        <f>VLOOKUP(C1878,clientes!$C$3:$D$60,2,FALSE)</f>
        <v>GPC</v>
      </c>
    </row>
    <row r="1879" spans="1:7" x14ac:dyDescent="0.25">
      <c r="A1879" s="10">
        <v>2025</v>
      </c>
      <c r="B1879" s="10" t="s">
        <v>136</v>
      </c>
      <c r="C1879" s="10" t="s">
        <v>192</v>
      </c>
      <c r="D1879" s="10" t="s">
        <v>121</v>
      </c>
      <c r="E1879" t="str">
        <f>VLOOKUP(D1879,'Lista de Produtos CLASSIFICAÇÃO'!$A$103:$B$144,2,FALSE)</f>
        <v>Biocombustíveis</v>
      </c>
      <c r="F1879" s="53">
        <v>1477279</v>
      </c>
      <c r="G1879" s="56" t="str">
        <f>VLOOKUP(C1879,clientes!$C$3:$D$60,2,FALSE)</f>
        <v>INPASA</v>
      </c>
    </row>
    <row r="1880" spans="1:7" x14ac:dyDescent="0.25">
      <c r="A1880" s="10">
        <v>2025</v>
      </c>
      <c r="B1880" s="10" t="s">
        <v>137</v>
      </c>
      <c r="C1880" s="10" t="s">
        <v>155</v>
      </c>
      <c r="D1880" s="10" t="s">
        <v>16</v>
      </c>
      <c r="E1880" t="str">
        <f>VLOOKUP(D1880,'Lista de Produtos CLASSIFICAÇÃO'!$A$103:$B$144,2,FALSE)</f>
        <v>Outros</v>
      </c>
      <c r="F1880" s="53">
        <v>878484</v>
      </c>
      <c r="G1880" s="56" t="str">
        <f>VLOOKUP(C1880,clientes!$C$3:$D$60,2,FALSE)</f>
        <v>ADISSEO</v>
      </c>
    </row>
    <row r="1881" spans="1:7" x14ac:dyDescent="0.25">
      <c r="A1881" s="10">
        <v>2025</v>
      </c>
      <c r="B1881" s="10" t="s">
        <v>137</v>
      </c>
      <c r="C1881" s="10" t="s">
        <v>156</v>
      </c>
      <c r="D1881" s="10" t="s">
        <v>123</v>
      </c>
      <c r="E1881" t="str">
        <f>VLOOKUP(D1881,'Lista de Produtos CLASSIFICAÇÃO'!$A$103:$B$144,2,FALSE)</f>
        <v>Aquecidos</v>
      </c>
      <c r="F1881" s="53">
        <v>378593</v>
      </c>
      <c r="G1881" s="56" t="str">
        <f>VLOOKUP(C1881,clientes!$C$3:$D$60,2,FALSE)</f>
        <v>BUNGE</v>
      </c>
    </row>
    <row r="1882" spans="1:7" x14ac:dyDescent="0.25">
      <c r="A1882" s="10">
        <v>2025</v>
      </c>
      <c r="B1882" s="10" t="s">
        <v>137</v>
      </c>
      <c r="C1882" s="10" t="s">
        <v>157</v>
      </c>
      <c r="D1882" s="10" t="s">
        <v>122</v>
      </c>
      <c r="E1882" t="str">
        <f>VLOOKUP(D1882,'Lista de Produtos CLASSIFICAÇÃO'!$A$103:$B$144,2,FALSE)</f>
        <v>Óleo Vegetal</v>
      </c>
      <c r="F1882" s="53">
        <v>168574</v>
      </c>
      <c r="G1882" s="56" t="str">
        <f>VLOOKUP(C1882,clientes!$C$3:$D$60,2,FALSE)</f>
        <v>ADM</v>
      </c>
    </row>
    <row r="1883" spans="1:7" x14ac:dyDescent="0.25">
      <c r="A1883" s="10">
        <v>2025</v>
      </c>
      <c r="B1883" s="10" t="s">
        <v>137</v>
      </c>
      <c r="C1883" s="10" t="s">
        <v>158</v>
      </c>
      <c r="D1883" s="10" t="s">
        <v>120</v>
      </c>
      <c r="E1883" t="str">
        <f>VLOOKUP(D1883,'Lista de Produtos CLASSIFICAÇÃO'!$A$103:$B$144,2,FALSE)</f>
        <v>Derivados</v>
      </c>
      <c r="F1883" s="53">
        <v>5957914</v>
      </c>
      <c r="G1883" s="56" t="str">
        <f>VLOOKUP(C1883,clientes!$C$3:$D$60,2,FALSE)</f>
        <v>IPIRANGA</v>
      </c>
    </row>
    <row r="1884" spans="1:7" x14ac:dyDescent="0.25">
      <c r="A1884" s="10">
        <v>2025</v>
      </c>
      <c r="B1884" s="10" t="s">
        <v>137</v>
      </c>
      <c r="C1884" s="10" t="s">
        <v>159</v>
      </c>
      <c r="D1884" s="10" t="s">
        <v>120</v>
      </c>
      <c r="E1884" t="str">
        <f>VLOOKUP(D1884,'Lista de Produtos CLASSIFICAÇÃO'!$A$103:$B$144,2,FALSE)</f>
        <v>Derivados</v>
      </c>
      <c r="F1884" s="53">
        <v>3979329</v>
      </c>
      <c r="G1884" s="56" t="str">
        <f>VLOOKUP(C1884,clientes!$C$3:$D$60,2,FALSE)</f>
        <v>RAIZEN</v>
      </c>
    </row>
    <row r="1885" spans="1:7" x14ac:dyDescent="0.25">
      <c r="A1885" s="10">
        <v>2025</v>
      </c>
      <c r="B1885" s="10" t="s">
        <v>137</v>
      </c>
      <c r="C1885" s="10" t="s">
        <v>160</v>
      </c>
      <c r="D1885" s="10" t="s">
        <v>120</v>
      </c>
      <c r="E1885" t="str">
        <f>VLOOKUP(D1885,'Lista de Produtos CLASSIFICAÇÃO'!$A$103:$B$144,2,FALSE)</f>
        <v>Derivados</v>
      </c>
      <c r="F1885" s="53">
        <v>1971343</v>
      </c>
      <c r="G1885" s="56" t="str">
        <f>VLOOKUP(C1885,clientes!$C$3:$D$60,2,FALSE)</f>
        <v>VIBRA</v>
      </c>
    </row>
    <row r="1886" spans="1:7" x14ac:dyDescent="0.25">
      <c r="A1886" s="10">
        <v>2025</v>
      </c>
      <c r="B1886" s="10" t="s">
        <v>137</v>
      </c>
      <c r="C1886" s="10" t="s">
        <v>161</v>
      </c>
      <c r="D1886" s="10" t="s">
        <v>120</v>
      </c>
      <c r="E1886" t="str">
        <f>VLOOKUP(D1886,'Lista de Produtos CLASSIFICAÇÃO'!$A$103:$B$144,2,FALSE)</f>
        <v>Derivados</v>
      </c>
      <c r="F1886" s="53">
        <v>3059732</v>
      </c>
      <c r="G1886" s="56" t="str">
        <f>VLOOKUP(C1886,clientes!$C$3:$D$60,2,FALSE)</f>
        <v>SUL PLATA</v>
      </c>
    </row>
    <row r="1887" spans="1:7" x14ac:dyDescent="0.25">
      <c r="A1887" s="10">
        <v>2025</v>
      </c>
      <c r="B1887" s="10" t="s">
        <v>137</v>
      </c>
      <c r="C1887" s="10" t="s">
        <v>162</v>
      </c>
      <c r="D1887" s="10" t="s">
        <v>115</v>
      </c>
      <c r="E1887" t="str">
        <f>VLOOKUP(D1887,'Lista de Produtos CLASSIFICAÇÃO'!$A$103:$B$144,2,FALSE)</f>
        <v>Soda Caustica</v>
      </c>
      <c r="F1887" s="53">
        <v>243956</v>
      </c>
      <c r="G1887" s="56" t="str">
        <f>VLOOKUP(C1887,clientes!$C$3:$D$60,2,FALSE)</f>
        <v>JBS</v>
      </c>
    </row>
    <row r="1888" spans="1:7" x14ac:dyDescent="0.25">
      <c r="A1888" s="10">
        <v>2025</v>
      </c>
      <c r="B1888" s="10" t="s">
        <v>137</v>
      </c>
      <c r="C1888" s="10" t="s">
        <v>163</v>
      </c>
      <c r="D1888" t="s">
        <v>115</v>
      </c>
      <c r="E1888" t="str">
        <f>VLOOKUP(D1888,'Lista de Produtos CLASSIFICAÇÃO'!$A$103:$B$144,2,FALSE)</f>
        <v>Soda Caustica</v>
      </c>
      <c r="F1888" s="53">
        <v>406299</v>
      </c>
      <c r="G1888" s="56" t="str">
        <f>VLOOKUP(C1888,clientes!$C$3:$D$60,2,FALSE)</f>
        <v>TRICON ENERGY</v>
      </c>
    </row>
    <row r="1889" spans="1:7" x14ac:dyDescent="0.25">
      <c r="A1889" s="10">
        <v>2025</v>
      </c>
      <c r="B1889" s="10" t="s">
        <v>137</v>
      </c>
      <c r="C1889" s="10" t="s">
        <v>164</v>
      </c>
      <c r="D1889" t="s">
        <v>115</v>
      </c>
      <c r="E1889" t="str">
        <f>VLOOKUP(D1889,'Lista de Produtos CLASSIFICAÇÃO'!$A$103:$B$144,2,FALSE)</f>
        <v>Soda Caustica</v>
      </c>
      <c r="F1889" s="53">
        <v>220436</v>
      </c>
      <c r="G1889" s="56" t="str">
        <f>VLOOKUP(C1889,clientes!$C$3:$D$60,2,FALSE)</f>
        <v>BRASKEM</v>
      </c>
    </row>
    <row r="1890" spans="1:7" x14ac:dyDescent="0.25">
      <c r="A1890" s="10">
        <v>2025</v>
      </c>
      <c r="B1890" s="10" t="s">
        <v>137</v>
      </c>
      <c r="C1890" s="10" t="s">
        <v>165</v>
      </c>
      <c r="D1890" s="10" t="s">
        <v>123</v>
      </c>
      <c r="E1890" t="str">
        <f>VLOOKUP(D1890,'Lista de Produtos CLASSIFICAÇÃO'!$A$103:$B$144,2,FALSE)</f>
        <v>Aquecidos</v>
      </c>
      <c r="F1890" s="53">
        <v>1030619</v>
      </c>
      <c r="G1890" s="56" t="str">
        <f>VLOOKUP(C1890,clientes!$C$3:$D$60,2,FALSE)</f>
        <v>BRF</v>
      </c>
    </row>
    <row r="1891" spans="1:7" x14ac:dyDescent="0.25">
      <c r="A1891" s="10">
        <v>2025</v>
      </c>
      <c r="B1891" s="10" t="s">
        <v>137</v>
      </c>
      <c r="C1891" s="10" t="s">
        <v>162</v>
      </c>
      <c r="D1891" s="10" t="s">
        <v>123</v>
      </c>
      <c r="E1891" t="str">
        <f>VLOOKUP(D1891,'Lista de Produtos CLASSIFICAÇÃO'!$A$103:$B$144,2,FALSE)</f>
        <v>Aquecidos</v>
      </c>
      <c r="F1891" s="53">
        <v>569771</v>
      </c>
      <c r="G1891" s="56" t="str">
        <f>VLOOKUP(C1891,clientes!$C$3:$D$60,2,FALSE)</f>
        <v>JBS</v>
      </c>
    </row>
    <row r="1892" spans="1:7" x14ac:dyDescent="0.25">
      <c r="A1892" s="10">
        <v>2025</v>
      </c>
      <c r="B1892" s="10" t="s">
        <v>137</v>
      </c>
      <c r="C1892" s="10" t="s">
        <v>166</v>
      </c>
      <c r="D1892" s="10" t="s">
        <v>123</v>
      </c>
      <c r="E1892" t="str">
        <f>VLOOKUP(D1892,'Lista de Produtos CLASSIFICAÇÃO'!$A$103:$B$144,2,FALSE)</f>
        <v>Aquecidos</v>
      </c>
      <c r="F1892" s="53">
        <v>537650</v>
      </c>
      <c r="G1892" s="56" t="str">
        <f>VLOOKUP(C1892,clientes!$C$3:$D$60,2,FALSE)</f>
        <v>CARGILL</v>
      </c>
    </row>
    <row r="1893" spans="1:7" x14ac:dyDescent="0.25">
      <c r="A1893" s="10">
        <v>2025</v>
      </c>
      <c r="B1893" s="10" t="s">
        <v>137</v>
      </c>
      <c r="C1893" s="10" t="s">
        <v>167</v>
      </c>
      <c r="D1893" s="10" t="s">
        <v>122</v>
      </c>
      <c r="E1893" t="str">
        <f>VLOOKUP(D1893,'Lista de Produtos CLASSIFICAÇÃO'!$A$103:$B$144,2,FALSE)</f>
        <v>Óleo Vegetal</v>
      </c>
      <c r="F1893" s="53">
        <v>5567183</v>
      </c>
      <c r="G1893" s="56" t="str">
        <f>VLOOKUP(C1893,clientes!$C$3:$D$60,2,FALSE)</f>
        <v>POOL</v>
      </c>
    </row>
    <row r="1894" spans="1:7" x14ac:dyDescent="0.25">
      <c r="A1894" s="10">
        <v>2025</v>
      </c>
      <c r="B1894" s="10" t="s">
        <v>137</v>
      </c>
      <c r="C1894" s="10" t="s">
        <v>168</v>
      </c>
      <c r="D1894" s="10" t="s">
        <v>122</v>
      </c>
      <c r="E1894" t="str">
        <f>VLOOKUP(D1894,'Lista de Produtos CLASSIFICAÇÃO'!$A$103:$B$144,2,FALSE)</f>
        <v>Óleo Vegetal</v>
      </c>
      <c r="F1894" s="53">
        <v>0</v>
      </c>
      <c r="G1894" s="56" t="str">
        <f>VLOOKUP(C1894,clientes!$C$3:$D$60,2,FALSE)</f>
        <v>POOL EXCEDENTE</v>
      </c>
    </row>
    <row r="1895" spans="1:7" x14ac:dyDescent="0.25">
      <c r="A1895" s="10">
        <v>2025</v>
      </c>
      <c r="B1895" s="10" t="s">
        <v>137</v>
      </c>
      <c r="C1895" s="10" t="s">
        <v>169</v>
      </c>
      <c r="D1895" s="10" t="s">
        <v>22</v>
      </c>
      <c r="E1895" t="str">
        <f>VLOOKUP(D1895,'Lista de Produtos CLASSIFICAÇÃO'!$A$103:$B$144,2,FALSE)</f>
        <v>Metanol</v>
      </c>
      <c r="F1895" s="53">
        <v>7893225</v>
      </c>
      <c r="G1895" s="56" t="str">
        <f>VLOOKUP(C1895,clientes!$C$3:$D$60,2,FALSE)</f>
        <v>METHANEX</v>
      </c>
    </row>
    <row r="1896" spans="1:7" x14ac:dyDescent="0.25">
      <c r="A1896" s="10">
        <v>2025</v>
      </c>
      <c r="B1896" s="10" t="s">
        <v>137</v>
      </c>
      <c r="C1896" s="10" t="s">
        <v>170</v>
      </c>
      <c r="D1896" s="10" t="s">
        <v>22</v>
      </c>
      <c r="E1896" t="str">
        <f>VLOOKUP(D1896,'Lista de Produtos CLASSIFICAÇÃO'!$A$103:$B$144,2,FALSE)</f>
        <v>Metanol</v>
      </c>
      <c r="F1896" s="53">
        <v>5054137</v>
      </c>
      <c r="G1896" s="56" t="str">
        <f>VLOOKUP(C1896,clientes!$C$3:$D$60,2,FALSE)</f>
        <v>MITSUBISHI</v>
      </c>
    </row>
    <row r="1897" spans="1:7" x14ac:dyDescent="0.25">
      <c r="A1897" s="10">
        <v>2025</v>
      </c>
      <c r="B1897" s="10" t="s">
        <v>137</v>
      </c>
      <c r="C1897" s="10" t="s">
        <v>171</v>
      </c>
      <c r="D1897" s="10" t="s">
        <v>22</v>
      </c>
      <c r="E1897" t="str">
        <f>VLOOKUP(D1897,'Lista de Produtos CLASSIFICAÇÃO'!$A$103:$B$144,2,FALSE)</f>
        <v>Metanol</v>
      </c>
      <c r="F1897" s="53">
        <v>6057428</v>
      </c>
      <c r="G1897" s="56" t="str">
        <f>VLOOKUP(C1897,clientes!$C$3:$D$60,2,FALSE)</f>
        <v>VALENZ</v>
      </c>
    </row>
    <row r="1898" spans="1:7" x14ac:dyDescent="0.25">
      <c r="A1898" s="10">
        <v>2025</v>
      </c>
      <c r="B1898" s="10" t="s">
        <v>137</v>
      </c>
      <c r="C1898" s="10" t="s">
        <v>172</v>
      </c>
      <c r="D1898" s="10" t="s">
        <v>124</v>
      </c>
      <c r="E1898" t="str">
        <f>VLOOKUP(D1898,'Lista de Produtos CLASSIFICAÇÃO'!$A$103:$B$144,2,FALSE)</f>
        <v>Outros</v>
      </c>
      <c r="F1898" s="53">
        <v>439941</v>
      </c>
      <c r="G1898" s="56" t="str">
        <f>VLOOKUP(C1898,clientes!$C$3:$D$60,2,FALSE)</f>
        <v>EVONIK</v>
      </c>
    </row>
    <row r="1899" spans="1:7" x14ac:dyDescent="0.25">
      <c r="A1899" s="10">
        <v>2025</v>
      </c>
      <c r="B1899" s="10" t="s">
        <v>137</v>
      </c>
      <c r="C1899" s="10" t="s">
        <v>186</v>
      </c>
      <c r="D1899" s="10" t="s">
        <v>22</v>
      </c>
      <c r="E1899" t="str">
        <f>VLOOKUP(D1899,'Lista de Produtos CLASSIFICAÇÃO'!$A$103:$B$144,2,FALSE)</f>
        <v>Metanol</v>
      </c>
      <c r="F1899" s="53">
        <v>546830</v>
      </c>
      <c r="G1899" s="56" t="str">
        <f>VLOOKUP(C1899,clientes!$C$3:$D$60,2,FALSE)</f>
        <v>OQ TRADING</v>
      </c>
    </row>
    <row r="1900" spans="1:7" x14ac:dyDescent="0.25">
      <c r="A1900" s="10">
        <v>2025</v>
      </c>
      <c r="B1900" s="10" t="s">
        <v>137</v>
      </c>
      <c r="C1900" s="10" t="s">
        <v>174</v>
      </c>
      <c r="D1900" s="10" t="s">
        <v>123</v>
      </c>
      <c r="E1900" t="str">
        <f>VLOOKUP(D1900,'Lista de Produtos CLASSIFICAÇÃO'!$A$103:$B$144,2,FALSE)</f>
        <v>Aquecidos</v>
      </c>
      <c r="F1900" s="53">
        <v>2000426</v>
      </c>
      <c r="G1900" s="56" t="str">
        <f>VLOOKUP(C1900,clientes!$C$3:$D$60,2,FALSE)</f>
        <v>CELENA</v>
      </c>
    </row>
    <row r="1901" spans="1:7" x14ac:dyDescent="0.25">
      <c r="A1901" s="10">
        <v>2025</v>
      </c>
      <c r="B1901" s="10" t="s">
        <v>137</v>
      </c>
      <c r="C1901" s="10" t="s">
        <v>175</v>
      </c>
      <c r="D1901" s="10" t="s">
        <v>123</v>
      </c>
      <c r="E1901" t="str">
        <f>VLOOKUP(D1901,'Lista de Produtos CLASSIFICAÇÃO'!$A$103:$B$144,2,FALSE)</f>
        <v>Aquecidos</v>
      </c>
      <c r="F1901" s="53">
        <v>846373</v>
      </c>
      <c r="G1901" s="56" t="str">
        <f>VLOOKUP(C1901,clientes!$C$3:$D$60,2,FALSE)</f>
        <v>AAK DO BRASIL</v>
      </c>
    </row>
    <row r="1902" spans="1:7" x14ac:dyDescent="0.25">
      <c r="A1902" s="10">
        <v>2025</v>
      </c>
      <c r="B1902" s="10" t="s">
        <v>137</v>
      </c>
      <c r="C1902" s="10" t="s">
        <v>166</v>
      </c>
      <c r="D1902" s="10" t="s">
        <v>122</v>
      </c>
      <c r="E1902" t="str">
        <f>VLOOKUP(D1902,'Lista de Produtos CLASSIFICAÇÃO'!$A$103:$B$144,2,FALSE)</f>
        <v>Óleo Vegetal</v>
      </c>
      <c r="F1902" s="53">
        <v>245362</v>
      </c>
      <c r="G1902" s="56" t="str">
        <f>VLOOKUP(C1902,clientes!$C$3:$D$60,2,FALSE)</f>
        <v>CARGILL</v>
      </c>
    </row>
    <row r="1903" spans="1:7" x14ac:dyDescent="0.25">
      <c r="A1903" s="10">
        <v>2025</v>
      </c>
      <c r="B1903" s="10" t="s">
        <v>137</v>
      </c>
      <c r="C1903" s="10" t="s">
        <v>176</v>
      </c>
      <c r="D1903" s="10" t="s">
        <v>123</v>
      </c>
      <c r="E1903" t="str">
        <f>VLOOKUP(D1903,'Lista de Produtos CLASSIFICAÇÃO'!$A$103:$B$144,2,FALSE)</f>
        <v>Aquecidos</v>
      </c>
      <c r="F1903" s="53">
        <v>466210</v>
      </c>
      <c r="G1903" s="56" t="str">
        <f>VLOOKUP(C1903,clientes!$C$3:$D$60,2,FALSE)</f>
        <v>AGROPALMA</v>
      </c>
    </row>
    <row r="1904" spans="1:7" x14ac:dyDescent="0.25">
      <c r="A1904" s="10">
        <v>2025</v>
      </c>
      <c r="B1904" s="10" t="s">
        <v>137</v>
      </c>
      <c r="C1904" s="10" t="s">
        <v>177</v>
      </c>
      <c r="D1904" s="10" t="s">
        <v>115</v>
      </c>
      <c r="E1904" t="str">
        <f>VLOOKUP(D1904,'Lista de Produtos CLASSIFICAÇÃO'!$A$103:$B$144,2,FALSE)</f>
        <v>Soda Caustica</v>
      </c>
      <c r="F1904" s="53">
        <v>306345</v>
      </c>
      <c r="G1904" s="56" t="str">
        <f>VLOOKUP(C1904,clientes!$C$3:$D$60,2,FALSE)</f>
        <v>BRENNTAG</v>
      </c>
    </row>
    <row r="1905" spans="1:7" x14ac:dyDescent="0.25">
      <c r="A1905" s="10">
        <v>2025</v>
      </c>
      <c r="B1905" s="10" t="s">
        <v>137</v>
      </c>
      <c r="C1905" s="10" t="s">
        <v>178</v>
      </c>
      <c r="D1905" s="10" t="s">
        <v>115</v>
      </c>
      <c r="E1905" t="str">
        <f>VLOOKUP(D1905,'Lista de Produtos CLASSIFICAÇÃO'!$A$103:$B$144,2,FALSE)</f>
        <v>Soda Caustica</v>
      </c>
      <c r="F1905" s="53">
        <v>1779629</v>
      </c>
      <c r="G1905" s="56" t="str">
        <f>VLOOKUP(C1905,clientes!$C$3:$D$60,2,FALSE)</f>
        <v>OLIN BLUE CUBE</v>
      </c>
    </row>
    <row r="1906" spans="1:7" x14ac:dyDescent="0.25">
      <c r="A1906" s="10">
        <v>2025</v>
      </c>
      <c r="B1906" s="10" t="s">
        <v>137</v>
      </c>
      <c r="C1906" s="10" t="s">
        <v>179</v>
      </c>
      <c r="D1906" s="10" t="s">
        <v>26</v>
      </c>
      <c r="E1906" t="str">
        <f>VLOOKUP(D1906,'Lista de Produtos CLASSIFICAÇÃO'!$A$103:$B$144,2,FALSE)</f>
        <v>Biocombustíveis</v>
      </c>
      <c r="F1906" s="53">
        <v>437969</v>
      </c>
      <c r="G1906" s="56" t="str">
        <f>VLOOKUP(C1906,clientes!$C$3:$D$60,2,FALSE)</f>
        <v>BSBIOS</v>
      </c>
    </row>
    <row r="1907" spans="1:7" x14ac:dyDescent="0.25">
      <c r="A1907" s="10">
        <v>2025</v>
      </c>
      <c r="B1907" s="10" t="s">
        <v>137</v>
      </c>
      <c r="C1907" s="10" t="s">
        <v>181</v>
      </c>
      <c r="D1907" s="10" t="s">
        <v>123</v>
      </c>
      <c r="E1907" t="str">
        <f>VLOOKUP(D1907,'Lista de Produtos CLASSIFICAÇÃO'!$A$103:$B$144,2,FALSE)</f>
        <v>Aquecidos</v>
      </c>
      <c r="F1907" s="53">
        <v>208225</v>
      </c>
      <c r="G1907" s="56" t="str">
        <f>VLOOKUP(C1907,clientes!$C$3:$D$60,2,FALSE)</f>
        <v>COAMO</v>
      </c>
    </row>
    <row r="1908" spans="1:7" x14ac:dyDescent="0.25">
      <c r="A1908" s="10">
        <v>2025</v>
      </c>
      <c r="B1908" s="10" t="s">
        <v>137</v>
      </c>
      <c r="C1908" s="10" t="s">
        <v>182</v>
      </c>
      <c r="D1908" s="10" t="s">
        <v>120</v>
      </c>
      <c r="E1908" t="str">
        <f>VLOOKUP(D1908,'Lista de Produtos CLASSIFICAÇÃO'!$A$103:$B$144,2,FALSE)</f>
        <v>Derivados</v>
      </c>
      <c r="F1908" s="53">
        <v>1147677</v>
      </c>
      <c r="G1908" s="56" t="str">
        <f>VLOOKUP(C1908,clientes!$C$3:$D$60,2,FALSE)</f>
        <v>ATEM</v>
      </c>
    </row>
    <row r="1909" spans="1:7" x14ac:dyDescent="0.25">
      <c r="A1909" s="10">
        <v>2025</v>
      </c>
      <c r="B1909" s="10" t="s">
        <v>137</v>
      </c>
      <c r="C1909" s="10" t="s">
        <v>184</v>
      </c>
      <c r="D1909" s="10" t="s">
        <v>122</v>
      </c>
      <c r="E1909" t="str">
        <f>VLOOKUP(D1909,'Lista de Produtos CLASSIFICAÇÃO'!$A$103:$B$144,2,FALSE)</f>
        <v>Óleo Vegetal</v>
      </c>
      <c r="F1909" s="53">
        <v>230660</v>
      </c>
      <c r="G1909" s="56" t="str">
        <f>VLOOKUP(C1909,clientes!$C$3:$D$60,2,FALSE)</f>
        <v>INGREDION</v>
      </c>
    </row>
    <row r="1910" spans="1:7" x14ac:dyDescent="0.25">
      <c r="A1910" s="10">
        <v>2025</v>
      </c>
      <c r="B1910" s="10" t="s">
        <v>137</v>
      </c>
      <c r="C1910" s="10" t="s">
        <v>185</v>
      </c>
      <c r="D1910" s="10" t="s">
        <v>120</v>
      </c>
      <c r="E1910" t="str">
        <f>VLOOKUP(D1910,'Lista de Produtos CLASSIFICAÇÃO'!$A$103:$B$144,2,FALSE)</f>
        <v>Derivados</v>
      </c>
      <c r="F1910" s="53">
        <v>1076739</v>
      </c>
      <c r="G1910" s="56" t="str">
        <f>VLOOKUP(C1910,clientes!$C$3:$D$60,2,FALSE)</f>
        <v>CIAPETRO</v>
      </c>
    </row>
    <row r="1911" spans="1:7" x14ac:dyDescent="0.25">
      <c r="A1911" s="10">
        <v>2025</v>
      </c>
      <c r="B1911" s="10" t="s">
        <v>137</v>
      </c>
      <c r="C1911" s="10" t="s">
        <v>187</v>
      </c>
      <c r="D1911" s="10" t="s">
        <v>121</v>
      </c>
      <c r="E1911" t="str">
        <f>VLOOKUP(D1911,'Lista de Produtos CLASSIFICAÇÃO'!$A$103:$B$144,2,FALSE)</f>
        <v>Biocombustíveis</v>
      </c>
      <c r="F1911" s="53">
        <v>900000</v>
      </c>
      <c r="G1911" s="56" t="str">
        <f>VLOOKUP(C1911,clientes!$C$3:$D$60,2,FALSE)</f>
        <v>TEREOS / INPASA / GLENCORE / FS</v>
      </c>
    </row>
    <row r="1912" spans="1:7" x14ac:dyDescent="0.25">
      <c r="A1912" s="10">
        <v>2025</v>
      </c>
      <c r="B1912" s="10" t="s">
        <v>137</v>
      </c>
      <c r="C1912" s="10" t="s">
        <v>188</v>
      </c>
      <c r="D1912" s="10" t="s">
        <v>123</v>
      </c>
      <c r="E1912" t="str">
        <f>VLOOKUP(D1912,'Lista de Produtos CLASSIFICAÇÃO'!$A$103:$B$144,2,FALSE)</f>
        <v>Aquecidos</v>
      </c>
      <c r="F1912" s="53">
        <v>608544</v>
      </c>
      <c r="G1912" s="56" t="str">
        <f>VLOOKUP(C1912,clientes!$C$3:$D$60,2,FALSE)</f>
        <v>ARES MERCHANTS PTE LIMITE</v>
      </c>
    </row>
    <row r="1913" spans="1:7" x14ac:dyDescent="0.25">
      <c r="A1913" s="10">
        <v>2025</v>
      </c>
      <c r="B1913" s="10" t="s">
        <v>137</v>
      </c>
      <c r="C1913" s="10" t="s">
        <v>18</v>
      </c>
      <c r="D1913" s="10" t="s">
        <v>17</v>
      </c>
      <c r="E1913" t="str">
        <f>VLOOKUP(D1913,'Lista de Produtos CLASSIFICAÇÃO'!$A$103:$B$144,2,FALSE)</f>
        <v>Acostagem</v>
      </c>
      <c r="F1913" s="53">
        <v>560871.770625</v>
      </c>
      <c r="G1913" s="56" t="str">
        <f>VLOOKUP(C1913,clientes!$C$3:$D$60,2,FALSE)</f>
        <v>ACOSTAGEM</v>
      </c>
    </row>
    <row r="1914" spans="1:7" x14ac:dyDescent="0.25">
      <c r="A1914" s="10">
        <v>2025</v>
      </c>
      <c r="B1914" s="10" t="s">
        <v>137</v>
      </c>
      <c r="C1914" s="10" t="s">
        <v>189</v>
      </c>
      <c r="D1914" t="s">
        <v>123</v>
      </c>
      <c r="E1914" t="str">
        <f>VLOOKUP(D1914,'Lista de Produtos CLASSIFICAÇÃO'!$A$103:$B$144,2,FALSE)</f>
        <v>Aquecidos</v>
      </c>
      <c r="F1914" s="53">
        <v>557826</v>
      </c>
      <c r="G1914" s="56" t="str">
        <f>VLOOKUP(C1914,clientes!$C$3:$D$60,2,FALSE)</f>
        <v>ICOF</v>
      </c>
    </row>
    <row r="1915" spans="1:7" x14ac:dyDescent="0.25">
      <c r="A1915" s="10">
        <v>2025</v>
      </c>
      <c r="B1915" s="10" t="s">
        <v>137</v>
      </c>
      <c r="C1915" s="10" t="s">
        <v>191</v>
      </c>
      <c r="D1915" t="s">
        <v>115</v>
      </c>
      <c r="E1915" t="str">
        <f>VLOOKUP(D1915,'Lista de Produtos CLASSIFICAÇÃO'!$A$103:$B$144,2,FALSE)</f>
        <v>Soda Caustica</v>
      </c>
      <c r="F1915" s="53">
        <v>136044</v>
      </c>
      <c r="G1915" s="56" t="str">
        <f>VLOOKUP(C1915,clientes!$C$3:$D$60,2,FALSE)</f>
        <v>GPC</v>
      </c>
    </row>
    <row r="1916" spans="1:7" x14ac:dyDescent="0.25">
      <c r="A1916" s="10">
        <v>2025</v>
      </c>
      <c r="B1916" s="10" t="s">
        <v>137</v>
      </c>
      <c r="C1916" s="10" t="s">
        <v>192</v>
      </c>
      <c r="D1916" s="10" t="s">
        <v>121</v>
      </c>
      <c r="E1916" t="str">
        <f>VLOOKUP(D1916,'Lista de Produtos CLASSIFICAÇÃO'!$A$103:$B$144,2,FALSE)</f>
        <v>Biocombustíveis</v>
      </c>
      <c r="F1916" s="53">
        <v>1477279</v>
      </c>
      <c r="G1916" s="56" t="str">
        <f>VLOOKUP(C1916,clientes!$C$3:$D$60,2,FALSE)</f>
        <v>INPASA</v>
      </c>
    </row>
    <row r="1917" spans="1:7" x14ac:dyDescent="0.25">
      <c r="A1917" s="10">
        <v>2025</v>
      </c>
      <c r="B1917" s="10" t="s">
        <v>138</v>
      </c>
      <c r="C1917" s="10" t="s">
        <v>155</v>
      </c>
      <c r="D1917" s="10" t="s">
        <v>16</v>
      </c>
      <c r="E1917" t="str">
        <f>VLOOKUP(D1917,'Lista de Produtos CLASSIFICAÇÃO'!$A$103:$B$144,2,FALSE)</f>
        <v>Outros</v>
      </c>
      <c r="F1917" s="53">
        <v>878484</v>
      </c>
      <c r="G1917" s="56" t="str">
        <f>VLOOKUP(C1917,clientes!$C$3:$D$60,2,FALSE)</f>
        <v>ADISSEO</v>
      </c>
    </row>
    <row r="1918" spans="1:7" x14ac:dyDescent="0.25">
      <c r="A1918" s="10">
        <v>2025</v>
      </c>
      <c r="B1918" s="10" t="s">
        <v>138</v>
      </c>
      <c r="C1918" s="10" t="s">
        <v>156</v>
      </c>
      <c r="D1918" s="10" t="s">
        <v>123</v>
      </c>
      <c r="E1918" t="str">
        <f>VLOOKUP(D1918,'Lista de Produtos CLASSIFICAÇÃO'!$A$103:$B$144,2,FALSE)</f>
        <v>Aquecidos</v>
      </c>
      <c r="F1918" s="53">
        <v>378593</v>
      </c>
      <c r="G1918" s="56" t="str">
        <f>VLOOKUP(C1918,clientes!$C$3:$D$60,2,FALSE)</f>
        <v>BUNGE</v>
      </c>
    </row>
    <row r="1919" spans="1:7" x14ac:dyDescent="0.25">
      <c r="A1919" s="10">
        <v>2025</v>
      </c>
      <c r="B1919" s="10" t="s">
        <v>138</v>
      </c>
      <c r="C1919" s="10" t="s">
        <v>157</v>
      </c>
      <c r="D1919" s="10" t="s">
        <v>122</v>
      </c>
      <c r="E1919" t="str">
        <f>VLOOKUP(D1919,'Lista de Produtos CLASSIFICAÇÃO'!$A$103:$B$144,2,FALSE)</f>
        <v>Óleo Vegetal</v>
      </c>
      <c r="F1919" s="53">
        <v>168574</v>
      </c>
      <c r="G1919" s="56" t="str">
        <f>VLOOKUP(C1919,clientes!$C$3:$D$60,2,FALSE)</f>
        <v>ADM</v>
      </c>
    </row>
    <row r="1920" spans="1:7" x14ac:dyDescent="0.25">
      <c r="A1920" s="10">
        <v>2025</v>
      </c>
      <c r="B1920" s="10" t="s">
        <v>138</v>
      </c>
      <c r="C1920" s="10" t="s">
        <v>158</v>
      </c>
      <c r="D1920" s="10" t="s">
        <v>120</v>
      </c>
      <c r="E1920" t="str">
        <f>VLOOKUP(D1920,'Lista de Produtos CLASSIFICAÇÃO'!$A$103:$B$144,2,FALSE)</f>
        <v>Derivados</v>
      </c>
      <c r="F1920" s="53">
        <v>5957914</v>
      </c>
      <c r="G1920" s="56" t="str">
        <f>VLOOKUP(C1920,clientes!$C$3:$D$60,2,FALSE)</f>
        <v>IPIRANGA</v>
      </c>
    </row>
    <row r="1921" spans="1:7" x14ac:dyDescent="0.25">
      <c r="A1921" s="10">
        <v>2025</v>
      </c>
      <c r="B1921" s="10" t="s">
        <v>138</v>
      </c>
      <c r="C1921" s="10" t="s">
        <v>159</v>
      </c>
      <c r="D1921" s="10" t="s">
        <v>120</v>
      </c>
      <c r="E1921" t="str">
        <f>VLOOKUP(D1921,'Lista de Produtos CLASSIFICAÇÃO'!$A$103:$B$144,2,FALSE)</f>
        <v>Derivados</v>
      </c>
      <c r="F1921" s="53">
        <v>3979329</v>
      </c>
      <c r="G1921" s="56" t="str">
        <f>VLOOKUP(C1921,clientes!$C$3:$D$60,2,FALSE)</f>
        <v>RAIZEN</v>
      </c>
    </row>
    <row r="1922" spans="1:7" x14ac:dyDescent="0.25">
      <c r="A1922" s="10">
        <v>2025</v>
      </c>
      <c r="B1922" s="10" t="s">
        <v>138</v>
      </c>
      <c r="C1922" s="10" t="s">
        <v>160</v>
      </c>
      <c r="D1922" s="10" t="s">
        <v>120</v>
      </c>
      <c r="E1922" t="str">
        <f>VLOOKUP(D1922,'Lista de Produtos CLASSIFICAÇÃO'!$A$103:$B$144,2,FALSE)</f>
        <v>Derivados</v>
      </c>
      <c r="F1922" s="53">
        <v>1971343</v>
      </c>
      <c r="G1922" s="56" t="str">
        <f>VLOOKUP(C1922,clientes!$C$3:$D$60,2,FALSE)</f>
        <v>VIBRA</v>
      </c>
    </row>
    <row r="1923" spans="1:7" x14ac:dyDescent="0.25">
      <c r="A1923" s="10">
        <v>2025</v>
      </c>
      <c r="B1923" s="10" t="s">
        <v>138</v>
      </c>
      <c r="C1923" s="10" t="s">
        <v>161</v>
      </c>
      <c r="D1923" s="10" t="s">
        <v>120</v>
      </c>
      <c r="E1923" t="str">
        <f>VLOOKUP(D1923,'Lista de Produtos CLASSIFICAÇÃO'!$A$103:$B$144,2,FALSE)</f>
        <v>Derivados</v>
      </c>
      <c r="F1923" s="53">
        <v>3059732</v>
      </c>
      <c r="G1923" s="56" t="str">
        <f>VLOOKUP(C1923,clientes!$C$3:$D$60,2,FALSE)</f>
        <v>SUL PLATA</v>
      </c>
    </row>
    <row r="1924" spans="1:7" x14ac:dyDescent="0.25">
      <c r="A1924" s="10">
        <v>2025</v>
      </c>
      <c r="B1924" s="10" t="s">
        <v>138</v>
      </c>
      <c r="C1924" s="10" t="s">
        <v>162</v>
      </c>
      <c r="D1924" s="10" t="s">
        <v>115</v>
      </c>
      <c r="E1924" t="str">
        <f>VLOOKUP(D1924,'Lista de Produtos CLASSIFICAÇÃO'!$A$103:$B$144,2,FALSE)</f>
        <v>Soda Caustica</v>
      </c>
      <c r="F1924" s="53">
        <v>243956</v>
      </c>
      <c r="G1924" s="56" t="str">
        <f>VLOOKUP(C1924,clientes!$C$3:$D$60,2,FALSE)</f>
        <v>JBS</v>
      </c>
    </row>
    <row r="1925" spans="1:7" x14ac:dyDescent="0.25">
      <c r="A1925" s="10">
        <v>2025</v>
      </c>
      <c r="B1925" s="10" t="s">
        <v>138</v>
      </c>
      <c r="C1925" s="10" t="s">
        <v>163</v>
      </c>
      <c r="D1925" t="s">
        <v>115</v>
      </c>
      <c r="E1925" t="str">
        <f>VLOOKUP(D1925,'Lista de Produtos CLASSIFICAÇÃO'!$A$103:$B$144,2,FALSE)</f>
        <v>Soda Caustica</v>
      </c>
      <c r="F1925" s="53">
        <v>406299</v>
      </c>
      <c r="G1925" s="56" t="str">
        <f>VLOOKUP(C1925,clientes!$C$3:$D$60,2,FALSE)</f>
        <v>TRICON ENERGY</v>
      </c>
    </row>
    <row r="1926" spans="1:7" x14ac:dyDescent="0.25">
      <c r="A1926" s="10">
        <v>2025</v>
      </c>
      <c r="B1926" s="10" t="s">
        <v>138</v>
      </c>
      <c r="C1926" s="10" t="s">
        <v>164</v>
      </c>
      <c r="D1926" t="s">
        <v>115</v>
      </c>
      <c r="E1926" t="str">
        <f>VLOOKUP(D1926,'Lista de Produtos CLASSIFICAÇÃO'!$A$103:$B$144,2,FALSE)</f>
        <v>Soda Caustica</v>
      </c>
      <c r="F1926" s="53">
        <v>220436</v>
      </c>
      <c r="G1926" s="56" t="str">
        <f>VLOOKUP(C1926,clientes!$C$3:$D$60,2,FALSE)</f>
        <v>BRASKEM</v>
      </c>
    </row>
    <row r="1927" spans="1:7" x14ac:dyDescent="0.25">
      <c r="A1927" s="10">
        <v>2025</v>
      </c>
      <c r="B1927" s="10" t="s">
        <v>138</v>
      </c>
      <c r="C1927" s="10" t="s">
        <v>165</v>
      </c>
      <c r="D1927" s="10" t="s">
        <v>123</v>
      </c>
      <c r="E1927" t="str">
        <f>VLOOKUP(D1927,'Lista de Produtos CLASSIFICAÇÃO'!$A$103:$B$144,2,FALSE)</f>
        <v>Aquecidos</v>
      </c>
      <c r="F1927" s="53">
        <v>1030619</v>
      </c>
      <c r="G1927" s="56" t="str">
        <f>VLOOKUP(C1927,clientes!$C$3:$D$60,2,FALSE)</f>
        <v>BRF</v>
      </c>
    </row>
    <row r="1928" spans="1:7" x14ac:dyDescent="0.25">
      <c r="A1928" s="10">
        <v>2025</v>
      </c>
      <c r="B1928" s="10" t="s">
        <v>138</v>
      </c>
      <c r="C1928" s="10" t="s">
        <v>162</v>
      </c>
      <c r="D1928" s="10" t="s">
        <v>123</v>
      </c>
      <c r="E1928" t="str">
        <f>VLOOKUP(D1928,'Lista de Produtos CLASSIFICAÇÃO'!$A$103:$B$144,2,FALSE)</f>
        <v>Aquecidos</v>
      </c>
      <c r="F1928" s="53">
        <v>569771</v>
      </c>
      <c r="G1928" s="56" t="str">
        <f>VLOOKUP(C1928,clientes!$C$3:$D$60,2,FALSE)</f>
        <v>JBS</v>
      </c>
    </row>
    <row r="1929" spans="1:7" x14ac:dyDescent="0.25">
      <c r="A1929" s="10">
        <v>2025</v>
      </c>
      <c r="B1929" s="10" t="s">
        <v>138</v>
      </c>
      <c r="C1929" s="10" t="s">
        <v>166</v>
      </c>
      <c r="D1929" s="10" t="s">
        <v>123</v>
      </c>
      <c r="E1929" t="str">
        <f>VLOOKUP(D1929,'Lista de Produtos CLASSIFICAÇÃO'!$A$103:$B$144,2,FALSE)</f>
        <v>Aquecidos</v>
      </c>
      <c r="F1929" s="53">
        <v>537650</v>
      </c>
      <c r="G1929" s="56" t="str">
        <f>VLOOKUP(C1929,clientes!$C$3:$D$60,2,FALSE)</f>
        <v>CARGILL</v>
      </c>
    </row>
    <row r="1930" spans="1:7" x14ac:dyDescent="0.25">
      <c r="A1930" s="10">
        <v>2025</v>
      </c>
      <c r="B1930" s="10" t="s">
        <v>138</v>
      </c>
      <c r="C1930" s="10" t="s">
        <v>167</v>
      </c>
      <c r="D1930" s="10" t="s">
        <v>122</v>
      </c>
      <c r="E1930" t="str">
        <f>VLOOKUP(D1930,'Lista de Produtos CLASSIFICAÇÃO'!$A$103:$B$144,2,FALSE)</f>
        <v>Óleo Vegetal</v>
      </c>
      <c r="F1930" s="53">
        <v>3061348</v>
      </c>
      <c r="G1930" s="56" t="str">
        <f>VLOOKUP(C1930,clientes!$C$3:$D$60,2,FALSE)</f>
        <v>POOL</v>
      </c>
    </row>
    <row r="1931" spans="1:7" x14ac:dyDescent="0.25">
      <c r="A1931" s="10">
        <v>2025</v>
      </c>
      <c r="B1931" s="10" t="s">
        <v>138</v>
      </c>
      <c r="C1931" s="10" t="s">
        <v>168</v>
      </c>
      <c r="D1931" s="10" t="s">
        <v>122</v>
      </c>
      <c r="E1931" t="str">
        <f>VLOOKUP(D1931,'Lista de Produtos CLASSIFICAÇÃO'!$A$103:$B$144,2,FALSE)</f>
        <v>Óleo Vegetal</v>
      </c>
      <c r="F1931" s="53">
        <v>86043</v>
      </c>
      <c r="G1931" s="56" t="str">
        <f>VLOOKUP(C1931,clientes!$C$3:$D$60,2,FALSE)</f>
        <v>POOL EXCEDENTE</v>
      </c>
    </row>
    <row r="1932" spans="1:7" x14ac:dyDescent="0.25">
      <c r="A1932" s="10">
        <v>2025</v>
      </c>
      <c r="B1932" s="10" t="s">
        <v>138</v>
      </c>
      <c r="C1932" s="10" t="s">
        <v>169</v>
      </c>
      <c r="D1932" s="10" t="s">
        <v>22</v>
      </c>
      <c r="E1932" t="str">
        <f>VLOOKUP(D1932,'Lista de Produtos CLASSIFICAÇÃO'!$A$103:$B$144,2,FALSE)</f>
        <v>Metanol</v>
      </c>
      <c r="F1932" s="53">
        <v>7893225</v>
      </c>
      <c r="G1932" s="56" t="str">
        <f>VLOOKUP(C1932,clientes!$C$3:$D$60,2,FALSE)</f>
        <v>METHANEX</v>
      </c>
    </row>
    <row r="1933" spans="1:7" x14ac:dyDescent="0.25">
      <c r="A1933" s="10">
        <v>2025</v>
      </c>
      <c r="B1933" s="10" t="s">
        <v>138</v>
      </c>
      <c r="C1933" s="10" t="s">
        <v>170</v>
      </c>
      <c r="D1933" s="10" t="s">
        <v>22</v>
      </c>
      <c r="E1933" t="str">
        <f>VLOOKUP(D1933,'Lista de Produtos CLASSIFICAÇÃO'!$A$103:$B$144,2,FALSE)</f>
        <v>Metanol</v>
      </c>
      <c r="F1933" s="53">
        <v>5054137</v>
      </c>
      <c r="G1933" s="56" t="str">
        <f>VLOOKUP(C1933,clientes!$C$3:$D$60,2,FALSE)</f>
        <v>MITSUBISHI</v>
      </c>
    </row>
    <row r="1934" spans="1:7" x14ac:dyDescent="0.25">
      <c r="A1934" s="10">
        <v>2025</v>
      </c>
      <c r="B1934" s="10" t="s">
        <v>138</v>
      </c>
      <c r="C1934" s="10" t="s">
        <v>171</v>
      </c>
      <c r="D1934" s="10" t="s">
        <v>22</v>
      </c>
      <c r="E1934" t="str">
        <f>VLOOKUP(D1934,'Lista de Produtos CLASSIFICAÇÃO'!$A$103:$B$144,2,FALSE)</f>
        <v>Metanol</v>
      </c>
      <c r="F1934" s="53">
        <v>6057428</v>
      </c>
      <c r="G1934" s="56" t="str">
        <f>VLOOKUP(C1934,clientes!$C$3:$D$60,2,FALSE)</f>
        <v>VALENZ</v>
      </c>
    </row>
    <row r="1935" spans="1:7" x14ac:dyDescent="0.25">
      <c r="A1935" s="10">
        <v>2025</v>
      </c>
      <c r="B1935" s="10" t="s">
        <v>138</v>
      </c>
      <c r="C1935" s="10" t="s">
        <v>172</v>
      </c>
      <c r="D1935" s="10" t="s">
        <v>124</v>
      </c>
      <c r="E1935" t="str">
        <f>VLOOKUP(D1935,'Lista de Produtos CLASSIFICAÇÃO'!$A$103:$B$144,2,FALSE)</f>
        <v>Outros</v>
      </c>
      <c r="F1935" s="53">
        <v>439941</v>
      </c>
      <c r="G1935" s="56" t="str">
        <f>VLOOKUP(C1935,clientes!$C$3:$D$60,2,FALSE)</f>
        <v>EVONIK</v>
      </c>
    </row>
    <row r="1936" spans="1:7" x14ac:dyDescent="0.25">
      <c r="A1936" s="10">
        <v>2025</v>
      </c>
      <c r="B1936" s="10" t="s">
        <v>138</v>
      </c>
      <c r="C1936" s="10" t="s">
        <v>186</v>
      </c>
      <c r="D1936" s="10" t="s">
        <v>22</v>
      </c>
      <c r="E1936" t="str">
        <f>VLOOKUP(D1936,'Lista de Produtos CLASSIFICAÇÃO'!$A$103:$B$144,2,FALSE)</f>
        <v>Metanol</v>
      </c>
      <c r="F1936" s="53">
        <v>546830</v>
      </c>
      <c r="G1936" s="56" t="str">
        <f>VLOOKUP(C1936,clientes!$C$3:$D$60,2,FALSE)</f>
        <v>OQ TRADING</v>
      </c>
    </row>
    <row r="1937" spans="1:7" x14ac:dyDescent="0.25">
      <c r="A1937" s="10">
        <v>2025</v>
      </c>
      <c r="B1937" s="10" t="s">
        <v>138</v>
      </c>
      <c r="C1937" s="10" t="s">
        <v>174</v>
      </c>
      <c r="D1937" s="10" t="s">
        <v>123</v>
      </c>
      <c r="E1937" t="str">
        <f>VLOOKUP(D1937,'Lista de Produtos CLASSIFICAÇÃO'!$A$103:$B$144,2,FALSE)</f>
        <v>Aquecidos</v>
      </c>
      <c r="F1937" s="53">
        <v>2000426</v>
      </c>
      <c r="G1937" s="56" t="str">
        <f>VLOOKUP(C1937,clientes!$C$3:$D$60,2,FALSE)</f>
        <v>CELENA</v>
      </c>
    </row>
    <row r="1938" spans="1:7" x14ac:dyDescent="0.25">
      <c r="A1938" s="10">
        <v>2025</v>
      </c>
      <c r="B1938" s="10" t="s">
        <v>138</v>
      </c>
      <c r="C1938" s="10" t="s">
        <v>175</v>
      </c>
      <c r="D1938" s="10" t="s">
        <v>123</v>
      </c>
      <c r="E1938" t="str">
        <f>VLOOKUP(D1938,'Lista de Produtos CLASSIFICAÇÃO'!$A$103:$B$144,2,FALSE)</f>
        <v>Aquecidos</v>
      </c>
      <c r="F1938" s="53">
        <v>846373</v>
      </c>
      <c r="G1938" s="56" t="str">
        <f>VLOOKUP(C1938,clientes!$C$3:$D$60,2,FALSE)</f>
        <v>AAK DO BRASIL</v>
      </c>
    </row>
    <row r="1939" spans="1:7" x14ac:dyDescent="0.25">
      <c r="A1939" s="10">
        <v>2025</v>
      </c>
      <c r="B1939" s="10" t="s">
        <v>138</v>
      </c>
      <c r="C1939" s="10" t="s">
        <v>166</v>
      </c>
      <c r="D1939" s="10" t="s">
        <v>122</v>
      </c>
      <c r="E1939" t="str">
        <f>VLOOKUP(D1939,'Lista de Produtos CLASSIFICAÇÃO'!$A$103:$B$144,2,FALSE)</f>
        <v>Óleo Vegetal</v>
      </c>
      <c r="F1939" s="53">
        <v>208762</v>
      </c>
      <c r="G1939" s="56" t="str">
        <f>VLOOKUP(C1939,clientes!$C$3:$D$60,2,FALSE)</f>
        <v>CARGILL</v>
      </c>
    </row>
    <row r="1940" spans="1:7" x14ac:dyDescent="0.25">
      <c r="A1940" s="10">
        <v>2025</v>
      </c>
      <c r="B1940" s="10" t="s">
        <v>138</v>
      </c>
      <c r="C1940" s="10" t="s">
        <v>176</v>
      </c>
      <c r="D1940" s="10" t="s">
        <v>123</v>
      </c>
      <c r="E1940" t="str">
        <f>VLOOKUP(D1940,'Lista de Produtos CLASSIFICAÇÃO'!$A$103:$B$144,2,FALSE)</f>
        <v>Aquecidos</v>
      </c>
      <c r="F1940" s="53">
        <v>466210</v>
      </c>
      <c r="G1940" s="56" t="str">
        <f>VLOOKUP(C1940,clientes!$C$3:$D$60,2,FALSE)</f>
        <v>AGROPALMA</v>
      </c>
    </row>
    <row r="1941" spans="1:7" x14ac:dyDescent="0.25">
      <c r="A1941" s="10">
        <v>2025</v>
      </c>
      <c r="B1941" s="10" t="s">
        <v>138</v>
      </c>
      <c r="C1941" s="10" t="s">
        <v>177</v>
      </c>
      <c r="D1941" s="10" t="s">
        <v>115</v>
      </c>
      <c r="E1941" t="str">
        <f>VLOOKUP(D1941,'Lista de Produtos CLASSIFICAÇÃO'!$A$103:$B$144,2,FALSE)</f>
        <v>Soda Caustica</v>
      </c>
      <c r="F1941" s="53">
        <v>306345</v>
      </c>
      <c r="G1941" s="56" t="str">
        <f>VLOOKUP(C1941,clientes!$C$3:$D$60,2,FALSE)</f>
        <v>BRENNTAG</v>
      </c>
    </row>
    <row r="1942" spans="1:7" x14ac:dyDescent="0.25">
      <c r="A1942" s="10">
        <v>2025</v>
      </c>
      <c r="B1942" s="10" t="s">
        <v>138</v>
      </c>
      <c r="C1942" s="10" t="s">
        <v>178</v>
      </c>
      <c r="D1942" s="10" t="s">
        <v>115</v>
      </c>
      <c r="E1942" t="str">
        <f>VLOOKUP(D1942,'Lista de Produtos CLASSIFICAÇÃO'!$A$103:$B$144,2,FALSE)</f>
        <v>Soda Caustica</v>
      </c>
      <c r="F1942" s="53">
        <v>1779629</v>
      </c>
      <c r="G1942" s="56" t="str">
        <f>VLOOKUP(C1942,clientes!$C$3:$D$60,2,FALSE)</f>
        <v>OLIN BLUE CUBE</v>
      </c>
    </row>
    <row r="1943" spans="1:7" x14ac:dyDescent="0.25">
      <c r="A1943" s="10">
        <v>2025</v>
      </c>
      <c r="B1943" s="10" t="s">
        <v>138</v>
      </c>
      <c r="C1943" s="10" t="s">
        <v>179</v>
      </c>
      <c r="D1943" s="10" t="s">
        <v>26</v>
      </c>
      <c r="E1943" t="str">
        <f>VLOOKUP(D1943,'Lista de Produtos CLASSIFICAÇÃO'!$A$103:$B$144,2,FALSE)</f>
        <v>Biocombustíveis</v>
      </c>
      <c r="F1943" s="53">
        <v>437969</v>
      </c>
      <c r="G1943" s="56" t="str">
        <f>VLOOKUP(C1943,clientes!$C$3:$D$60,2,FALSE)</f>
        <v>BSBIOS</v>
      </c>
    </row>
    <row r="1944" spans="1:7" x14ac:dyDescent="0.25">
      <c r="A1944" s="10">
        <v>2025</v>
      </c>
      <c r="B1944" s="10" t="s">
        <v>138</v>
      </c>
      <c r="C1944" s="10" t="s">
        <v>181</v>
      </c>
      <c r="D1944" s="10" t="s">
        <v>123</v>
      </c>
      <c r="E1944" t="str">
        <f>VLOOKUP(D1944,'Lista de Produtos CLASSIFICAÇÃO'!$A$103:$B$144,2,FALSE)</f>
        <v>Aquecidos</v>
      </c>
      <c r="F1944" s="53">
        <v>208225</v>
      </c>
      <c r="G1944" s="56" t="str">
        <f>VLOOKUP(C1944,clientes!$C$3:$D$60,2,FALSE)</f>
        <v>COAMO</v>
      </c>
    </row>
    <row r="1945" spans="1:7" x14ac:dyDescent="0.25">
      <c r="A1945" s="10">
        <v>2025</v>
      </c>
      <c r="B1945" s="10" t="s">
        <v>138</v>
      </c>
      <c r="C1945" s="10" t="s">
        <v>182</v>
      </c>
      <c r="D1945" s="10" t="s">
        <v>120</v>
      </c>
      <c r="E1945" t="str">
        <f>VLOOKUP(D1945,'Lista de Produtos CLASSIFICAÇÃO'!$A$103:$B$144,2,FALSE)</f>
        <v>Derivados</v>
      </c>
      <c r="F1945" s="53">
        <v>1147677</v>
      </c>
      <c r="G1945" s="56" t="str">
        <f>VLOOKUP(C1945,clientes!$C$3:$D$60,2,FALSE)</f>
        <v>ATEM</v>
      </c>
    </row>
    <row r="1946" spans="1:7" x14ac:dyDescent="0.25">
      <c r="A1946" s="10">
        <v>2025</v>
      </c>
      <c r="B1946" s="10" t="s">
        <v>138</v>
      </c>
      <c r="C1946" s="10" t="s">
        <v>184</v>
      </c>
      <c r="D1946" s="10" t="s">
        <v>122</v>
      </c>
      <c r="E1946" t="str">
        <f>VLOOKUP(D1946,'Lista de Produtos CLASSIFICAÇÃO'!$A$103:$B$144,2,FALSE)</f>
        <v>Óleo Vegetal</v>
      </c>
      <c r="F1946" s="53">
        <v>230660</v>
      </c>
      <c r="G1946" s="56" t="str">
        <f>VLOOKUP(C1946,clientes!$C$3:$D$60,2,FALSE)</f>
        <v>INGREDION</v>
      </c>
    </row>
    <row r="1947" spans="1:7" x14ac:dyDescent="0.25">
      <c r="A1947" s="10">
        <v>2025</v>
      </c>
      <c r="B1947" s="10" t="s">
        <v>138</v>
      </c>
      <c r="C1947" s="10" t="s">
        <v>185</v>
      </c>
      <c r="D1947" s="10" t="s">
        <v>120</v>
      </c>
      <c r="E1947" t="str">
        <f>VLOOKUP(D1947,'Lista de Produtos CLASSIFICAÇÃO'!$A$103:$B$144,2,FALSE)</f>
        <v>Derivados</v>
      </c>
      <c r="F1947" s="53">
        <v>1076739</v>
      </c>
      <c r="G1947" s="56" t="str">
        <f>VLOOKUP(C1947,clientes!$C$3:$D$60,2,FALSE)</f>
        <v>CIAPETRO</v>
      </c>
    </row>
    <row r="1948" spans="1:7" x14ac:dyDescent="0.25">
      <c r="A1948" s="10">
        <v>2025</v>
      </c>
      <c r="B1948" s="10" t="s">
        <v>138</v>
      </c>
      <c r="C1948" s="10" t="s">
        <v>187</v>
      </c>
      <c r="D1948" s="10" t="s">
        <v>121</v>
      </c>
      <c r="E1948" t="str">
        <f>VLOOKUP(D1948,'Lista de Produtos CLASSIFICAÇÃO'!$A$103:$B$144,2,FALSE)</f>
        <v>Biocombustíveis</v>
      </c>
      <c r="F1948" s="53">
        <v>900000</v>
      </c>
      <c r="G1948" s="56" t="str">
        <f>VLOOKUP(C1948,clientes!$C$3:$D$60,2,FALSE)</f>
        <v>TEREOS / INPASA / GLENCORE / FS</v>
      </c>
    </row>
    <row r="1949" spans="1:7" x14ac:dyDescent="0.25">
      <c r="A1949" s="10">
        <v>2025</v>
      </c>
      <c r="B1949" s="10" t="s">
        <v>138</v>
      </c>
      <c r="C1949" s="10" t="s">
        <v>188</v>
      </c>
      <c r="D1949" s="10" t="s">
        <v>123</v>
      </c>
      <c r="E1949" t="str">
        <f>VLOOKUP(D1949,'Lista de Produtos CLASSIFICAÇÃO'!$A$103:$B$144,2,FALSE)</f>
        <v>Aquecidos</v>
      </c>
      <c r="F1949" s="53">
        <v>608544</v>
      </c>
      <c r="G1949" s="56" t="str">
        <f>VLOOKUP(C1949,clientes!$C$3:$D$60,2,FALSE)</f>
        <v>ARES MERCHANTS PTE LIMITE</v>
      </c>
    </row>
    <row r="1950" spans="1:7" x14ac:dyDescent="0.25">
      <c r="A1950" s="10">
        <v>2025</v>
      </c>
      <c r="B1950" s="10" t="s">
        <v>138</v>
      </c>
      <c r="C1950" s="10" t="s">
        <v>18</v>
      </c>
      <c r="D1950" s="10" t="s">
        <v>17</v>
      </c>
      <c r="E1950" t="str">
        <f>VLOOKUP(D1950,'Lista de Produtos CLASSIFICAÇÃO'!$A$103:$B$144,2,FALSE)</f>
        <v>Acostagem</v>
      </c>
      <c r="F1950" s="53">
        <v>486430.32875000004</v>
      </c>
      <c r="G1950" s="56" t="str">
        <f>VLOOKUP(C1950,clientes!$C$3:$D$60,2,FALSE)</f>
        <v>ACOSTAGEM</v>
      </c>
    </row>
    <row r="1951" spans="1:7" x14ac:dyDescent="0.25">
      <c r="A1951" s="10">
        <v>2025</v>
      </c>
      <c r="B1951" s="10" t="s">
        <v>138</v>
      </c>
      <c r="C1951" s="10" t="s">
        <v>189</v>
      </c>
      <c r="D1951" t="s">
        <v>123</v>
      </c>
      <c r="E1951" t="str">
        <f>VLOOKUP(D1951,'Lista de Produtos CLASSIFICAÇÃO'!$A$103:$B$144,2,FALSE)</f>
        <v>Aquecidos</v>
      </c>
      <c r="F1951" s="53">
        <v>557826</v>
      </c>
      <c r="G1951" s="56" t="str">
        <f>VLOOKUP(C1951,clientes!$C$3:$D$60,2,FALSE)</f>
        <v>ICOF</v>
      </c>
    </row>
    <row r="1952" spans="1:7" x14ac:dyDescent="0.25">
      <c r="A1952" s="10">
        <v>2025</v>
      </c>
      <c r="B1952" s="10" t="s">
        <v>138</v>
      </c>
      <c r="C1952" s="10" t="s">
        <v>191</v>
      </c>
      <c r="D1952" t="s">
        <v>115</v>
      </c>
      <c r="E1952" t="str">
        <f>VLOOKUP(D1952,'Lista de Produtos CLASSIFICAÇÃO'!$A$103:$B$144,2,FALSE)</f>
        <v>Soda Caustica</v>
      </c>
      <c r="F1952" s="53">
        <v>136044</v>
      </c>
      <c r="G1952" s="56" t="str">
        <f>VLOOKUP(C1952,clientes!$C$3:$D$60,2,FALSE)</f>
        <v>GPC</v>
      </c>
    </row>
    <row r="1953" spans="1:7" x14ac:dyDescent="0.25">
      <c r="A1953" s="10">
        <v>2025</v>
      </c>
      <c r="B1953" s="10" t="s">
        <v>138</v>
      </c>
      <c r="C1953" s="10" t="s">
        <v>192</v>
      </c>
      <c r="D1953" s="10" t="s">
        <v>121</v>
      </c>
      <c r="E1953" t="str">
        <f>VLOOKUP(D1953,'Lista de Produtos CLASSIFICAÇÃO'!$A$103:$B$144,2,FALSE)</f>
        <v>Biocombustíveis</v>
      </c>
      <c r="F1953" s="53">
        <v>1477279</v>
      </c>
      <c r="G1953" s="56" t="str">
        <f>VLOOKUP(C1953,clientes!$C$3:$D$60,2,FALSE)</f>
        <v>INPASA</v>
      </c>
    </row>
    <row r="1954" spans="1:7" x14ac:dyDescent="0.25">
      <c r="A1954" s="10">
        <v>2025</v>
      </c>
      <c r="B1954" s="10" t="s">
        <v>139</v>
      </c>
      <c r="C1954" s="10" t="s">
        <v>155</v>
      </c>
      <c r="D1954" s="10" t="s">
        <v>16</v>
      </c>
      <c r="E1954" t="str">
        <f>VLOOKUP(D1954,'Lista de Produtos CLASSIFICAÇÃO'!$A$103:$B$144,2,FALSE)</f>
        <v>Outros</v>
      </c>
      <c r="F1954" s="53">
        <v>878484</v>
      </c>
      <c r="G1954" s="56" t="str">
        <f>VLOOKUP(C1954,clientes!$C$3:$D$60,2,FALSE)</f>
        <v>ADISSEO</v>
      </c>
    </row>
    <row r="1955" spans="1:7" x14ac:dyDescent="0.25">
      <c r="A1955" s="10">
        <v>2025</v>
      </c>
      <c r="B1955" s="10" t="s">
        <v>139</v>
      </c>
      <c r="C1955" s="10" t="s">
        <v>156</v>
      </c>
      <c r="D1955" s="10" t="s">
        <v>123</v>
      </c>
      <c r="E1955" t="str">
        <f>VLOOKUP(D1955,'Lista de Produtos CLASSIFICAÇÃO'!$A$103:$B$144,2,FALSE)</f>
        <v>Aquecidos</v>
      </c>
      <c r="F1955" s="53">
        <v>396917</v>
      </c>
      <c r="G1955" s="56" t="str">
        <f>VLOOKUP(C1955,clientes!$C$3:$D$60,2,FALSE)</f>
        <v>BUNGE</v>
      </c>
    </row>
    <row r="1956" spans="1:7" x14ac:dyDescent="0.25">
      <c r="A1956" s="10">
        <v>2025</v>
      </c>
      <c r="B1956" s="10" t="s">
        <v>139</v>
      </c>
      <c r="C1956" s="10" t="s">
        <v>157</v>
      </c>
      <c r="D1956" s="10" t="s">
        <v>122</v>
      </c>
      <c r="E1956" t="str">
        <f>VLOOKUP(D1956,'Lista de Produtos CLASSIFICAÇÃO'!$A$103:$B$144,2,FALSE)</f>
        <v>Óleo Vegetal</v>
      </c>
      <c r="F1956" s="53">
        <v>168574</v>
      </c>
      <c r="G1956" s="56" t="str">
        <f>VLOOKUP(C1956,clientes!$C$3:$D$60,2,FALSE)</f>
        <v>ADM</v>
      </c>
    </row>
    <row r="1957" spans="1:7" x14ac:dyDescent="0.25">
      <c r="A1957" s="10">
        <v>2025</v>
      </c>
      <c r="B1957" s="10" t="s">
        <v>139</v>
      </c>
      <c r="C1957" s="10" t="s">
        <v>158</v>
      </c>
      <c r="D1957" s="10" t="s">
        <v>120</v>
      </c>
      <c r="E1957" t="str">
        <f>VLOOKUP(D1957,'Lista de Produtos CLASSIFICAÇÃO'!$A$103:$B$144,2,FALSE)</f>
        <v>Derivados</v>
      </c>
      <c r="F1957" s="53">
        <v>5957914</v>
      </c>
      <c r="G1957" s="56" t="str">
        <f>VLOOKUP(C1957,clientes!$C$3:$D$60,2,FALSE)</f>
        <v>IPIRANGA</v>
      </c>
    </row>
    <row r="1958" spans="1:7" x14ac:dyDescent="0.25">
      <c r="A1958" s="10">
        <v>2025</v>
      </c>
      <c r="B1958" s="10" t="s">
        <v>139</v>
      </c>
      <c r="C1958" s="10" t="s">
        <v>159</v>
      </c>
      <c r="D1958" s="10" t="s">
        <v>120</v>
      </c>
      <c r="E1958" t="str">
        <f>VLOOKUP(D1958,'Lista de Produtos CLASSIFICAÇÃO'!$A$103:$B$144,2,FALSE)</f>
        <v>Derivados</v>
      </c>
      <c r="F1958" s="53">
        <v>3979329</v>
      </c>
      <c r="G1958" s="56" t="str">
        <f>VLOOKUP(C1958,clientes!$C$3:$D$60,2,FALSE)</f>
        <v>RAIZEN</v>
      </c>
    </row>
    <row r="1959" spans="1:7" x14ac:dyDescent="0.25">
      <c r="A1959" s="10">
        <v>2025</v>
      </c>
      <c r="B1959" s="10" t="s">
        <v>139</v>
      </c>
      <c r="C1959" s="10" t="s">
        <v>160</v>
      </c>
      <c r="D1959" s="10" t="s">
        <v>120</v>
      </c>
      <c r="E1959" t="str">
        <f>VLOOKUP(D1959,'Lista de Produtos CLASSIFICAÇÃO'!$A$103:$B$144,2,FALSE)</f>
        <v>Derivados</v>
      </c>
      <c r="F1959" s="53">
        <v>1971343</v>
      </c>
      <c r="G1959" s="56" t="str">
        <f>VLOOKUP(C1959,clientes!$C$3:$D$60,2,FALSE)</f>
        <v>VIBRA</v>
      </c>
    </row>
    <row r="1960" spans="1:7" x14ac:dyDescent="0.25">
      <c r="A1960" s="10">
        <v>2025</v>
      </c>
      <c r="B1960" s="10" t="s">
        <v>139</v>
      </c>
      <c r="C1960" s="10" t="s">
        <v>161</v>
      </c>
      <c r="D1960" s="10" t="s">
        <v>120</v>
      </c>
      <c r="E1960" t="str">
        <f>VLOOKUP(D1960,'Lista de Produtos CLASSIFICAÇÃO'!$A$103:$B$144,2,FALSE)</f>
        <v>Derivados</v>
      </c>
      <c r="F1960" s="53">
        <v>3059732</v>
      </c>
      <c r="G1960" s="56" t="str">
        <f>VLOOKUP(C1960,clientes!$C$3:$D$60,2,FALSE)</f>
        <v>SUL PLATA</v>
      </c>
    </row>
    <row r="1961" spans="1:7" x14ac:dyDescent="0.25">
      <c r="A1961" s="10">
        <v>2025</v>
      </c>
      <c r="B1961" s="10" t="s">
        <v>139</v>
      </c>
      <c r="C1961" s="10" t="s">
        <v>162</v>
      </c>
      <c r="D1961" s="10" t="s">
        <v>115</v>
      </c>
      <c r="E1961" t="str">
        <f>VLOOKUP(D1961,'Lista de Produtos CLASSIFICAÇÃO'!$A$103:$B$144,2,FALSE)</f>
        <v>Soda Caustica</v>
      </c>
      <c r="F1961" s="53">
        <v>243956</v>
      </c>
      <c r="G1961" s="56" t="str">
        <f>VLOOKUP(C1961,clientes!$C$3:$D$60,2,FALSE)</f>
        <v>JBS</v>
      </c>
    </row>
    <row r="1962" spans="1:7" x14ac:dyDescent="0.25">
      <c r="A1962" s="10">
        <v>2025</v>
      </c>
      <c r="B1962" s="10" t="s">
        <v>139</v>
      </c>
      <c r="C1962" s="10" t="s">
        <v>163</v>
      </c>
      <c r="D1962" t="s">
        <v>115</v>
      </c>
      <c r="E1962" t="str">
        <f>VLOOKUP(D1962,'Lista de Produtos CLASSIFICAÇÃO'!$A$103:$B$144,2,FALSE)</f>
        <v>Soda Caustica</v>
      </c>
      <c r="F1962" s="53">
        <v>406299</v>
      </c>
      <c r="G1962" s="56" t="str">
        <f>VLOOKUP(C1962,clientes!$C$3:$D$60,2,FALSE)</f>
        <v>TRICON ENERGY</v>
      </c>
    </row>
    <row r="1963" spans="1:7" x14ac:dyDescent="0.25">
      <c r="A1963" s="10">
        <v>2025</v>
      </c>
      <c r="B1963" s="10" t="s">
        <v>139</v>
      </c>
      <c r="C1963" s="10" t="s">
        <v>164</v>
      </c>
      <c r="D1963" t="s">
        <v>115</v>
      </c>
      <c r="E1963" t="str">
        <f>VLOOKUP(D1963,'Lista de Produtos CLASSIFICAÇÃO'!$A$103:$B$144,2,FALSE)</f>
        <v>Soda Caustica</v>
      </c>
      <c r="F1963" s="53">
        <v>220436</v>
      </c>
      <c r="G1963" s="56" t="str">
        <f>VLOOKUP(C1963,clientes!$C$3:$D$60,2,FALSE)</f>
        <v>BRASKEM</v>
      </c>
    </row>
    <row r="1964" spans="1:7" x14ac:dyDescent="0.25">
      <c r="A1964" s="10">
        <v>2025</v>
      </c>
      <c r="B1964" s="10" t="s">
        <v>139</v>
      </c>
      <c r="C1964" s="10" t="s">
        <v>165</v>
      </c>
      <c r="D1964" s="10" t="s">
        <v>123</v>
      </c>
      <c r="E1964" t="str">
        <f>VLOOKUP(D1964,'Lista de Produtos CLASSIFICAÇÃO'!$A$103:$B$144,2,FALSE)</f>
        <v>Aquecidos</v>
      </c>
      <c r="F1964" s="53">
        <v>1030619</v>
      </c>
      <c r="G1964" s="56" t="str">
        <f>VLOOKUP(C1964,clientes!$C$3:$D$60,2,FALSE)</f>
        <v>BRF</v>
      </c>
    </row>
    <row r="1965" spans="1:7" x14ac:dyDescent="0.25">
      <c r="A1965" s="10">
        <v>2025</v>
      </c>
      <c r="B1965" s="10" t="s">
        <v>139</v>
      </c>
      <c r="C1965" s="10" t="s">
        <v>162</v>
      </c>
      <c r="D1965" s="10" t="s">
        <v>123</v>
      </c>
      <c r="E1965" t="str">
        <f>VLOOKUP(D1965,'Lista de Produtos CLASSIFICAÇÃO'!$A$103:$B$144,2,FALSE)</f>
        <v>Aquecidos</v>
      </c>
      <c r="F1965" s="53">
        <v>569771</v>
      </c>
      <c r="G1965" s="56" t="str">
        <f>VLOOKUP(C1965,clientes!$C$3:$D$60,2,FALSE)</f>
        <v>JBS</v>
      </c>
    </row>
    <row r="1966" spans="1:7" x14ac:dyDescent="0.25">
      <c r="A1966" s="10">
        <v>2025</v>
      </c>
      <c r="B1966" s="10" t="s">
        <v>139</v>
      </c>
      <c r="C1966" s="10" t="s">
        <v>166</v>
      </c>
      <c r="D1966" s="10" t="s">
        <v>123</v>
      </c>
      <c r="E1966" t="str">
        <f>VLOOKUP(D1966,'Lista de Produtos CLASSIFICAÇÃO'!$A$103:$B$144,2,FALSE)</f>
        <v>Aquecidos</v>
      </c>
      <c r="F1966" s="53">
        <v>537650</v>
      </c>
      <c r="G1966" s="56" t="str">
        <f>VLOOKUP(C1966,clientes!$C$3:$D$60,2,FALSE)</f>
        <v>CARGILL</v>
      </c>
    </row>
    <row r="1967" spans="1:7" x14ac:dyDescent="0.25">
      <c r="A1967" s="10">
        <v>2025</v>
      </c>
      <c r="B1967" s="10" t="s">
        <v>139</v>
      </c>
      <c r="C1967" s="10" t="s">
        <v>167</v>
      </c>
      <c r="D1967" s="10" t="s">
        <v>122</v>
      </c>
      <c r="E1967" t="str">
        <f>VLOOKUP(D1967,'Lista de Produtos CLASSIFICAÇÃO'!$A$103:$B$144,2,FALSE)</f>
        <v>Óleo Vegetal</v>
      </c>
      <c r="F1967" s="53">
        <v>2161750</v>
      </c>
      <c r="G1967" s="56" t="str">
        <f>VLOOKUP(C1967,clientes!$C$3:$D$60,2,FALSE)</f>
        <v>POOL</v>
      </c>
    </row>
    <row r="1968" spans="1:7" x14ac:dyDescent="0.25">
      <c r="A1968" s="10">
        <v>2025</v>
      </c>
      <c r="B1968" s="10" t="s">
        <v>139</v>
      </c>
      <c r="C1968" s="10" t="s">
        <v>168</v>
      </c>
      <c r="D1968" s="10" t="s">
        <v>122</v>
      </c>
      <c r="E1968" t="str">
        <f>VLOOKUP(D1968,'Lista de Produtos CLASSIFICAÇÃO'!$A$103:$B$144,2,FALSE)</f>
        <v>Óleo Vegetal</v>
      </c>
      <c r="F1968" s="53">
        <v>0</v>
      </c>
      <c r="G1968" s="56" t="str">
        <f>VLOOKUP(C1968,clientes!$C$3:$D$60,2,FALSE)</f>
        <v>POOL EXCEDENTE</v>
      </c>
    </row>
    <row r="1969" spans="1:7" x14ac:dyDescent="0.25">
      <c r="A1969" s="10">
        <v>2025</v>
      </c>
      <c r="B1969" s="10" t="s">
        <v>139</v>
      </c>
      <c r="C1969" s="10" t="s">
        <v>169</v>
      </c>
      <c r="D1969" s="10" t="s">
        <v>22</v>
      </c>
      <c r="E1969" t="str">
        <f>VLOOKUP(D1969,'Lista de Produtos CLASSIFICAÇÃO'!$A$103:$B$144,2,FALSE)</f>
        <v>Metanol</v>
      </c>
      <c r="F1969" s="53">
        <v>7893225</v>
      </c>
      <c r="G1969" s="56" t="str">
        <f>VLOOKUP(C1969,clientes!$C$3:$D$60,2,FALSE)</f>
        <v>METHANEX</v>
      </c>
    </row>
    <row r="1970" spans="1:7" x14ac:dyDescent="0.25">
      <c r="A1970" s="10">
        <v>2025</v>
      </c>
      <c r="B1970" s="10" t="s">
        <v>139</v>
      </c>
      <c r="C1970" s="10" t="s">
        <v>170</v>
      </c>
      <c r="D1970" s="10" t="s">
        <v>22</v>
      </c>
      <c r="E1970" t="str">
        <f>VLOOKUP(D1970,'Lista de Produtos CLASSIFICAÇÃO'!$A$103:$B$144,2,FALSE)</f>
        <v>Metanol</v>
      </c>
      <c r="F1970" s="53">
        <v>5054137</v>
      </c>
      <c r="G1970" s="56" t="str">
        <f>VLOOKUP(C1970,clientes!$C$3:$D$60,2,FALSE)</f>
        <v>MITSUBISHI</v>
      </c>
    </row>
    <row r="1971" spans="1:7" x14ac:dyDescent="0.25">
      <c r="A1971" s="10">
        <v>2025</v>
      </c>
      <c r="B1971" s="10" t="s">
        <v>139</v>
      </c>
      <c r="C1971" s="10" t="s">
        <v>171</v>
      </c>
      <c r="D1971" s="10" t="s">
        <v>22</v>
      </c>
      <c r="E1971" t="str">
        <f>VLOOKUP(D1971,'Lista de Produtos CLASSIFICAÇÃO'!$A$103:$B$144,2,FALSE)</f>
        <v>Metanol</v>
      </c>
      <c r="F1971" s="53">
        <v>6057428</v>
      </c>
      <c r="G1971" s="56" t="str">
        <f>VLOOKUP(C1971,clientes!$C$3:$D$60,2,FALSE)</f>
        <v>VALENZ</v>
      </c>
    </row>
    <row r="1972" spans="1:7" x14ac:dyDescent="0.25">
      <c r="A1972" s="10">
        <v>2025</v>
      </c>
      <c r="B1972" s="10" t="s">
        <v>139</v>
      </c>
      <c r="C1972" s="10" t="s">
        <v>172</v>
      </c>
      <c r="D1972" s="10" t="s">
        <v>124</v>
      </c>
      <c r="E1972" t="str">
        <f>VLOOKUP(D1972,'Lista de Produtos CLASSIFICAÇÃO'!$A$103:$B$144,2,FALSE)</f>
        <v>Outros</v>
      </c>
      <c r="F1972" s="53">
        <v>439941</v>
      </c>
      <c r="G1972" s="56" t="str">
        <f>VLOOKUP(C1972,clientes!$C$3:$D$60,2,FALSE)</f>
        <v>EVONIK</v>
      </c>
    </row>
    <row r="1973" spans="1:7" x14ac:dyDescent="0.25">
      <c r="A1973" s="10">
        <v>2025</v>
      </c>
      <c r="B1973" s="10" t="s">
        <v>139</v>
      </c>
      <c r="C1973" s="10" t="s">
        <v>186</v>
      </c>
      <c r="D1973" s="10" t="s">
        <v>22</v>
      </c>
      <c r="E1973" t="str">
        <f>VLOOKUP(D1973,'Lista de Produtos CLASSIFICAÇÃO'!$A$103:$B$144,2,FALSE)</f>
        <v>Metanol</v>
      </c>
      <c r="F1973" s="53">
        <v>546830</v>
      </c>
      <c r="G1973" s="56" t="str">
        <f>VLOOKUP(C1973,clientes!$C$3:$D$60,2,FALSE)</f>
        <v>OQ TRADING</v>
      </c>
    </row>
    <row r="1974" spans="1:7" x14ac:dyDescent="0.25">
      <c r="A1974" s="10">
        <v>2025</v>
      </c>
      <c r="B1974" s="10" t="s">
        <v>139</v>
      </c>
      <c r="C1974" s="10" t="s">
        <v>174</v>
      </c>
      <c r="D1974" s="10" t="s">
        <v>123</v>
      </c>
      <c r="E1974" t="str">
        <f>VLOOKUP(D1974,'Lista de Produtos CLASSIFICAÇÃO'!$A$103:$B$144,2,FALSE)</f>
        <v>Aquecidos</v>
      </c>
      <c r="F1974" s="53">
        <v>2000426</v>
      </c>
      <c r="G1974" s="56" t="str">
        <f>VLOOKUP(C1974,clientes!$C$3:$D$60,2,FALSE)</f>
        <v>CELENA</v>
      </c>
    </row>
    <row r="1975" spans="1:7" x14ac:dyDescent="0.25">
      <c r="A1975" s="10">
        <v>2025</v>
      </c>
      <c r="B1975" s="10" t="s">
        <v>139</v>
      </c>
      <c r="C1975" s="10" t="s">
        <v>175</v>
      </c>
      <c r="D1975" s="10" t="s">
        <v>123</v>
      </c>
      <c r="E1975" t="str">
        <f>VLOOKUP(D1975,'Lista de Produtos CLASSIFICAÇÃO'!$A$103:$B$144,2,FALSE)</f>
        <v>Aquecidos</v>
      </c>
      <c r="F1975" s="53">
        <v>846373</v>
      </c>
      <c r="G1975" s="56" t="str">
        <f>VLOOKUP(C1975,clientes!$C$3:$D$60,2,FALSE)</f>
        <v>AAK DO BRASIL</v>
      </c>
    </row>
    <row r="1976" spans="1:7" x14ac:dyDescent="0.25">
      <c r="A1976" s="10">
        <v>2025</v>
      </c>
      <c r="B1976" s="10" t="s">
        <v>139</v>
      </c>
      <c r="C1976" s="10" t="s">
        <v>166</v>
      </c>
      <c r="D1976" s="10" t="s">
        <v>122</v>
      </c>
      <c r="E1976" t="str">
        <f>VLOOKUP(D1976,'Lista de Produtos CLASSIFICAÇÃO'!$A$103:$B$144,2,FALSE)</f>
        <v>Óleo Vegetal</v>
      </c>
      <c r="F1976" s="53">
        <v>208762</v>
      </c>
      <c r="G1976" s="56" t="str">
        <f>VLOOKUP(C1976,clientes!$C$3:$D$60,2,FALSE)</f>
        <v>CARGILL</v>
      </c>
    </row>
    <row r="1977" spans="1:7" x14ac:dyDescent="0.25">
      <c r="A1977" s="10">
        <v>2025</v>
      </c>
      <c r="B1977" s="10" t="s">
        <v>139</v>
      </c>
      <c r="C1977" s="10" t="s">
        <v>176</v>
      </c>
      <c r="D1977" s="10" t="s">
        <v>123</v>
      </c>
      <c r="E1977" t="str">
        <f>VLOOKUP(D1977,'Lista de Produtos CLASSIFICAÇÃO'!$A$103:$B$144,2,FALSE)</f>
        <v>Aquecidos</v>
      </c>
      <c r="F1977" s="53">
        <v>466210</v>
      </c>
      <c r="G1977" s="56" t="str">
        <f>VLOOKUP(C1977,clientes!$C$3:$D$60,2,FALSE)</f>
        <v>AGROPALMA</v>
      </c>
    </row>
    <row r="1978" spans="1:7" x14ac:dyDescent="0.25">
      <c r="A1978" s="10">
        <v>2025</v>
      </c>
      <c r="B1978" s="10" t="s">
        <v>139</v>
      </c>
      <c r="C1978" s="10" t="s">
        <v>177</v>
      </c>
      <c r="D1978" s="10" t="s">
        <v>115</v>
      </c>
      <c r="E1978" t="str">
        <f>VLOOKUP(D1978,'Lista de Produtos CLASSIFICAÇÃO'!$A$103:$B$144,2,FALSE)</f>
        <v>Soda Caustica</v>
      </c>
      <c r="F1978" s="53">
        <v>306345</v>
      </c>
      <c r="G1978" s="56" t="str">
        <f>VLOOKUP(C1978,clientes!$C$3:$D$60,2,FALSE)</f>
        <v>BRENNTAG</v>
      </c>
    </row>
    <row r="1979" spans="1:7" x14ac:dyDescent="0.25">
      <c r="A1979" s="10">
        <v>2025</v>
      </c>
      <c r="B1979" s="10" t="s">
        <v>139</v>
      </c>
      <c r="C1979" s="10" t="s">
        <v>178</v>
      </c>
      <c r="D1979" s="10" t="s">
        <v>115</v>
      </c>
      <c r="E1979" t="str">
        <f>VLOOKUP(D1979,'Lista de Produtos CLASSIFICAÇÃO'!$A$103:$B$144,2,FALSE)</f>
        <v>Soda Caustica</v>
      </c>
      <c r="F1979" s="53">
        <v>1779629</v>
      </c>
      <c r="G1979" s="56" t="str">
        <f>VLOOKUP(C1979,clientes!$C$3:$D$60,2,FALSE)</f>
        <v>OLIN BLUE CUBE</v>
      </c>
    </row>
    <row r="1980" spans="1:7" x14ac:dyDescent="0.25">
      <c r="A1980" s="10">
        <v>2025</v>
      </c>
      <c r="B1980" s="10" t="s">
        <v>139</v>
      </c>
      <c r="C1980" s="10" t="s">
        <v>179</v>
      </c>
      <c r="D1980" s="10" t="s">
        <v>26</v>
      </c>
      <c r="E1980" t="str">
        <f>VLOOKUP(D1980,'Lista de Produtos CLASSIFICAÇÃO'!$A$103:$B$144,2,FALSE)</f>
        <v>Biocombustíveis</v>
      </c>
      <c r="F1980" s="53">
        <v>437969</v>
      </c>
      <c r="G1980" s="56" t="str">
        <f>VLOOKUP(C1980,clientes!$C$3:$D$60,2,FALSE)</f>
        <v>BSBIOS</v>
      </c>
    </row>
    <row r="1981" spans="1:7" x14ac:dyDescent="0.25">
      <c r="A1981" s="10">
        <v>2025</v>
      </c>
      <c r="B1981" s="10" t="s">
        <v>139</v>
      </c>
      <c r="C1981" s="10" t="s">
        <v>181</v>
      </c>
      <c r="D1981" s="10" t="s">
        <v>123</v>
      </c>
      <c r="E1981" t="str">
        <f>VLOOKUP(D1981,'Lista de Produtos CLASSIFICAÇÃO'!$A$103:$B$144,2,FALSE)</f>
        <v>Aquecidos</v>
      </c>
      <c r="F1981" s="53">
        <v>208225</v>
      </c>
      <c r="G1981" s="56" t="str">
        <f>VLOOKUP(C1981,clientes!$C$3:$D$60,2,FALSE)</f>
        <v>COAMO</v>
      </c>
    </row>
    <row r="1982" spans="1:7" x14ac:dyDescent="0.25">
      <c r="A1982" s="10">
        <v>2025</v>
      </c>
      <c r="B1982" s="10" t="s">
        <v>139</v>
      </c>
      <c r="C1982" s="10" t="s">
        <v>182</v>
      </c>
      <c r="D1982" s="10" t="s">
        <v>120</v>
      </c>
      <c r="E1982" t="str">
        <f>VLOOKUP(D1982,'Lista de Produtos CLASSIFICAÇÃO'!$A$103:$B$144,2,FALSE)</f>
        <v>Derivados</v>
      </c>
      <c r="F1982" s="53">
        <v>1147677</v>
      </c>
      <c r="G1982" s="56" t="str">
        <f>VLOOKUP(C1982,clientes!$C$3:$D$60,2,FALSE)</f>
        <v>ATEM</v>
      </c>
    </row>
    <row r="1983" spans="1:7" x14ac:dyDescent="0.25">
      <c r="A1983" s="10">
        <v>2025</v>
      </c>
      <c r="B1983" s="10" t="s">
        <v>139</v>
      </c>
      <c r="C1983" s="10" t="s">
        <v>184</v>
      </c>
      <c r="D1983" s="10" t="s">
        <v>122</v>
      </c>
      <c r="E1983" t="str">
        <f>VLOOKUP(D1983,'Lista de Produtos CLASSIFICAÇÃO'!$A$103:$B$144,2,FALSE)</f>
        <v>Óleo Vegetal</v>
      </c>
      <c r="F1983" s="53">
        <v>230660</v>
      </c>
      <c r="G1983" s="56" t="str">
        <f>VLOOKUP(C1983,clientes!$C$3:$D$60,2,FALSE)</f>
        <v>INGREDION</v>
      </c>
    </row>
    <row r="1984" spans="1:7" x14ac:dyDescent="0.25">
      <c r="A1984" s="10">
        <v>2025</v>
      </c>
      <c r="B1984" s="10" t="s">
        <v>139</v>
      </c>
      <c r="C1984" s="10" t="s">
        <v>185</v>
      </c>
      <c r="D1984" s="10" t="s">
        <v>120</v>
      </c>
      <c r="E1984" t="str">
        <f>VLOOKUP(D1984,'Lista de Produtos CLASSIFICAÇÃO'!$A$103:$B$144,2,FALSE)</f>
        <v>Derivados</v>
      </c>
      <c r="F1984" s="53">
        <v>1076739</v>
      </c>
      <c r="G1984" s="56" t="str">
        <f>VLOOKUP(C1984,clientes!$C$3:$D$60,2,FALSE)</f>
        <v>CIAPETRO</v>
      </c>
    </row>
    <row r="1985" spans="1:7" x14ac:dyDescent="0.25">
      <c r="A1985" s="10">
        <v>2025</v>
      </c>
      <c r="B1985" s="10" t="s">
        <v>139</v>
      </c>
      <c r="C1985" s="10" t="s">
        <v>187</v>
      </c>
      <c r="D1985" s="10" t="s">
        <v>121</v>
      </c>
      <c r="E1985" t="str">
        <f>VLOOKUP(D1985,'Lista de Produtos CLASSIFICAÇÃO'!$A$103:$B$144,2,FALSE)</f>
        <v>Biocombustíveis</v>
      </c>
      <c r="F1985" s="53">
        <v>900000</v>
      </c>
      <c r="G1985" s="56" t="str">
        <f>VLOOKUP(C1985,clientes!$C$3:$D$60,2,FALSE)</f>
        <v>TEREOS / INPASA / GLENCORE / FS</v>
      </c>
    </row>
    <row r="1986" spans="1:7" x14ac:dyDescent="0.25">
      <c r="A1986" s="10">
        <v>2025</v>
      </c>
      <c r="B1986" s="10" t="s">
        <v>139</v>
      </c>
      <c r="C1986" s="10" t="s">
        <v>188</v>
      </c>
      <c r="D1986" s="10" t="s">
        <v>123</v>
      </c>
      <c r="E1986" t="str">
        <f>VLOOKUP(D1986,'Lista de Produtos CLASSIFICAÇÃO'!$A$103:$B$144,2,FALSE)</f>
        <v>Aquecidos</v>
      </c>
      <c r="F1986" s="53">
        <v>608544</v>
      </c>
      <c r="G1986" s="56" t="str">
        <f>VLOOKUP(C1986,clientes!$C$3:$D$60,2,FALSE)</f>
        <v>ARES MERCHANTS PTE LIMITE</v>
      </c>
    </row>
    <row r="1987" spans="1:7" x14ac:dyDescent="0.25">
      <c r="A1987" s="10">
        <v>2025</v>
      </c>
      <c r="B1987" s="10" t="s">
        <v>139</v>
      </c>
      <c r="C1987" s="10" t="s">
        <v>18</v>
      </c>
      <c r="D1987" s="10" t="s">
        <v>17</v>
      </c>
      <c r="E1987" t="str">
        <f>VLOOKUP(D1987,'Lista de Produtos CLASSIFICAÇÃO'!$A$103:$B$144,2,FALSE)</f>
        <v>Acostagem</v>
      </c>
      <c r="F1987" s="53">
        <v>484649.93374999997</v>
      </c>
      <c r="G1987" s="56" t="str">
        <f>VLOOKUP(C1987,clientes!$C$3:$D$60,2,FALSE)</f>
        <v>ACOSTAGEM</v>
      </c>
    </row>
    <row r="1988" spans="1:7" x14ac:dyDescent="0.25">
      <c r="A1988" s="10">
        <v>2025</v>
      </c>
      <c r="B1988" s="10" t="s">
        <v>139</v>
      </c>
      <c r="C1988" s="10" t="s">
        <v>189</v>
      </c>
      <c r="D1988" t="s">
        <v>123</v>
      </c>
      <c r="E1988" t="str">
        <f>VLOOKUP(D1988,'Lista de Produtos CLASSIFICAÇÃO'!$A$103:$B$144,2,FALSE)</f>
        <v>Aquecidos</v>
      </c>
      <c r="F1988" s="53">
        <v>557826</v>
      </c>
      <c r="G1988" s="56" t="str">
        <f>VLOOKUP(C1988,clientes!$C$3:$D$60,2,FALSE)</f>
        <v>ICOF</v>
      </c>
    </row>
    <row r="1989" spans="1:7" x14ac:dyDescent="0.25">
      <c r="A1989" s="10">
        <v>2025</v>
      </c>
      <c r="B1989" s="10" t="s">
        <v>139</v>
      </c>
      <c r="C1989" s="10" t="s">
        <v>191</v>
      </c>
      <c r="D1989" t="s">
        <v>115</v>
      </c>
      <c r="E1989" t="str">
        <f>VLOOKUP(D1989,'Lista de Produtos CLASSIFICAÇÃO'!$A$103:$B$144,2,FALSE)</f>
        <v>Soda Caustica</v>
      </c>
      <c r="F1989" s="53">
        <v>158585</v>
      </c>
      <c r="G1989" s="56" t="str">
        <f>VLOOKUP(C1989,clientes!$C$3:$D$60,2,FALSE)</f>
        <v>GPC</v>
      </c>
    </row>
    <row r="1990" spans="1:7" x14ac:dyDescent="0.25">
      <c r="A1990" s="10">
        <v>2025</v>
      </c>
      <c r="B1990" s="10" t="s">
        <v>139</v>
      </c>
      <c r="C1990" s="10" t="s">
        <v>192</v>
      </c>
      <c r="D1990" s="10" t="s">
        <v>121</v>
      </c>
      <c r="E1990" t="str">
        <f>VLOOKUP(D1990,'Lista de Produtos CLASSIFICAÇÃO'!$A$103:$B$144,2,FALSE)</f>
        <v>Biocombustíveis</v>
      </c>
      <c r="F1990" s="53">
        <v>1477279</v>
      </c>
      <c r="G1990" s="56" t="str">
        <f>VLOOKUP(C1990,clientes!$C$3:$D$60,2,FALSE)</f>
        <v>INPASA</v>
      </c>
    </row>
    <row r="1991" spans="1:7" x14ac:dyDescent="0.25">
      <c r="A1991" s="10">
        <v>2025</v>
      </c>
      <c r="B1991" s="10" t="s">
        <v>140</v>
      </c>
      <c r="C1991" s="10" t="s">
        <v>155</v>
      </c>
      <c r="D1991" s="10" t="s">
        <v>16</v>
      </c>
      <c r="E1991" t="str">
        <f>VLOOKUP(D1991,'Lista de Produtos CLASSIFICAÇÃO'!$A$103:$B$144,2,FALSE)</f>
        <v>Outros</v>
      </c>
      <c r="F1991" s="53">
        <v>878484</v>
      </c>
      <c r="G1991" s="56" t="str">
        <f>VLOOKUP(C1991,clientes!$C$3:$D$60,2,FALSE)</f>
        <v>ADISSEO</v>
      </c>
    </row>
    <row r="1992" spans="1:7" x14ac:dyDescent="0.25">
      <c r="A1992" s="10">
        <v>2025</v>
      </c>
      <c r="B1992" s="10" t="s">
        <v>140</v>
      </c>
      <c r="C1992" s="10" t="s">
        <v>156</v>
      </c>
      <c r="D1992" s="10" t="s">
        <v>123</v>
      </c>
      <c r="E1992" t="str">
        <f>VLOOKUP(D1992,'Lista de Produtos CLASSIFICAÇÃO'!$A$103:$B$144,2,FALSE)</f>
        <v>Aquecidos</v>
      </c>
      <c r="F1992" s="53">
        <v>396917</v>
      </c>
      <c r="G1992" s="56" t="str">
        <f>VLOOKUP(C1992,clientes!$C$3:$D$60,2,FALSE)</f>
        <v>BUNGE</v>
      </c>
    </row>
    <row r="1993" spans="1:7" x14ac:dyDescent="0.25">
      <c r="A1993" s="10">
        <v>2025</v>
      </c>
      <c r="B1993" s="10" t="s">
        <v>140</v>
      </c>
      <c r="C1993" s="10" t="s">
        <v>157</v>
      </c>
      <c r="D1993" s="10" t="s">
        <v>122</v>
      </c>
      <c r="E1993" t="str">
        <f>VLOOKUP(D1993,'Lista de Produtos CLASSIFICAÇÃO'!$A$103:$B$144,2,FALSE)</f>
        <v>Óleo Vegetal</v>
      </c>
      <c r="F1993" s="53">
        <v>168574</v>
      </c>
      <c r="G1993" s="56" t="str">
        <f>VLOOKUP(C1993,clientes!$C$3:$D$60,2,FALSE)</f>
        <v>ADM</v>
      </c>
    </row>
    <row r="1994" spans="1:7" x14ac:dyDescent="0.25">
      <c r="A1994" s="10">
        <v>2025</v>
      </c>
      <c r="B1994" s="10" t="s">
        <v>140</v>
      </c>
      <c r="C1994" s="10" t="s">
        <v>158</v>
      </c>
      <c r="D1994" s="10" t="s">
        <v>120</v>
      </c>
      <c r="E1994" t="str">
        <f>VLOOKUP(D1994,'Lista de Produtos CLASSIFICAÇÃO'!$A$103:$B$144,2,FALSE)</f>
        <v>Derivados</v>
      </c>
      <c r="F1994" s="53">
        <v>5957914</v>
      </c>
      <c r="G1994" s="56" t="str">
        <f>VLOOKUP(C1994,clientes!$C$3:$D$60,2,FALSE)</f>
        <v>IPIRANGA</v>
      </c>
    </row>
    <row r="1995" spans="1:7" x14ac:dyDescent="0.25">
      <c r="A1995" s="10">
        <v>2025</v>
      </c>
      <c r="B1995" s="10" t="s">
        <v>140</v>
      </c>
      <c r="C1995" s="10" t="s">
        <v>159</v>
      </c>
      <c r="D1995" s="10" t="s">
        <v>120</v>
      </c>
      <c r="E1995" t="str">
        <f>VLOOKUP(D1995,'Lista de Produtos CLASSIFICAÇÃO'!$A$103:$B$144,2,FALSE)</f>
        <v>Derivados</v>
      </c>
      <c r="F1995" s="53">
        <v>3979329</v>
      </c>
      <c r="G1995" s="56" t="str">
        <f>VLOOKUP(C1995,clientes!$C$3:$D$60,2,FALSE)</f>
        <v>RAIZEN</v>
      </c>
    </row>
    <row r="1996" spans="1:7" x14ac:dyDescent="0.25">
      <c r="A1996" s="10">
        <v>2025</v>
      </c>
      <c r="B1996" s="10" t="s">
        <v>140</v>
      </c>
      <c r="C1996" s="10" t="s">
        <v>160</v>
      </c>
      <c r="D1996" s="10" t="s">
        <v>120</v>
      </c>
      <c r="E1996" t="str">
        <f>VLOOKUP(D1996,'Lista de Produtos CLASSIFICAÇÃO'!$A$103:$B$144,2,FALSE)</f>
        <v>Derivados</v>
      </c>
      <c r="F1996" s="53">
        <v>1971343</v>
      </c>
      <c r="G1996" s="56" t="str">
        <f>VLOOKUP(C1996,clientes!$C$3:$D$60,2,FALSE)</f>
        <v>VIBRA</v>
      </c>
    </row>
    <row r="1997" spans="1:7" x14ac:dyDescent="0.25">
      <c r="A1997" s="10">
        <v>2025</v>
      </c>
      <c r="B1997" s="10" t="s">
        <v>140</v>
      </c>
      <c r="C1997" s="10" t="s">
        <v>161</v>
      </c>
      <c r="D1997" s="10" t="s">
        <v>120</v>
      </c>
      <c r="E1997" t="str">
        <f>VLOOKUP(D1997,'Lista de Produtos CLASSIFICAÇÃO'!$A$103:$B$144,2,FALSE)</f>
        <v>Derivados</v>
      </c>
      <c r="F1997" s="53">
        <v>3059732</v>
      </c>
      <c r="G1997" s="56" t="str">
        <f>VLOOKUP(C1997,clientes!$C$3:$D$60,2,FALSE)</f>
        <v>SUL PLATA</v>
      </c>
    </row>
    <row r="1998" spans="1:7" x14ac:dyDescent="0.25">
      <c r="A1998" s="10">
        <v>2025</v>
      </c>
      <c r="B1998" s="10" t="s">
        <v>140</v>
      </c>
      <c r="C1998" s="10" t="s">
        <v>162</v>
      </c>
      <c r="D1998" s="10" t="s">
        <v>115</v>
      </c>
      <c r="E1998" t="str">
        <f>VLOOKUP(D1998,'Lista de Produtos CLASSIFICAÇÃO'!$A$103:$B$144,2,FALSE)</f>
        <v>Soda Caustica</v>
      </c>
      <c r="F1998" s="53">
        <v>255763</v>
      </c>
      <c r="G1998" s="56" t="str">
        <f>VLOOKUP(C1998,clientes!$C$3:$D$60,2,FALSE)</f>
        <v>JBS</v>
      </c>
    </row>
    <row r="1999" spans="1:7" x14ac:dyDescent="0.25">
      <c r="A1999" s="10">
        <v>2025</v>
      </c>
      <c r="B1999" s="10" t="s">
        <v>140</v>
      </c>
      <c r="C1999" s="10" t="s">
        <v>163</v>
      </c>
      <c r="D1999" t="s">
        <v>115</v>
      </c>
      <c r="E1999" t="str">
        <f>VLOOKUP(D1999,'Lista de Produtos CLASSIFICAÇÃO'!$A$103:$B$144,2,FALSE)</f>
        <v>Soda Caustica</v>
      </c>
      <c r="F1999" s="53">
        <v>406299</v>
      </c>
      <c r="G1999" s="56" t="str">
        <f>VLOOKUP(C1999,clientes!$C$3:$D$60,2,FALSE)</f>
        <v>TRICON ENERGY</v>
      </c>
    </row>
    <row r="2000" spans="1:7" x14ac:dyDescent="0.25">
      <c r="A2000" s="10">
        <v>2025</v>
      </c>
      <c r="B2000" s="10" t="s">
        <v>140</v>
      </c>
      <c r="C2000" s="10" t="s">
        <v>164</v>
      </c>
      <c r="D2000" t="s">
        <v>115</v>
      </c>
      <c r="E2000" t="str">
        <f>VLOOKUP(D2000,'Lista de Produtos CLASSIFICAÇÃO'!$A$103:$B$144,2,FALSE)</f>
        <v>Soda Caustica</v>
      </c>
      <c r="F2000" s="53">
        <v>220436</v>
      </c>
      <c r="G2000" s="56" t="str">
        <f>VLOOKUP(C2000,clientes!$C$3:$D$60,2,FALSE)</f>
        <v>BRASKEM</v>
      </c>
    </row>
    <row r="2001" spans="1:7" x14ac:dyDescent="0.25">
      <c r="A2001" s="10">
        <v>2025</v>
      </c>
      <c r="B2001" s="10" t="s">
        <v>140</v>
      </c>
      <c r="C2001" s="10" t="s">
        <v>165</v>
      </c>
      <c r="D2001" s="10" t="s">
        <v>123</v>
      </c>
      <c r="E2001" t="str">
        <f>VLOOKUP(D2001,'Lista de Produtos CLASSIFICAÇÃO'!$A$103:$B$144,2,FALSE)</f>
        <v>Aquecidos</v>
      </c>
      <c r="F2001" s="53">
        <v>1030619</v>
      </c>
      <c r="G2001" s="56" t="str">
        <f>VLOOKUP(C2001,clientes!$C$3:$D$60,2,FALSE)</f>
        <v>BRF</v>
      </c>
    </row>
    <row r="2002" spans="1:7" x14ac:dyDescent="0.25">
      <c r="A2002" s="10">
        <v>2025</v>
      </c>
      <c r="B2002" s="10" t="s">
        <v>140</v>
      </c>
      <c r="C2002" s="10" t="s">
        <v>162</v>
      </c>
      <c r="D2002" s="10" t="s">
        <v>123</v>
      </c>
      <c r="E2002" t="str">
        <f>VLOOKUP(D2002,'Lista de Produtos CLASSIFICAÇÃO'!$A$103:$B$144,2,FALSE)</f>
        <v>Aquecidos</v>
      </c>
      <c r="F2002" s="53">
        <v>597348</v>
      </c>
      <c r="G2002" s="56" t="str">
        <f>VLOOKUP(C2002,clientes!$C$3:$D$60,2,FALSE)</f>
        <v>JBS</v>
      </c>
    </row>
    <row r="2003" spans="1:7" x14ac:dyDescent="0.25">
      <c r="A2003" s="10">
        <v>2025</v>
      </c>
      <c r="B2003" s="10" t="s">
        <v>140</v>
      </c>
      <c r="C2003" s="10" t="s">
        <v>166</v>
      </c>
      <c r="D2003" s="10" t="s">
        <v>123</v>
      </c>
      <c r="E2003" t="str">
        <f>VLOOKUP(D2003,'Lista de Produtos CLASSIFICAÇÃO'!$A$103:$B$144,2,FALSE)</f>
        <v>Aquecidos</v>
      </c>
      <c r="F2003" s="53">
        <v>537650</v>
      </c>
      <c r="G2003" s="56" t="str">
        <f>VLOOKUP(C2003,clientes!$C$3:$D$60,2,FALSE)</f>
        <v>CARGILL</v>
      </c>
    </row>
    <row r="2004" spans="1:7" x14ac:dyDescent="0.25">
      <c r="A2004" s="10">
        <v>2025</v>
      </c>
      <c r="B2004" s="10" t="s">
        <v>140</v>
      </c>
      <c r="C2004" s="10" t="s">
        <v>167</v>
      </c>
      <c r="D2004" s="10" t="s">
        <v>122</v>
      </c>
      <c r="E2004" t="str">
        <f>VLOOKUP(D2004,'Lista de Produtos CLASSIFICAÇÃO'!$A$103:$B$144,2,FALSE)</f>
        <v>Óleo Vegetal</v>
      </c>
      <c r="F2004" s="53">
        <v>2515096</v>
      </c>
      <c r="G2004" s="56" t="str">
        <f>VLOOKUP(C2004,clientes!$C$3:$D$60,2,FALSE)</f>
        <v>POOL</v>
      </c>
    </row>
    <row r="2005" spans="1:7" x14ac:dyDescent="0.25">
      <c r="A2005" s="10">
        <v>2025</v>
      </c>
      <c r="B2005" s="10" t="s">
        <v>140</v>
      </c>
      <c r="C2005" s="10" t="s">
        <v>168</v>
      </c>
      <c r="D2005" s="10" t="s">
        <v>122</v>
      </c>
      <c r="E2005" t="str">
        <f>VLOOKUP(D2005,'Lista de Produtos CLASSIFICAÇÃO'!$A$103:$B$144,2,FALSE)</f>
        <v>Óleo Vegetal</v>
      </c>
      <c r="F2005" s="53">
        <v>86043</v>
      </c>
      <c r="G2005" s="56" t="str">
        <f>VLOOKUP(C2005,clientes!$C$3:$D$60,2,FALSE)</f>
        <v>POOL EXCEDENTE</v>
      </c>
    </row>
    <row r="2006" spans="1:7" x14ac:dyDescent="0.25">
      <c r="A2006" s="10">
        <v>2025</v>
      </c>
      <c r="B2006" s="10" t="s">
        <v>140</v>
      </c>
      <c r="C2006" s="10" t="s">
        <v>169</v>
      </c>
      <c r="D2006" s="10" t="s">
        <v>22</v>
      </c>
      <c r="E2006" t="str">
        <f>VLOOKUP(D2006,'Lista de Produtos CLASSIFICAÇÃO'!$A$103:$B$144,2,FALSE)</f>
        <v>Metanol</v>
      </c>
      <c r="F2006" s="53">
        <v>7893225</v>
      </c>
      <c r="G2006" s="56" t="str">
        <f>VLOOKUP(C2006,clientes!$C$3:$D$60,2,FALSE)</f>
        <v>METHANEX</v>
      </c>
    </row>
    <row r="2007" spans="1:7" x14ac:dyDescent="0.25">
      <c r="A2007" s="10">
        <v>2025</v>
      </c>
      <c r="B2007" s="10" t="s">
        <v>140</v>
      </c>
      <c r="C2007" s="10" t="s">
        <v>170</v>
      </c>
      <c r="D2007" s="10" t="s">
        <v>22</v>
      </c>
      <c r="E2007" t="str">
        <f>VLOOKUP(D2007,'Lista de Produtos CLASSIFICAÇÃO'!$A$103:$B$144,2,FALSE)</f>
        <v>Metanol</v>
      </c>
      <c r="F2007" s="53">
        <v>5054137</v>
      </c>
      <c r="G2007" s="56" t="str">
        <f>VLOOKUP(C2007,clientes!$C$3:$D$60,2,FALSE)</f>
        <v>MITSUBISHI</v>
      </c>
    </row>
    <row r="2008" spans="1:7" x14ac:dyDescent="0.25">
      <c r="A2008" s="10">
        <v>2025</v>
      </c>
      <c r="B2008" s="10" t="s">
        <v>140</v>
      </c>
      <c r="C2008" s="10" t="s">
        <v>171</v>
      </c>
      <c r="D2008" s="10" t="s">
        <v>22</v>
      </c>
      <c r="E2008" t="str">
        <f>VLOOKUP(D2008,'Lista de Produtos CLASSIFICAÇÃO'!$A$103:$B$144,2,FALSE)</f>
        <v>Metanol</v>
      </c>
      <c r="F2008" s="53">
        <v>6057428</v>
      </c>
      <c r="G2008" s="56" t="str">
        <f>VLOOKUP(C2008,clientes!$C$3:$D$60,2,FALSE)</f>
        <v>VALENZ</v>
      </c>
    </row>
    <row r="2009" spans="1:7" x14ac:dyDescent="0.25">
      <c r="A2009" s="10">
        <v>2025</v>
      </c>
      <c r="B2009" s="10" t="s">
        <v>140</v>
      </c>
      <c r="C2009" s="10" t="s">
        <v>172</v>
      </c>
      <c r="D2009" s="10" t="s">
        <v>124</v>
      </c>
      <c r="E2009" t="str">
        <f>VLOOKUP(D2009,'Lista de Produtos CLASSIFICAÇÃO'!$A$103:$B$144,2,FALSE)</f>
        <v>Outros</v>
      </c>
      <c r="F2009" s="53">
        <v>439941</v>
      </c>
      <c r="G2009" s="56" t="str">
        <f>VLOOKUP(C2009,clientes!$C$3:$D$60,2,FALSE)</f>
        <v>EVONIK</v>
      </c>
    </row>
    <row r="2010" spans="1:7" x14ac:dyDescent="0.25">
      <c r="A2010" s="10">
        <v>2025</v>
      </c>
      <c r="B2010" s="10" t="s">
        <v>140</v>
      </c>
      <c r="C2010" s="10" t="s">
        <v>186</v>
      </c>
      <c r="D2010" s="10" t="s">
        <v>22</v>
      </c>
      <c r="E2010" t="str">
        <f>VLOOKUP(D2010,'Lista de Produtos CLASSIFICAÇÃO'!$A$103:$B$144,2,FALSE)</f>
        <v>Metanol</v>
      </c>
      <c r="F2010" s="53">
        <v>546830</v>
      </c>
      <c r="G2010" s="56" t="str">
        <f>VLOOKUP(C2010,clientes!$C$3:$D$60,2,FALSE)</f>
        <v>OQ TRADING</v>
      </c>
    </row>
    <row r="2011" spans="1:7" x14ac:dyDescent="0.25">
      <c r="A2011" s="10">
        <v>2025</v>
      </c>
      <c r="B2011" s="10" t="s">
        <v>140</v>
      </c>
      <c r="C2011" s="10" t="s">
        <v>174</v>
      </c>
      <c r="D2011" s="10" t="s">
        <v>123</v>
      </c>
      <c r="E2011" t="str">
        <f>VLOOKUP(D2011,'Lista de Produtos CLASSIFICAÇÃO'!$A$103:$B$144,2,FALSE)</f>
        <v>Aquecidos</v>
      </c>
      <c r="F2011" s="53">
        <v>2000426</v>
      </c>
      <c r="G2011" s="56" t="str">
        <f>VLOOKUP(C2011,clientes!$C$3:$D$60,2,FALSE)</f>
        <v>CELENA</v>
      </c>
    </row>
    <row r="2012" spans="1:7" x14ac:dyDescent="0.25">
      <c r="A2012" s="10">
        <v>2025</v>
      </c>
      <c r="B2012" s="10" t="s">
        <v>140</v>
      </c>
      <c r="C2012" s="10" t="s">
        <v>175</v>
      </c>
      <c r="D2012" s="10" t="s">
        <v>123</v>
      </c>
      <c r="E2012" t="str">
        <f>VLOOKUP(D2012,'Lista de Produtos CLASSIFICAÇÃO'!$A$103:$B$144,2,FALSE)</f>
        <v>Aquecidos</v>
      </c>
      <c r="F2012" s="53">
        <v>846373</v>
      </c>
      <c r="G2012" s="56" t="str">
        <f>VLOOKUP(C2012,clientes!$C$3:$D$60,2,FALSE)</f>
        <v>AAK DO BRASIL</v>
      </c>
    </row>
    <row r="2013" spans="1:7" x14ac:dyDescent="0.25">
      <c r="A2013" s="10">
        <v>2025</v>
      </c>
      <c r="B2013" s="10" t="s">
        <v>140</v>
      </c>
      <c r="C2013" s="10" t="s">
        <v>166</v>
      </c>
      <c r="D2013" s="10" t="s">
        <v>122</v>
      </c>
      <c r="E2013" t="str">
        <f>VLOOKUP(D2013,'Lista de Produtos CLASSIFICAÇÃO'!$A$103:$B$144,2,FALSE)</f>
        <v>Óleo Vegetal</v>
      </c>
      <c r="F2013" s="53">
        <v>208762</v>
      </c>
      <c r="G2013" s="56" t="str">
        <f>VLOOKUP(C2013,clientes!$C$3:$D$60,2,FALSE)</f>
        <v>CARGILL</v>
      </c>
    </row>
    <row r="2014" spans="1:7" x14ac:dyDescent="0.25">
      <c r="A2014" s="10">
        <v>2025</v>
      </c>
      <c r="B2014" s="10" t="s">
        <v>140</v>
      </c>
      <c r="C2014" s="10" t="s">
        <v>176</v>
      </c>
      <c r="D2014" s="10" t="s">
        <v>123</v>
      </c>
      <c r="E2014" t="str">
        <f>VLOOKUP(D2014,'Lista de Produtos CLASSIFICAÇÃO'!$A$103:$B$144,2,FALSE)</f>
        <v>Aquecidos</v>
      </c>
      <c r="F2014" s="53">
        <v>466210</v>
      </c>
      <c r="G2014" s="56" t="str">
        <f>VLOOKUP(C2014,clientes!$C$3:$D$60,2,FALSE)</f>
        <v>AGROPALMA</v>
      </c>
    </row>
    <row r="2015" spans="1:7" x14ac:dyDescent="0.25">
      <c r="A2015" s="10">
        <v>2025</v>
      </c>
      <c r="B2015" s="10" t="s">
        <v>140</v>
      </c>
      <c r="C2015" s="10" t="s">
        <v>177</v>
      </c>
      <c r="D2015" s="10" t="s">
        <v>115</v>
      </c>
      <c r="E2015" t="str">
        <f>VLOOKUP(D2015,'Lista de Produtos CLASSIFICAÇÃO'!$A$103:$B$144,2,FALSE)</f>
        <v>Soda Caustica</v>
      </c>
      <c r="F2015" s="53">
        <v>306345</v>
      </c>
      <c r="G2015" s="56" t="str">
        <f>VLOOKUP(C2015,clientes!$C$3:$D$60,2,FALSE)</f>
        <v>BRENNTAG</v>
      </c>
    </row>
    <row r="2016" spans="1:7" x14ac:dyDescent="0.25">
      <c r="A2016" s="10">
        <v>2025</v>
      </c>
      <c r="B2016" s="10" t="s">
        <v>140</v>
      </c>
      <c r="C2016" s="10" t="s">
        <v>178</v>
      </c>
      <c r="D2016" s="10" t="s">
        <v>115</v>
      </c>
      <c r="E2016" t="str">
        <f>VLOOKUP(D2016,'Lista de Produtos CLASSIFICAÇÃO'!$A$103:$B$144,2,FALSE)</f>
        <v>Soda Caustica</v>
      </c>
      <c r="F2016" s="53">
        <v>1779629</v>
      </c>
      <c r="G2016" s="56" t="str">
        <f>VLOOKUP(C2016,clientes!$C$3:$D$60,2,FALSE)</f>
        <v>OLIN BLUE CUBE</v>
      </c>
    </row>
    <row r="2017" spans="1:7" x14ac:dyDescent="0.25">
      <c r="A2017" s="10">
        <v>2025</v>
      </c>
      <c r="B2017" s="10" t="s">
        <v>140</v>
      </c>
      <c r="C2017" s="10" t="s">
        <v>179</v>
      </c>
      <c r="D2017" s="10" t="s">
        <v>26</v>
      </c>
      <c r="E2017" t="str">
        <f>VLOOKUP(D2017,'Lista de Produtos CLASSIFICAÇÃO'!$A$103:$B$144,2,FALSE)</f>
        <v>Biocombustíveis</v>
      </c>
      <c r="F2017" s="53">
        <v>437969</v>
      </c>
      <c r="G2017" s="56" t="str">
        <f>VLOOKUP(C2017,clientes!$C$3:$D$60,2,FALSE)</f>
        <v>BSBIOS</v>
      </c>
    </row>
    <row r="2018" spans="1:7" x14ac:dyDescent="0.25">
      <c r="A2018" s="10">
        <v>2025</v>
      </c>
      <c r="B2018" s="10" t="s">
        <v>140</v>
      </c>
      <c r="C2018" s="10" t="s">
        <v>181</v>
      </c>
      <c r="D2018" s="10" t="s">
        <v>123</v>
      </c>
      <c r="E2018" t="str">
        <f>VLOOKUP(D2018,'Lista de Produtos CLASSIFICAÇÃO'!$A$103:$B$144,2,FALSE)</f>
        <v>Aquecidos</v>
      </c>
      <c r="F2018" s="53">
        <v>208225</v>
      </c>
      <c r="G2018" s="56" t="str">
        <f>VLOOKUP(C2018,clientes!$C$3:$D$60,2,FALSE)</f>
        <v>COAMO</v>
      </c>
    </row>
    <row r="2019" spans="1:7" x14ac:dyDescent="0.25">
      <c r="A2019" s="10">
        <v>2025</v>
      </c>
      <c r="B2019" s="10" t="s">
        <v>140</v>
      </c>
      <c r="C2019" s="10" t="s">
        <v>182</v>
      </c>
      <c r="D2019" s="10" t="s">
        <v>120</v>
      </c>
      <c r="E2019" t="str">
        <f>VLOOKUP(D2019,'Lista de Produtos CLASSIFICAÇÃO'!$A$103:$B$144,2,FALSE)</f>
        <v>Derivados</v>
      </c>
      <c r="F2019" s="53">
        <v>1147677</v>
      </c>
      <c r="G2019" s="56" t="str">
        <f>VLOOKUP(C2019,clientes!$C$3:$D$60,2,FALSE)</f>
        <v>ATEM</v>
      </c>
    </row>
    <row r="2020" spans="1:7" x14ac:dyDescent="0.25">
      <c r="A2020" s="10">
        <v>2025</v>
      </c>
      <c r="B2020" s="10" t="s">
        <v>140</v>
      </c>
      <c r="C2020" s="10" t="s">
        <v>184</v>
      </c>
      <c r="D2020" s="10" t="s">
        <v>122</v>
      </c>
      <c r="E2020" t="str">
        <f>VLOOKUP(D2020,'Lista de Produtos CLASSIFICAÇÃO'!$A$103:$B$144,2,FALSE)</f>
        <v>Óleo Vegetal</v>
      </c>
      <c r="F2020" s="53">
        <v>230660</v>
      </c>
      <c r="G2020" s="56" t="str">
        <f>VLOOKUP(C2020,clientes!$C$3:$D$60,2,FALSE)</f>
        <v>INGREDION</v>
      </c>
    </row>
    <row r="2021" spans="1:7" x14ac:dyDescent="0.25">
      <c r="A2021" s="10">
        <v>2025</v>
      </c>
      <c r="B2021" s="10" t="s">
        <v>140</v>
      </c>
      <c r="C2021" s="10" t="s">
        <v>185</v>
      </c>
      <c r="D2021" s="10" t="s">
        <v>120</v>
      </c>
      <c r="E2021" t="str">
        <f>VLOOKUP(D2021,'Lista de Produtos CLASSIFICAÇÃO'!$A$103:$B$144,2,FALSE)</f>
        <v>Derivados</v>
      </c>
      <c r="F2021" s="53">
        <v>1076739</v>
      </c>
      <c r="G2021" s="56" t="str">
        <f>VLOOKUP(C2021,clientes!$C$3:$D$60,2,FALSE)</f>
        <v>CIAPETRO</v>
      </c>
    </row>
    <row r="2022" spans="1:7" x14ac:dyDescent="0.25">
      <c r="A2022" s="10">
        <v>2025</v>
      </c>
      <c r="B2022" s="10" t="s">
        <v>140</v>
      </c>
      <c r="C2022" s="10" t="s">
        <v>187</v>
      </c>
      <c r="D2022" s="10" t="s">
        <v>121</v>
      </c>
      <c r="E2022" t="str">
        <f>VLOOKUP(D2022,'Lista de Produtos CLASSIFICAÇÃO'!$A$103:$B$144,2,FALSE)</f>
        <v>Biocombustíveis</v>
      </c>
      <c r="F2022" s="53">
        <v>900000</v>
      </c>
      <c r="G2022" s="56" t="str">
        <f>VLOOKUP(C2022,clientes!$C$3:$D$60,2,FALSE)</f>
        <v>TEREOS / INPASA / GLENCORE / FS</v>
      </c>
    </row>
    <row r="2023" spans="1:7" x14ac:dyDescent="0.25">
      <c r="A2023" s="10">
        <v>2025</v>
      </c>
      <c r="B2023" s="10" t="s">
        <v>140</v>
      </c>
      <c r="C2023" s="10" t="s">
        <v>188</v>
      </c>
      <c r="D2023" s="10" t="s">
        <v>123</v>
      </c>
      <c r="E2023" t="str">
        <f>VLOOKUP(D2023,'Lista de Produtos CLASSIFICAÇÃO'!$A$103:$B$144,2,FALSE)</f>
        <v>Aquecidos</v>
      </c>
      <c r="F2023" s="53">
        <v>608544</v>
      </c>
      <c r="G2023" s="56" t="str">
        <f>VLOOKUP(C2023,clientes!$C$3:$D$60,2,FALSE)</f>
        <v>ARES MERCHANTS PTE LIMITE</v>
      </c>
    </row>
    <row r="2024" spans="1:7" x14ac:dyDescent="0.25">
      <c r="A2024" s="10">
        <v>2025</v>
      </c>
      <c r="B2024" s="10" t="s">
        <v>140</v>
      </c>
      <c r="C2024" s="10" t="s">
        <v>18</v>
      </c>
      <c r="D2024" s="10" t="s">
        <v>17</v>
      </c>
      <c r="E2024" t="str">
        <f>VLOOKUP(D2024,'Lista de Produtos CLASSIFICAÇÃO'!$A$103:$B$144,2,FALSE)</f>
        <v>Acostagem</v>
      </c>
      <c r="F2024" s="53">
        <v>477340.8118749999</v>
      </c>
      <c r="G2024" s="56" t="str">
        <f>VLOOKUP(C2024,clientes!$C$3:$D$60,2,FALSE)</f>
        <v>ACOSTAGEM</v>
      </c>
    </row>
    <row r="2025" spans="1:7" x14ac:dyDescent="0.25">
      <c r="A2025" s="10">
        <v>2025</v>
      </c>
      <c r="B2025" s="10" t="s">
        <v>140</v>
      </c>
      <c r="C2025" s="10" t="s">
        <v>189</v>
      </c>
      <c r="D2025" t="s">
        <v>123</v>
      </c>
      <c r="E2025" t="str">
        <f>VLOOKUP(D2025,'Lista de Produtos CLASSIFICAÇÃO'!$A$103:$B$144,2,FALSE)</f>
        <v>Aquecidos</v>
      </c>
      <c r="F2025" s="53">
        <v>557826</v>
      </c>
      <c r="G2025" s="56" t="str">
        <f>VLOOKUP(C2025,clientes!$C$3:$D$60,2,FALSE)</f>
        <v>ICOF</v>
      </c>
    </row>
    <row r="2026" spans="1:7" x14ac:dyDescent="0.25">
      <c r="A2026" s="10">
        <v>2025</v>
      </c>
      <c r="B2026" s="10" t="s">
        <v>140</v>
      </c>
      <c r="C2026" s="10" t="s">
        <v>191</v>
      </c>
      <c r="D2026" t="s">
        <v>115</v>
      </c>
      <c r="E2026" t="str">
        <f>VLOOKUP(D2026,'Lista de Produtos CLASSIFICAÇÃO'!$A$103:$B$144,2,FALSE)</f>
        <v>Soda Caustica</v>
      </c>
      <c r="F2026" s="53">
        <v>136044</v>
      </c>
      <c r="G2026" s="56" t="str">
        <f>VLOOKUP(C2026,clientes!$C$3:$D$60,2,FALSE)</f>
        <v>GPC</v>
      </c>
    </row>
    <row r="2027" spans="1:7" x14ac:dyDescent="0.25">
      <c r="A2027" s="10">
        <v>2025</v>
      </c>
      <c r="B2027" s="10" t="s">
        <v>140</v>
      </c>
      <c r="C2027" s="10" t="s">
        <v>192</v>
      </c>
      <c r="D2027" s="10" t="s">
        <v>121</v>
      </c>
      <c r="E2027" t="str">
        <f>VLOOKUP(D2027,'Lista de Produtos CLASSIFICAÇÃO'!$A$103:$B$144,2,FALSE)</f>
        <v>Biocombustíveis</v>
      </c>
      <c r="F2027" s="53">
        <v>1548779</v>
      </c>
      <c r="G2027" s="56" t="str">
        <f>VLOOKUP(C2027,clientes!$C$3:$D$60,2,FALSE)</f>
        <v>INPASA</v>
      </c>
    </row>
    <row r="2028" spans="1:7" x14ac:dyDescent="0.25">
      <c r="A2028" s="10">
        <v>2025</v>
      </c>
      <c r="B2028" s="10" t="s">
        <v>141</v>
      </c>
      <c r="C2028" s="10" t="s">
        <v>155</v>
      </c>
      <c r="D2028" s="10" t="s">
        <v>16</v>
      </c>
      <c r="E2028" t="str">
        <f>VLOOKUP(D2028,'Lista de Produtos CLASSIFICAÇÃO'!$A$103:$B$144,2,FALSE)</f>
        <v>Outros</v>
      </c>
      <c r="F2028" s="53">
        <v>878484</v>
      </c>
      <c r="G2028" s="56" t="str">
        <f>VLOOKUP(C2028,clientes!$C$3:$D$60,2,FALSE)</f>
        <v>ADISSEO</v>
      </c>
    </row>
    <row r="2029" spans="1:7" x14ac:dyDescent="0.25">
      <c r="A2029" s="10">
        <v>2025</v>
      </c>
      <c r="B2029" s="10" t="s">
        <v>141</v>
      </c>
      <c r="C2029" s="10" t="s">
        <v>156</v>
      </c>
      <c r="D2029" s="10" t="s">
        <v>123</v>
      </c>
      <c r="E2029" t="str">
        <f>VLOOKUP(D2029,'Lista de Produtos CLASSIFICAÇÃO'!$A$103:$B$144,2,FALSE)</f>
        <v>Aquecidos</v>
      </c>
      <c r="F2029" s="53">
        <v>396917</v>
      </c>
      <c r="G2029" s="56" t="str">
        <f>VLOOKUP(C2029,clientes!$C$3:$D$60,2,FALSE)</f>
        <v>BUNGE</v>
      </c>
    </row>
    <row r="2030" spans="1:7" x14ac:dyDescent="0.25">
      <c r="A2030" s="10">
        <v>2025</v>
      </c>
      <c r="B2030" s="10" t="s">
        <v>141</v>
      </c>
      <c r="C2030" s="10" t="s">
        <v>157</v>
      </c>
      <c r="D2030" s="10" t="s">
        <v>122</v>
      </c>
      <c r="E2030" t="str">
        <f>VLOOKUP(D2030,'Lista de Produtos CLASSIFICAÇÃO'!$A$103:$B$144,2,FALSE)</f>
        <v>Óleo Vegetal</v>
      </c>
      <c r="F2030" s="53">
        <v>168574</v>
      </c>
      <c r="G2030" s="56" t="str">
        <f>VLOOKUP(C2030,clientes!$C$3:$D$60,2,FALSE)</f>
        <v>ADM</v>
      </c>
    </row>
    <row r="2031" spans="1:7" x14ac:dyDescent="0.25">
      <c r="A2031" s="10">
        <v>2025</v>
      </c>
      <c r="B2031" s="10" t="s">
        <v>141</v>
      </c>
      <c r="C2031" s="10" t="s">
        <v>158</v>
      </c>
      <c r="D2031" s="10" t="s">
        <v>120</v>
      </c>
      <c r="E2031" t="str">
        <f>VLOOKUP(D2031,'Lista de Produtos CLASSIFICAÇÃO'!$A$103:$B$144,2,FALSE)</f>
        <v>Derivados</v>
      </c>
      <c r="F2031" s="53">
        <v>5957914</v>
      </c>
      <c r="G2031" s="56" t="str">
        <f>VLOOKUP(C2031,clientes!$C$3:$D$60,2,FALSE)</f>
        <v>IPIRANGA</v>
      </c>
    </row>
    <row r="2032" spans="1:7" x14ac:dyDescent="0.25">
      <c r="A2032" s="10">
        <v>2025</v>
      </c>
      <c r="B2032" s="10" t="s">
        <v>141</v>
      </c>
      <c r="C2032" s="10" t="s">
        <v>159</v>
      </c>
      <c r="D2032" s="10" t="s">
        <v>120</v>
      </c>
      <c r="E2032" t="str">
        <f>VLOOKUP(D2032,'Lista de Produtos CLASSIFICAÇÃO'!$A$103:$B$144,2,FALSE)</f>
        <v>Derivados</v>
      </c>
      <c r="F2032" s="53">
        <v>3979329</v>
      </c>
      <c r="G2032" s="56" t="str">
        <f>VLOOKUP(C2032,clientes!$C$3:$D$60,2,FALSE)</f>
        <v>RAIZEN</v>
      </c>
    </row>
    <row r="2033" spans="1:7" x14ac:dyDescent="0.25">
      <c r="A2033" s="10">
        <v>2025</v>
      </c>
      <c r="B2033" s="10" t="s">
        <v>141</v>
      </c>
      <c r="C2033" s="10" t="s">
        <v>160</v>
      </c>
      <c r="D2033" s="10" t="s">
        <v>120</v>
      </c>
      <c r="E2033" t="str">
        <f>VLOOKUP(D2033,'Lista de Produtos CLASSIFICAÇÃO'!$A$103:$B$144,2,FALSE)</f>
        <v>Derivados</v>
      </c>
      <c r="F2033" s="53">
        <v>1971343</v>
      </c>
      <c r="G2033" s="56" t="str">
        <f>VLOOKUP(C2033,clientes!$C$3:$D$60,2,FALSE)</f>
        <v>VIBRA</v>
      </c>
    </row>
    <row r="2034" spans="1:7" x14ac:dyDescent="0.25">
      <c r="A2034" s="10">
        <v>2025</v>
      </c>
      <c r="B2034" s="10" t="s">
        <v>141</v>
      </c>
      <c r="C2034" s="10" t="s">
        <v>161</v>
      </c>
      <c r="D2034" s="10" t="s">
        <v>120</v>
      </c>
      <c r="E2034" t="str">
        <f>VLOOKUP(D2034,'Lista de Produtos CLASSIFICAÇÃO'!$A$103:$B$144,2,FALSE)</f>
        <v>Derivados</v>
      </c>
      <c r="F2034" s="53">
        <v>3059732</v>
      </c>
      <c r="G2034" s="56" t="str">
        <f>VLOOKUP(C2034,clientes!$C$3:$D$60,2,FALSE)</f>
        <v>SUL PLATA</v>
      </c>
    </row>
    <row r="2035" spans="1:7" x14ac:dyDescent="0.25">
      <c r="A2035" s="10">
        <v>2025</v>
      </c>
      <c r="B2035" s="10" t="s">
        <v>141</v>
      </c>
      <c r="C2035" s="10" t="s">
        <v>162</v>
      </c>
      <c r="D2035" s="10" t="s">
        <v>115</v>
      </c>
      <c r="E2035" t="str">
        <f>VLOOKUP(D2035,'Lista de Produtos CLASSIFICAÇÃO'!$A$103:$B$144,2,FALSE)</f>
        <v>Soda Caustica</v>
      </c>
      <c r="F2035" s="53">
        <v>255763</v>
      </c>
      <c r="G2035" s="56" t="str">
        <f>VLOOKUP(C2035,clientes!$C$3:$D$60,2,FALSE)</f>
        <v>JBS</v>
      </c>
    </row>
    <row r="2036" spans="1:7" x14ac:dyDescent="0.25">
      <c r="A2036" s="10">
        <v>2025</v>
      </c>
      <c r="B2036" s="10" t="s">
        <v>141</v>
      </c>
      <c r="C2036" s="10" t="s">
        <v>163</v>
      </c>
      <c r="D2036" t="s">
        <v>115</v>
      </c>
      <c r="E2036" t="str">
        <f>VLOOKUP(D2036,'Lista de Produtos CLASSIFICAÇÃO'!$A$103:$B$144,2,FALSE)</f>
        <v>Soda Caustica</v>
      </c>
      <c r="F2036" s="53">
        <v>406299</v>
      </c>
      <c r="G2036" s="56" t="str">
        <f>VLOOKUP(C2036,clientes!$C$3:$D$60,2,FALSE)</f>
        <v>TRICON ENERGY</v>
      </c>
    </row>
    <row r="2037" spans="1:7" x14ac:dyDescent="0.25">
      <c r="A2037" s="10">
        <v>2025</v>
      </c>
      <c r="B2037" s="10" t="s">
        <v>141</v>
      </c>
      <c r="C2037" s="10" t="s">
        <v>164</v>
      </c>
      <c r="D2037" t="s">
        <v>115</v>
      </c>
      <c r="E2037" t="str">
        <f>VLOOKUP(D2037,'Lista de Produtos CLASSIFICAÇÃO'!$A$103:$B$144,2,FALSE)</f>
        <v>Soda Caustica</v>
      </c>
      <c r="F2037" s="53">
        <v>220436</v>
      </c>
      <c r="G2037" s="56" t="str">
        <f>VLOOKUP(C2037,clientes!$C$3:$D$60,2,FALSE)</f>
        <v>BRASKEM</v>
      </c>
    </row>
    <row r="2038" spans="1:7" x14ac:dyDescent="0.25">
      <c r="A2038" s="10">
        <v>2025</v>
      </c>
      <c r="B2038" s="10" t="s">
        <v>141</v>
      </c>
      <c r="C2038" s="10" t="s">
        <v>165</v>
      </c>
      <c r="D2038" s="10" t="s">
        <v>123</v>
      </c>
      <c r="E2038" t="str">
        <f>VLOOKUP(D2038,'Lista de Produtos CLASSIFICAÇÃO'!$A$103:$B$144,2,FALSE)</f>
        <v>Aquecidos</v>
      </c>
      <c r="F2038" s="53">
        <v>1030619</v>
      </c>
      <c r="G2038" s="56" t="str">
        <f>VLOOKUP(C2038,clientes!$C$3:$D$60,2,FALSE)</f>
        <v>BRF</v>
      </c>
    </row>
    <row r="2039" spans="1:7" x14ac:dyDescent="0.25">
      <c r="A2039" s="10">
        <v>2025</v>
      </c>
      <c r="B2039" s="10" t="s">
        <v>141</v>
      </c>
      <c r="C2039" s="10" t="s">
        <v>162</v>
      </c>
      <c r="D2039" s="10" t="s">
        <v>123</v>
      </c>
      <c r="E2039" t="str">
        <f>VLOOKUP(D2039,'Lista de Produtos CLASSIFICAÇÃO'!$A$103:$B$144,2,FALSE)</f>
        <v>Aquecidos</v>
      </c>
      <c r="F2039" s="53">
        <v>597348</v>
      </c>
      <c r="G2039" s="56" t="str">
        <f>VLOOKUP(C2039,clientes!$C$3:$D$60,2,FALSE)</f>
        <v>JBS</v>
      </c>
    </row>
    <row r="2040" spans="1:7" x14ac:dyDescent="0.25">
      <c r="A2040" s="10">
        <v>2025</v>
      </c>
      <c r="B2040" s="10" t="s">
        <v>141</v>
      </c>
      <c r="C2040" s="10" t="s">
        <v>166</v>
      </c>
      <c r="D2040" s="10" t="s">
        <v>123</v>
      </c>
      <c r="E2040" t="str">
        <f>VLOOKUP(D2040,'Lista de Produtos CLASSIFICAÇÃO'!$A$103:$B$144,2,FALSE)</f>
        <v>Aquecidos</v>
      </c>
      <c r="F2040" s="53">
        <v>537650</v>
      </c>
      <c r="G2040" s="56" t="str">
        <f>VLOOKUP(C2040,clientes!$C$3:$D$60,2,FALSE)</f>
        <v>CARGILL</v>
      </c>
    </row>
    <row r="2041" spans="1:7" x14ac:dyDescent="0.25">
      <c r="A2041" s="10">
        <v>2025</v>
      </c>
      <c r="B2041" s="10" t="s">
        <v>141</v>
      </c>
      <c r="C2041" s="10" t="s">
        <v>167</v>
      </c>
      <c r="D2041" s="10" t="s">
        <v>122</v>
      </c>
      <c r="E2041" t="str">
        <f>VLOOKUP(D2041,'Lista de Produtos CLASSIFICAÇÃO'!$A$103:$B$144,2,FALSE)</f>
        <v>Óleo Vegetal</v>
      </c>
      <c r="F2041" s="53">
        <v>1368130</v>
      </c>
      <c r="G2041" s="56" t="str">
        <f>VLOOKUP(C2041,clientes!$C$3:$D$60,2,FALSE)</f>
        <v>POOL</v>
      </c>
    </row>
    <row r="2042" spans="1:7" x14ac:dyDescent="0.25">
      <c r="A2042" s="10">
        <v>2025</v>
      </c>
      <c r="B2042" s="10" t="s">
        <v>141</v>
      </c>
      <c r="C2042" s="10" t="s">
        <v>168</v>
      </c>
      <c r="D2042" s="10" t="s">
        <v>122</v>
      </c>
      <c r="E2042" t="str">
        <f>VLOOKUP(D2042,'Lista de Produtos CLASSIFICAÇÃO'!$A$103:$B$144,2,FALSE)</f>
        <v>Óleo Vegetal</v>
      </c>
      <c r="F2042" s="53">
        <v>0</v>
      </c>
      <c r="G2042" s="56" t="str">
        <f>VLOOKUP(C2042,clientes!$C$3:$D$60,2,FALSE)</f>
        <v>POOL EXCEDENTE</v>
      </c>
    </row>
    <row r="2043" spans="1:7" x14ac:dyDescent="0.25">
      <c r="A2043" s="10">
        <v>2025</v>
      </c>
      <c r="B2043" s="10" t="s">
        <v>141</v>
      </c>
      <c r="C2043" s="10" t="s">
        <v>169</v>
      </c>
      <c r="D2043" s="10" t="s">
        <v>22</v>
      </c>
      <c r="E2043" t="str">
        <f>VLOOKUP(D2043,'Lista de Produtos CLASSIFICAÇÃO'!$A$103:$B$144,2,FALSE)</f>
        <v>Metanol</v>
      </c>
      <c r="F2043" s="53">
        <v>7893225</v>
      </c>
      <c r="G2043" s="56" t="str">
        <f>VLOOKUP(C2043,clientes!$C$3:$D$60,2,FALSE)</f>
        <v>METHANEX</v>
      </c>
    </row>
    <row r="2044" spans="1:7" x14ac:dyDescent="0.25">
      <c r="A2044" s="10">
        <v>2025</v>
      </c>
      <c r="B2044" s="10" t="s">
        <v>141</v>
      </c>
      <c r="C2044" s="10" t="s">
        <v>170</v>
      </c>
      <c r="D2044" s="10" t="s">
        <v>22</v>
      </c>
      <c r="E2044" t="str">
        <f>VLOOKUP(D2044,'Lista de Produtos CLASSIFICAÇÃO'!$A$103:$B$144,2,FALSE)</f>
        <v>Metanol</v>
      </c>
      <c r="F2044" s="53">
        <v>5054137</v>
      </c>
      <c r="G2044" s="56" t="str">
        <f>VLOOKUP(C2044,clientes!$C$3:$D$60,2,FALSE)</f>
        <v>MITSUBISHI</v>
      </c>
    </row>
    <row r="2045" spans="1:7" x14ac:dyDescent="0.25">
      <c r="A2045" s="10">
        <v>2025</v>
      </c>
      <c r="B2045" s="10" t="s">
        <v>141</v>
      </c>
      <c r="C2045" s="10" t="s">
        <v>171</v>
      </c>
      <c r="D2045" s="10" t="s">
        <v>22</v>
      </c>
      <c r="E2045" t="str">
        <f>VLOOKUP(D2045,'Lista de Produtos CLASSIFICAÇÃO'!$A$103:$B$144,2,FALSE)</f>
        <v>Metanol</v>
      </c>
      <c r="F2045" s="53">
        <v>6057428</v>
      </c>
      <c r="G2045" s="56" t="str">
        <f>VLOOKUP(C2045,clientes!$C$3:$D$60,2,FALSE)</f>
        <v>VALENZ</v>
      </c>
    </row>
    <row r="2046" spans="1:7" x14ac:dyDescent="0.25">
      <c r="A2046" s="10">
        <v>2025</v>
      </c>
      <c r="B2046" s="10" t="s">
        <v>141</v>
      </c>
      <c r="C2046" s="10" t="s">
        <v>172</v>
      </c>
      <c r="D2046" s="10" t="s">
        <v>124</v>
      </c>
      <c r="E2046" t="str">
        <f>VLOOKUP(D2046,'Lista de Produtos CLASSIFICAÇÃO'!$A$103:$B$144,2,FALSE)</f>
        <v>Outros</v>
      </c>
      <c r="F2046" s="53">
        <v>439941</v>
      </c>
      <c r="G2046" s="56" t="str">
        <f>VLOOKUP(C2046,clientes!$C$3:$D$60,2,FALSE)</f>
        <v>EVONIK</v>
      </c>
    </row>
    <row r="2047" spans="1:7" x14ac:dyDescent="0.25">
      <c r="A2047" s="10">
        <v>2025</v>
      </c>
      <c r="B2047" s="10" t="s">
        <v>141</v>
      </c>
      <c r="C2047" s="10" t="s">
        <v>186</v>
      </c>
      <c r="D2047" s="10" t="s">
        <v>22</v>
      </c>
      <c r="E2047" t="str">
        <f>VLOOKUP(D2047,'Lista de Produtos CLASSIFICAÇÃO'!$A$103:$B$144,2,FALSE)</f>
        <v>Metanol</v>
      </c>
      <c r="F2047" s="53">
        <v>546830</v>
      </c>
      <c r="G2047" s="56" t="str">
        <f>VLOOKUP(C2047,clientes!$C$3:$D$60,2,FALSE)</f>
        <v>OQ TRADING</v>
      </c>
    </row>
    <row r="2048" spans="1:7" x14ac:dyDescent="0.25">
      <c r="A2048" s="10">
        <v>2025</v>
      </c>
      <c r="B2048" s="10" t="s">
        <v>141</v>
      </c>
      <c r="C2048" s="10" t="s">
        <v>174</v>
      </c>
      <c r="D2048" s="10" t="s">
        <v>123</v>
      </c>
      <c r="E2048" t="str">
        <f>VLOOKUP(D2048,'Lista de Produtos CLASSIFICAÇÃO'!$A$103:$B$144,2,FALSE)</f>
        <v>Aquecidos</v>
      </c>
      <c r="F2048" s="53">
        <v>2000426</v>
      </c>
      <c r="G2048" s="56" t="str">
        <f>VLOOKUP(C2048,clientes!$C$3:$D$60,2,FALSE)</f>
        <v>CELENA</v>
      </c>
    </row>
    <row r="2049" spans="1:7" x14ac:dyDescent="0.25">
      <c r="A2049" s="10">
        <v>2025</v>
      </c>
      <c r="B2049" s="10" t="s">
        <v>141</v>
      </c>
      <c r="C2049" s="10" t="s">
        <v>175</v>
      </c>
      <c r="D2049" s="10" t="s">
        <v>123</v>
      </c>
      <c r="E2049" t="str">
        <f>VLOOKUP(D2049,'Lista de Produtos CLASSIFICAÇÃO'!$A$103:$B$144,2,FALSE)</f>
        <v>Aquecidos</v>
      </c>
      <c r="F2049" s="53">
        <v>846373</v>
      </c>
      <c r="G2049" s="56" t="str">
        <f>VLOOKUP(C2049,clientes!$C$3:$D$60,2,FALSE)</f>
        <v>AAK DO BRASIL</v>
      </c>
    </row>
    <row r="2050" spans="1:7" x14ac:dyDescent="0.25">
      <c r="A2050" s="10">
        <v>2025</v>
      </c>
      <c r="B2050" s="10" t="s">
        <v>141</v>
      </c>
      <c r="C2050" s="10" t="s">
        <v>166</v>
      </c>
      <c r="D2050" s="10" t="s">
        <v>122</v>
      </c>
      <c r="E2050" t="str">
        <f>VLOOKUP(D2050,'Lista de Produtos CLASSIFICAÇÃO'!$A$103:$B$144,2,FALSE)</f>
        <v>Óleo Vegetal</v>
      </c>
      <c r="F2050" s="53">
        <v>245362</v>
      </c>
      <c r="G2050" s="56" t="str">
        <f>VLOOKUP(C2050,clientes!$C$3:$D$60,2,FALSE)</f>
        <v>CARGILL</v>
      </c>
    </row>
    <row r="2051" spans="1:7" x14ac:dyDescent="0.25">
      <c r="A2051" s="10">
        <v>2025</v>
      </c>
      <c r="B2051" s="10" t="s">
        <v>141</v>
      </c>
      <c r="C2051" s="10" t="s">
        <v>176</v>
      </c>
      <c r="D2051" s="10" t="s">
        <v>123</v>
      </c>
      <c r="E2051" t="str">
        <f>VLOOKUP(D2051,'Lista de Produtos CLASSIFICAÇÃO'!$A$103:$B$144,2,FALSE)</f>
        <v>Aquecidos</v>
      </c>
      <c r="F2051" s="53">
        <v>466210</v>
      </c>
      <c r="G2051" s="56" t="str">
        <f>VLOOKUP(C2051,clientes!$C$3:$D$60,2,FALSE)</f>
        <v>AGROPALMA</v>
      </c>
    </row>
    <row r="2052" spans="1:7" x14ac:dyDescent="0.25">
      <c r="A2052" s="10">
        <v>2025</v>
      </c>
      <c r="B2052" s="10" t="s">
        <v>141</v>
      </c>
      <c r="C2052" s="10" t="s">
        <v>177</v>
      </c>
      <c r="D2052" s="10" t="s">
        <v>115</v>
      </c>
      <c r="E2052" t="str">
        <f>VLOOKUP(D2052,'Lista de Produtos CLASSIFICAÇÃO'!$A$103:$B$144,2,FALSE)</f>
        <v>Soda Caustica</v>
      </c>
      <c r="F2052" s="53">
        <v>306345</v>
      </c>
      <c r="G2052" s="56" t="str">
        <f>VLOOKUP(C2052,clientes!$C$3:$D$60,2,FALSE)</f>
        <v>BRENNTAG</v>
      </c>
    </row>
    <row r="2053" spans="1:7" x14ac:dyDescent="0.25">
      <c r="A2053" s="10">
        <v>2025</v>
      </c>
      <c r="B2053" s="10" t="s">
        <v>141</v>
      </c>
      <c r="C2053" s="10" t="s">
        <v>178</v>
      </c>
      <c r="D2053" s="10" t="s">
        <v>115</v>
      </c>
      <c r="E2053" t="str">
        <f>VLOOKUP(D2053,'Lista de Produtos CLASSIFICAÇÃO'!$A$103:$B$144,2,FALSE)</f>
        <v>Soda Caustica</v>
      </c>
      <c r="F2053" s="53">
        <v>1779629</v>
      </c>
      <c r="G2053" s="56" t="str">
        <f>VLOOKUP(C2053,clientes!$C$3:$D$60,2,FALSE)</f>
        <v>OLIN BLUE CUBE</v>
      </c>
    </row>
    <row r="2054" spans="1:7" x14ac:dyDescent="0.25">
      <c r="A2054" s="10">
        <v>2025</v>
      </c>
      <c r="B2054" s="10" t="s">
        <v>141</v>
      </c>
      <c r="C2054" s="10" t="s">
        <v>179</v>
      </c>
      <c r="D2054" s="10" t="s">
        <v>26</v>
      </c>
      <c r="E2054" t="str">
        <f>VLOOKUP(D2054,'Lista de Produtos CLASSIFICAÇÃO'!$A$103:$B$144,2,FALSE)</f>
        <v>Biocombustíveis</v>
      </c>
      <c r="F2054" s="53">
        <v>437969</v>
      </c>
      <c r="G2054" s="56" t="str">
        <f>VLOOKUP(C2054,clientes!$C$3:$D$60,2,FALSE)</f>
        <v>BSBIOS</v>
      </c>
    </row>
    <row r="2055" spans="1:7" x14ac:dyDescent="0.25">
      <c r="A2055" s="10">
        <v>2025</v>
      </c>
      <c r="B2055" s="10" t="s">
        <v>141</v>
      </c>
      <c r="C2055" s="10" t="s">
        <v>181</v>
      </c>
      <c r="D2055" s="10" t="s">
        <v>123</v>
      </c>
      <c r="E2055" t="str">
        <f>VLOOKUP(D2055,'Lista de Produtos CLASSIFICAÇÃO'!$A$103:$B$144,2,FALSE)</f>
        <v>Aquecidos</v>
      </c>
      <c r="F2055" s="53">
        <v>208225</v>
      </c>
      <c r="G2055" s="56" t="str">
        <f>VLOOKUP(C2055,clientes!$C$3:$D$60,2,FALSE)</f>
        <v>COAMO</v>
      </c>
    </row>
    <row r="2056" spans="1:7" x14ac:dyDescent="0.25">
      <c r="A2056" s="10">
        <v>2025</v>
      </c>
      <c r="B2056" s="10" t="s">
        <v>141</v>
      </c>
      <c r="C2056" s="10" t="s">
        <v>182</v>
      </c>
      <c r="D2056" s="10" t="s">
        <v>120</v>
      </c>
      <c r="E2056" t="str">
        <f>VLOOKUP(D2056,'Lista de Produtos CLASSIFICAÇÃO'!$A$103:$B$144,2,FALSE)</f>
        <v>Derivados</v>
      </c>
      <c r="F2056" s="53">
        <v>1147677</v>
      </c>
      <c r="G2056" s="56" t="str">
        <f>VLOOKUP(C2056,clientes!$C$3:$D$60,2,FALSE)</f>
        <v>ATEM</v>
      </c>
    </row>
    <row r="2057" spans="1:7" x14ac:dyDescent="0.25">
      <c r="A2057" s="10">
        <v>2025</v>
      </c>
      <c r="B2057" s="10" t="s">
        <v>141</v>
      </c>
      <c r="C2057" s="10" t="s">
        <v>184</v>
      </c>
      <c r="D2057" s="10" t="s">
        <v>122</v>
      </c>
      <c r="E2057" t="str">
        <f>VLOOKUP(D2057,'Lista de Produtos CLASSIFICAÇÃO'!$A$103:$B$144,2,FALSE)</f>
        <v>Óleo Vegetal</v>
      </c>
      <c r="F2057" s="53">
        <v>290026</v>
      </c>
      <c r="G2057" s="56" t="str">
        <f>VLOOKUP(C2057,clientes!$C$3:$D$60,2,FALSE)</f>
        <v>INGREDION</v>
      </c>
    </row>
    <row r="2058" spans="1:7" x14ac:dyDescent="0.25">
      <c r="A2058" s="10">
        <v>2025</v>
      </c>
      <c r="B2058" s="10" t="s">
        <v>141</v>
      </c>
      <c r="C2058" s="10" t="s">
        <v>185</v>
      </c>
      <c r="D2058" s="10" t="s">
        <v>120</v>
      </c>
      <c r="E2058" t="str">
        <f>VLOOKUP(D2058,'Lista de Produtos CLASSIFICAÇÃO'!$A$103:$B$144,2,FALSE)</f>
        <v>Derivados</v>
      </c>
      <c r="F2058" s="53">
        <v>1076739</v>
      </c>
      <c r="G2058" s="56" t="str">
        <f>VLOOKUP(C2058,clientes!$C$3:$D$60,2,FALSE)</f>
        <v>CIAPETRO</v>
      </c>
    </row>
    <row r="2059" spans="1:7" x14ac:dyDescent="0.25">
      <c r="A2059" s="10">
        <v>2025</v>
      </c>
      <c r="B2059" s="10" t="s">
        <v>141</v>
      </c>
      <c r="C2059" s="10" t="s">
        <v>187</v>
      </c>
      <c r="D2059" s="10" t="s">
        <v>121</v>
      </c>
      <c r="E2059" t="str">
        <f>VLOOKUP(D2059,'Lista de Produtos CLASSIFICAÇÃO'!$A$103:$B$144,2,FALSE)</f>
        <v>Biocombustíveis</v>
      </c>
      <c r="F2059" s="53">
        <v>900000</v>
      </c>
      <c r="G2059" s="56" t="str">
        <f>VLOOKUP(C2059,clientes!$C$3:$D$60,2,FALSE)</f>
        <v>TEREOS / INPASA / GLENCORE / FS</v>
      </c>
    </row>
    <row r="2060" spans="1:7" x14ac:dyDescent="0.25">
      <c r="A2060" s="10">
        <v>2025</v>
      </c>
      <c r="B2060" s="10" t="s">
        <v>141</v>
      </c>
      <c r="C2060" s="10" t="s">
        <v>188</v>
      </c>
      <c r="D2060" s="10" t="s">
        <v>123</v>
      </c>
      <c r="E2060" t="str">
        <f>VLOOKUP(D2060,'Lista de Produtos CLASSIFICAÇÃO'!$A$103:$B$144,2,FALSE)</f>
        <v>Aquecidos</v>
      </c>
      <c r="F2060" s="53">
        <v>608544</v>
      </c>
      <c r="G2060" s="56" t="str">
        <f>VLOOKUP(C2060,clientes!$C$3:$D$60,2,FALSE)</f>
        <v>ARES MERCHANTS PTE LIMITE</v>
      </c>
    </row>
    <row r="2061" spans="1:7" x14ac:dyDescent="0.25">
      <c r="A2061" s="10">
        <v>2025</v>
      </c>
      <c r="B2061" s="10" t="s">
        <v>141</v>
      </c>
      <c r="C2061" s="10" t="s">
        <v>18</v>
      </c>
      <c r="D2061" s="10" t="s">
        <v>17</v>
      </c>
      <c r="E2061" t="str">
        <f>VLOOKUP(D2061,'Lista de Produtos CLASSIFICAÇÃO'!$A$103:$B$144,2,FALSE)</f>
        <v>Acostagem</v>
      </c>
      <c r="F2061" s="53">
        <v>473456.25</v>
      </c>
      <c r="G2061" s="56" t="str">
        <f>VLOOKUP(C2061,clientes!$C$3:$D$60,2,FALSE)</f>
        <v>ACOSTAGEM</v>
      </c>
    </row>
    <row r="2062" spans="1:7" x14ac:dyDescent="0.25">
      <c r="A2062" s="10">
        <v>2025</v>
      </c>
      <c r="B2062" s="10" t="s">
        <v>141</v>
      </c>
      <c r="C2062" s="10" t="s">
        <v>189</v>
      </c>
      <c r="D2062" t="s">
        <v>123</v>
      </c>
      <c r="E2062" t="str">
        <f>VLOOKUP(D2062,'Lista de Produtos CLASSIFICAÇÃO'!$A$103:$B$144,2,FALSE)</f>
        <v>Aquecidos</v>
      </c>
      <c r="F2062" s="53">
        <v>557826</v>
      </c>
      <c r="G2062" s="56" t="str">
        <f>VLOOKUP(C2062,clientes!$C$3:$D$60,2,FALSE)</f>
        <v>ICOF</v>
      </c>
    </row>
    <row r="2063" spans="1:7" x14ac:dyDescent="0.25">
      <c r="A2063" s="10">
        <v>2025</v>
      </c>
      <c r="B2063" s="10" t="s">
        <v>141</v>
      </c>
      <c r="C2063" s="10" t="s">
        <v>191</v>
      </c>
      <c r="D2063" t="s">
        <v>115</v>
      </c>
      <c r="E2063" t="str">
        <f>VLOOKUP(D2063,'Lista de Produtos CLASSIFICAÇÃO'!$A$103:$B$144,2,FALSE)</f>
        <v>Soda Caustica</v>
      </c>
      <c r="F2063" s="53">
        <v>136044</v>
      </c>
      <c r="G2063" s="56" t="str">
        <f>VLOOKUP(C2063,clientes!$C$3:$D$60,2,FALSE)</f>
        <v>GPC</v>
      </c>
    </row>
    <row r="2064" spans="1:7" x14ac:dyDescent="0.25">
      <c r="A2064" s="10">
        <v>2025</v>
      </c>
      <c r="B2064" s="10" t="s">
        <v>141</v>
      </c>
      <c r="C2064" s="10" t="s">
        <v>192</v>
      </c>
      <c r="D2064" s="10" t="s">
        <v>121</v>
      </c>
      <c r="E2064" t="str">
        <f>VLOOKUP(D2064,'Lista de Produtos CLASSIFICAÇÃO'!$A$103:$B$144,2,FALSE)</f>
        <v>Biocombustíveis</v>
      </c>
      <c r="F2064" s="53">
        <v>1548779</v>
      </c>
      <c r="G2064" s="56" t="str">
        <f>VLOOKUP(C2064,clientes!$C$3:$D$60,2,FALSE)</f>
        <v>INPASA</v>
      </c>
    </row>
    <row r="2065" spans="1:7" x14ac:dyDescent="0.25">
      <c r="A2065" s="10">
        <v>2025</v>
      </c>
      <c r="B2065" s="10" t="s">
        <v>142</v>
      </c>
      <c r="C2065" s="10" t="s">
        <v>155</v>
      </c>
      <c r="D2065" s="10" t="s">
        <v>16</v>
      </c>
      <c r="E2065" t="str">
        <f>VLOOKUP(D2065,'Lista de Produtos CLASSIFICAÇÃO'!$A$103:$B$144,2,FALSE)</f>
        <v>Outros</v>
      </c>
      <c r="F2065" s="53">
        <v>878484</v>
      </c>
      <c r="G2065" s="56" t="str">
        <f>VLOOKUP(C2065,clientes!$C$3:$D$60,2,FALSE)</f>
        <v>ADISSEO</v>
      </c>
    </row>
    <row r="2066" spans="1:7" x14ac:dyDescent="0.25">
      <c r="A2066" s="10">
        <v>2025</v>
      </c>
      <c r="B2066" s="10" t="s">
        <v>142</v>
      </c>
      <c r="C2066" s="10" t="s">
        <v>156</v>
      </c>
      <c r="D2066" s="10" t="s">
        <v>123</v>
      </c>
      <c r="E2066" t="str">
        <f>VLOOKUP(D2066,'Lista de Produtos CLASSIFICAÇÃO'!$A$103:$B$144,2,FALSE)</f>
        <v>Aquecidos</v>
      </c>
      <c r="F2066" s="53">
        <v>396917</v>
      </c>
      <c r="G2066" s="56" t="str">
        <f>VLOOKUP(C2066,clientes!$C$3:$D$60,2,FALSE)</f>
        <v>BUNGE</v>
      </c>
    </row>
    <row r="2067" spans="1:7" x14ac:dyDescent="0.25">
      <c r="A2067" s="10">
        <v>2025</v>
      </c>
      <c r="B2067" s="10" t="s">
        <v>142</v>
      </c>
      <c r="C2067" s="10" t="s">
        <v>157</v>
      </c>
      <c r="D2067" s="10" t="s">
        <v>122</v>
      </c>
      <c r="E2067" t="str">
        <f>VLOOKUP(D2067,'Lista de Produtos CLASSIFICAÇÃO'!$A$103:$B$144,2,FALSE)</f>
        <v>Óleo Vegetal</v>
      </c>
      <c r="F2067" s="53">
        <v>168574</v>
      </c>
      <c r="G2067" s="56" t="str">
        <f>VLOOKUP(C2067,clientes!$C$3:$D$60,2,FALSE)</f>
        <v>ADM</v>
      </c>
    </row>
    <row r="2068" spans="1:7" x14ac:dyDescent="0.25">
      <c r="A2068" s="10">
        <v>2025</v>
      </c>
      <c r="B2068" s="10" t="s">
        <v>142</v>
      </c>
      <c r="C2068" s="10" t="s">
        <v>158</v>
      </c>
      <c r="D2068" s="10" t="s">
        <v>120</v>
      </c>
      <c r="E2068" t="str">
        <f>VLOOKUP(D2068,'Lista de Produtos CLASSIFICAÇÃO'!$A$103:$B$144,2,FALSE)</f>
        <v>Derivados</v>
      </c>
      <c r="F2068" s="53">
        <v>5957914</v>
      </c>
      <c r="G2068" s="56" t="str">
        <f>VLOOKUP(C2068,clientes!$C$3:$D$60,2,FALSE)</f>
        <v>IPIRANGA</v>
      </c>
    </row>
    <row r="2069" spans="1:7" x14ac:dyDescent="0.25">
      <c r="A2069" s="10">
        <v>2025</v>
      </c>
      <c r="B2069" s="10" t="s">
        <v>142</v>
      </c>
      <c r="C2069" s="10" t="s">
        <v>159</v>
      </c>
      <c r="D2069" s="10" t="s">
        <v>120</v>
      </c>
      <c r="E2069" t="str">
        <f>VLOOKUP(D2069,'Lista de Produtos CLASSIFICAÇÃO'!$A$103:$B$144,2,FALSE)</f>
        <v>Derivados</v>
      </c>
      <c r="F2069" s="53">
        <v>3979329</v>
      </c>
      <c r="G2069" s="56" t="str">
        <f>VLOOKUP(C2069,clientes!$C$3:$D$60,2,FALSE)</f>
        <v>RAIZEN</v>
      </c>
    </row>
    <row r="2070" spans="1:7" x14ac:dyDescent="0.25">
      <c r="A2070" s="10">
        <v>2025</v>
      </c>
      <c r="B2070" s="10" t="s">
        <v>142</v>
      </c>
      <c r="C2070" s="10" t="s">
        <v>160</v>
      </c>
      <c r="D2070" s="10" t="s">
        <v>120</v>
      </c>
      <c r="E2070" t="str">
        <f>VLOOKUP(D2070,'Lista de Produtos CLASSIFICAÇÃO'!$A$103:$B$144,2,FALSE)</f>
        <v>Derivados</v>
      </c>
      <c r="F2070" s="53">
        <v>1971343</v>
      </c>
      <c r="G2070" s="56" t="str">
        <f>VLOOKUP(C2070,clientes!$C$3:$D$60,2,FALSE)</f>
        <v>VIBRA</v>
      </c>
    </row>
    <row r="2071" spans="1:7" x14ac:dyDescent="0.25">
      <c r="A2071" s="10">
        <v>2025</v>
      </c>
      <c r="B2071" s="10" t="s">
        <v>142</v>
      </c>
      <c r="C2071" s="10" t="s">
        <v>161</v>
      </c>
      <c r="D2071" s="10" t="s">
        <v>120</v>
      </c>
      <c r="E2071" t="str">
        <f>VLOOKUP(D2071,'Lista de Produtos CLASSIFICAÇÃO'!$A$103:$B$144,2,FALSE)</f>
        <v>Derivados</v>
      </c>
      <c r="F2071" s="53">
        <v>3059732</v>
      </c>
      <c r="G2071" s="56" t="str">
        <f>VLOOKUP(C2071,clientes!$C$3:$D$60,2,FALSE)</f>
        <v>SUL PLATA</v>
      </c>
    </row>
    <row r="2072" spans="1:7" x14ac:dyDescent="0.25">
      <c r="A2072" s="10">
        <v>2025</v>
      </c>
      <c r="B2072" s="10" t="s">
        <v>142</v>
      </c>
      <c r="C2072" s="10" t="s">
        <v>162</v>
      </c>
      <c r="D2072" s="10" t="s">
        <v>115</v>
      </c>
      <c r="E2072" t="str">
        <f>VLOOKUP(D2072,'Lista de Produtos CLASSIFICAÇÃO'!$A$103:$B$144,2,FALSE)</f>
        <v>Soda Caustica</v>
      </c>
      <c r="F2072" s="53">
        <v>255763</v>
      </c>
      <c r="G2072" s="56" t="str">
        <f>VLOOKUP(C2072,clientes!$C$3:$D$60,2,FALSE)</f>
        <v>JBS</v>
      </c>
    </row>
    <row r="2073" spans="1:7" x14ac:dyDescent="0.25">
      <c r="A2073" s="10">
        <v>2025</v>
      </c>
      <c r="B2073" s="10" t="s">
        <v>142</v>
      </c>
      <c r="C2073" s="10" t="s">
        <v>163</v>
      </c>
      <c r="D2073" t="s">
        <v>115</v>
      </c>
      <c r="E2073" t="str">
        <f>VLOOKUP(D2073,'Lista de Produtos CLASSIFICAÇÃO'!$A$103:$B$144,2,FALSE)</f>
        <v>Soda Caustica</v>
      </c>
      <c r="F2073" s="53">
        <v>406299</v>
      </c>
      <c r="G2073" s="56" t="str">
        <f>VLOOKUP(C2073,clientes!$C$3:$D$60,2,FALSE)</f>
        <v>TRICON ENERGY</v>
      </c>
    </row>
    <row r="2074" spans="1:7" x14ac:dyDescent="0.25">
      <c r="A2074" s="10">
        <v>2025</v>
      </c>
      <c r="B2074" s="10" t="s">
        <v>142</v>
      </c>
      <c r="C2074" s="10" t="s">
        <v>164</v>
      </c>
      <c r="D2074" t="s">
        <v>115</v>
      </c>
      <c r="E2074" t="str">
        <f>VLOOKUP(D2074,'Lista de Produtos CLASSIFICAÇÃO'!$A$103:$B$144,2,FALSE)</f>
        <v>Soda Caustica</v>
      </c>
      <c r="F2074" s="53">
        <v>220436</v>
      </c>
      <c r="G2074" s="56" t="str">
        <f>VLOOKUP(C2074,clientes!$C$3:$D$60,2,FALSE)</f>
        <v>BRASKEM</v>
      </c>
    </row>
    <row r="2075" spans="1:7" x14ac:dyDescent="0.25">
      <c r="A2075" s="10">
        <v>2025</v>
      </c>
      <c r="B2075" s="10" t="s">
        <v>142</v>
      </c>
      <c r="C2075" s="10" t="s">
        <v>165</v>
      </c>
      <c r="D2075" s="10" t="s">
        <v>123</v>
      </c>
      <c r="E2075" t="str">
        <f>VLOOKUP(D2075,'Lista de Produtos CLASSIFICAÇÃO'!$A$103:$B$144,2,FALSE)</f>
        <v>Aquecidos</v>
      </c>
      <c r="F2075" s="53">
        <v>1030619</v>
      </c>
      <c r="G2075" s="56" t="str">
        <f>VLOOKUP(C2075,clientes!$C$3:$D$60,2,FALSE)</f>
        <v>BRF</v>
      </c>
    </row>
    <row r="2076" spans="1:7" x14ac:dyDescent="0.25">
      <c r="A2076" s="10">
        <v>2025</v>
      </c>
      <c r="B2076" s="10" t="s">
        <v>142</v>
      </c>
      <c r="C2076" s="10" t="s">
        <v>162</v>
      </c>
      <c r="D2076" s="10" t="s">
        <v>123</v>
      </c>
      <c r="E2076" t="str">
        <f>VLOOKUP(D2076,'Lista de Produtos CLASSIFICAÇÃO'!$A$103:$B$144,2,FALSE)</f>
        <v>Aquecidos</v>
      </c>
      <c r="F2076" s="53">
        <v>597348</v>
      </c>
      <c r="G2076" s="56" t="str">
        <f>VLOOKUP(C2076,clientes!$C$3:$D$60,2,FALSE)</f>
        <v>JBS</v>
      </c>
    </row>
    <row r="2077" spans="1:7" x14ac:dyDescent="0.25">
      <c r="A2077" s="10">
        <v>2025</v>
      </c>
      <c r="B2077" s="10" t="s">
        <v>142</v>
      </c>
      <c r="C2077" s="10" t="s">
        <v>166</v>
      </c>
      <c r="D2077" s="10" t="s">
        <v>123</v>
      </c>
      <c r="E2077" t="str">
        <f>VLOOKUP(D2077,'Lista de Produtos CLASSIFICAÇÃO'!$A$103:$B$144,2,FALSE)</f>
        <v>Aquecidos</v>
      </c>
      <c r="F2077" s="53">
        <v>537650</v>
      </c>
      <c r="G2077" s="56" t="str">
        <f>VLOOKUP(C2077,clientes!$C$3:$D$60,2,FALSE)</f>
        <v>CARGILL</v>
      </c>
    </row>
    <row r="2078" spans="1:7" x14ac:dyDescent="0.25">
      <c r="A2078" s="10">
        <v>2025</v>
      </c>
      <c r="B2078" s="10" t="s">
        <v>142</v>
      </c>
      <c r="C2078" s="10" t="s">
        <v>167</v>
      </c>
      <c r="D2078" s="10" t="s">
        <v>122</v>
      </c>
      <c r="E2078" t="str">
        <f>VLOOKUP(D2078,'Lista de Produtos CLASSIFICAÇÃO'!$A$103:$B$144,2,FALSE)</f>
        <v>Óleo Vegetal</v>
      </c>
      <c r="F2078" s="53">
        <v>1052407</v>
      </c>
      <c r="G2078" s="56" t="str">
        <f>VLOOKUP(C2078,clientes!$C$3:$D$60,2,FALSE)</f>
        <v>POOL</v>
      </c>
    </row>
    <row r="2079" spans="1:7" x14ac:dyDescent="0.25">
      <c r="A2079" s="10">
        <v>2025</v>
      </c>
      <c r="B2079" s="10" t="s">
        <v>142</v>
      </c>
      <c r="C2079" s="10" t="s">
        <v>168</v>
      </c>
      <c r="D2079" s="10" t="s">
        <v>122</v>
      </c>
      <c r="E2079" t="str">
        <f>VLOOKUP(D2079,'Lista de Produtos CLASSIFICAÇÃO'!$A$103:$B$144,2,FALSE)</f>
        <v>Óleo Vegetal</v>
      </c>
      <c r="F2079" s="53">
        <v>86043</v>
      </c>
      <c r="G2079" s="56" t="str">
        <f>VLOOKUP(C2079,clientes!$C$3:$D$60,2,FALSE)</f>
        <v>POOL EXCEDENTE</v>
      </c>
    </row>
    <row r="2080" spans="1:7" x14ac:dyDescent="0.25">
      <c r="A2080" s="10">
        <v>2025</v>
      </c>
      <c r="B2080" s="10" t="s">
        <v>142</v>
      </c>
      <c r="C2080" s="10" t="s">
        <v>169</v>
      </c>
      <c r="D2080" s="10" t="s">
        <v>22</v>
      </c>
      <c r="E2080" t="str">
        <f>VLOOKUP(D2080,'Lista de Produtos CLASSIFICAÇÃO'!$A$103:$B$144,2,FALSE)</f>
        <v>Metanol</v>
      </c>
      <c r="F2080" s="53">
        <v>7893225</v>
      </c>
      <c r="G2080" s="56" t="str">
        <f>VLOOKUP(C2080,clientes!$C$3:$D$60,2,FALSE)</f>
        <v>METHANEX</v>
      </c>
    </row>
    <row r="2081" spans="1:7" x14ac:dyDescent="0.25">
      <c r="A2081" s="10">
        <v>2025</v>
      </c>
      <c r="B2081" s="10" t="s">
        <v>142</v>
      </c>
      <c r="C2081" s="10" t="s">
        <v>170</v>
      </c>
      <c r="D2081" s="10" t="s">
        <v>22</v>
      </c>
      <c r="E2081" t="str">
        <f>VLOOKUP(D2081,'Lista de Produtos CLASSIFICAÇÃO'!$A$103:$B$144,2,FALSE)</f>
        <v>Metanol</v>
      </c>
      <c r="F2081" s="53">
        <v>5054137</v>
      </c>
      <c r="G2081" s="56" t="str">
        <f>VLOOKUP(C2081,clientes!$C$3:$D$60,2,FALSE)</f>
        <v>MITSUBISHI</v>
      </c>
    </row>
    <row r="2082" spans="1:7" x14ac:dyDescent="0.25">
      <c r="A2082" s="10">
        <v>2025</v>
      </c>
      <c r="B2082" s="10" t="s">
        <v>142</v>
      </c>
      <c r="C2082" s="10" t="s">
        <v>171</v>
      </c>
      <c r="D2082" s="10" t="s">
        <v>22</v>
      </c>
      <c r="E2082" t="str">
        <f>VLOOKUP(D2082,'Lista de Produtos CLASSIFICAÇÃO'!$A$103:$B$144,2,FALSE)</f>
        <v>Metanol</v>
      </c>
      <c r="F2082" s="53">
        <v>6057428</v>
      </c>
      <c r="G2082" s="56" t="str">
        <f>VLOOKUP(C2082,clientes!$C$3:$D$60,2,FALSE)</f>
        <v>VALENZ</v>
      </c>
    </row>
    <row r="2083" spans="1:7" x14ac:dyDescent="0.25">
      <c r="A2083" s="10">
        <v>2025</v>
      </c>
      <c r="B2083" s="10" t="s">
        <v>142</v>
      </c>
      <c r="C2083" s="10" t="s">
        <v>172</v>
      </c>
      <c r="D2083" s="10" t="s">
        <v>124</v>
      </c>
      <c r="E2083" t="str">
        <f>VLOOKUP(D2083,'Lista de Produtos CLASSIFICAÇÃO'!$A$103:$B$144,2,FALSE)</f>
        <v>Outros</v>
      </c>
      <c r="F2083" s="53">
        <v>439941</v>
      </c>
      <c r="G2083" s="56" t="str">
        <f>VLOOKUP(C2083,clientes!$C$3:$D$60,2,FALSE)</f>
        <v>EVONIK</v>
      </c>
    </row>
    <row r="2084" spans="1:7" x14ac:dyDescent="0.25">
      <c r="A2084" s="10">
        <v>2025</v>
      </c>
      <c r="B2084" s="10" t="s">
        <v>142</v>
      </c>
      <c r="C2084" s="10" t="s">
        <v>186</v>
      </c>
      <c r="D2084" s="10" t="s">
        <v>22</v>
      </c>
      <c r="E2084" t="str">
        <f>VLOOKUP(D2084,'Lista de Produtos CLASSIFICAÇÃO'!$A$103:$B$144,2,FALSE)</f>
        <v>Metanol</v>
      </c>
      <c r="F2084" s="53">
        <v>546830</v>
      </c>
      <c r="G2084" s="56" t="str">
        <f>VLOOKUP(C2084,clientes!$C$3:$D$60,2,FALSE)</f>
        <v>OQ TRADING</v>
      </c>
    </row>
    <row r="2085" spans="1:7" x14ac:dyDescent="0.25">
      <c r="A2085" s="10">
        <v>2025</v>
      </c>
      <c r="B2085" s="10" t="s">
        <v>142</v>
      </c>
      <c r="C2085" s="10" t="s">
        <v>174</v>
      </c>
      <c r="D2085" s="10" t="s">
        <v>123</v>
      </c>
      <c r="E2085" t="str">
        <f>VLOOKUP(D2085,'Lista de Produtos CLASSIFICAÇÃO'!$A$103:$B$144,2,FALSE)</f>
        <v>Aquecidos</v>
      </c>
      <c r="F2085" s="53">
        <v>2000426</v>
      </c>
      <c r="G2085" s="56" t="str">
        <f>VLOOKUP(C2085,clientes!$C$3:$D$60,2,FALSE)</f>
        <v>CELENA</v>
      </c>
    </row>
    <row r="2086" spans="1:7" x14ac:dyDescent="0.25">
      <c r="A2086" s="10">
        <v>2025</v>
      </c>
      <c r="B2086" s="10" t="s">
        <v>142</v>
      </c>
      <c r="C2086" s="10" t="s">
        <v>175</v>
      </c>
      <c r="D2086" s="10" t="s">
        <v>123</v>
      </c>
      <c r="E2086" t="str">
        <f>VLOOKUP(D2086,'Lista de Produtos CLASSIFICAÇÃO'!$A$103:$B$144,2,FALSE)</f>
        <v>Aquecidos</v>
      </c>
      <c r="F2086" s="53">
        <v>846373</v>
      </c>
      <c r="G2086" s="56" t="str">
        <f>VLOOKUP(C2086,clientes!$C$3:$D$60,2,FALSE)</f>
        <v>AAK DO BRASIL</v>
      </c>
    </row>
    <row r="2087" spans="1:7" x14ac:dyDescent="0.25">
      <c r="A2087" s="10">
        <v>2025</v>
      </c>
      <c r="B2087" s="10" t="s">
        <v>142</v>
      </c>
      <c r="C2087" s="10" t="s">
        <v>166</v>
      </c>
      <c r="D2087" s="10" t="s">
        <v>122</v>
      </c>
      <c r="E2087" t="str">
        <f>VLOOKUP(D2087,'Lista de Produtos CLASSIFICAÇÃO'!$A$103:$B$144,2,FALSE)</f>
        <v>Óleo Vegetal</v>
      </c>
      <c r="F2087" s="53">
        <v>208762</v>
      </c>
      <c r="G2087" s="56" t="str">
        <f>VLOOKUP(C2087,clientes!$C$3:$D$60,2,FALSE)</f>
        <v>CARGILL</v>
      </c>
    </row>
    <row r="2088" spans="1:7" x14ac:dyDescent="0.25">
      <c r="A2088" s="10">
        <v>2025</v>
      </c>
      <c r="B2088" s="10" t="s">
        <v>142</v>
      </c>
      <c r="C2088" s="10" t="s">
        <v>176</v>
      </c>
      <c r="D2088" s="10" t="s">
        <v>123</v>
      </c>
      <c r="E2088" t="str">
        <f>VLOOKUP(D2088,'Lista de Produtos CLASSIFICAÇÃO'!$A$103:$B$144,2,FALSE)</f>
        <v>Aquecidos</v>
      </c>
      <c r="F2088" s="53">
        <v>466210</v>
      </c>
      <c r="G2088" s="56" t="str">
        <f>VLOOKUP(C2088,clientes!$C$3:$D$60,2,FALSE)</f>
        <v>AGROPALMA</v>
      </c>
    </row>
    <row r="2089" spans="1:7" x14ac:dyDescent="0.25">
      <c r="A2089" s="10">
        <v>2025</v>
      </c>
      <c r="B2089" s="10" t="s">
        <v>142</v>
      </c>
      <c r="C2089" s="10" t="s">
        <v>177</v>
      </c>
      <c r="D2089" s="10" t="s">
        <v>115</v>
      </c>
      <c r="E2089" t="str">
        <f>VLOOKUP(D2089,'Lista de Produtos CLASSIFICAÇÃO'!$A$103:$B$144,2,FALSE)</f>
        <v>Soda Caustica</v>
      </c>
      <c r="F2089" s="53">
        <v>306345</v>
      </c>
      <c r="G2089" s="56" t="str">
        <f>VLOOKUP(C2089,clientes!$C$3:$D$60,2,FALSE)</f>
        <v>BRENNTAG</v>
      </c>
    </row>
    <row r="2090" spans="1:7" x14ac:dyDescent="0.25">
      <c r="A2090" s="10">
        <v>2025</v>
      </c>
      <c r="B2090" s="10" t="s">
        <v>142</v>
      </c>
      <c r="C2090" s="10" t="s">
        <v>178</v>
      </c>
      <c r="D2090" s="10" t="s">
        <v>115</v>
      </c>
      <c r="E2090" t="str">
        <f>VLOOKUP(D2090,'Lista de Produtos CLASSIFICAÇÃO'!$A$103:$B$144,2,FALSE)</f>
        <v>Soda Caustica</v>
      </c>
      <c r="F2090" s="53">
        <v>1779629</v>
      </c>
      <c r="G2090" s="56" t="str">
        <f>VLOOKUP(C2090,clientes!$C$3:$D$60,2,FALSE)</f>
        <v>OLIN BLUE CUBE</v>
      </c>
    </row>
    <row r="2091" spans="1:7" x14ac:dyDescent="0.25">
      <c r="A2091" s="10">
        <v>2025</v>
      </c>
      <c r="B2091" s="10" t="s">
        <v>142</v>
      </c>
      <c r="C2091" s="10" t="s">
        <v>179</v>
      </c>
      <c r="D2091" s="10" t="s">
        <v>26</v>
      </c>
      <c r="E2091" t="str">
        <f>VLOOKUP(D2091,'Lista de Produtos CLASSIFICAÇÃO'!$A$103:$B$144,2,FALSE)</f>
        <v>Biocombustíveis</v>
      </c>
      <c r="F2091" s="53">
        <v>437969</v>
      </c>
      <c r="G2091" s="56" t="str">
        <f>VLOOKUP(C2091,clientes!$C$3:$D$60,2,FALSE)</f>
        <v>BSBIOS</v>
      </c>
    </row>
    <row r="2092" spans="1:7" x14ac:dyDescent="0.25">
      <c r="A2092" s="10">
        <v>2025</v>
      </c>
      <c r="B2092" s="10" t="s">
        <v>142</v>
      </c>
      <c r="C2092" s="10" t="s">
        <v>181</v>
      </c>
      <c r="D2092" s="10" t="s">
        <v>123</v>
      </c>
      <c r="E2092" t="str">
        <f>VLOOKUP(D2092,'Lista de Produtos CLASSIFICAÇÃO'!$A$103:$B$144,2,FALSE)</f>
        <v>Aquecidos</v>
      </c>
      <c r="F2092" s="53">
        <v>208225</v>
      </c>
      <c r="G2092" s="56" t="str">
        <f>VLOOKUP(C2092,clientes!$C$3:$D$60,2,FALSE)</f>
        <v>COAMO</v>
      </c>
    </row>
    <row r="2093" spans="1:7" x14ac:dyDescent="0.25">
      <c r="A2093" s="10">
        <v>2025</v>
      </c>
      <c r="B2093" s="10" t="s">
        <v>142</v>
      </c>
      <c r="C2093" s="10" t="s">
        <v>182</v>
      </c>
      <c r="D2093" s="10" t="s">
        <v>120</v>
      </c>
      <c r="E2093" t="str">
        <f>VLOOKUP(D2093,'Lista de Produtos CLASSIFICAÇÃO'!$A$103:$B$144,2,FALSE)</f>
        <v>Derivados</v>
      </c>
      <c r="F2093" s="53">
        <v>1147677</v>
      </c>
      <c r="G2093" s="56" t="str">
        <f>VLOOKUP(C2093,clientes!$C$3:$D$60,2,FALSE)</f>
        <v>ATEM</v>
      </c>
    </row>
    <row r="2094" spans="1:7" x14ac:dyDescent="0.25">
      <c r="A2094" s="10">
        <v>2025</v>
      </c>
      <c r="B2094" s="10" t="s">
        <v>142</v>
      </c>
      <c r="C2094" s="10" t="s">
        <v>184</v>
      </c>
      <c r="D2094" s="10" t="s">
        <v>122</v>
      </c>
      <c r="E2094" t="str">
        <f>VLOOKUP(D2094,'Lista de Produtos CLASSIFICAÇÃO'!$A$103:$B$144,2,FALSE)</f>
        <v>Óleo Vegetal</v>
      </c>
      <c r="F2094" s="53">
        <v>230660</v>
      </c>
      <c r="G2094" s="56" t="str">
        <f>VLOOKUP(C2094,clientes!$C$3:$D$60,2,FALSE)</f>
        <v>INGREDION</v>
      </c>
    </row>
    <row r="2095" spans="1:7" x14ac:dyDescent="0.25">
      <c r="A2095" s="10">
        <v>2025</v>
      </c>
      <c r="B2095" s="10" t="s">
        <v>142</v>
      </c>
      <c r="C2095" s="10" t="s">
        <v>185</v>
      </c>
      <c r="D2095" s="10" t="s">
        <v>120</v>
      </c>
      <c r="E2095" t="str">
        <f>VLOOKUP(D2095,'Lista de Produtos CLASSIFICAÇÃO'!$A$103:$B$144,2,FALSE)</f>
        <v>Derivados</v>
      </c>
      <c r="F2095" s="53">
        <v>1076739</v>
      </c>
      <c r="G2095" s="56" t="str">
        <f>VLOOKUP(C2095,clientes!$C$3:$D$60,2,FALSE)</f>
        <v>CIAPETRO</v>
      </c>
    </row>
    <row r="2096" spans="1:7" x14ac:dyDescent="0.25">
      <c r="A2096" s="10">
        <v>2025</v>
      </c>
      <c r="B2096" s="10" t="s">
        <v>142</v>
      </c>
      <c r="C2096" s="10" t="s">
        <v>187</v>
      </c>
      <c r="D2096" s="10" t="s">
        <v>121</v>
      </c>
      <c r="E2096" t="str">
        <f>VLOOKUP(D2096,'Lista de Produtos CLASSIFICAÇÃO'!$A$103:$B$144,2,FALSE)</f>
        <v>Biocombustíveis</v>
      </c>
      <c r="F2096" s="53">
        <v>900000</v>
      </c>
      <c r="G2096" s="56" t="str">
        <f>VLOOKUP(C2096,clientes!$C$3:$D$60,2,FALSE)</f>
        <v>TEREOS / INPASA / GLENCORE / FS</v>
      </c>
    </row>
    <row r="2097" spans="1:7" x14ac:dyDescent="0.25">
      <c r="A2097" s="10">
        <v>2025</v>
      </c>
      <c r="B2097" s="10" t="s">
        <v>142</v>
      </c>
      <c r="C2097" s="10" t="s">
        <v>188</v>
      </c>
      <c r="D2097" s="10" t="s">
        <v>123</v>
      </c>
      <c r="E2097" t="str">
        <f>VLOOKUP(D2097,'Lista de Produtos CLASSIFICAÇÃO'!$A$103:$B$144,2,FALSE)</f>
        <v>Aquecidos</v>
      </c>
      <c r="F2097" s="53">
        <v>608544</v>
      </c>
      <c r="G2097" s="56" t="str">
        <f>VLOOKUP(C2097,clientes!$C$3:$D$60,2,FALSE)</f>
        <v>ARES MERCHANTS PTE LIMITE</v>
      </c>
    </row>
    <row r="2098" spans="1:7" x14ac:dyDescent="0.25">
      <c r="A2098" s="10">
        <v>2025</v>
      </c>
      <c r="B2098" s="10" t="s">
        <v>142</v>
      </c>
      <c r="C2098" s="10" t="s">
        <v>18</v>
      </c>
      <c r="D2098" s="10" t="s">
        <v>17</v>
      </c>
      <c r="E2098" t="str">
        <f>VLOOKUP(D2098,'Lista de Produtos CLASSIFICAÇÃO'!$A$103:$B$144,2,FALSE)</f>
        <v>Acostagem</v>
      </c>
      <c r="F2098" s="53">
        <v>449611.25</v>
      </c>
      <c r="G2098" s="56" t="str">
        <f>VLOOKUP(C2098,clientes!$C$3:$D$60,2,FALSE)</f>
        <v>ACOSTAGEM</v>
      </c>
    </row>
    <row r="2099" spans="1:7" x14ac:dyDescent="0.25">
      <c r="A2099" s="10">
        <v>2025</v>
      </c>
      <c r="B2099" s="10" t="s">
        <v>142</v>
      </c>
      <c r="C2099" s="10" t="s">
        <v>189</v>
      </c>
      <c r="D2099" t="s">
        <v>123</v>
      </c>
      <c r="E2099" t="str">
        <f>VLOOKUP(D2099,'Lista de Produtos CLASSIFICAÇÃO'!$A$103:$B$144,2,FALSE)</f>
        <v>Aquecidos</v>
      </c>
      <c r="F2099" s="53">
        <v>557826</v>
      </c>
      <c r="G2099" s="56" t="str">
        <f>VLOOKUP(C2099,clientes!$C$3:$D$60,2,FALSE)</f>
        <v>ICOF</v>
      </c>
    </row>
    <row r="2100" spans="1:7" x14ac:dyDescent="0.25">
      <c r="A2100" s="10">
        <v>2025</v>
      </c>
      <c r="B2100" s="10" t="s">
        <v>142</v>
      </c>
      <c r="C2100" s="10" t="s">
        <v>191</v>
      </c>
      <c r="D2100" t="s">
        <v>115</v>
      </c>
      <c r="E2100" t="str">
        <f>VLOOKUP(D2100,'Lista de Produtos CLASSIFICAÇÃO'!$A$103:$B$144,2,FALSE)</f>
        <v>Soda Caustica</v>
      </c>
      <c r="F2100" s="53">
        <v>158585</v>
      </c>
      <c r="G2100" s="56" t="str">
        <f>VLOOKUP(C2100,clientes!$C$3:$D$60,2,FALSE)</f>
        <v>GPC</v>
      </c>
    </row>
    <row r="2101" spans="1:7" x14ac:dyDescent="0.25">
      <c r="A2101" s="10">
        <v>2025</v>
      </c>
      <c r="B2101" s="10" t="s">
        <v>142</v>
      </c>
      <c r="C2101" s="10" t="s">
        <v>192</v>
      </c>
      <c r="D2101" s="10" t="s">
        <v>121</v>
      </c>
      <c r="E2101" t="str">
        <f>VLOOKUP(D2101,'Lista de Produtos CLASSIFICAÇÃO'!$A$103:$B$144,2,FALSE)</f>
        <v>Biocombustíveis</v>
      </c>
      <c r="F2101" s="53">
        <v>1548779</v>
      </c>
      <c r="G2101" s="56" t="str">
        <f>VLOOKUP(C2101,clientes!$C$3:$D$60,2,FALSE)</f>
        <v>INPASA</v>
      </c>
    </row>
    <row r="2102" spans="1:7" x14ac:dyDescent="0.25">
      <c r="A2102">
        <v>2026</v>
      </c>
      <c r="B2102" t="s">
        <v>143</v>
      </c>
      <c r="C2102" t="s">
        <v>155</v>
      </c>
      <c r="D2102" t="s">
        <v>16</v>
      </c>
      <c r="E2102" t="str">
        <f>VLOOKUP(D2102,'Lista de Produtos CLASSIFICAÇÃO'!$A$103:$B$144,2,FALSE)</f>
        <v>Outros</v>
      </c>
      <c r="F2102" s="62">
        <v>1081091</v>
      </c>
      <c r="G2102" s="56" t="str">
        <f>VLOOKUP(C2102,clientes!$C$3:$D$60,2,FALSE)</f>
        <v>ADISSEO</v>
      </c>
    </row>
    <row r="2103" spans="1:7" x14ac:dyDescent="0.25">
      <c r="A2103">
        <v>2026</v>
      </c>
      <c r="B2103" t="s">
        <v>132</v>
      </c>
      <c r="C2103" t="s">
        <v>155</v>
      </c>
      <c r="D2103" t="s">
        <v>16</v>
      </c>
      <c r="E2103" t="str">
        <f>VLOOKUP(D2103,'Lista de Produtos CLASSIFICAÇÃO'!$A$103:$B$144,2,FALSE)</f>
        <v>Outros</v>
      </c>
      <c r="F2103" s="62">
        <v>1081091</v>
      </c>
      <c r="G2103" s="56" t="str">
        <f>VLOOKUP(C2103,clientes!$C$3:$D$60,2,FALSE)</f>
        <v>ADISSEO</v>
      </c>
    </row>
    <row r="2104" spans="1:7" x14ac:dyDescent="0.25">
      <c r="A2104">
        <v>2026</v>
      </c>
      <c r="B2104" t="s">
        <v>133</v>
      </c>
      <c r="C2104" t="s">
        <v>155</v>
      </c>
      <c r="D2104" t="s">
        <v>16</v>
      </c>
      <c r="E2104" t="str">
        <f>VLOOKUP(D2104,'Lista de Produtos CLASSIFICAÇÃO'!$A$103:$B$144,2,FALSE)</f>
        <v>Outros</v>
      </c>
      <c r="F2104" s="62">
        <v>1081091</v>
      </c>
      <c r="G2104" s="56" t="str">
        <f>VLOOKUP(C2104,clientes!$C$3:$D$60,2,FALSE)</f>
        <v>ADISSEO</v>
      </c>
    </row>
    <row r="2105" spans="1:7" x14ac:dyDescent="0.25">
      <c r="A2105">
        <v>2026</v>
      </c>
      <c r="B2105" t="s">
        <v>134</v>
      </c>
      <c r="C2105" t="s">
        <v>155</v>
      </c>
      <c r="D2105" t="s">
        <v>16</v>
      </c>
      <c r="E2105" t="str">
        <f>VLOOKUP(D2105,'Lista de Produtos CLASSIFICAÇÃO'!$A$103:$B$144,2,FALSE)</f>
        <v>Outros</v>
      </c>
      <c r="F2105" s="62">
        <v>1081091</v>
      </c>
      <c r="G2105" s="56" t="str">
        <f>VLOOKUP(C2105,clientes!$C$3:$D$60,2,FALSE)</f>
        <v>ADISSEO</v>
      </c>
    </row>
    <row r="2106" spans="1:7" x14ac:dyDescent="0.25">
      <c r="A2106">
        <v>2026</v>
      </c>
      <c r="B2106" t="s">
        <v>135</v>
      </c>
      <c r="C2106" t="s">
        <v>155</v>
      </c>
      <c r="D2106" t="s">
        <v>16</v>
      </c>
      <c r="E2106" t="str">
        <f>VLOOKUP(D2106,'Lista de Produtos CLASSIFICAÇÃO'!$A$103:$B$144,2,FALSE)</f>
        <v>Outros</v>
      </c>
      <c r="F2106" s="62">
        <v>1081091</v>
      </c>
      <c r="G2106" s="56" t="str">
        <f>VLOOKUP(C2106,clientes!$C$3:$D$60,2,FALSE)</f>
        <v>ADISSEO</v>
      </c>
    </row>
    <row r="2107" spans="1:7" x14ac:dyDescent="0.25">
      <c r="A2107">
        <v>2026</v>
      </c>
      <c r="B2107" t="s">
        <v>136</v>
      </c>
      <c r="C2107" t="s">
        <v>155</v>
      </c>
      <c r="D2107" t="s">
        <v>16</v>
      </c>
      <c r="E2107" t="str">
        <f>VLOOKUP(D2107,'Lista de Produtos CLASSIFICAÇÃO'!$A$103:$B$144,2,FALSE)</f>
        <v>Outros</v>
      </c>
      <c r="F2107" s="62">
        <v>1081091</v>
      </c>
      <c r="G2107" s="56" t="str">
        <f>VLOOKUP(C2107,clientes!$C$3:$D$60,2,FALSE)</f>
        <v>ADISSEO</v>
      </c>
    </row>
    <row r="2108" spans="1:7" x14ac:dyDescent="0.25">
      <c r="A2108">
        <v>2026</v>
      </c>
      <c r="B2108" t="s">
        <v>137</v>
      </c>
      <c r="C2108" t="s">
        <v>155</v>
      </c>
      <c r="D2108" t="s">
        <v>16</v>
      </c>
      <c r="E2108" t="str">
        <f>VLOOKUP(D2108,'Lista de Produtos CLASSIFICAÇÃO'!$A$103:$B$144,2,FALSE)</f>
        <v>Outros</v>
      </c>
      <c r="F2108" s="62">
        <v>1081091</v>
      </c>
      <c r="G2108" s="56" t="str">
        <f>VLOOKUP(C2108,clientes!$C$3:$D$60,2,FALSE)</f>
        <v>ADISSEO</v>
      </c>
    </row>
    <row r="2109" spans="1:7" x14ac:dyDescent="0.25">
      <c r="A2109">
        <v>2026</v>
      </c>
      <c r="B2109" t="s">
        <v>138</v>
      </c>
      <c r="C2109" t="s">
        <v>155</v>
      </c>
      <c r="D2109" t="s">
        <v>16</v>
      </c>
      <c r="E2109" t="str">
        <f>VLOOKUP(D2109,'Lista de Produtos CLASSIFICAÇÃO'!$A$103:$B$144,2,FALSE)</f>
        <v>Outros</v>
      </c>
      <c r="F2109" s="62">
        <v>1081091</v>
      </c>
      <c r="G2109" s="56" t="str">
        <f>VLOOKUP(C2109,clientes!$C$3:$D$60,2,FALSE)</f>
        <v>ADISSEO</v>
      </c>
    </row>
    <row r="2110" spans="1:7" x14ac:dyDescent="0.25">
      <c r="A2110">
        <v>2026</v>
      </c>
      <c r="B2110" t="s">
        <v>139</v>
      </c>
      <c r="C2110" t="s">
        <v>155</v>
      </c>
      <c r="D2110" t="s">
        <v>16</v>
      </c>
      <c r="E2110" t="str">
        <f>VLOOKUP(D2110,'Lista de Produtos CLASSIFICAÇÃO'!$A$103:$B$144,2,FALSE)</f>
        <v>Outros</v>
      </c>
      <c r="F2110" s="62">
        <v>1081091</v>
      </c>
      <c r="G2110" s="56" t="str">
        <f>VLOOKUP(C2110,clientes!$C$3:$D$60,2,FALSE)</f>
        <v>ADISSEO</v>
      </c>
    </row>
    <row r="2111" spans="1:7" x14ac:dyDescent="0.25">
      <c r="A2111">
        <v>2026</v>
      </c>
      <c r="B2111" t="s">
        <v>140</v>
      </c>
      <c r="C2111" t="s">
        <v>155</v>
      </c>
      <c r="D2111" t="s">
        <v>16</v>
      </c>
      <c r="E2111" t="str">
        <f>VLOOKUP(D2111,'Lista de Produtos CLASSIFICAÇÃO'!$A$103:$B$144,2,FALSE)</f>
        <v>Outros</v>
      </c>
      <c r="F2111" s="62">
        <v>1081091</v>
      </c>
      <c r="G2111" s="56" t="str">
        <f>VLOOKUP(C2111,clientes!$C$3:$D$60,2,FALSE)</f>
        <v>ADISSEO</v>
      </c>
    </row>
    <row r="2112" spans="1:7" x14ac:dyDescent="0.25">
      <c r="A2112">
        <v>2026</v>
      </c>
      <c r="B2112" t="s">
        <v>141</v>
      </c>
      <c r="C2112" t="s">
        <v>155</v>
      </c>
      <c r="D2112" t="s">
        <v>16</v>
      </c>
      <c r="E2112" t="str">
        <f>VLOOKUP(D2112,'Lista de Produtos CLASSIFICAÇÃO'!$A$103:$B$144,2,FALSE)</f>
        <v>Outros</v>
      </c>
      <c r="F2112" s="62">
        <v>1081091</v>
      </c>
      <c r="G2112" s="56" t="str">
        <f>VLOOKUP(C2112,clientes!$C$3:$D$60,2,FALSE)</f>
        <v>ADISSEO</v>
      </c>
    </row>
    <row r="2113" spans="1:7" x14ac:dyDescent="0.25">
      <c r="A2113">
        <v>2026</v>
      </c>
      <c r="B2113" t="s">
        <v>142</v>
      </c>
      <c r="C2113" t="s">
        <v>155</v>
      </c>
      <c r="D2113" t="s">
        <v>16</v>
      </c>
      <c r="E2113" t="str">
        <f>VLOOKUP(D2113,'Lista de Produtos CLASSIFICAÇÃO'!$A$103:$B$144,2,FALSE)</f>
        <v>Outros</v>
      </c>
      <c r="F2113" s="62">
        <v>1081091</v>
      </c>
      <c r="G2113" s="56" t="str">
        <f>VLOOKUP(C2113,clientes!$C$3:$D$60,2,FALSE)</f>
        <v>ADISSEO</v>
      </c>
    </row>
    <row r="2114" spans="1:7" x14ac:dyDescent="0.25">
      <c r="A2114">
        <v>2026</v>
      </c>
      <c r="B2114" t="s">
        <v>143</v>
      </c>
      <c r="C2114" t="s">
        <v>156</v>
      </c>
      <c r="D2114" t="s">
        <v>123</v>
      </c>
      <c r="E2114" t="str">
        <f>VLOOKUP(D2114,'Lista de Produtos CLASSIFICAÇÃO'!$A$103:$B$144,2,FALSE)</f>
        <v>Aquecidos</v>
      </c>
      <c r="F2114" s="62">
        <v>436744</v>
      </c>
      <c r="G2114" s="56" t="str">
        <f>VLOOKUP(C2114,clientes!$C$3:$D$60,2,FALSE)</f>
        <v>BUNGE</v>
      </c>
    </row>
    <row r="2115" spans="1:7" x14ac:dyDescent="0.25">
      <c r="A2115">
        <v>2026</v>
      </c>
      <c r="B2115" t="s">
        <v>132</v>
      </c>
      <c r="C2115" t="s">
        <v>156</v>
      </c>
      <c r="D2115" t="s">
        <v>123</v>
      </c>
      <c r="E2115" t="str">
        <f>VLOOKUP(D2115,'Lista de Produtos CLASSIFICAÇÃO'!$A$103:$B$144,2,FALSE)</f>
        <v>Aquecidos</v>
      </c>
      <c r="F2115" s="62">
        <v>436744</v>
      </c>
      <c r="G2115" s="56" t="str">
        <f>VLOOKUP(C2115,clientes!$C$3:$D$60,2,FALSE)</f>
        <v>BUNGE</v>
      </c>
    </row>
    <row r="2116" spans="1:7" x14ac:dyDescent="0.25">
      <c r="A2116">
        <v>2026</v>
      </c>
      <c r="B2116" t="s">
        <v>133</v>
      </c>
      <c r="C2116" t="s">
        <v>156</v>
      </c>
      <c r="D2116" t="s">
        <v>123</v>
      </c>
      <c r="E2116" t="str">
        <f>VLOOKUP(D2116,'Lista de Produtos CLASSIFICAÇÃO'!$A$103:$B$144,2,FALSE)</f>
        <v>Aquecidos</v>
      </c>
      <c r="F2116" s="62">
        <v>436744</v>
      </c>
      <c r="G2116" s="56" t="str">
        <f>VLOOKUP(C2116,clientes!$C$3:$D$60,2,FALSE)</f>
        <v>BUNGE</v>
      </c>
    </row>
    <row r="2117" spans="1:7" x14ac:dyDescent="0.25">
      <c r="A2117">
        <v>2026</v>
      </c>
      <c r="B2117" t="s">
        <v>134</v>
      </c>
      <c r="C2117" t="s">
        <v>156</v>
      </c>
      <c r="D2117" t="s">
        <v>123</v>
      </c>
      <c r="E2117" t="str">
        <f>VLOOKUP(D2117,'Lista de Produtos CLASSIFICAÇÃO'!$A$103:$B$144,2,FALSE)</f>
        <v>Aquecidos</v>
      </c>
      <c r="F2117" s="62">
        <v>436744</v>
      </c>
      <c r="G2117" s="56" t="str">
        <f>VLOOKUP(C2117,clientes!$C$3:$D$60,2,FALSE)</f>
        <v>BUNGE</v>
      </c>
    </row>
    <row r="2118" spans="1:7" x14ac:dyDescent="0.25">
      <c r="A2118">
        <v>2026</v>
      </c>
      <c r="B2118" t="s">
        <v>135</v>
      </c>
      <c r="C2118" t="s">
        <v>156</v>
      </c>
      <c r="D2118" t="s">
        <v>123</v>
      </c>
      <c r="E2118" t="str">
        <f>VLOOKUP(D2118,'Lista de Produtos CLASSIFICAÇÃO'!$A$103:$B$144,2,FALSE)</f>
        <v>Aquecidos</v>
      </c>
      <c r="F2118" s="62">
        <v>436744</v>
      </c>
      <c r="G2118" s="56" t="str">
        <f>VLOOKUP(C2118,clientes!$C$3:$D$60,2,FALSE)</f>
        <v>BUNGE</v>
      </c>
    </row>
    <row r="2119" spans="1:7" x14ac:dyDescent="0.25">
      <c r="A2119">
        <v>2026</v>
      </c>
      <c r="B2119" t="s">
        <v>136</v>
      </c>
      <c r="C2119" t="s">
        <v>156</v>
      </c>
      <c r="D2119" t="s">
        <v>123</v>
      </c>
      <c r="E2119" t="str">
        <f>VLOOKUP(D2119,'Lista de Produtos CLASSIFICAÇÃO'!$A$103:$B$144,2,FALSE)</f>
        <v>Aquecidos</v>
      </c>
      <c r="F2119" s="62">
        <v>436744</v>
      </c>
      <c r="G2119" s="56" t="str">
        <f>VLOOKUP(C2119,clientes!$C$3:$D$60,2,FALSE)</f>
        <v>BUNGE</v>
      </c>
    </row>
    <row r="2120" spans="1:7" x14ac:dyDescent="0.25">
      <c r="A2120">
        <v>2026</v>
      </c>
      <c r="B2120" t="s">
        <v>137</v>
      </c>
      <c r="C2120" t="s">
        <v>156</v>
      </c>
      <c r="D2120" t="s">
        <v>123</v>
      </c>
      <c r="E2120" t="str">
        <f>VLOOKUP(D2120,'Lista de Produtos CLASSIFICAÇÃO'!$A$103:$B$144,2,FALSE)</f>
        <v>Aquecidos</v>
      </c>
      <c r="F2120" s="62">
        <v>436744</v>
      </c>
      <c r="G2120" s="56" t="str">
        <f>VLOOKUP(C2120,clientes!$C$3:$D$60,2,FALSE)</f>
        <v>BUNGE</v>
      </c>
    </row>
    <row r="2121" spans="1:7" x14ac:dyDescent="0.25">
      <c r="A2121">
        <v>2026</v>
      </c>
      <c r="B2121" t="s">
        <v>138</v>
      </c>
      <c r="C2121" t="s">
        <v>156</v>
      </c>
      <c r="D2121" t="s">
        <v>123</v>
      </c>
      <c r="E2121" t="str">
        <f>VLOOKUP(D2121,'Lista de Produtos CLASSIFICAÇÃO'!$A$103:$B$144,2,FALSE)</f>
        <v>Aquecidos</v>
      </c>
      <c r="F2121" s="62">
        <v>436744</v>
      </c>
      <c r="G2121" s="56" t="str">
        <f>VLOOKUP(C2121,clientes!$C$3:$D$60,2,FALSE)</f>
        <v>BUNGE</v>
      </c>
    </row>
    <row r="2122" spans="1:7" x14ac:dyDescent="0.25">
      <c r="A2122">
        <v>2026</v>
      </c>
      <c r="B2122" t="s">
        <v>139</v>
      </c>
      <c r="C2122" t="s">
        <v>156</v>
      </c>
      <c r="D2122" t="s">
        <v>123</v>
      </c>
      <c r="E2122" t="str">
        <f>VLOOKUP(D2122,'Lista de Produtos CLASSIFICAÇÃO'!$A$103:$B$144,2,FALSE)</f>
        <v>Aquecidos</v>
      </c>
      <c r="F2122" s="62">
        <v>456616</v>
      </c>
      <c r="G2122" s="56" t="str">
        <f>VLOOKUP(C2122,clientes!$C$3:$D$60,2,FALSE)</f>
        <v>BUNGE</v>
      </c>
    </row>
    <row r="2123" spans="1:7" x14ac:dyDescent="0.25">
      <c r="A2123">
        <v>2026</v>
      </c>
      <c r="B2123" t="s">
        <v>140</v>
      </c>
      <c r="C2123" t="s">
        <v>156</v>
      </c>
      <c r="D2123" t="s">
        <v>123</v>
      </c>
      <c r="E2123" t="str">
        <f>VLOOKUP(D2123,'Lista de Produtos CLASSIFICAÇÃO'!$A$103:$B$144,2,FALSE)</f>
        <v>Aquecidos</v>
      </c>
      <c r="F2123" s="62">
        <v>456616</v>
      </c>
      <c r="G2123" s="56" t="str">
        <f>VLOOKUP(C2123,clientes!$C$3:$D$60,2,FALSE)</f>
        <v>BUNGE</v>
      </c>
    </row>
    <row r="2124" spans="1:7" x14ac:dyDescent="0.25">
      <c r="A2124">
        <v>2026</v>
      </c>
      <c r="B2124" t="s">
        <v>141</v>
      </c>
      <c r="C2124" t="s">
        <v>156</v>
      </c>
      <c r="D2124" t="s">
        <v>123</v>
      </c>
      <c r="E2124" t="str">
        <f>VLOOKUP(D2124,'Lista de Produtos CLASSIFICAÇÃO'!$A$103:$B$144,2,FALSE)</f>
        <v>Aquecidos</v>
      </c>
      <c r="F2124" s="62">
        <v>456616</v>
      </c>
      <c r="G2124" s="56" t="str">
        <f>VLOOKUP(C2124,clientes!$C$3:$D$60,2,FALSE)</f>
        <v>BUNGE</v>
      </c>
    </row>
    <row r="2125" spans="1:7" x14ac:dyDescent="0.25">
      <c r="A2125">
        <v>2026</v>
      </c>
      <c r="B2125" t="s">
        <v>142</v>
      </c>
      <c r="C2125" t="s">
        <v>156</v>
      </c>
      <c r="D2125" t="s">
        <v>123</v>
      </c>
      <c r="E2125" t="str">
        <f>VLOOKUP(D2125,'Lista de Produtos CLASSIFICAÇÃO'!$A$103:$B$144,2,FALSE)</f>
        <v>Aquecidos</v>
      </c>
      <c r="F2125" s="62">
        <v>456616</v>
      </c>
      <c r="G2125" s="56" t="str">
        <f>VLOOKUP(C2125,clientes!$C$3:$D$60,2,FALSE)</f>
        <v>BUNGE</v>
      </c>
    </row>
    <row r="2126" spans="1:7" x14ac:dyDescent="0.25">
      <c r="A2126">
        <v>2026</v>
      </c>
      <c r="B2126" t="s">
        <v>143</v>
      </c>
      <c r="C2126" t="s">
        <v>157</v>
      </c>
      <c r="D2126" t="s">
        <v>122</v>
      </c>
      <c r="E2126" t="str">
        <f>VLOOKUP(D2126,'Lista de Produtos CLASSIFICAÇÃO'!$A$103:$B$144,2,FALSE)</f>
        <v>Óleo Vegetal</v>
      </c>
      <c r="F2126" s="62">
        <v>170643</v>
      </c>
      <c r="G2126" s="56" t="str">
        <f>VLOOKUP(C2126,clientes!$C$3:$D$60,2,FALSE)</f>
        <v>ADM</v>
      </c>
    </row>
    <row r="2127" spans="1:7" x14ac:dyDescent="0.25">
      <c r="A2127">
        <v>2026</v>
      </c>
      <c r="B2127" t="s">
        <v>132</v>
      </c>
      <c r="C2127" t="s">
        <v>157</v>
      </c>
      <c r="D2127" t="s">
        <v>122</v>
      </c>
      <c r="E2127" t="str">
        <f>VLOOKUP(D2127,'Lista de Produtos CLASSIFICAÇÃO'!$A$103:$B$144,2,FALSE)</f>
        <v>Óleo Vegetal</v>
      </c>
      <c r="F2127" s="62">
        <v>170643</v>
      </c>
      <c r="G2127" s="56" t="str">
        <f>VLOOKUP(C2127,clientes!$C$3:$D$60,2,FALSE)</f>
        <v>ADM</v>
      </c>
    </row>
    <row r="2128" spans="1:7" x14ac:dyDescent="0.25">
      <c r="A2128">
        <v>2026</v>
      </c>
      <c r="B2128" t="s">
        <v>133</v>
      </c>
      <c r="C2128" t="s">
        <v>157</v>
      </c>
      <c r="D2128" t="s">
        <v>122</v>
      </c>
      <c r="E2128" t="str">
        <f>VLOOKUP(D2128,'Lista de Produtos CLASSIFICAÇÃO'!$A$103:$B$144,2,FALSE)</f>
        <v>Óleo Vegetal</v>
      </c>
      <c r="F2128" s="62">
        <v>170643</v>
      </c>
      <c r="G2128" s="56" t="str">
        <f>VLOOKUP(C2128,clientes!$C$3:$D$60,2,FALSE)</f>
        <v>ADM</v>
      </c>
    </row>
    <row r="2129" spans="1:7" x14ac:dyDescent="0.25">
      <c r="A2129">
        <v>2026</v>
      </c>
      <c r="B2129" t="s">
        <v>134</v>
      </c>
      <c r="C2129" t="s">
        <v>157</v>
      </c>
      <c r="D2129" t="s">
        <v>122</v>
      </c>
      <c r="E2129" t="str">
        <f>VLOOKUP(D2129,'Lista de Produtos CLASSIFICAÇÃO'!$A$103:$B$144,2,FALSE)</f>
        <v>Óleo Vegetal</v>
      </c>
      <c r="F2129" s="62">
        <v>170643</v>
      </c>
      <c r="G2129" s="56" t="str">
        <f>VLOOKUP(C2129,clientes!$C$3:$D$60,2,FALSE)</f>
        <v>ADM</v>
      </c>
    </row>
    <row r="2130" spans="1:7" x14ac:dyDescent="0.25">
      <c r="A2130">
        <v>2026</v>
      </c>
      <c r="B2130" t="s">
        <v>135</v>
      </c>
      <c r="C2130" t="s">
        <v>157</v>
      </c>
      <c r="D2130" t="s">
        <v>122</v>
      </c>
      <c r="E2130" t="str">
        <f>VLOOKUP(D2130,'Lista de Produtos CLASSIFICAÇÃO'!$A$103:$B$144,2,FALSE)</f>
        <v>Óleo Vegetal</v>
      </c>
      <c r="F2130" s="62">
        <v>170643</v>
      </c>
      <c r="G2130" s="56" t="str">
        <f>VLOOKUP(C2130,clientes!$C$3:$D$60,2,FALSE)</f>
        <v>ADM</v>
      </c>
    </row>
    <row r="2131" spans="1:7" x14ac:dyDescent="0.25">
      <c r="A2131">
        <v>2026</v>
      </c>
      <c r="B2131" t="s">
        <v>136</v>
      </c>
      <c r="C2131" t="s">
        <v>157</v>
      </c>
      <c r="D2131" t="s">
        <v>122</v>
      </c>
      <c r="E2131" t="str">
        <f>VLOOKUP(D2131,'Lista de Produtos CLASSIFICAÇÃO'!$A$103:$B$144,2,FALSE)</f>
        <v>Óleo Vegetal</v>
      </c>
      <c r="F2131" s="62">
        <v>177260</v>
      </c>
      <c r="G2131" s="56" t="str">
        <f>VLOOKUP(C2131,clientes!$C$3:$D$60,2,FALSE)</f>
        <v>ADM</v>
      </c>
    </row>
    <row r="2132" spans="1:7" x14ac:dyDescent="0.25">
      <c r="A2132">
        <v>2026</v>
      </c>
      <c r="B2132" t="s">
        <v>137</v>
      </c>
      <c r="C2132" t="s">
        <v>157</v>
      </c>
      <c r="D2132" t="s">
        <v>122</v>
      </c>
      <c r="E2132" t="str">
        <f>VLOOKUP(D2132,'Lista de Produtos CLASSIFICAÇÃO'!$A$103:$B$144,2,FALSE)</f>
        <v>Óleo Vegetal</v>
      </c>
      <c r="F2132" s="62">
        <v>177260</v>
      </c>
      <c r="G2132" s="56" t="str">
        <f>VLOOKUP(C2132,clientes!$C$3:$D$60,2,FALSE)</f>
        <v>ADM</v>
      </c>
    </row>
    <row r="2133" spans="1:7" x14ac:dyDescent="0.25">
      <c r="A2133">
        <v>2026</v>
      </c>
      <c r="B2133" t="s">
        <v>138</v>
      </c>
      <c r="C2133" t="s">
        <v>157</v>
      </c>
      <c r="D2133" t="s">
        <v>122</v>
      </c>
      <c r="E2133" t="str">
        <f>VLOOKUP(D2133,'Lista de Produtos CLASSIFICAÇÃO'!$A$103:$B$144,2,FALSE)</f>
        <v>Óleo Vegetal</v>
      </c>
      <c r="F2133" s="62">
        <v>177260</v>
      </c>
      <c r="G2133" s="56" t="str">
        <f>VLOOKUP(C2133,clientes!$C$3:$D$60,2,FALSE)</f>
        <v>ADM</v>
      </c>
    </row>
    <row r="2134" spans="1:7" x14ac:dyDescent="0.25">
      <c r="A2134">
        <v>2026</v>
      </c>
      <c r="B2134" t="s">
        <v>139</v>
      </c>
      <c r="C2134" t="s">
        <v>157</v>
      </c>
      <c r="D2134" t="s">
        <v>122</v>
      </c>
      <c r="E2134" t="str">
        <f>VLOOKUP(D2134,'Lista de Produtos CLASSIFICAÇÃO'!$A$103:$B$144,2,FALSE)</f>
        <v>Óleo Vegetal</v>
      </c>
      <c r="F2134" s="62">
        <v>177260</v>
      </c>
      <c r="G2134" s="56" t="str">
        <f>VLOOKUP(C2134,clientes!$C$3:$D$60,2,FALSE)</f>
        <v>ADM</v>
      </c>
    </row>
    <row r="2135" spans="1:7" x14ac:dyDescent="0.25">
      <c r="A2135">
        <v>2026</v>
      </c>
      <c r="B2135" t="s">
        <v>140</v>
      </c>
      <c r="C2135" t="s">
        <v>157</v>
      </c>
      <c r="D2135" t="s">
        <v>122</v>
      </c>
      <c r="E2135" t="str">
        <f>VLOOKUP(D2135,'Lista de Produtos CLASSIFICAÇÃO'!$A$103:$B$144,2,FALSE)</f>
        <v>Óleo Vegetal</v>
      </c>
      <c r="F2135" s="62">
        <v>177260</v>
      </c>
      <c r="G2135" s="56" t="str">
        <f>VLOOKUP(C2135,clientes!$C$3:$D$60,2,FALSE)</f>
        <v>ADM</v>
      </c>
    </row>
    <row r="2136" spans="1:7" x14ac:dyDescent="0.25">
      <c r="A2136">
        <v>2026</v>
      </c>
      <c r="B2136" t="s">
        <v>141</v>
      </c>
      <c r="C2136" t="s">
        <v>157</v>
      </c>
      <c r="D2136" t="s">
        <v>122</v>
      </c>
      <c r="E2136" t="str">
        <f>VLOOKUP(D2136,'Lista de Produtos CLASSIFICAÇÃO'!$A$103:$B$144,2,FALSE)</f>
        <v>Óleo Vegetal</v>
      </c>
      <c r="F2136" s="62">
        <v>177260</v>
      </c>
      <c r="G2136" s="56" t="str">
        <f>VLOOKUP(C2136,clientes!$C$3:$D$60,2,FALSE)</f>
        <v>ADM</v>
      </c>
    </row>
    <row r="2137" spans="1:7" x14ac:dyDescent="0.25">
      <c r="A2137">
        <v>2026</v>
      </c>
      <c r="B2137" t="s">
        <v>142</v>
      </c>
      <c r="C2137" t="s">
        <v>157</v>
      </c>
      <c r="D2137" t="s">
        <v>122</v>
      </c>
      <c r="E2137" t="str">
        <f>VLOOKUP(D2137,'Lista de Produtos CLASSIFICAÇÃO'!$A$103:$B$144,2,FALSE)</f>
        <v>Óleo Vegetal</v>
      </c>
      <c r="F2137" s="62">
        <v>177260</v>
      </c>
      <c r="G2137" s="56" t="str">
        <f>VLOOKUP(C2137,clientes!$C$3:$D$60,2,FALSE)</f>
        <v>ADM</v>
      </c>
    </row>
    <row r="2138" spans="1:7" x14ac:dyDescent="0.25">
      <c r="A2138">
        <v>2026</v>
      </c>
      <c r="B2138" t="s">
        <v>143</v>
      </c>
      <c r="C2138" t="s">
        <v>158</v>
      </c>
      <c r="D2138" t="s">
        <v>120</v>
      </c>
      <c r="E2138" t="str">
        <f>VLOOKUP(D2138,'Lista de Produtos CLASSIFICAÇÃO'!$A$103:$B$144,2,FALSE)</f>
        <v>Derivados</v>
      </c>
      <c r="F2138" s="62">
        <v>5204334</v>
      </c>
      <c r="G2138" s="56" t="str">
        <f>VLOOKUP(C2138,clientes!$C$3:$D$60,2,FALSE)</f>
        <v>IPIRANGA</v>
      </c>
    </row>
    <row r="2139" spans="1:7" x14ac:dyDescent="0.25">
      <c r="A2139">
        <v>2026</v>
      </c>
      <c r="B2139" t="s">
        <v>132</v>
      </c>
      <c r="C2139" t="s">
        <v>158</v>
      </c>
      <c r="D2139" t="s">
        <v>120</v>
      </c>
      <c r="E2139" t="str">
        <f>VLOOKUP(D2139,'Lista de Produtos CLASSIFICAÇÃO'!$A$103:$B$144,2,FALSE)</f>
        <v>Derivados</v>
      </c>
      <c r="F2139" s="62">
        <v>5204334</v>
      </c>
      <c r="G2139" s="56" t="str">
        <f>VLOOKUP(C2139,clientes!$C$3:$D$60,2,FALSE)</f>
        <v>IPIRANGA</v>
      </c>
    </row>
    <row r="2140" spans="1:7" x14ac:dyDescent="0.25">
      <c r="A2140">
        <v>2026</v>
      </c>
      <c r="B2140" t="s">
        <v>133</v>
      </c>
      <c r="C2140" t="s">
        <v>158</v>
      </c>
      <c r="D2140" t="s">
        <v>120</v>
      </c>
      <c r="E2140" t="str">
        <f>VLOOKUP(D2140,'Lista de Produtos CLASSIFICAÇÃO'!$A$103:$B$144,2,FALSE)</f>
        <v>Derivados</v>
      </c>
      <c r="F2140" s="62">
        <v>5204334</v>
      </c>
      <c r="G2140" s="56" t="str">
        <f>VLOOKUP(C2140,clientes!$C$3:$D$60,2,FALSE)</f>
        <v>IPIRANGA</v>
      </c>
    </row>
    <row r="2141" spans="1:7" x14ac:dyDescent="0.25">
      <c r="A2141">
        <v>2026</v>
      </c>
      <c r="B2141" t="s">
        <v>134</v>
      </c>
      <c r="C2141" t="s">
        <v>158</v>
      </c>
      <c r="D2141" t="s">
        <v>120</v>
      </c>
      <c r="E2141" t="str">
        <f>VLOOKUP(D2141,'Lista de Produtos CLASSIFICAÇÃO'!$A$103:$B$144,2,FALSE)</f>
        <v>Derivados</v>
      </c>
      <c r="F2141" s="62">
        <v>5204334</v>
      </c>
      <c r="G2141" s="56" t="str">
        <f>VLOOKUP(C2141,clientes!$C$3:$D$60,2,FALSE)</f>
        <v>IPIRANGA</v>
      </c>
    </row>
    <row r="2142" spans="1:7" x14ac:dyDescent="0.25">
      <c r="A2142">
        <v>2026</v>
      </c>
      <c r="B2142" t="s">
        <v>135</v>
      </c>
      <c r="C2142" t="s">
        <v>158</v>
      </c>
      <c r="D2142" t="s">
        <v>120</v>
      </c>
      <c r="E2142" t="str">
        <f>VLOOKUP(D2142,'Lista de Produtos CLASSIFICAÇÃO'!$A$103:$B$144,2,FALSE)</f>
        <v>Derivados</v>
      </c>
      <c r="F2142" s="62">
        <v>5204334</v>
      </c>
      <c r="G2142" s="56" t="str">
        <f>VLOOKUP(C2142,clientes!$C$3:$D$60,2,FALSE)</f>
        <v>IPIRANGA</v>
      </c>
    </row>
    <row r="2143" spans="1:7" x14ac:dyDescent="0.25">
      <c r="A2143">
        <v>2026</v>
      </c>
      <c r="B2143" t="s">
        <v>136</v>
      </c>
      <c r="C2143" t="s">
        <v>158</v>
      </c>
      <c r="D2143" t="s">
        <v>120</v>
      </c>
      <c r="E2143" t="str">
        <f>VLOOKUP(D2143,'Lista de Produtos CLASSIFICAÇÃO'!$A$103:$B$144,2,FALSE)</f>
        <v>Derivados</v>
      </c>
      <c r="F2143" s="62">
        <v>5204334</v>
      </c>
      <c r="G2143" s="56" t="str">
        <f>VLOOKUP(C2143,clientes!$C$3:$D$60,2,FALSE)</f>
        <v>IPIRANGA</v>
      </c>
    </row>
    <row r="2144" spans="1:7" x14ac:dyDescent="0.25">
      <c r="A2144">
        <v>2026</v>
      </c>
      <c r="B2144" t="s">
        <v>137</v>
      </c>
      <c r="C2144" t="s">
        <v>158</v>
      </c>
      <c r="D2144" t="s">
        <v>120</v>
      </c>
      <c r="E2144" t="str">
        <f>VLOOKUP(D2144,'Lista de Produtos CLASSIFICAÇÃO'!$A$103:$B$144,2,FALSE)</f>
        <v>Derivados</v>
      </c>
      <c r="F2144" s="62">
        <v>5204334</v>
      </c>
      <c r="G2144" s="56" t="str">
        <f>VLOOKUP(C2144,clientes!$C$3:$D$60,2,FALSE)</f>
        <v>IPIRANGA</v>
      </c>
    </row>
    <row r="2145" spans="1:7" x14ac:dyDescent="0.25">
      <c r="A2145">
        <v>2026</v>
      </c>
      <c r="B2145" t="s">
        <v>138</v>
      </c>
      <c r="C2145" t="s">
        <v>158</v>
      </c>
      <c r="D2145" t="s">
        <v>120</v>
      </c>
      <c r="E2145" t="str">
        <f>VLOOKUP(D2145,'Lista de Produtos CLASSIFICAÇÃO'!$A$103:$B$144,2,FALSE)</f>
        <v>Derivados</v>
      </c>
      <c r="F2145" s="62">
        <v>5204334</v>
      </c>
      <c r="G2145" s="56" t="str">
        <f>VLOOKUP(C2145,clientes!$C$3:$D$60,2,FALSE)</f>
        <v>IPIRANGA</v>
      </c>
    </row>
    <row r="2146" spans="1:7" x14ac:dyDescent="0.25">
      <c r="A2146">
        <v>2026</v>
      </c>
      <c r="B2146" t="s">
        <v>139</v>
      </c>
      <c r="C2146" t="s">
        <v>158</v>
      </c>
      <c r="D2146" t="s">
        <v>120</v>
      </c>
      <c r="E2146" t="str">
        <f>VLOOKUP(D2146,'Lista de Produtos CLASSIFICAÇÃO'!$A$103:$B$144,2,FALSE)</f>
        <v>Derivados</v>
      </c>
      <c r="F2146" s="62">
        <v>5204334</v>
      </c>
      <c r="G2146" s="56" t="str">
        <f>VLOOKUP(C2146,clientes!$C$3:$D$60,2,FALSE)</f>
        <v>IPIRANGA</v>
      </c>
    </row>
    <row r="2147" spans="1:7" x14ac:dyDescent="0.25">
      <c r="A2147">
        <v>2026</v>
      </c>
      <c r="B2147" t="s">
        <v>140</v>
      </c>
      <c r="C2147" t="s">
        <v>158</v>
      </c>
      <c r="D2147" t="s">
        <v>120</v>
      </c>
      <c r="E2147" t="str">
        <f>VLOOKUP(D2147,'Lista de Produtos CLASSIFICAÇÃO'!$A$103:$B$144,2,FALSE)</f>
        <v>Derivados</v>
      </c>
      <c r="F2147" s="62">
        <v>5204334</v>
      </c>
      <c r="G2147" s="56" t="str">
        <f>VLOOKUP(C2147,clientes!$C$3:$D$60,2,FALSE)</f>
        <v>IPIRANGA</v>
      </c>
    </row>
    <row r="2148" spans="1:7" x14ac:dyDescent="0.25">
      <c r="A2148">
        <v>2026</v>
      </c>
      <c r="B2148" t="s">
        <v>141</v>
      </c>
      <c r="C2148" t="s">
        <v>158</v>
      </c>
      <c r="D2148" t="s">
        <v>120</v>
      </c>
      <c r="E2148" t="str">
        <f>VLOOKUP(D2148,'Lista de Produtos CLASSIFICAÇÃO'!$A$103:$B$144,2,FALSE)</f>
        <v>Derivados</v>
      </c>
      <c r="F2148" s="62">
        <v>5204334</v>
      </c>
      <c r="G2148" s="56" t="str">
        <f>VLOOKUP(C2148,clientes!$C$3:$D$60,2,FALSE)</f>
        <v>IPIRANGA</v>
      </c>
    </row>
    <row r="2149" spans="1:7" x14ac:dyDescent="0.25">
      <c r="A2149">
        <v>2026</v>
      </c>
      <c r="B2149" t="s">
        <v>142</v>
      </c>
      <c r="C2149" t="s">
        <v>158</v>
      </c>
      <c r="D2149" t="s">
        <v>120</v>
      </c>
      <c r="E2149" t="str">
        <f>VLOOKUP(D2149,'Lista de Produtos CLASSIFICAÇÃO'!$A$103:$B$144,2,FALSE)</f>
        <v>Derivados</v>
      </c>
      <c r="F2149" s="62">
        <v>5204334</v>
      </c>
      <c r="G2149" s="56" t="str">
        <f>VLOOKUP(C2149,clientes!$C$3:$D$60,2,FALSE)</f>
        <v>IPIRANGA</v>
      </c>
    </row>
    <row r="2150" spans="1:7" x14ac:dyDescent="0.25">
      <c r="A2150">
        <v>2026</v>
      </c>
      <c r="B2150" t="s">
        <v>143</v>
      </c>
      <c r="C2150" t="s">
        <v>159</v>
      </c>
      <c r="D2150" t="s">
        <v>120</v>
      </c>
      <c r="E2150" t="str">
        <f>VLOOKUP(D2150,'Lista de Produtos CLASSIFICAÇÃO'!$A$103:$B$144,2,FALSE)</f>
        <v>Derivados</v>
      </c>
      <c r="F2150" s="62">
        <v>4107331</v>
      </c>
      <c r="G2150" s="56" t="str">
        <f>VLOOKUP(C2150,clientes!$C$3:$D$60,2,FALSE)</f>
        <v>RAIZEN</v>
      </c>
    </row>
    <row r="2151" spans="1:7" x14ac:dyDescent="0.25">
      <c r="A2151">
        <v>2026</v>
      </c>
      <c r="B2151" t="s">
        <v>132</v>
      </c>
      <c r="C2151" t="s">
        <v>159</v>
      </c>
      <c r="D2151" t="s">
        <v>120</v>
      </c>
      <c r="E2151" t="str">
        <f>VLOOKUP(D2151,'Lista de Produtos CLASSIFICAÇÃO'!$A$103:$B$144,2,FALSE)</f>
        <v>Derivados</v>
      </c>
      <c r="F2151" s="62">
        <v>4107331</v>
      </c>
      <c r="G2151" s="56" t="str">
        <f>VLOOKUP(C2151,clientes!$C$3:$D$60,2,FALSE)</f>
        <v>RAIZEN</v>
      </c>
    </row>
    <row r="2152" spans="1:7" x14ac:dyDescent="0.25">
      <c r="A2152">
        <v>2026</v>
      </c>
      <c r="B2152" t="s">
        <v>133</v>
      </c>
      <c r="C2152" t="s">
        <v>159</v>
      </c>
      <c r="D2152" t="s">
        <v>120</v>
      </c>
      <c r="E2152" t="str">
        <f>VLOOKUP(D2152,'Lista de Produtos CLASSIFICAÇÃO'!$A$103:$B$144,2,FALSE)</f>
        <v>Derivados</v>
      </c>
      <c r="F2152" s="62">
        <v>4107331</v>
      </c>
      <c r="G2152" s="56" t="str">
        <f>VLOOKUP(C2152,clientes!$C$3:$D$60,2,FALSE)</f>
        <v>RAIZEN</v>
      </c>
    </row>
    <row r="2153" spans="1:7" x14ac:dyDescent="0.25">
      <c r="A2153">
        <v>2026</v>
      </c>
      <c r="B2153" t="s">
        <v>134</v>
      </c>
      <c r="C2153" t="s">
        <v>159</v>
      </c>
      <c r="D2153" t="s">
        <v>120</v>
      </c>
      <c r="E2153" t="str">
        <f>VLOOKUP(D2153,'Lista de Produtos CLASSIFICAÇÃO'!$A$103:$B$144,2,FALSE)</f>
        <v>Derivados</v>
      </c>
      <c r="F2153" s="62">
        <v>4107331</v>
      </c>
      <c r="G2153" s="56" t="str">
        <f>VLOOKUP(C2153,clientes!$C$3:$D$60,2,FALSE)</f>
        <v>RAIZEN</v>
      </c>
    </row>
    <row r="2154" spans="1:7" x14ac:dyDescent="0.25">
      <c r="A2154">
        <v>2026</v>
      </c>
      <c r="B2154" t="s">
        <v>135</v>
      </c>
      <c r="C2154" t="s">
        <v>159</v>
      </c>
      <c r="D2154" t="s">
        <v>120</v>
      </c>
      <c r="E2154" t="str">
        <f>VLOOKUP(D2154,'Lista de Produtos CLASSIFICAÇÃO'!$A$103:$B$144,2,FALSE)</f>
        <v>Derivados</v>
      </c>
      <c r="F2154" s="62">
        <v>4107331</v>
      </c>
      <c r="G2154" s="56" t="str">
        <f>VLOOKUP(C2154,clientes!$C$3:$D$60,2,FALSE)</f>
        <v>RAIZEN</v>
      </c>
    </row>
    <row r="2155" spans="1:7" x14ac:dyDescent="0.25">
      <c r="A2155">
        <v>2026</v>
      </c>
      <c r="B2155" t="s">
        <v>136</v>
      </c>
      <c r="C2155" t="s">
        <v>159</v>
      </c>
      <c r="D2155" t="s">
        <v>120</v>
      </c>
      <c r="E2155" t="str">
        <f>VLOOKUP(D2155,'Lista de Produtos CLASSIFICAÇÃO'!$A$103:$B$144,2,FALSE)</f>
        <v>Derivados</v>
      </c>
      <c r="F2155" s="62">
        <v>4107331</v>
      </c>
      <c r="G2155" s="56" t="str">
        <f>VLOOKUP(C2155,clientes!$C$3:$D$60,2,FALSE)</f>
        <v>RAIZEN</v>
      </c>
    </row>
    <row r="2156" spans="1:7" x14ac:dyDescent="0.25">
      <c r="A2156">
        <v>2026</v>
      </c>
      <c r="B2156" t="s">
        <v>137</v>
      </c>
      <c r="C2156" t="s">
        <v>159</v>
      </c>
      <c r="D2156" t="s">
        <v>120</v>
      </c>
      <c r="E2156" t="str">
        <f>VLOOKUP(D2156,'Lista de Produtos CLASSIFICAÇÃO'!$A$103:$B$144,2,FALSE)</f>
        <v>Derivados</v>
      </c>
      <c r="F2156" s="62">
        <v>4107331</v>
      </c>
      <c r="G2156" s="56" t="str">
        <f>VLOOKUP(C2156,clientes!$C$3:$D$60,2,FALSE)</f>
        <v>RAIZEN</v>
      </c>
    </row>
    <row r="2157" spans="1:7" x14ac:dyDescent="0.25">
      <c r="A2157">
        <v>2026</v>
      </c>
      <c r="B2157" t="s">
        <v>138</v>
      </c>
      <c r="C2157" t="s">
        <v>159</v>
      </c>
      <c r="D2157" t="s">
        <v>120</v>
      </c>
      <c r="E2157" t="str">
        <f>VLOOKUP(D2157,'Lista de Produtos CLASSIFICAÇÃO'!$A$103:$B$144,2,FALSE)</f>
        <v>Derivados</v>
      </c>
      <c r="F2157" s="62">
        <v>4107331</v>
      </c>
      <c r="G2157" s="56" t="str">
        <f>VLOOKUP(C2157,clientes!$C$3:$D$60,2,FALSE)</f>
        <v>RAIZEN</v>
      </c>
    </row>
    <row r="2158" spans="1:7" x14ac:dyDescent="0.25">
      <c r="A2158">
        <v>2026</v>
      </c>
      <c r="B2158" t="s">
        <v>139</v>
      </c>
      <c r="C2158" t="s">
        <v>159</v>
      </c>
      <c r="D2158" t="s">
        <v>120</v>
      </c>
      <c r="E2158" t="str">
        <f>VLOOKUP(D2158,'Lista de Produtos CLASSIFICAÇÃO'!$A$103:$B$144,2,FALSE)</f>
        <v>Derivados</v>
      </c>
      <c r="F2158" s="62">
        <v>4107331</v>
      </c>
      <c r="G2158" s="56" t="str">
        <f>VLOOKUP(C2158,clientes!$C$3:$D$60,2,FALSE)</f>
        <v>RAIZEN</v>
      </c>
    </row>
    <row r="2159" spans="1:7" x14ac:dyDescent="0.25">
      <c r="A2159">
        <v>2026</v>
      </c>
      <c r="B2159" t="s">
        <v>140</v>
      </c>
      <c r="C2159" t="s">
        <v>159</v>
      </c>
      <c r="D2159" t="s">
        <v>120</v>
      </c>
      <c r="E2159" t="str">
        <f>VLOOKUP(D2159,'Lista de Produtos CLASSIFICAÇÃO'!$A$103:$B$144,2,FALSE)</f>
        <v>Derivados</v>
      </c>
      <c r="F2159" s="62">
        <v>4107331</v>
      </c>
      <c r="G2159" s="56" t="str">
        <f>VLOOKUP(C2159,clientes!$C$3:$D$60,2,FALSE)</f>
        <v>RAIZEN</v>
      </c>
    </row>
    <row r="2160" spans="1:7" x14ac:dyDescent="0.25">
      <c r="A2160">
        <v>2026</v>
      </c>
      <c r="B2160" t="s">
        <v>141</v>
      </c>
      <c r="C2160" t="s">
        <v>159</v>
      </c>
      <c r="D2160" t="s">
        <v>120</v>
      </c>
      <c r="E2160" t="str">
        <f>VLOOKUP(D2160,'Lista de Produtos CLASSIFICAÇÃO'!$A$103:$B$144,2,FALSE)</f>
        <v>Derivados</v>
      </c>
      <c r="F2160" s="62">
        <v>4107331</v>
      </c>
      <c r="G2160" s="56" t="str">
        <f>VLOOKUP(C2160,clientes!$C$3:$D$60,2,FALSE)</f>
        <v>RAIZEN</v>
      </c>
    </row>
    <row r="2161" spans="1:7" x14ac:dyDescent="0.25">
      <c r="A2161">
        <v>2026</v>
      </c>
      <c r="B2161" t="s">
        <v>142</v>
      </c>
      <c r="C2161" t="s">
        <v>159</v>
      </c>
      <c r="D2161" t="s">
        <v>120</v>
      </c>
      <c r="E2161" t="str">
        <f>VLOOKUP(D2161,'Lista de Produtos CLASSIFICAÇÃO'!$A$103:$B$144,2,FALSE)</f>
        <v>Derivados</v>
      </c>
      <c r="F2161" s="62">
        <v>4107331</v>
      </c>
      <c r="G2161" s="56" t="str">
        <f>VLOOKUP(C2161,clientes!$C$3:$D$60,2,FALSE)</f>
        <v>RAIZEN</v>
      </c>
    </row>
    <row r="2162" spans="1:7" x14ac:dyDescent="0.25">
      <c r="A2162">
        <v>2026</v>
      </c>
      <c r="B2162" t="s">
        <v>143</v>
      </c>
      <c r="C2162" t="s">
        <v>160</v>
      </c>
      <c r="D2162" t="s">
        <v>120</v>
      </c>
      <c r="E2162" t="str">
        <f>VLOOKUP(D2162,'Lista de Produtos CLASSIFICAÇÃO'!$A$103:$B$144,2,FALSE)</f>
        <v>Derivados</v>
      </c>
      <c r="F2162" s="62">
        <v>1962520</v>
      </c>
      <c r="G2162" s="56" t="str">
        <f>VLOOKUP(C2162,clientes!$C$3:$D$60,2,FALSE)</f>
        <v>VIBRA</v>
      </c>
    </row>
    <row r="2163" spans="1:7" x14ac:dyDescent="0.25">
      <c r="A2163">
        <v>2026</v>
      </c>
      <c r="B2163" t="s">
        <v>132</v>
      </c>
      <c r="C2163" t="s">
        <v>160</v>
      </c>
      <c r="D2163" t="s">
        <v>120</v>
      </c>
      <c r="E2163" t="str">
        <f>VLOOKUP(D2163,'Lista de Produtos CLASSIFICAÇÃO'!$A$103:$B$144,2,FALSE)</f>
        <v>Derivados</v>
      </c>
      <c r="F2163" s="62">
        <v>1962520</v>
      </c>
      <c r="G2163" s="56" t="str">
        <f>VLOOKUP(C2163,clientes!$C$3:$D$60,2,FALSE)</f>
        <v>VIBRA</v>
      </c>
    </row>
    <row r="2164" spans="1:7" x14ac:dyDescent="0.25">
      <c r="A2164">
        <v>2026</v>
      </c>
      <c r="B2164" t="s">
        <v>133</v>
      </c>
      <c r="C2164" t="s">
        <v>160</v>
      </c>
      <c r="D2164" t="s">
        <v>120</v>
      </c>
      <c r="E2164" t="str">
        <f>VLOOKUP(D2164,'Lista de Produtos CLASSIFICAÇÃO'!$A$103:$B$144,2,FALSE)</f>
        <v>Derivados</v>
      </c>
      <c r="F2164" s="62">
        <v>1962520</v>
      </c>
      <c r="G2164" s="56" t="str">
        <f>VLOOKUP(C2164,clientes!$C$3:$D$60,2,FALSE)</f>
        <v>VIBRA</v>
      </c>
    </row>
    <row r="2165" spans="1:7" x14ac:dyDescent="0.25">
      <c r="A2165">
        <v>2026</v>
      </c>
      <c r="B2165" t="s">
        <v>134</v>
      </c>
      <c r="C2165" t="s">
        <v>160</v>
      </c>
      <c r="D2165" t="s">
        <v>120</v>
      </c>
      <c r="E2165" t="str">
        <f>VLOOKUP(D2165,'Lista de Produtos CLASSIFICAÇÃO'!$A$103:$B$144,2,FALSE)</f>
        <v>Derivados</v>
      </c>
      <c r="F2165" s="62">
        <v>1962520</v>
      </c>
      <c r="G2165" s="56" t="str">
        <f>VLOOKUP(C2165,clientes!$C$3:$D$60,2,FALSE)</f>
        <v>VIBRA</v>
      </c>
    </row>
    <row r="2166" spans="1:7" x14ac:dyDescent="0.25">
      <c r="A2166">
        <v>2026</v>
      </c>
      <c r="B2166" t="s">
        <v>135</v>
      </c>
      <c r="C2166" t="s">
        <v>160</v>
      </c>
      <c r="D2166" t="s">
        <v>120</v>
      </c>
      <c r="E2166" t="str">
        <f>VLOOKUP(D2166,'Lista de Produtos CLASSIFICAÇÃO'!$A$103:$B$144,2,FALSE)</f>
        <v>Derivados</v>
      </c>
      <c r="F2166" s="62">
        <v>1962520</v>
      </c>
      <c r="G2166" s="56" t="str">
        <f>VLOOKUP(C2166,clientes!$C$3:$D$60,2,FALSE)</f>
        <v>VIBRA</v>
      </c>
    </row>
    <row r="2167" spans="1:7" x14ac:dyDescent="0.25">
      <c r="A2167">
        <v>2026</v>
      </c>
      <c r="B2167" t="s">
        <v>136</v>
      </c>
      <c r="C2167" t="s">
        <v>160</v>
      </c>
      <c r="D2167" t="s">
        <v>120</v>
      </c>
      <c r="E2167" t="str">
        <f>VLOOKUP(D2167,'Lista de Produtos CLASSIFICAÇÃO'!$A$103:$B$144,2,FALSE)</f>
        <v>Derivados</v>
      </c>
      <c r="F2167" s="62">
        <v>1962520</v>
      </c>
      <c r="G2167" s="56" t="str">
        <f>VLOOKUP(C2167,clientes!$C$3:$D$60,2,FALSE)</f>
        <v>VIBRA</v>
      </c>
    </row>
    <row r="2168" spans="1:7" x14ac:dyDescent="0.25">
      <c r="A2168">
        <v>2026</v>
      </c>
      <c r="B2168" t="s">
        <v>137</v>
      </c>
      <c r="C2168" t="s">
        <v>160</v>
      </c>
      <c r="D2168" t="s">
        <v>120</v>
      </c>
      <c r="E2168" t="str">
        <f>VLOOKUP(D2168,'Lista de Produtos CLASSIFICAÇÃO'!$A$103:$B$144,2,FALSE)</f>
        <v>Derivados</v>
      </c>
      <c r="F2168" s="62">
        <v>2051814</v>
      </c>
      <c r="G2168" s="56" t="str">
        <f>VLOOKUP(C2168,clientes!$C$3:$D$60,2,FALSE)</f>
        <v>VIBRA</v>
      </c>
    </row>
    <row r="2169" spans="1:7" x14ac:dyDescent="0.25">
      <c r="A2169">
        <v>2026</v>
      </c>
      <c r="B2169" t="s">
        <v>138</v>
      </c>
      <c r="C2169" t="s">
        <v>160</v>
      </c>
      <c r="D2169" t="s">
        <v>120</v>
      </c>
      <c r="E2169" t="str">
        <f>VLOOKUP(D2169,'Lista de Produtos CLASSIFICAÇÃO'!$A$103:$B$144,2,FALSE)</f>
        <v>Derivados</v>
      </c>
      <c r="F2169" s="62">
        <v>2051814</v>
      </c>
      <c r="G2169" s="56" t="str">
        <f>VLOOKUP(C2169,clientes!$C$3:$D$60,2,FALSE)</f>
        <v>VIBRA</v>
      </c>
    </row>
    <row r="2170" spans="1:7" x14ac:dyDescent="0.25">
      <c r="A2170">
        <v>2026</v>
      </c>
      <c r="B2170" t="s">
        <v>143</v>
      </c>
      <c r="C2170" t="s">
        <v>161</v>
      </c>
      <c r="D2170" t="s">
        <v>120</v>
      </c>
      <c r="E2170" t="str">
        <f>VLOOKUP(D2170,'Lista de Produtos CLASSIFICAÇÃO'!$A$103:$B$144,2,FALSE)</f>
        <v>Derivados</v>
      </c>
      <c r="F2170" s="62">
        <v>2911532</v>
      </c>
      <c r="G2170" s="56" t="str">
        <f>VLOOKUP(C2170,clientes!$C$3:$D$60,2,FALSE)</f>
        <v>SUL PLATA</v>
      </c>
    </row>
    <row r="2171" spans="1:7" x14ac:dyDescent="0.25">
      <c r="A2171">
        <v>2026</v>
      </c>
      <c r="B2171" t="s">
        <v>132</v>
      </c>
      <c r="C2171" t="s">
        <v>161</v>
      </c>
      <c r="D2171" t="s">
        <v>120</v>
      </c>
      <c r="E2171" t="str">
        <f>VLOOKUP(D2171,'Lista de Produtos CLASSIFICAÇÃO'!$A$103:$B$144,2,FALSE)</f>
        <v>Derivados</v>
      </c>
      <c r="F2171" s="62">
        <v>2911532</v>
      </c>
      <c r="G2171" s="56" t="str">
        <f>VLOOKUP(C2171,clientes!$C$3:$D$60,2,FALSE)</f>
        <v>SUL PLATA</v>
      </c>
    </row>
    <row r="2172" spans="1:7" x14ac:dyDescent="0.25">
      <c r="A2172">
        <v>2026</v>
      </c>
      <c r="B2172" t="s">
        <v>133</v>
      </c>
      <c r="C2172" t="s">
        <v>161</v>
      </c>
      <c r="D2172" t="s">
        <v>120</v>
      </c>
      <c r="E2172" t="str">
        <f>VLOOKUP(D2172,'Lista de Produtos CLASSIFICAÇÃO'!$A$103:$B$144,2,FALSE)</f>
        <v>Derivados</v>
      </c>
      <c r="F2172" s="62">
        <v>2911532</v>
      </c>
      <c r="G2172" s="56" t="str">
        <f>VLOOKUP(C2172,clientes!$C$3:$D$60,2,FALSE)</f>
        <v>SUL PLATA</v>
      </c>
    </row>
    <row r="2173" spans="1:7" x14ac:dyDescent="0.25">
      <c r="A2173">
        <v>2026</v>
      </c>
      <c r="B2173" t="s">
        <v>134</v>
      </c>
      <c r="C2173" t="s">
        <v>161</v>
      </c>
      <c r="D2173" t="s">
        <v>120</v>
      </c>
      <c r="E2173" t="str">
        <f>VLOOKUP(D2173,'Lista de Produtos CLASSIFICAÇÃO'!$A$103:$B$144,2,FALSE)</f>
        <v>Derivados</v>
      </c>
      <c r="F2173" s="62">
        <v>2911532</v>
      </c>
      <c r="G2173" s="56" t="str">
        <f>VLOOKUP(C2173,clientes!$C$3:$D$60,2,FALSE)</f>
        <v>SUL PLATA</v>
      </c>
    </row>
    <row r="2174" spans="1:7" x14ac:dyDescent="0.25">
      <c r="A2174">
        <v>2026</v>
      </c>
      <c r="B2174" t="s">
        <v>135</v>
      </c>
      <c r="C2174" t="s">
        <v>161</v>
      </c>
      <c r="D2174" t="s">
        <v>120</v>
      </c>
      <c r="E2174" t="str">
        <f>VLOOKUP(D2174,'Lista de Produtos CLASSIFICAÇÃO'!$A$103:$B$144,2,FALSE)</f>
        <v>Derivados</v>
      </c>
      <c r="F2174" s="62">
        <v>2911532</v>
      </c>
      <c r="G2174" s="56" t="str">
        <f>VLOOKUP(C2174,clientes!$C$3:$D$60,2,FALSE)</f>
        <v>SUL PLATA</v>
      </c>
    </row>
    <row r="2175" spans="1:7" x14ac:dyDescent="0.25">
      <c r="A2175">
        <v>2026</v>
      </c>
      <c r="B2175" t="s">
        <v>136</v>
      </c>
      <c r="C2175" t="s">
        <v>161</v>
      </c>
      <c r="D2175" t="s">
        <v>120</v>
      </c>
      <c r="E2175" t="str">
        <f>VLOOKUP(D2175,'Lista de Produtos CLASSIFICAÇÃO'!$A$103:$B$144,2,FALSE)</f>
        <v>Derivados</v>
      </c>
      <c r="F2175" s="62">
        <v>2911532</v>
      </c>
      <c r="G2175" s="56" t="str">
        <f>VLOOKUP(C2175,clientes!$C$3:$D$60,2,FALSE)</f>
        <v>SUL PLATA</v>
      </c>
    </row>
    <row r="2176" spans="1:7" x14ac:dyDescent="0.25">
      <c r="A2176">
        <v>2026</v>
      </c>
      <c r="B2176" t="s">
        <v>137</v>
      </c>
      <c r="C2176" t="s">
        <v>161</v>
      </c>
      <c r="D2176" t="s">
        <v>120</v>
      </c>
      <c r="E2176" t="str">
        <f>VLOOKUP(D2176,'Lista de Produtos CLASSIFICAÇÃO'!$A$103:$B$144,2,FALSE)</f>
        <v>Derivados</v>
      </c>
      <c r="F2176" s="62">
        <v>2911532</v>
      </c>
      <c r="G2176" s="56" t="str">
        <f>VLOOKUP(C2176,clientes!$C$3:$D$60,2,FALSE)</f>
        <v>SUL PLATA</v>
      </c>
    </row>
    <row r="2177" spans="1:7" x14ac:dyDescent="0.25">
      <c r="A2177">
        <v>2026</v>
      </c>
      <c r="B2177" t="s">
        <v>138</v>
      </c>
      <c r="C2177" t="s">
        <v>161</v>
      </c>
      <c r="D2177" t="s">
        <v>120</v>
      </c>
      <c r="E2177" t="str">
        <f>VLOOKUP(D2177,'Lista de Produtos CLASSIFICAÇÃO'!$A$103:$B$144,2,FALSE)</f>
        <v>Derivados</v>
      </c>
      <c r="F2177" s="62">
        <v>2911532</v>
      </c>
      <c r="G2177" s="56" t="str">
        <f>VLOOKUP(C2177,clientes!$C$3:$D$60,2,FALSE)</f>
        <v>SUL PLATA</v>
      </c>
    </row>
    <row r="2178" spans="1:7" x14ac:dyDescent="0.25">
      <c r="A2178">
        <v>2026</v>
      </c>
      <c r="B2178" t="s">
        <v>139</v>
      </c>
      <c r="C2178" t="s">
        <v>161</v>
      </c>
      <c r="D2178" t="s">
        <v>120</v>
      </c>
      <c r="E2178" t="str">
        <f>VLOOKUP(D2178,'Lista de Produtos CLASSIFICAÇÃO'!$A$103:$B$144,2,FALSE)</f>
        <v>Derivados</v>
      </c>
      <c r="F2178" s="62">
        <v>2911532</v>
      </c>
      <c r="G2178" s="56" t="str">
        <f>VLOOKUP(C2178,clientes!$C$3:$D$60,2,FALSE)</f>
        <v>SUL PLATA</v>
      </c>
    </row>
    <row r="2179" spans="1:7" x14ac:dyDescent="0.25">
      <c r="A2179">
        <v>2026</v>
      </c>
      <c r="B2179" t="s">
        <v>140</v>
      </c>
      <c r="C2179" t="s">
        <v>161</v>
      </c>
      <c r="D2179" t="s">
        <v>120</v>
      </c>
      <c r="E2179" t="str">
        <f>VLOOKUP(D2179,'Lista de Produtos CLASSIFICAÇÃO'!$A$103:$B$144,2,FALSE)</f>
        <v>Derivados</v>
      </c>
      <c r="F2179" s="62">
        <v>2911532</v>
      </c>
      <c r="G2179" s="56" t="str">
        <f>VLOOKUP(C2179,clientes!$C$3:$D$60,2,FALSE)</f>
        <v>SUL PLATA</v>
      </c>
    </row>
    <row r="2180" spans="1:7" x14ac:dyDescent="0.25">
      <c r="A2180">
        <v>2026</v>
      </c>
      <c r="B2180" t="s">
        <v>141</v>
      </c>
      <c r="C2180" t="s">
        <v>161</v>
      </c>
      <c r="D2180" t="s">
        <v>120</v>
      </c>
      <c r="E2180" t="str">
        <f>VLOOKUP(D2180,'Lista de Produtos CLASSIFICAÇÃO'!$A$103:$B$144,2,FALSE)</f>
        <v>Derivados</v>
      </c>
      <c r="F2180" s="62">
        <v>2911532</v>
      </c>
      <c r="G2180" s="56" t="str">
        <f>VLOOKUP(C2180,clientes!$C$3:$D$60,2,FALSE)</f>
        <v>SUL PLATA</v>
      </c>
    </row>
    <row r="2181" spans="1:7" x14ac:dyDescent="0.25">
      <c r="A2181">
        <v>2026</v>
      </c>
      <c r="B2181" t="s">
        <v>142</v>
      </c>
      <c r="C2181" t="s">
        <v>161</v>
      </c>
      <c r="D2181" t="s">
        <v>120</v>
      </c>
      <c r="E2181" t="str">
        <f>VLOOKUP(D2181,'Lista de Produtos CLASSIFICAÇÃO'!$A$103:$B$144,2,FALSE)</f>
        <v>Derivados</v>
      </c>
      <c r="F2181" s="62">
        <v>2911532</v>
      </c>
      <c r="G2181" s="56" t="str">
        <f>VLOOKUP(C2181,clientes!$C$3:$D$60,2,FALSE)</f>
        <v>SUL PLATA</v>
      </c>
    </row>
    <row r="2182" spans="1:7" x14ac:dyDescent="0.25">
      <c r="A2182">
        <v>2026</v>
      </c>
      <c r="B2182" t="s">
        <v>143</v>
      </c>
      <c r="C2182" t="s">
        <v>162</v>
      </c>
      <c r="D2182" t="s">
        <v>115</v>
      </c>
      <c r="E2182" t="s">
        <v>245</v>
      </c>
      <c r="F2182" s="62">
        <v>217045</v>
      </c>
      <c r="G2182" s="56" t="str">
        <f>VLOOKUP(C2182,clientes!$C$3:$D$60,2,FALSE)</f>
        <v>JBS</v>
      </c>
    </row>
    <row r="2183" spans="1:7" x14ac:dyDescent="0.25">
      <c r="A2183">
        <v>2026</v>
      </c>
      <c r="B2183" t="s">
        <v>132</v>
      </c>
      <c r="C2183" t="s">
        <v>162</v>
      </c>
      <c r="D2183" t="s">
        <v>115</v>
      </c>
      <c r="E2183" t="s">
        <v>245</v>
      </c>
      <c r="F2183" s="62">
        <v>217045</v>
      </c>
      <c r="G2183" s="56" t="str">
        <f>VLOOKUP(C2183,clientes!$C$3:$D$60,2,FALSE)</f>
        <v>JBS</v>
      </c>
    </row>
    <row r="2184" spans="1:7" x14ac:dyDescent="0.25">
      <c r="A2184">
        <v>2026</v>
      </c>
      <c r="B2184" t="s">
        <v>133</v>
      </c>
      <c r="C2184" t="s">
        <v>162</v>
      </c>
      <c r="D2184" t="s">
        <v>115</v>
      </c>
      <c r="E2184" t="s">
        <v>245</v>
      </c>
      <c r="F2184" s="62">
        <v>217045</v>
      </c>
      <c r="G2184" s="56" t="str">
        <f>VLOOKUP(C2184,clientes!$C$3:$D$60,2,FALSE)</f>
        <v>JBS</v>
      </c>
    </row>
    <row r="2185" spans="1:7" x14ac:dyDescent="0.25">
      <c r="A2185">
        <v>2026</v>
      </c>
      <c r="B2185" t="s">
        <v>134</v>
      </c>
      <c r="C2185" t="s">
        <v>162</v>
      </c>
      <c r="D2185" t="s">
        <v>115</v>
      </c>
      <c r="E2185" t="str">
        <f>VLOOKUP(D2185,'Lista de Produtos CLASSIFICAÇÃO'!$A$103:$B$144,2,FALSE)</f>
        <v>Soda Caustica</v>
      </c>
      <c r="F2185" s="62">
        <v>217045</v>
      </c>
      <c r="G2185" s="56" t="str">
        <f>VLOOKUP(C2185,clientes!$C$3:$D$60,2,FALSE)</f>
        <v>JBS</v>
      </c>
    </row>
    <row r="2186" spans="1:7" x14ac:dyDescent="0.25">
      <c r="A2186">
        <v>2026</v>
      </c>
      <c r="B2186" t="s">
        <v>135</v>
      </c>
      <c r="C2186" t="s">
        <v>162</v>
      </c>
      <c r="D2186" t="s">
        <v>115</v>
      </c>
      <c r="E2186" t="str">
        <f>VLOOKUP(D2186,'Lista de Produtos CLASSIFICAÇÃO'!$A$103:$B$144,2,FALSE)</f>
        <v>Soda Caustica</v>
      </c>
      <c r="F2186" s="62">
        <v>217045</v>
      </c>
      <c r="G2186" s="56" t="str">
        <f>VLOOKUP(C2186,clientes!$C$3:$D$60,2,FALSE)</f>
        <v>JBS</v>
      </c>
    </row>
    <row r="2187" spans="1:7" x14ac:dyDescent="0.25">
      <c r="A2187">
        <v>2026</v>
      </c>
      <c r="B2187" t="s">
        <v>136</v>
      </c>
      <c r="C2187" t="s">
        <v>162</v>
      </c>
      <c r="D2187" t="s">
        <v>115</v>
      </c>
      <c r="E2187" t="str">
        <f>VLOOKUP(D2187,'Lista de Produtos CLASSIFICAÇÃO'!$A$103:$B$144,2,FALSE)</f>
        <v>Soda Caustica</v>
      </c>
      <c r="F2187" s="62">
        <v>217045</v>
      </c>
      <c r="G2187" s="56" t="str">
        <f>VLOOKUP(C2187,clientes!$C$3:$D$60,2,FALSE)</f>
        <v>JBS</v>
      </c>
    </row>
    <row r="2188" spans="1:7" x14ac:dyDescent="0.25">
      <c r="A2188">
        <v>2026</v>
      </c>
      <c r="B2188" t="s">
        <v>137</v>
      </c>
      <c r="C2188" t="s">
        <v>162</v>
      </c>
      <c r="D2188" t="s">
        <v>115</v>
      </c>
      <c r="E2188" t="str">
        <f>VLOOKUP(D2188,'Lista de Produtos CLASSIFICAÇÃO'!$A$103:$B$144,2,FALSE)</f>
        <v>Soda Caustica</v>
      </c>
      <c r="F2188" s="62">
        <v>217045</v>
      </c>
      <c r="G2188" s="56" t="str">
        <f>VLOOKUP(C2188,clientes!$C$3:$D$60,2,FALSE)</f>
        <v>JBS</v>
      </c>
    </row>
    <row r="2189" spans="1:7" x14ac:dyDescent="0.25">
      <c r="A2189">
        <v>2026</v>
      </c>
      <c r="B2189" t="s">
        <v>138</v>
      </c>
      <c r="C2189" t="s">
        <v>162</v>
      </c>
      <c r="D2189" t="s">
        <v>115</v>
      </c>
      <c r="E2189" t="str">
        <f>VLOOKUP(D2189,'Lista de Produtos CLASSIFICAÇÃO'!$A$103:$B$144,2,FALSE)</f>
        <v>Soda Caustica</v>
      </c>
      <c r="F2189" s="62">
        <v>217045</v>
      </c>
      <c r="G2189" s="56" t="str">
        <f>VLOOKUP(C2189,clientes!$C$3:$D$60,2,FALSE)</f>
        <v>JBS</v>
      </c>
    </row>
    <row r="2190" spans="1:7" x14ac:dyDescent="0.25">
      <c r="A2190">
        <v>2026</v>
      </c>
      <c r="B2190" t="s">
        <v>139</v>
      </c>
      <c r="C2190" t="s">
        <v>162</v>
      </c>
      <c r="D2190" t="s">
        <v>115</v>
      </c>
      <c r="E2190" t="str">
        <f>VLOOKUP(D2190,'Lista de Produtos CLASSIFICAÇÃO'!$A$103:$B$144,2,FALSE)</f>
        <v>Soda Caustica</v>
      </c>
      <c r="F2190" s="62">
        <v>217045</v>
      </c>
      <c r="G2190" s="56" t="str">
        <f>VLOOKUP(C2190,clientes!$C$3:$D$60,2,FALSE)</f>
        <v>JBS</v>
      </c>
    </row>
    <row r="2191" spans="1:7" x14ac:dyDescent="0.25">
      <c r="A2191">
        <v>2026</v>
      </c>
      <c r="B2191" t="s">
        <v>140</v>
      </c>
      <c r="C2191" t="s">
        <v>162</v>
      </c>
      <c r="D2191" t="s">
        <v>115</v>
      </c>
      <c r="E2191" t="str">
        <f>VLOOKUP(D2191,'Lista de Produtos CLASSIFICAÇÃO'!$A$103:$B$144,2,FALSE)</f>
        <v>Soda Caustica</v>
      </c>
      <c r="F2191" s="62">
        <v>226921</v>
      </c>
      <c r="G2191" s="56" t="str">
        <f>VLOOKUP(C2191,clientes!$C$3:$D$60,2,FALSE)</f>
        <v>JBS</v>
      </c>
    </row>
    <row r="2192" spans="1:7" x14ac:dyDescent="0.25">
      <c r="A2192">
        <v>2026</v>
      </c>
      <c r="B2192" t="s">
        <v>141</v>
      </c>
      <c r="C2192" t="s">
        <v>162</v>
      </c>
      <c r="D2192" t="s">
        <v>115</v>
      </c>
      <c r="E2192" t="str">
        <f>VLOOKUP(D2192,'Lista de Produtos CLASSIFICAÇÃO'!$A$103:$B$144,2,FALSE)</f>
        <v>Soda Caustica</v>
      </c>
      <c r="F2192" s="62">
        <v>226921</v>
      </c>
      <c r="G2192" s="56" t="str">
        <f>VLOOKUP(C2192,clientes!$C$3:$D$60,2,FALSE)</f>
        <v>JBS</v>
      </c>
    </row>
    <row r="2193" spans="1:7" x14ac:dyDescent="0.25">
      <c r="A2193">
        <v>2026</v>
      </c>
      <c r="B2193" t="s">
        <v>142</v>
      </c>
      <c r="C2193" t="s">
        <v>162</v>
      </c>
      <c r="D2193" t="s">
        <v>115</v>
      </c>
      <c r="E2193" t="str">
        <f>VLOOKUP(D2193,'Lista de Produtos CLASSIFICAÇÃO'!$A$103:$B$144,2,FALSE)</f>
        <v>Soda Caustica</v>
      </c>
      <c r="F2193" s="62">
        <v>226921</v>
      </c>
      <c r="G2193" s="56" t="str">
        <f>VLOOKUP(C2193,clientes!$C$3:$D$60,2,FALSE)</f>
        <v>JBS</v>
      </c>
    </row>
    <row r="2194" spans="1:7" x14ac:dyDescent="0.25">
      <c r="A2194">
        <v>2026</v>
      </c>
      <c r="B2194" t="s">
        <v>143</v>
      </c>
      <c r="C2194" t="s">
        <v>163</v>
      </c>
      <c r="D2194" t="s">
        <v>115</v>
      </c>
      <c r="E2194" t="s">
        <v>245</v>
      </c>
      <c r="F2194" s="62">
        <v>491739</v>
      </c>
      <c r="G2194" s="56" t="str">
        <f>VLOOKUP(C2194,clientes!$C$3:$D$60,2,FALSE)</f>
        <v>TRICON ENERGY</v>
      </c>
    </row>
    <row r="2195" spans="1:7" x14ac:dyDescent="0.25">
      <c r="A2195">
        <v>2026</v>
      </c>
      <c r="B2195" t="s">
        <v>132</v>
      </c>
      <c r="C2195" t="s">
        <v>163</v>
      </c>
      <c r="D2195" t="s">
        <v>115</v>
      </c>
      <c r="E2195" t="s">
        <v>245</v>
      </c>
      <c r="F2195" s="62">
        <v>491739</v>
      </c>
      <c r="G2195" s="56" t="str">
        <f>VLOOKUP(C2195,clientes!$C$3:$D$60,2,FALSE)</f>
        <v>TRICON ENERGY</v>
      </c>
    </row>
    <row r="2196" spans="1:7" x14ac:dyDescent="0.25">
      <c r="A2196">
        <v>2026</v>
      </c>
      <c r="B2196" t="s">
        <v>133</v>
      </c>
      <c r="C2196" t="s">
        <v>163</v>
      </c>
      <c r="D2196" t="s">
        <v>115</v>
      </c>
      <c r="E2196" t="s">
        <v>245</v>
      </c>
      <c r="F2196" s="62">
        <v>491739</v>
      </c>
      <c r="G2196" s="56" t="str">
        <f>VLOOKUP(C2196,clientes!$C$3:$D$60,2,FALSE)</f>
        <v>TRICON ENERGY</v>
      </c>
    </row>
    <row r="2197" spans="1:7" x14ac:dyDescent="0.25">
      <c r="A2197">
        <v>2026</v>
      </c>
      <c r="B2197" t="s">
        <v>134</v>
      </c>
      <c r="C2197" t="s">
        <v>163</v>
      </c>
      <c r="D2197" t="s">
        <v>115</v>
      </c>
      <c r="E2197" t="str">
        <f>VLOOKUP(D2197,'Lista de Produtos CLASSIFICAÇÃO'!$A$103:$B$144,2,FALSE)</f>
        <v>Soda Caustica</v>
      </c>
      <c r="F2197" s="62">
        <v>491739</v>
      </c>
      <c r="G2197" s="56" t="str">
        <f>VLOOKUP(C2197,clientes!$C$3:$D$60,2,FALSE)</f>
        <v>TRICON ENERGY</v>
      </c>
    </row>
    <row r="2198" spans="1:7" x14ac:dyDescent="0.25">
      <c r="A2198">
        <v>2026</v>
      </c>
      <c r="B2198" t="s">
        <v>135</v>
      </c>
      <c r="C2198" t="s">
        <v>163</v>
      </c>
      <c r="D2198" t="s">
        <v>115</v>
      </c>
      <c r="E2198" t="str">
        <f>VLOOKUP(D2198,'Lista de Produtos CLASSIFICAÇÃO'!$A$103:$B$144,2,FALSE)</f>
        <v>Soda Caustica</v>
      </c>
      <c r="F2198" s="62">
        <v>491739</v>
      </c>
      <c r="G2198" s="56" t="str">
        <f>VLOOKUP(C2198,clientes!$C$3:$D$60,2,FALSE)</f>
        <v>TRICON ENERGY</v>
      </c>
    </row>
    <row r="2199" spans="1:7" x14ac:dyDescent="0.25">
      <c r="A2199">
        <v>2026</v>
      </c>
      <c r="B2199" t="s">
        <v>136</v>
      </c>
      <c r="C2199" t="s">
        <v>163</v>
      </c>
      <c r="D2199" t="s">
        <v>115</v>
      </c>
      <c r="E2199" t="str">
        <f>VLOOKUP(D2199,'Lista de Produtos CLASSIFICAÇÃO'!$A$103:$B$144,2,FALSE)</f>
        <v>Soda Caustica</v>
      </c>
      <c r="F2199" s="62">
        <v>491739</v>
      </c>
      <c r="G2199" s="56" t="str">
        <f>VLOOKUP(C2199,clientes!$C$3:$D$60,2,FALSE)</f>
        <v>TRICON ENERGY</v>
      </c>
    </row>
    <row r="2200" spans="1:7" x14ac:dyDescent="0.25">
      <c r="A2200">
        <v>2026</v>
      </c>
      <c r="B2200" t="s">
        <v>137</v>
      </c>
      <c r="C2200" t="s">
        <v>163</v>
      </c>
      <c r="D2200" t="s">
        <v>115</v>
      </c>
      <c r="E2200" t="str">
        <f>VLOOKUP(D2200,'Lista de Produtos CLASSIFICAÇÃO'!$A$103:$B$144,2,FALSE)</f>
        <v>Soda Caustica</v>
      </c>
      <c r="F2200" s="62">
        <v>491739</v>
      </c>
      <c r="G2200" s="56" t="str">
        <f>VLOOKUP(C2200,clientes!$C$3:$D$60,2,FALSE)</f>
        <v>TRICON ENERGY</v>
      </c>
    </row>
    <row r="2201" spans="1:7" x14ac:dyDescent="0.25">
      <c r="A2201">
        <v>2026</v>
      </c>
      <c r="B2201" t="s">
        <v>138</v>
      </c>
      <c r="C2201" t="s">
        <v>163</v>
      </c>
      <c r="D2201" t="s">
        <v>115</v>
      </c>
      <c r="E2201" t="str">
        <f>VLOOKUP(D2201,'Lista de Produtos CLASSIFICAÇÃO'!$A$103:$B$144,2,FALSE)</f>
        <v>Soda Caustica</v>
      </c>
      <c r="F2201" s="62">
        <v>491739</v>
      </c>
      <c r="G2201" s="56" t="str">
        <f>VLOOKUP(C2201,clientes!$C$3:$D$60,2,FALSE)</f>
        <v>TRICON ENERGY</v>
      </c>
    </row>
    <row r="2202" spans="1:7" x14ac:dyDescent="0.25">
      <c r="A2202">
        <v>2026</v>
      </c>
      <c r="B2202" t="s">
        <v>139</v>
      </c>
      <c r="C2202" t="s">
        <v>163</v>
      </c>
      <c r="D2202" t="s">
        <v>115</v>
      </c>
      <c r="E2202" t="str">
        <f>VLOOKUP(D2202,'Lista de Produtos CLASSIFICAÇÃO'!$A$103:$B$144,2,FALSE)</f>
        <v>Soda Caustica</v>
      </c>
      <c r="F2202" s="62">
        <v>491739</v>
      </c>
      <c r="G2202" s="56" t="str">
        <f>VLOOKUP(C2202,clientes!$C$3:$D$60,2,FALSE)</f>
        <v>TRICON ENERGY</v>
      </c>
    </row>
    <row r="2203" spans="1:7" x14ac:dyDescent="0.25">
      <c r="A2203">
        <v>2026</v>
      </c>
      <c r="B2203" t="s">
        <v>140</v>
      </c>
      <c r="C2203" t="s">
        <v>163</v>
      </c>
      <c r="D2203" t="s">
        <v>115</v>
      </c>
      <c r="E2203" t="str">
        <f>VLOOKUP(D2203,'Lista de Produtos CLASSIFICAÇÃO'!$A$103:$B$144,2,FALSE)</f>
        <v>Soda Caustica</v>
      </c>
      <c r="F2203" s="62">
        <v>491739</v>
      </c>
      <c r="G2203" s="56" t="str">
        <f>VLOOKUP(C2203,clientes!$C$3:$D$60,2,FALSE)</f>
        <v>TRICON ENERGY</v>
      </c>
    </row>
    <row r="2204" spans="1:7" x14ac:dyDescent="0.25">
      <c r="A2204">
        <v>2026</v>
      </c>
      <c r="B2204" t="s">
        <v>141</v>
      </c>
      <c r="C2204" t="s">
        <v>163</v>
      </c>
      <c r="D2204" t="s">
        <v>115</v>
      </c>
      <c r="E2204" t="str">
        <f>VLOOKUP(D2204,'Lista de Produtos CLASSIFICAÇÃO'!$A$103:$B$144,2,FALSE)</f>
        <v>Soda Caustica</v>
      </c>
      <c r="F2204" s="62">
        <v>491739</v>
      </c>
      <c r="G2204" s="56" t="str">
        <f>VLOOKUP(C2204,clientes!$C$3:$D$60,2,FALSE)</f>
        <v>TRICON ENERGY</v>
      </c>
    </row>
    <row r="2205" spans="1:7" x14ac:dyDescent="0.25">
      <c r="A2205">
        <v>2026</v>
      </c>
      <c r="B2205" t="s">
        <v>142</v>
      </c>
      <c r="C2205" t="s">
        <v>163</v>
      </c>
      <c r="D2205" t="s">
        <v>115</v>
      </c>
      <c r="E2205" t="str">
        <f>VLOOKUP(D2205,'Lista de Produtos CLASSIFICAÇÃO'!$A$103:$B$144,2,FALSE)</f>
        <v>Soda Caustica</v>
      </c>
      <c r="F2205" s="62">
        <v>491739</v>
      </c>
      <c r="G2205" s="56" t="str">
        <f>VLOOKUP(C2205,clientes!$C$3:$D$60,2,FALSE)</f>
        <v>TRICON ENERGY</v>
      </c>
    </row>
    <row r="2206" spans="1:7" x14ac:dyDescent="0.25">
      <c r="A2206">
        <v>2026</v>
      </c>
      <c r="B2206" t="s">
        <v>143</v>
      </c>
      <c r="C2206" t="s">
        <v>165</v>
      </c>
      <c r="D2206" t="s">
        <v>123</v>
      </c>
      <c r="E2206" t="str">
        <f>VLOOKUP(D2206,'Lista de Produtos CLASSIFICAÇÃO'!$A$103:$B$144,2,FALSE)</f>
        <v>Aquecidos</v>
      </c>
      <c r="F2206" s="62">
        <v>1075596</v>
      </c>
      <c r="G2206" s="56" t="str">
        <f>VLOOKUP(C2206,clientes!$C$3:$D$60,2,FALSE)</f>
        <v>BRF</v>
      </c>
    </row>
    <row r="2207" spans="1:7" x14ac:dyDescent="0.25">
      <c r="A2207">
        <v>2026</v>
      </c>
      <c r="B2207" t="s">
        <v>132</v>
      </c>
      <c r="C2207" t="s">
        <v>165</v>
      </c>
      <c r="D2207" t="s">
        <v>123</v>
      </c>
      <c r="E2207" t="str">
        <f>VLOOKUP(D2207,'Lista de Produtos CLASSIFICAÇÃO'!$A$103:$B$144,2,FALSE)</f>
        <v>Aquecidos</v>
      </c>
      <c r="F2207" s="62">
        <v>1075596</v>
      </c>
      <c r="G2207" s="56" t="str">
        <f>VLOOKUP(C2207,clientes!$C$3:$D$60,2,FALSE)</f>
        <v>BRF</v>
      </c>
    </row>
    <row r="2208" spans="1:7" x14ac:dyDescent="0.25">
      <c r="A2208">
        <v>2026</v>
      </c>
      <c r="B2208" t="s">
        <v>133</v>
      </c>
      <c r="C2208" t="s">
        <v>165</v>
      </c>
      <c r="D2208" t="s">
        <v>123</v>
      </c>
      <c r="E2208" t="str">
        <f>VLOOKUP(D2208,'Lista de Produtos CLASSIFICAÇÃO'!$A$103:$B$144,2,FALSE)</f>
        <v>Aquecidos</v>
      </c>
      <c r="F2208" s="62">
        <v>1075596</v>
      </c>
      <c r="G2208" s="56" t="str">
        <f>VLOOKUP(C2208,clientes!$C$3:$D$60,2,FALSE)</f>
        <v>BRF</v>
      </c>
    </row>
    <row r="2209" spans="1:7" x14ac:dyDescent="0.25">
      <c r="A2209">
        <v>2026</v>
      </c>
      <c r="B2209" t="s">
        <v>134</v>
      </c>
      <c r="C2209" t="s">
        <v>165</v>
      </c>
      <c r="D2209" t="s">
        <v>123</v>
      </c>
      <c r="E2209" t="str">
        <f>VLOOKUP(D2209,'Lista de Produtos CLASSIFICAÇÃO'!$A$103:$B$144,2,FALSE)</f>
        <v>Aquecidos</v>
      </c>
      <c r="F2209" s="62">
        <v>1075596</v>
      </c>
      <c r="G2209" s="56" t="str">
        <f>VLOOKUP(C2209,clientes!$C$3:$D$60,2,FALSE)</f>
        <v>BRF</v>
      </c>
    </row>
    <row r="2210" spans="1:7" x14ac:dyDescent="0.25">
      <c r="A2210">
        <v>2026</v>
      </c>
      <c r="B2210" t="s">
        <v>135</v>
      </c>
      <c r="C2210" t="s">
        <v>165</v>
      </c>
      <c r="D2210" t="s">
        <v>123</v>
      </c>
      <c r="E2210" t="str">
        <f>VLOOKUP(D2210,'Lista de Produtos CLASSIFICAÇÃO'!$A$103:$B$144,2,FALSE)</f>
        <v>Aquecidos</v>
      </c>
      <c r="F2210" s="62">
        <v>1124536</v>
      </c>
      <c r="G2210" s="56" t="str">
        <f>VLOOKUP(C2210,clientes!$C$3:$D$60,2,FALSE)</f>
        <v>BRF</v>
      </c>
    </row>
    <row r="2211" spans="1:7" x14ac:dyDescent="0.25">
      <c r="A2211">
        <v>2026</v>
      </c>
      <c r="B2211" t="s">
        <v>136</v>
      </c>
      <c r="C2211" t="s">
        <v>165</v>
      </c>
      <c r="D2211" t="s">
        <v>123</v>
      </c>
      <c r="E2211" t="str">
        <f>VLOOKUP(D2211,'Lista de Produtos CLASSIFICAÇÃO'!$A$103:$B$144,2,FALSE)</f>
        <v>Aquecidos</v>
      </c>
      <c r="F2211" s="62">
        <v>1124536</v>
      </c>
      <c r="G2211" s="56" t="str">
        <f>VLOOKUP(C2211,clientes!$C$3:$D$60,2,FALSE)</f>
        <v>BRF</v>
      </c>
    </row>
    <row r="2212" spans="1:7" x14ac:dyDescent="0.25">
      <c r="A2212">
        <v>2026</v>
      </c>
      <c r="B2212" t="s">
        <v>137</v>
      </c>
      <c r="C2212" t="s">
        <v>165</v>
      </c>
      <c r="D2212" t="s">
        <v>123</v>
      </c>
      <c r="E2212" t="str">
        <f>VLOOKUP(D2212,'Lista de Produtos CLASSIFICAÇÃO'!$A$103:$B$144,2,FALSE)</f>
        <v>Aquecidos</v>
      </c>
      <c r="F2212" s="62">
        <v>1124536</v>
      </c>
      <c r="G2212" s="56" t="str">
        <f>VLOOKUP(C2212,clientes!$C$3:$D$60,2,FALSE)</f>
        <v>BRF</v>
      </c>
    </row>
    <row r="2213" spans="1:7" x14ac:dyDescent="0.25">
      <c r="A2213">
        <v>2026</v>
      </c>
      <c r="B2213" t="s">
        <v>138</v>
      </c>
      <c r="C2213" t="s">
        <v>165</v>
      </c>
      <c r="D2213" t="s">
        <v>123</v>
      </c>
      <c r="E2213" t="str">
        <f>VLOOKUP(D2213,'Lista de Produtos CLASSIFICAÇÃO'!$A$103:$B$144,2,FALSE)</f>
        <v>Aquecidos</v>
      </c>
      <c r="F2213" s="62">
        <v>1124536</v>
      </c>
      <c r="G2213" s="56" t="str">
        <f>VLOOKUP(C2213,clientes!$C$3:$D$60,2,FALSE)</f>
        <v>BRF</v>
      </c>
    </row>
    <row r="2214" spans="1:7" x14ac:dyDescent="0.25">
      <c r="A2214">
        <v>2026</v>
      </c>
      <c r="B2214" t="s">
        <v>139</v>
      </c>
      <c r="C2214" t="s">
        <v>165</v>
      </c>
      <c r="D2214" t="s">
        <v>123</v>
      </c>
      <c r="E2214" t="str">
        <f>VLOOKUP(D2214,'Lista de Produtos CLASSIFICAÇÃO'!$A$103:$B$144,2,FALSE)</f>
        <v>Aquecidos</v>
      </c>
      <c r="F2214" s="62">
        <v>1124536</v>
      </c>
      <c r="G2214" s="56" t="str">
        <f>VLOOKUP(C2214,clientes!$C$3:$D$60,2,FALSE)</f>
        <v>BRF</v>
      </c>
    </row>
    <row r="2215" spans="1:7" x14ac:dyDescent="0.25">
      <c r="A2215">
        <v>2026</v>
      </c>
      <c r="B2215" t="s">
        <v>140</v>
      </c>
      <c r="C2215" t="s">
        <v>165</v>
      </c>
      <c r="D2215" t="s">
        <v>123</v>
      </c>
      <c r="E2215" t="str">
        <f>VLOOKUP(D2215,'Lista de Produtos CLASSIFICAÇÃO'!$A$103:$B$144,2,FALSE)</f>
        <v>Aquecidos</v>
      </c>
      <c r="F2215" s="62">
        <v>1124536</v>
      </c>
      <c r="G2215" s="56" t="str">
        <f>VLOOKUP(C2215,clientes!$C$3:$D$60,2,FALSE)</f>
        <v>BRF</v>
      </c>
    </row>
    <row r="2216" spans="1:7" x14ac:dyDescent="0.25">
      <c r="A2216">
        <v>2026</v>
      </c>
      <c r="B2216" t="s">
        <v>141</v>
      </c>
      <c r="C2216" t="s">
        <v>165</v>
      </c>
      <c r="D2216" t="s">
        <v>123</v>
      </c>
      <c r="E2216" t="str">
        <f>VLOOKUP(D2216,'Lista de Produtos CLASSIFICAÇÃO'!$A$103:$B$144,2,FALSE)</f>
        <v>Aquecidos</v>
      </c>
      <c r="F2216" s="62">
        <v>1124536</v>
      </c>
      <c r="G2216" s="56" t="str">
        <f>VLOOKUP(C2216,clientes!$C$3:$D$60,2,FALSE)</f>
        <v>BRF</v>
      </c>
    </row>
    <row r="2217" spans="1:7" x14ac:dyDescent="0.25">
      <c r="A2217">
        <v>2026</v>
      </c>
      <c r="B2217" t="s">
        <v>142</v>
      </c>
      <c r="C2217" t="s">
        <v>165</v>
      </c>
      <c r="D2217" t="s">
        <v>123</v>
      </c>
      <c r="E2217" t="str">
        <f>VLOOKUP(D2217,'Lista de Produtos CLASSIFICAÇÃO'!$A$103:$B$144,2,FALSE)</f>
        <v>Aquecidos</v>
      </c>
      <c r="F2217" s="62">
        <v>1124536</v>
      </c>
      <c r="G2217" s="56" t="str">
        <f>VLOOKUP(C2217,clientes!$C$3:$D$60,2,FALSE)</f>
        <v>BRF</v>
      </c>
    </row>
    <row r="2218" spans="1:7" x14ac:dyDescent="0.25">
      <c r="A2218">
        <v>2026</v>
      </c>
      <c r="B2218" t="s">
        <v>143</v>
      </c>
      <c r="C2218" t="s">
        <v>162</v>
      </c>
      <c r="D2218" t="s">
        <v>123</v>
      </c>
      <c r="E2218" t="str">
        <f>VLOOKUP(D2218,'Lista de Produtos CLASSIFICAÇÃO'!$A$103:$B$144,2,FALSE)</f>
        <v>Aquecidos</v>
      </c>
      <c r="F2218" s="62">
        <v>503861</v>
      </c>
      <c r="G2218" s="56" t="str">
        <f>VLOOKUP(C2218,clientes!$C$3:$D$60,2,FALSE)</f>
        <v>JBS</v>
      </c>
    </row>
    <row r="2219" spans="1:7" x14ac:dyDescent="0.25">
      <c r="A2219">
        <v>2026</v>
      </c>
      <c r="B2219" t="s">
        <v>132</v>
      </c>
      <c r="C2219" t="s">
        <v>162</v>
      </c>
      <c r="D2219" t="s">
        <v>123</v>
      </c>
      <c r="E2219" t="str">
        <f>VLOOKUP(D2219,'Lista de Produtos CLASSIFICAÇÃO'!$A$103:$B$144,2,FALSE)</f>
        <v>Aquecidos</v>
      </c>
      <c r="F2219" s="62">
        <v>503861</v>
      </c>
      <c r="G2219" s="56" t="str">
        <f>VLOOKUP(C2219,clientes!$C$3:$D$60,2,FALSE)</f>
        <v>JBS</v>
      </c>
    </row>
    <row r="2220" spans="1:7" x14ac:dyDescent="0.25">
      <c r="A2220">
        <v>2026</v>
      </c>
      <c r="B2220" t="s">
        <v>133</v>
      </c>
      <c r="C2220" t="s">
        <v>162</v>
      </c>
      <c r="D2220" t="s">
        <v>123</v>
      </c>
      <c r="E2220" t="str">
        <f>VLOOKUP(D2220,'Lista de Produtos CLASSIFICAÇÃO'!$A$103:$B$144,2,FALSE)</f>
        <v>Aquecidos</v>
      </c>
      <c r="F2220" s="62">
        <v>503861</v>
      </c>
      <c r="G2220" s="56" t="str">
        <f>VLOOKUP(C2220,clientes!$C$3:$D$60,2,FALSE)</f>
        <v>JBS</v>
      </c>
    </row>
    <row r="2221" spans="1:7" x14ac:dyDescent="0.25">
      <c r="A2221">
        <v>2026</v>
      </c>
      <c r="B2221" t="s">
        <v>134</v>
      </c>
      <c r="C2221" t="s">
        <v>162</v>
      </c>
      <c r="D2221" t="s">
        <v>123</v>
      </c>
      <c r="E2221" t="str">
        <f>VLOOKUP(D2221,'Lista de Produtos CLASSIFICAÇÃO'!$A$103:$B$144,2,FALSE)</f>
        <v>Aquecidos</v>
      </c>
      <c r="F2221" s="62">
        <v>503861</v>
      </c>
      <c r="G2221" s="56" t="str">
        <f>VLOOKUP(C2221,clientes!$C$3:$D$60,2,FALSE)</f>
        <v>JBS</v>
      </c>
    </row>
    <row r="2222" spans="1:7" x14ac:dyDescent="0.25">
      <c r="A2222">
        <v>2026</v>
      </c>
      <c r="B2222" t="s">
        <v>135</v>
      </c>
      <c r="C2222" t="s">
        <v>162</v>
      </c>
      <c r="D2222" t="s">
        <v>123</v>
      </c>
      <c r="E2222" t="str">
        <f>VLOOKUP(D2222,'Lista de Produtos CLASSIFICAÇÃO'!$A$103:$B$144,2,FALSE)</f>
        <v>Aquecidos</v>
      </c>
      <c r="F2222" s="62">
        <v>503861</v>
      </c>
      <c r="G2222" s="56" t="str">
        <f>VLOOKUP(C2222,clientes!$C$3:$D$60,2,FALSE)</f>
        <v>JBS</v>
      </c>
    </row>
    <row r="2223" spans="1:7" x14ac:dyDescent="0.25">
      <c r="A2223">
        <v>2026</v>
      </c>
      <c r="B2223" t="s">
        <v>136</v>
      </c>
      <c r="C2223" t="s">
        <v>162</v>
      </c>
      <c r="D2223" t="s">
        <v>123</v>
      </c>
      <c r="E2223" t="str">
        <f>VLOOKUP(D2223,'Lista de Produtos CLASSIFICAÇÃO'!$A$103:$B$144,2,FALSE)</f>
        <v>Aquecidos</v>
      </c>
      <c r="F2223" s="62">
        <v>503861</v>
      </c>
      <c r="G2223" s="56" t="str">
        <f>VLOOKUP(C2223,clientes!$C$3:$D$60,2,FALSE)</f>
        <v>JBS</v>
      </c>
    </row>
    <row r="2224" spans="1:7" x14ac:dyDescent="0.25">
      <c r="A2224">
        <v>2026</v>
      </c>
      <c r="B2224" t="s">
        <v>137</v>
      </c>
      <c r="C2224" t="s">
        <v>162</v>
      </c>
      <c r="D2224" t="s">
        <v>123</v>
      </c>
      <c r="E2224" t="str">
        <f>VLOOKUP(D2224,'Lista de Produtos CLASSIFICAÇÃO'!$A$103:$B$144,2,FALSE)</f>
        <v>Aquecidos</v>
      </c>
      <c r="F2224" s="62">
        <v>503861</v>
      </c>
      <c r="G2224" s="56" t="str">
        <f>VLOOKUP(C2224,clientes!$C$3:$D$60,2,FALSE)</f>
        <v>JBS</v>
      </c>
    </row>
    <row r="2225" spans="1:7" x14ac:dyDescent="0.25">
      <c r="A2225">
        <v>2026</v>
      </c>
      <c r="B2225" t="s">
        <v>138</v>
      </c>
      <c r="C2225" t="s">
        <v>162</v>
      </c>
      <c r="D2225" t="s">
        <v>123</v>
      </c>
      <c r="E2225" t="str">
        <f>VLOOKUP(D2225,'Lista de Produtos CLASSIFICAÇÃO'!$A$103:$B$144,2,FALSE)</f>
        <v>Aquecidos</v>
      </c>
      <c r="F2225" s="62">
        <v>503861</v>
      </c>
      <c r="G2225" s="56" t="str">
        <f>VLOOKUP(C2225,clientes!$C$3:$D$60,2,FALSE)</f>
        <v>JBS</v>
      </c>
    </row>
    <row r="2226" spans="1:7" x14ac:dyDescent="0.25">
      <c r="A2226">
        <v>2026</v>
      </c>
      <c r="B2226" t="s">
        <v>139</v>
      </c>
      <c r="C2226" t="s">
        <v>162</v>
      </c>
      <c r="D2226" t="s">
        <v>123</v>
      </c>
      <c r="E2226" t="str">
        <f>VLOOKUP(D2226,'Lista de Produtos CLASSIFICAÇÃO'!$A$103:$B$144,2,FALSE)</f>
        <v>Aquecidos</v>
      </c>
      <c r="F2226" s="62">
        <v>503861</v>
      </c>
      <c r="G2226" s="56" t="str">
        <f>VLOOKUP(C2226,clientes!$C$3:$D$60,2,FALSE)</f>
        <v>JBS</v>
      </c>
    </row>
    <row r="2227" spans="1:7" x14ac:dyDescent="0.25">
      <c r="A2227">
        <v>2026</v>
      </c>
      <c r="B2227" t="s">
        <v>140</v>
      </c>
      <c r="C2227" t="s">
        <v>162</v>
      </c>
      <c r="D2227" t="s">
        <v>123</v>
      </c>
      <c r="E2227" t="str">
        <f>VLOOKUP(D2227,'Lista de Produtos CLASSIFICAÇÃO'!$A$103:$B$144,2,FALSE)</f>
        <v>Aquecidos</v>
      </c>
      <c r="F2227" s="62">
        <v>526787</v>
      </c>
      <c r="G2227" s="56" t="str">
        <f>VLOOKUP(C2227,clientes!$C$3:$D$60,2,FALSE)</f>
        <v>JBS</v>
      </c>
    </row>
    <row r="2228" spans="1:7" x14ac:dyDescent="0.25">
      <c r="A2228">
        <v>2026</v>
      </c>
      <c r="B2228" t="s">
        <v>141</v>
      </c>
      <c r="C2228" t="s">
        <v>162</v>
      </c>
      <c r="D2228" t="s">
        <v>123</v>
      </c>
      <c r="E2228" t="str">
        <f>VLOOKUP(D2228,'Lista de Produtos CLASSIFICAÇÃO'!$A$103:$B$144,2,FALSE)</f>
        <v>Aquecidos</v>
      </c>
      <c r="F2228" s="62">
        <v>526787</v>
      </c>
      <c r="G2228" s="56" t="str">
        <f>VLOOKUP(C2228,clientes!$C$3:$D$60,2,FALSE)</f>
        <v>JBS</v>
      </c>
    </row>
    <row r="2229" spans="1:7" x14ac:dyDescent="0.25">
      <c r="A2229">
        <v>2026</v>
      </c>
      <c r="B2229" t="s">
        <v>142</v>
      </c>
      <c r="C2229" t="s">
        <v>162</v>
      </c>
      <c r="D2229" t="s">
        <v>123</v>
      </c>
      <c r="E2229" t="str">
        <f>VLOOKUP(D2229,'Lista de Produtos CLASSIFICAÇÃO'!$A$103:$B$144,2,FALSE)</f>
        <v>Aquecidos</v>
      </c>
      <c r="F2229" s="62">
        <v>526787</v>
      </c>
      <c r="G2229" s="56" t="str">
        <f>VLOOKUP(C2229,clientes!$C$3:$D$60,2,FALSE)</f>
        <v>JBS</v>
      </c>
    </row>
    <row r="2230" spans="1:7" x14ac:dyDescent="0.25">
      <c r="A2230">
        <v>2026</v>
      </c>
      <c r="B2230" t="s">
        <v>143</v>
      </c>
      <c r="C2230" t="s">
        <v>166</v>
      </c>
      <c r="D2230" t="s">
        <v>123</v>
      </c>
      <c r="E2230" t="str">
        <f>VLOOKUP(D2230,'Lista de Produtos CLASSIFICAÇÃO'!$A$103:$B$144,2,FALSE)</f>
        <v>Aquecidos</v>
      </c>
      <c r="F2230" s="62">
        <v>536615</v>
      </c>
      <c r="G2230" s="56" t="str">
        <f>VLOOKUP(C2230,clientes!$C$3:$D$60,2,FALSE)</f>
        <v>CARGILL</v>
      </c>
    </row>
    <row r="2231" spans="1:7" x14ac:dyDescent="0.25">
      <c r="A2231">
        <v>2026</v>
      </c>
      <c r="B2231" t="s">
        <v>132</v>
      </c>
      <c r="C2231" t="s">
        <v>166</v>
      </c>
      <c r="D2231" t="s">
        <v>123</v>
      </c>
      <c r="E2231" t="str">
        <f>VLOOKUP(D2231,'Lista de Produtos CLASSIFICAÇÃO'!$A$103:$B$144,2,FALSE)</f>
        <v>Aquecidos</v>
      </c>
      <c r="F2231" s="62">
        <v>536615</v>
      </c>
      <c r="G2231" s="56" t="str">
        <f>VLOOKUP(C2231,clientes!$C$3:$D$60,2,FALSE)</f>
        <v>CARGILL</v>
      </c>
    </row>
    <row r="2232" spans="1:7" x14ac:dyDescent="0.25">
      <c r="A2232">
        <v>2026</v>
      </c>
      <c r="B2232" t="s">
        <v>133</v>
      </c>
      <c r="C2232" t="s">
        <v>166</v>
      </c>
      <c r="D2232" t="s">
        <v>123</v>
      </c>
      <c r="E2232" t="str">
        <f>VLOOKUP(D2232,'Lista de Produtos CLASSIFICAÇÃO'!$A$103:$B$144,2,FALSE)</f>
        <v>Aquecidos</v>
      </c>
      <c r="F2232" s="62">
        <v>536615</v>
      </c>
      <c r="G2232" s="56" t="str">
        <f>VLOOKUP(C2232,clientes!$C$3:$D$60,2,FALSE)</f>
        <v>CARGILL</v>
      </c>
    </row>
    <row r="2233" spans="1:7" x14ac:dyDescent="0.25">
      <c r="A2233">
        <v>2026</v>
      </c>
      <c r="B2233" t="s">
        <v>134</v>
      </c>
      <c r="C2233" t="s">
        <v>166</v>
      </c>
      <c r="D2233" t="s">
        <v>123</v>
      </c>
      <c r="E2233" t="str">
        <f>VLOOKUP(D2233,'Lista de Produtos CLASSIFICAÇÃO'!$A$103:$B$144,2,FALSE)</f>
        <v>Aquecidos</v>
      </c>
      <c r="F2233" s="62">
        <v>536615</v>
      </c>
      <c r="G2233" s="56" t="str">
        <f>VLOOKUP(C2233,clientes!$C$3:$D$60,2,FALSE)</f>
        <v>CARGILL</v>
      </c>
    </row>
    <row r="2234" spans="1:7" x14ac:dyDescent="0.25">
      <c r="A2234">
        <v>2026</v>
      </c>
      <c r="B2234" t="s">
        <v>135</v>
      </c>
      <c r="C2234" t="s">
        <v>166</v>
      </c>
      <c r="D2234" t="s">
        <v>123</v>
      </c>
      <c r="E2234" t="str">
        <f>VLOOKUP(D2234,'Lista de Produtos CLASSIFICAÇÃO'!$A$103:$B$144,2,FALSE)</f>
        <v>Aquecidos</v>
      </c>
      <c r="F2234" s="62">
        <v>536615</v>
      </c>
      <c r="G2234" s="56" t="str">
        <f>VLOOKUP(C2234,clientes!$C$3:$D$60,2,FALSE)</f>
        <v>CARGILL</v>
      </c>
    </row>
    <row r="2235" spans="1:7" x14ac:dyDescent="0.25">
      <c r="A2235">
        <v>2026</v>
      </c>
      <c r="B2235" t="s">
        <v>136</v>
      </c>
      <c r="C2235" t="s">
        <v>166</v>
      </c>
      <c r="D2235" t="s">
        <v>123</v>
      </c>
      <c r="E2235" t="str">
        <f>VLOOKUP(D2235,'Lista de Produtos CLASSIFICAÇÃO'!$A$103:$B$144,2,FALSE)</f>
        <v>Aquecidos</v>
      </c>
      <c r="F2235" s="62">
        <v>536615</v>
      </c>
      <c r="G2235" s="56" t="str">
        <f>VLOOKUP(C2235,clientes!$C$3:$D$60,2,FALSE)</f>
        <v>CARGILL</v>
      </c>
    </row>
    <row r="2236" spans="1:7" x14ac:dyDescent="0.25">
      <c r="A2236">
        <v>2026</v>
      </c>
      <c r="B2236" t="s">
        <v>137</v>
      </c>
      <c r="C2236" t="s">
        <v>166</v>
      </c>
      <c r="D2236" t="s">
        <v>123</v>
      </c>
      <c r="E2236" t="str">
        <f>VLOOKUP(D2236,'Lista de Produtos CLASSIFICAÇÃO'!$A$103:$B$144,2,FALSE)</f>
        <v>Aquecidos</v>
      </c>
      <c r="F2236" s="62">
        <v>536615</v>
      </c>
      <c r="G2236" s="56" t="str">
        <f>VLOOKUP(C2236,clientes!$C$3:$D$60,2,FALSE)</f>
        <v>CARGILL</v>
      </c>
    </row>
    <row r="2237" spans="1:7" x14ac:dyDescent="0.25">
      <c r="A2237">
        <v>2026</v>
      </c>
      <c r="B2237" t="s">
        <v>138</v>
      </c>
      <c r="C2237" t="s">
        <v>166</v>
      </c>
      <c r="D2237" t="s">
        <v>123</v>
      </c>
      <c r="E2237" t="str">
        <f>VLOOKUP(D2237,'Lista de Produtos CLASSIFICAÇÃO'!$A$103:$B$144,2,FALSE)</f>
        <v>Aquecidos</v>
      </c>
      <c r="F2237" s="62">
        <v>536615</v>
      </c>
      <c r="G2237" s="56" t="str">
        <f>VLOOKUP(C2237,clientes!$C$3:$D$60,2,FALSE)</f>
        <v>CARGILL</v>
      </c>
    </row>
    <row r="2238" spans="1:7" x14ac:dyDescent="0.25">
      <c r="A2238">
        <v>2026</v>
      </c>
      <c r="B2238" t="s">
        <v>139</v>
      </c>
      <c r="C2238" t="s">
        <v>166</v>
      </c>
      <c r="D2238" t="s">
        <v>123</v>
      </c>
      <c r="E2238" t="str">
        <f>VLOOKUP(D2238,'Lista de Produtos CLASSIFICAÇÃO'!$A$103:$B$144,2,FALSE)</f>
        <v>Aquecidos</v>
      </c>
      <c r="F2238" s="62">
        <v>536615</v>
      </c>
      <c r="G2238" s="56" t="str">
        <f>VLOOKUP(C2238,clientes!$C$3:$D$60,2,FALSE)</f>
        <v>CARGILL</v>
      </c>
    </row>
    <row r="2239" spans="1:7" x14ac:dyDescent="0.25">
      <c r="A2239">
        <v>2026</v>
      </c>
      <c r="B2239" t="s">
        <v>140</v>
      </c>
      <c r="C2239" t="s">
        <v>166</v>
      </c>
      <c r="D2239" t="s">
        <v>123</v>
      </c>
      <c r="E2239" t="str">
        <f>VLOOKUP(D2239,'Lista de Produtos CLASSIFICAÇÃO'!$A$103:$B$144,2,FALSE)</f>
        <v>Aquecidos</v>
      </c>
      <c r="F2239" s="62">
        <v>536615</v>
      </c>
      <c r="G2239" s="56" t="str">
        <f>VLOOKUP(C2239,clientes!$C$3:$D$60,2,FALSE)</f>
        <v>CARGILL</v>
      </c>
    </row>
    <row r="2240" spans="1:7" x14ac:dyDescent="0.25">
      <c r="A2240">
        <v>2026</v>
      </c>
      <c r="B2240" t="s">
        <v>141</v>
      </c>
      <c r="C2240" t="s">
        <v>166</v>
      </c>
      <c r="D2240" t="s">
        <v>123</v>
      </c>
      <c r="E2240" t="str">
        <f>VLOOKUP(D2240,'Lista de Produtos CLASSIFICAÇÃO'!$A$103:$B$144,2,FALSE)</f>
        <v>Aquecidos</v>
      </c>
      <c r="F2240" s="62">
        <v>536615</v>
      </c>
      <c r="G2240" s="56" t="str">
        <f>VLOOKUP(C2240,clientes!$C$3:$D$60,2,FALSE)</f>
        <v>CARGILL</v>
      </c>
    </row>
    <row r="2241" spans="1:7" x14ac:dyDescent="0.25">
      <c r="A2241">
        <v>2026</v>
      </c>
      <c r="B2241" t="s">
        <v>142</v>
      </c>
      <c r="C2241" t="s">
        <v>166</v>
      </c>
      <c r="D2241" t="s">
        <v>123</v>
      </c>
      <c r="E2241" t="str">
        <f>VLOOKUP(D2241,'Lista de Produtos CLASSIFICAÇÃO'!$A$103:$B$144,2,FALSE)</f>
        <v>Aquecidos</v>
      </c>
      <c r="F2241" s="62">
        <v>536615</v>
      </c>
      <c r="G2241" s="56" t="str">
        <f>VLOOKUP(C2241,clientes!$C$3:$D$60,2,FALSE)</f>
        <v>CARGILL</v>
      </c>
    </row>
    <row r="2242" spans="1:7" x14ac:dyDescent="0.25">
      <c r="A2242">
        <v>2026</v>
      </c>
      <c r="B2242" t="s">
        <v>143</v>
      </c>
      <c r="C2242" t="s">
        <v>167</v>
      </c>
      <c r="D2242" t="s">
        <v>122</v>
      </c>
      <c r="E2242" t="str">
        <f>VLOOKUP(D2242,'Lista de Produtos CLASSIFICAÇÃO'!$A$103:$B$144,2,FALSE)</f>
        <v>Óleo Vegetal</v>
      </c>
      <c r="F2242" s="62">
        <v>4278111</v>
      </c>
      <c r="G2242" s="56" t="str">
        <f>VLOOKUP(C2242,clientes!$C$3:$D$60,2,FALSE)</f>
        <v>POOL</v>
      </c>
    </row>
    <row r="2243" spans="1:7" x14ac:dyDescent="0.25">
      <c r="A2243">
        <v>2026</v>
      </c>
      <c r="B2243" t="s">
        <v>132</v>
      </c>
      <c r="C2243" t="s">
        <v>167</v>
      </c>
      <c r="D2243" t="s">
        <v>122</v>
      </c>
      <c r="E2243" t="str">
        <f>VLOOKUP(D2243,'Lista de Produtos CLASSIFICAÇÃO'!$A$103:$B$144,2,FALSE)</f>
        <v>Óleo Vegetal</v>
      </c>
      <c r="F2243" s="62">
        <v>4035047</v>
      </c>
      <c r="G2243" s="56" t="str">
        <f>VLOOKUP(C2243,clientes!$C$3:$D$60,2,FALSE)</f>
        <v>POOL</v>
      </c>
    </row>
    <row r="2244" spans="1:7" x14ac:dyDescent="0.25">
      <c r="A2244">
        <v>2026</v>
      </c>
      <c r="B2244" t="s">
        <v>133</v>
      </c>
      <c r="C2244" t="s">
        <v>167</v>
      </c>
      <c r="D2244" t="s">
        <v>122</v>
      </c>
      <c r="E2244" t="str">
        <f>VLOOKUP(D2244,'Lista de Produtos CLASSIFICAÇÃO'!$A$103:$B$144,2,FALSE)</f>
        <v>Óleo Vegetal</v>
      </c>
      <c r="F2244" s="62">
        <v>7091801</v>
      </c>
      <c r="G2244" s="56" t="str">
        <f>VLOOKUP(C2244,clientes!$C$3:$D$60,2,FALSE)</f>
        <v>POOL</v>
      </c>
    </row>
    <row r="2245" spans="1:7" x14ac:dyDescent="0.25">
      <c r="A2245">
        <v>2026</v>
      </c>
      <c r="B2245" t="s">
        <v>134</v>
      </c>
      <c r="C2245" t="s">
        <v>167</v>
      </c>
      <c r="D2245" t="s">
        <v>122</v>
      </c>
      <c r="E2245" t="str">
        <f>VLOOKUP(D2245,'Lista de Produtos CLASSIFICAÇÃO'!$A$103:$B$144,2,FALSE)</f>
        <v>Óleo Vegetal</v>
      </c>
      <c r="F2245" s="62">
        <v>4829218</v>
      </c>
      <c r="G2245" s="56" t="str">
        <f>VLOOKUP(C2245,clientes!$C$3:$D$60,2,FALSE)</f>
        <v>POOL</v>
      </c>
    </row>
    <row r="2246" spans="1:7" x14ac:dyDescent="0.25">
      <c r="A2246">
        <v>2026</v>
      </c>
      <c r="B2246" t="s">
        <v>135</v>
      </c>
      <c r="C2246" t="s">
        <v>167</v>
      </c>
      <c r="D2246" t="s">
        <v>122</v>
      </c>
      <c r="E2246" t="str">
        <f>VLOOKUP(D2246,'Lista de Produtos CLASSIFICAÇÃO'!$A$103:$B$144,2,FALSE)</f>
        <v>Óleo Vegetal</v>
      </c>
      <c r="F2246" s="62">
        <v>4566314</v>
      </c>
      <c r="G2246" s="56" t="str">
        <f>VLOOKUP(C2246,clientes!$C$3:$D$60,2,FALSE)</f>
        <v>POOL</v>
      </c>
    </row>
    <row r="2247" spans="1:7" x14ac:dyDescent="0.25">
      <c r="A2247">
        <v>2026</v>
      </c>
      <c r="B2247" t="s">
        <v>136</v>
      </c>
      <c r="C2247" t="s">
        <v>167</v>
      </c>
      <c r="D2247" t="s">
        <v>122</v>
      </c>
      <c r="E2247" t="str">
        <f>VLOOKUP(D2247,'Lista de Produtos CLASSIFICAÇÃO'!$A$103:$B$144,2,FALSE)</f>
        <v>Óleo Vegetal</v>
      </c>
      <c r="F2247" s="62">
        <v>5383842</v>
      </c>
      <c r="G2247" s="56" t="str">
        <f>VLOOKUP(C2247,clientes!$C$3:$D$60,2,FALSE)</f>
        <v>POOL</v>
      </c>
    </row>
    <row r="2248" spans="1:7" x14ac:dyDescent="0.25">
      <c r="A2248">
        <v>2026</v>
      </c>
      <c r="B2248" t="s">
        <v>137</v>
      </c>
      <c r="C2248" t="s">
        <v>167</v>
      </c>
      <c r="D2248" t="s">
        <v>122</v>
      </c>
      <c r="E2248" t="str">
        <f>VLOOKUP(D2248,'Lista de Produtos CLASSIFICAÇÃO'!$A$103:$B$144,2,FALSE)</f>
        <v>Óleo Vegetal</v>
      </c>
      <c r="F2248" s="62">
        <v>5810241</v>
      </c>
      <c r="G2248" s="56" t="str">
        <f>VLOOKUP(C2248,clientes!$C$3:$D$60,2,FALSE)</f>
        <v>POOL</v>
      </c>
    </row>
    <row r="2249" spans="1:7" x14ac:dyDescent="0.25">
      <c r="A2249">
        <v>2026</v>
      </c>
      <c r="B2249" t="s">
        <v>138</v>
      </c>
      <c r="C2249" t="s">
        <v>167</v>
      </c>
      <c r="D2249" t="s">
        <v>122</v>
      </c>
      <c r="E2249" t="str">
        <f>VLOOKUP(D2249,'Lista de Produtos CLASSIFICAÇÃO'!$A$103:$B$144,2,FALSE)</f>
        <v>Óleo Vegetal</v>
      </c>
      <c r="F2249" s="62">
        <v>4741304</v>
      </c>
      <c r="G2249" s="56" t="str">
        <f>VLOOKUP(C2249,clientes!$C$3:$D$60,2,FALSE)</f>
        <v>POOL</v>
      </c>
    </row>
    <row r="2250" spans="1:7" x14ac:dyDescent="0.25">
      <c r="A2250">
        <v>2026</v>
      </c>
      <c r="B2250" t="s">
        <v>139</v>
      </c>
      <c r="C2250" t="s">
        <v>167</v>
      </c>
      <c r="D2250" t="s">
        <v>122</v>
      </c>
      <c r="E2250" t="str">
        <f>VLOOKUP(D2250,'Lista de Produtos CLASSIFICAÇÃO'!$A$103:$B$144,2,FALSE)</f>
        <v>Óleo Vegetal</v>
      </c>
      <c r="F2250" s="62">
        <v>3066621</v>
      </c>
      <c r="G2250" s="56" t="str">
        <f>VLOOKUP(C2250,clientes!$C$3:$D$60,2,FALSE)</f>
        <v>POOL</v>
      </c>
    </row>
    <row r="2251" spans="1:7" x14ac:dyDescent="0.25">
      <c r="A2251">
        <v>2026</v>
      </c>
      <c r="B2251" t="s">
        <v>140</v>
      </c>
      <c r="C2251" t="s">
        <v>167</v>
      </c>
      <c r="D2251" t="s">
        <v>122</v>
      </c>
      <c r="E2251" t="str">
        <f>VLOOKUP(D2251,'Lista de Produtos CLASSIFICAÇÃO'!$A$103:$B$144,2,FALSE)</f>
        <v>Óleo Vegetal</v>
      </c>
      <c r="F2251" s="62">
        <v>2099455</v>
      </c>
      <c r="G2251" s="56" t="str">
        <f>VLOOKUP(C2251,clientes!$C$3:$D$60,2,FALSE)</f>
        <v>POOL</v>
      </c>
    </row>
    <row r="2252" spans="1:7" x14ac:dyDescent="0.25">
      <c r="A2252">
        <v>2026</v>
      </c>
      <c r="B2252" t="s">
        <v>141</v>
      </c>
      <c r="C2252" t="s">
        <v>167</v>
      </c>
      <c r="D2252" t="s">
        <v>122</v>
      </c>
      <c r="E2252" t="str">
        <f>VLOOKUP(D2252,'Lista de Produtos CLASSIFICAÇÃO'!$A$103:$B$144,2,FALSE)</f>
        <v>Óleo Vegetal</v>
      </c>
      <c r="F2252" s="62">
        <v>1269120</v>
      </c>
      <c r="G2252" s="56" t="str">
        <f>VLOOKUP(C2252,clientes!$C$3:$D$60,2,FALSE)</f>
        <v>POOL</v>
      </c>
    </row>
    <row r="2253" spans="1:7" x14ac:dyDescent="0.25">
      <c r="A2253">
        <v>2026</v>
      </c>
      <c r="B2253" t="s">
        <v>142</v>
      </c>
      <c r="C2253" t="s">
        <v>167</v>
      </c>
      <c r="D2253" t="s">
        <v>122</v>
      </c>
      <c r="E2253" t="str">
        <f>VLOOKUP(D2253,'Lista de Produtos CLASSIFICAÇÃO'!$A$103:$B$144,2,FALSE)</f>
        <v>Óleo Vegetal</v>
      </c>
      <c r="F2253" s="62">
        <v>976246</v>
      </c>
      <c r="G2253" s="56" t="str">
        <f>VLOOKUP(C2253,clientes!$C$3:$D$60,2,FALSE)</f>
        <v>POOL</v>
      </c>
    </row>
    <row r="2254" spans="1:7" x14ac:dyDescent="0.25">
      <c r="A2254">
        <v>2026</v>
      </c>
      <c r="B2254" t="s">
        <v>143</v>
      </c>
      <c r="C2254" t="s">
        <v>168</v>
      </c>
      <c r="D2254" t="s">
        <v>122</v>
      </c>
      <c r="E2254" t="str">
        <f>VLOOKUP(D2254,'Lista de Produtos CLASSIFICAÇÃO'!$A$103:$B$144,2,FALSE)</f>
        <v>Óleo Vegetal</v>
      </c>
      <c r="F2254" s="62">
        <v>27964</v>
      </c>
      <c r="G2254" s="56" t="str">
        <f>VLOOKUP(C2254,clientes!$C$3:$D$60,2,FALSE)</f>
        <v>POOL EXCEDENTE</v>
      </c>
    </row>
    <row r="2255" spans="1:7" x14ac:dyDescent="0.25">
      <c r="A2255">
        <v>2026</v>
      </c>
      <c r="B2255" t="s">
        <v>132</v>
      </c>
      <c r="C2255" t="s">
        <v>168</v>
      </c>
      <c r="D2255" t="s">
        <v>122</v>
      </c>
      <c r="E2255" t="str">
        <f>VLOOKUP(D2255,'Lista de Produtos CLASSIFICAÇÃO'!$A$103:$B$144,2,FALSE)</f>
        <v>Óleo Vegetal</v>
      </c>
      <c r="F2255" s="62">
        <v>27964</v>
      </c>
      <c r="G2255" s="56" t="str">
        <f>VLOOKUP(C2255,clientes!$C$3:$D$60,2,FALSE)</f>
        <v>POOL EXCEDENTE</v>
      </c>
    </row>
    <row r="2256" spans="1:7" x14ac:dyDescent="0.25">
      <c r="A2256">
        <v>2026</v>
      </c>
      <c r="B2256" t="s">
        <v>133</v>
      </c>
      <c r="C2256" t="s">
        <v>168</v>
      </c>
      <c r="D2256" t="s">
        <v>122</v>
      </c>
      <c r="E2256" t="str">
        <f>VLOOKUP(D2256,'Lista de Produtos CLASSIFICAÇÃO'!$A$103:$B$144,2,FALSE)</f>
        <v>Óleo Vegetal</v>
      </c>
      <c r="F2256" s="62">
        <v>27964</v>
      </c>
      <c r="G2256" s="56" t="str">
        <f>VLOOKUP(C2256,clientes!$C$3:$D$60,2,FALSE)</f>
        <v>POOL EXCEDENTE</v>
      </c>
    </row>
    <row r="2257" spans="1:7" x14ac:dyDescent="0.25">
      <c r="A2257">
        <v>2026</v>
      </c>
      <c r="B2257" t="s">
        <v>134</v>
      </c>
      <c r="C2257" t="s">
        <v>168</v>
      </c>
      <c r="D2257" t="s">
        <v>122</v>
      </c>
      <c r="E2257" t="str">
        <f>VLOOKUP(D2257,'Lista de Produtos CLASSIFICAÇÃO'!$A$103:$B$144,2,FALSE)</f>
        <v>Óleo Vegetal</v>
      </c>
      <c r="F2257" s="62">
        <v>27964</v>
      </c>
      <c r="G2257" s="56" t="str">
        <f>VLOOKUP(C2257,clientes!$C$3:$D$60,2,FALSE)</f>
        <v>POOL EXCEDENTE</v>
      </c>
    </row>
    <row r="2258" spans="1:7" x14ac:dyDescent="0.25">
      <c r="A2258">
        <v>2026</v>
      </c>
      <c r="B2258" t="s">
        <v>135</v>
      </c>
      <c r="C2258" t="s">
        <v>168</v>
      </c>
      <c r="D2258" t="s">
        <v>122</v>
      </c>
      <c r="E2258" t="str">
        <f>VLOOKUP(D2258,'Lista de Produtos CLASSIFICAÇÃO'!$A$103:$B$144,2,FALSE)</f>
        <v>Óleo Vegetal</v>
      </c>
      <c r="F2258" s="62">
        <v>27964</v>
      </c>
      <c r="G2258" s="56" t="str">
        <f>VLOOKUP(C2258,clientes!$C$3:$D$60,2,FALSE)</f>
        <v>POOL EXCEDENTE</v>
      </c>
    </row>
    <row r="2259" spans="1:7" x14ac:dyDescent="0.25">
      <c r="A2259">
        <v>2026</v>
      </c>
      <c r="B2259" t="s">
        <v>136</v>
      </c>
      <c r="C2259" t="s">
        <v>168</v>
      </c>
      <c r="D2259" t="s">
        <v>122</v>
      </c>
      <c r="E2259" t="str">
        <f>VLOOKUP(D2259,'Lista de Produtos CLASSIFICAÇÃO'!$A$103:$B$144,2,FALSE)</f>
        <v>Óleo Vegetal</v>
      </c>
      <c r="F2259" s="62">
        <v>27964</v>
      </c>
      <c r="G2259" s="56" t="str">
        <f>VLOOKUP(C2259,clientes!$C$3:$D$60,2,FALSE)</f>
        <v>POOL EXCEDENTE</v>
      </c>
    </row>
    <row r="2260" spans="1:7" x14ac:dyDescent="0.25">
      <c r="A2260">
        <v>2026</v>
      </c>
      <c r="B2260" t="s">
        <v>137</v>
      </c>
      <c r="C2260" t="s">
        <v>168</v>
      </c>
      <c r="D2260" t="s">
        <v>122</v>
      </c>
      <c r="E2260" t="str">
        <f>VLOOKUP(D2260,'Lista de Produtos CLASSIFICAÇÃO'!$A$103:$B$144,2,FALSE)</f>
        <v>Óleo Vegetal</v>
      </c>
      <c r="F2260" s="62">
        <v>27964</v>
      </c>
      <c r="G2260" s="56" t="str">
        <f>VLOOKUP(C2260,clientes!$C$3:$D$60,2,FALSE)</f>
        <v>POOL EXCEDENTE</v>
      </c>
    </row>
    <row r="2261" spans="1:7" x14ac:dyDescent="0.25">
      <c r="A2261">
        <v>2026</v>
      </c>
      <c r="B2261" t="s">
        <v>138</v>
      </c>
      <c r="C2261" t="s">
        <v>168</v>
      </c>
      <c r="D2261" t="s">
        <v>122</v>
      </c>
      <c r="E2261" t="str">
        <f>VLOOKUP(D2261,'Lista de Produtos CLASSIFICAÇÃO'!$A$103:$B$144,2,FALSE)</f>
        <v>Óleo Vegetal</v>
      </c>
      <c r="F2261" s="62">
        <v>27964</v>
      </c>
      <c r="G2261" s="56" t="str">
        <f>VLOOKUP(C2261,clientes!$C$3:$D$60,2,FALSE)</f>
        <v>POOL EXCEDENTE</v>
      </c>
    </row>
    <row r="2262" spans="1:7" x14ac:dyDescent="0.25">
      <c r="A2262">
        <v>2026</v>
      </c>
      <c r="B2262" t="s">
        <v>139</v>
      </c>
      <c r="C2262" t="s">
        <v>168</v>
      </c>
      <c r="D2262" t="s">
        <v>122</v>
      </c>
      <c r="E2262" t="str">
        <f>VLOOKUP(D2262,'Lista de Produtos CLASSIFICAÇÃO'!$A$103:$B$144,2,FALSE)</f>
        <v>Óleo Vegetal</v>
      </c>
      <c r="F2262" s="62">
        <v>27964</v>
      </c>
      <c r="G2262" s="56" t="str">
        <f>VLOOKUP(C2262,clientes!$C$3:$D$60,2,FALSE)</f>
        <v>POOL EXCEDENTE</v>
      </c>
    </row>
    <row r="2263" spans="1:7" x14ac:dyDescent="0.25">
      <c r="A2263">
        <v>2026</v>
      </c>
      <c r="B2263" t="s">
        <v>140</v>
      </c>
      <c r="C2263" t="s">
        <v>168</v>
      </c>
      <c r="D2263" t="s">
        <v>122</v>
      </c>
      <c r="E2263" t="str">
        <f>VLOOKUP(D2263,'Lista de Produtos CLASSIFICAÇÃO'!$A$103:$B$144,2,FALSE)</f>
        <v>Óleo Vegetal</v>
      </c>
      <c r="F2263" s="62">
        <v>27964</v>
      </c>
      <c r="G2263" s="56" t="str">
        <f>VLOOKUP(C2263,clientes!$C$3:$D$60,2,FALSE)</f>
        <v>POOL EXCEDENTE</v>
      </c>
    </row>
    <row r="2264" spans="1:7" x14ac:dyDescent="0.25">
      <c r="A2264">
        <v>2026</v>
      </c>
      <c r="B2264" t="s">
        <v>141</v>
      </c>
      <c r="C2264" t="s">
        <v>168</v>
      </c>
      <c r="D2264" t="s">
        <v>122</v>
      </c>
      <c r="E2264" t="str">
        <f>VLOOKUP(D2264,'Lista de Produtos CLASSIFICAÇÃO'!$A$103:$B$144,2,FALSE)</f>
        <v>Óleo Vegetal</v>
      </c>
      <c r="F2264" s="62">
        <v>27964</v>
      </c>
      <c r="G2264" s="56" t="str">
        <f>VLOOKUP(C2264,clientes!$C$3:$D$60,2,FALSE)</f>
        <v>POOL EXCEDENTE</v>
      </c>
    </row>
    <row r="2265" spans="1:7" x14ac:dyDescent="0.25">
      <c r="A2265">
        <v>2026</v>
      </c>
      <c r="B2265" t="s">
        <v>142</v>
      </c>
      <c r="C2265" t="s">
        <v>168</v>
      </c>
      <c r="D2265" t="s">
        <v>122</v>
      </c>
      <c r="E2265" t="str">
        <f>VLOOKUP(D2265,'Lista de Produtos CLASSIFICAÇÃO'!$A$103:$B$144,2,FALSE)</f>
        <v>Óleo Vegetal</v>
      </c>
      <c r="F2265" s="62">
        <v>27964</v>
      </c>
      <c r="G2265" s="56" t="str">
        <f>VLOOKUP(C2265,clientes!$C$3:$D$60,2,FALSE)</f>
        <v>POOL EXCEDENTE</v>
      </c>
    </row>
    <row r="2266" spans="1:7" x14ac:dyDescent="0.25">
      <c r="A2266">
        <v>2026</v>
      </c>
      <c r="B2266" t="s">
        <v>143</v>
      </c>
      <c r="C2266" t="s">
        <v>169</v>
      </c>
      <c r="D2266" t="s">
        <v>22</v>
      </c>
      <c r="E2266" t="str">
        <f>VLOOKUP(D2266,'Lista de Produtos CLASSIFICAÇÃO'!$A$103:$B$144,2,FALSE)</f>
        <v>Metanol</v>
      </c>
      <c r="F2266" s="62">
        <v>7937530</v>
      </c>
      <c r="G2266" s="56" t="str">
        <f>VLOOKUP(C2266,clientes!$C$3:$D$60,2,FALSE)</f>
        <v>METHANEX</v>
      </c>
    </row>
    <row r="2267" spans="1:7" x14ac:dyDescent="0.25">
      <c r="A2267">
        <v>2026</v>
      </c>
      <c r="B2267" t="s">
        <v>132</v>
      </c>
      <c r="C2267" t="s">
        <v>169</v>
      </c>
      <c r="D2267" t="s">
        <v>22</v>
      </c>
      <c r="E2267" t="str">
        <f>VLOOKUP(D2267,'Lista de Produtos CLASSIFICAÇÃO'!$A$103:$B$144,2,FALSE)</f>
        <v>Metanol</v>
      </c>
      <c r="F2267" s="62">
        <v>7937530</v>
      </c>
      <c r="G2267" s="56" t="str">
        <f>VLOOKUP(C2267,clientes!$C$3:$D$60,2,FALSE)</f>
        <v>METHANEX</v>
      </c>
    </row>
    <row r="2268" spans="1:7" x14ac:dyDescent="0.25">
      <c r="A2268">
        <v>2026</v>
      </c>
      <c r="B2268" t="s">
        <v>133</v>
      </c>
      <c r="C2268" t="s">
        <v>169</v>
      </c>
      <c r="D2268" t="s">
        <v>22</v>
      </c>
      <c r="E2268" t="str">
        <f>VLOOKUP(D2268,'Lista de Produtos CLASSIFICAÇÃO'!$A$103:$B$144,2,FALSE)</f>
        <v>Metanol</v>
      </c>
      <c r="F2268" s="62">
        <v>7937530</v>
      </c>
      <c r="G2268" s="56" t="str">
        <f>VLOOKUP(C2268,clientes!$C$3:$D$60,2,FALSE)</f>
        <v>METHANEX</v>
      </c>
    </row>
    <row r="2269" spans="1:7" x14ac:dyDescent="0.25">
      <c r="A2269">
        <v>2026</v>
      </c>
      <c r="B2269" t="s">
        <v>134</v>
      </c>
      <c r="C2269" t="s">
        <v>169</v>
      </c>
      <c r="D2269" t="s">
        <v>22</v>
      </c>
      <c r="E2269" t="str">
        <f>VLOOKUP(D2269,'Lista de Produtos CLASSIFICAÇÃO'!$A$103:$B$144,2,FALSE)</f>
        <v>Metanol</v>
      </c>
      <c r="F2269" s="62">
        <v>7937530</v>
      </c>
      <c r="G2269" s="56" t="str">
        <f>VLOOKUP(C2269,clientes!$C$3:$D$60,2,FALSE)</f>
        <v>METHANEX</v>
      </c>
    </row>
    <row r="2270" spans="1:7" x14ac:dyDescent="0.25">
      <c r="A2270">
        <v>2026</v>
      </c>
      <c r="B2270" t="s">
        <v>135</v>
      </c>
      <c r="C2270" t="s">
        <v>169</v>
      </c>
      <c r="D2270" t="s">
        <v>22</v>
      </c>
      <c r="E2270" t="str">
        <f>VLOOKUP(D2270,'Lista de Produtos CLASSIFICAÇÃO'!$A$103:$B$144,2,FALSE)</f>
        <v>Metanol</v>
      </c>
      <c r="F2270" s="62">
        <v>7351673</v>
      </c>
      <c r="G2270" s="56" t="str">
        <f>VLOOKUP(C2270,clientes!$C$3:$D$60,2,FALSE)</f>
        <v>METHANEX</v>
      </c>
    </row>
    <row r="2271" spans="1:7" x14ac:dyDescent="0.25">
      <c r="A2271">
        <v>2026</v>
      </c>
      <c r="B2271" t="s">
        <v>136</v>
      </c>
      <c r="C2271" t="s">
        <v>169</v>
      </c>
      <c r="D2271" t="s">
        <v>22</v>
      </c>
      <c r="E2271" t="str">
        <f>VLOOKUP(D2271,'Lista de Produtos CLASSIFICAÇÃO'!$A$103:$B$144,2,FALSE)</f>
        <v>Metanol</v>
      </c>
      <c r="F2271" s="62">
        <v>7351673</v>
      </c>
      <c r="G2271" s="56" t="str">
        <f>VLOOKUP(C2271,clientes!$C$3:$D$60,2,FALSE)</f>
        <v>METHANEX</v>
      </c>
    </row>
    <row r="2272" spans="1:7" x14ac:dyDescent="0.25">
      <c r="A2272">
        <v>2026</v>
      </c>
      <c r="B2272" t="s">
        <v>137</v>
      </c>
      <c r="C2272" t="s">
        <v>169</v>
      </c>
      <c r="D2272" t="s">
        <v>22</v>
      </c>
      <c r="E2272" t="str">
        <f>VLOOKUP(D2272,'Lista de Produtos CLASSIFICAÇÃO'!$A$103:$B$144,2,FALSE)</f>
        <v>Metanol</v>
      </c>
      <c r="F2272" s="62">
        <v>7351673</v>
      </c>
      <c r="G2272" s="56" t="str">
        <f>VLOOKUP(C2272,clientes!$C$3:$D$60,2,FALSE)</f>
        <v>METHANEX</v>
      </c>
    </row>
    <row r="2273" spans="1:7" x14ac:dyDescent="0.25">
      <c r="A2273">
        <v>2026</v>
      </c>
      <c r="B2273" t="s">
        <v>138</v>
      </c>
      <c r="C2273" t="s">
        <v>169</v>
      </c>
      <c r="D2273" t="s">
        <v>22</v>
      </c>
      <c r="E2273" t="str">
        <f>VLOOKUP(D2273,'Lista de Produtos CLASSIFICAÇÃO'!$A$103:$B$144,2,FALSE)</f>
        <v>Metanol</v>
      </c>
      <c r="F2273" s="62">
        <v>7351673</v>
      </c>
      <c r="G2273" s="56" t="str">
        <f>VLOOKUP(C2273,clientes!$C$3:$D$60,2,FALSE)</f>
        <v>METHANEX</v>
      </c>
    </row>
    <row r="2274" spans="1:7" x14ac:dyDescent="0.25">
      <c r="A2274">
        <v>2026</v>
      </c>
      <c r="B2274" t="s">
        <v>139</v>
      </c>
      <c r="C2274" t="s">
        <v>169</v>
      </c>
      <c r="D2274" t="s">
        <v>22</v>
      </c>
      <c r="E2274" t="str">
        <f>VLOOKUP(D2274,'Lista de Produtos CLASSIFICAÇÃO'!$A$103:$B$144,2,FALSE)</f>
        <v>Metanol</v>
      </c>
      <c r="F2274" s="62">
        <v>7351673</v>
      </c>
      <c r="G2274" s="56" t="str">
        <f>VLOOKUP(C2274,clientes!$C$3:$D$60,2,FALSE)</f>
        <v>METHANEX</v>
      </c>
    </row>
    <row r="2275" spans="1:7" x14ac:dyDescent="0.25">
      <c r="A2275">
        <v>2026</v>
      </c>
      <c r="B2275" t="s">
        <v>140</v>
      </c>
      <c r="C2275" t="s">
        <v>169</v>
      </c>
      <c r="D2275" t="s">
        <v>22</v>
      </c>
      <c r="E2275" t="str">
        <f>VLOOKUP(D2275,'Lista de Produtos CLASSIFICAÇÃO'!$A$103:$B$144,2,FALSE)</f>
        <v>Metanol</v>
      </c>
      <c r="F2275" s="62">
        <v>7351673</v>
      </c>
      <c r="G2275" s="56" t="str">
        <f>VLOOKUP(C2275,clientes!$C$3:$D$60,2,FALSE)</f>
        <v>METHANEX</v>
      </c>
    </row>
    <row r="2276" spans="1:7" x14ac:dyDescent="0.25">
      <c r="A2276">
        <v>2026</v>
      </c>
      <c r="B2276" t="s">
        <v>141</v>
      </c>
      <c r="C2276" t="s">
        <v>169</v>
      </c>
      <c r="D2276" t="s">
        <v>22</v>
      </c>
      <c r="E2276" t="str">
        <f>VLOOKUP(D2276,'Lista de Produtos CLASSIFICAÇÃO'!$A$103:$B$144,2,FALSE)</f>
        <v>Metanol</v>
      </c>
      <c r="F2276" s="62">
        <v>7351673</v>
      </c>
      <c r="G2276" s="56" t="str">
        <f>VLOOKUP(C2276,clientes!$C$3:$D$60,2,FALSE)</f>
        <v>METHANEX</v>
      </c>
    </row>
    <row r="2277" spans="1:7" x14ac:dyDescent="0.25">
      <c r="A2277">
        <v>2026</v>
      </c>
      <c r="B2277" t="s">
        <v>142</v>
      </c>
      <c r="C2277" t="s">
        <v>169</v>
      </c>
      <c r="D2277" t="s">
        <v>22</v>
      </c>
      <c r="E2277" t="str">
        <f>VLOOKUP(D2277,'Lista de Produtos CLASSIFICAÇÃO'!$A$103:$B$144,2,FALSE)</f>
        <v>Metanol</v>
      </c>
      <c r="F2277" s="62">
        <v>7351673</v>
      </c>
      <c r="G2277" s="56" t="str">
        <f>VLOOKUP(C2277,clientes!$C$3:$D$60,2,FALSE)</f>
        <v>METHANEX</v>
      </c>
    </row>
    <row r="2278" spans="1:7" x14ac:dyDescent="0.25">
      <c r="A2278">
        <v>2026</v>
      </c>
      <c r="B2278" t="s">
        <v>143</v>
      </c>
      <c r="C2278" t="s">
        <v>170</v>
      </c>
      <c r="D2278" t="s">
        <v>22</v>
      </c>
      <c r="E2278" t="str">
        <f>VLOOKUP(D2278,'Lista de Produtos CLASSIFICAÇÃO'!$A$103:$B$144,2,FALSE)</f>
        <v>Metanol</v>
      </c>
      <c r="F2278" s="62">
        <v>4647802</v>
      </c>
      <c r="G2278" s="56" t="str">
        <f>VLOOKUP(C2278,clientes!$C$3:$D$60,2,FALSE)</f>
        <v>MITSUBISHI</v>
      </c>
    </row>
    <row r="2279" spans="1:7" x14ac:dyDescent="0.25">
      <c r="A2279">
        <v>2026</v>
      </c>
      <c r="B2279" t="s">
        <v>132</v>
      </c>
      <c r="C2279" t="s">
        <v>170</v>
      </c>
      <c r="D2279" t="s">
        <v>22</v>
      </c>
      <c r="E2279" t="str">
        <f>VLOOKUP(D2279,'Lista de Produtos CLASSIFICAÇÃO'!$A$103:$B$144,2,FALSE)</f>
        <v>Metanol</v>
      </c>
      <c r="F2279" s="62">
        <v>4647802</v>
      </c>
      <c r="G2279" s="56" t="str">
        <f>VLOOKUP(C2279,clientes!$C$3:$D$60,2,FALSE)</f>
        <v>MITSUBISHI</v>
      </c>
    </row>
    <row r="2280" spans="1:7" x14ac:dyDescent="0.25">
      <c r="A2280">
        <v>2026</v>
      </c>
      <c r="B2280" t="s">
        <v>133</v>
      </c>
      <c r="C2280" t="s">
        <v>170</v>
      </c>
      <c r="D2280" t="s">
        <v>22</v>
      </c>
      <c r="E2280" t="str">
        <f>VLOOKUP(D2280,'Lista de Produtos CLASSIFICAÇÃO'!$A$103:$B$144,2,FALSE)</f>
        <v>Metanol</v>
      </c>
      <c r="F2280" s="62">
        <v>4647802</v>
      </c>
      <c r="G2280" s="56" t="str">
        <f>VLOOKUP(C2280,clientes!$C$3:$D$60,2,FALSE)</f>
        <v>MITSUBISHI</v>
      </c>
    </row>
    <row r="2281" spans="1:7" x14ac:dyDescent="0.25">
      <c r="A2281">
        <v>2026</v>
      </c>
      <c r="B2281" t="s">
        <v>134</v>
      </c>
      <c r="C2281" t="s">
        <v>170</v>
      </c>
      <c r="D2281" t="s">
        <v>22</v>
      </c>
      <c r="E2281" t="str">
        <f>VLOOKUP(D2281,'Lista de Produtos CLASSIFICAÇÃO'!$A$103:$B$144,2,FALSE)</f>
        <v>Metanol</v>
      </c>
      <c r="F2281" s="62">
        <v>4647802</v>
      </c>
      <c r="G2281" s="56" t="str">
        <f>VLOOKUP(C2281,clientes!$C$3:$D$60,2,FALSE)</f>
        <v>MITSUBISHI</v>
      </c>
    </row>
    <row r="2282" spans="1:7" x14ac:dyDescent="0.25">
      <c r="A2282">
        <v>2026</v>
      </c>
      <c r="B2282" t="s">
        <v>135</v>
      </c>
      <c r="C2282" t="s">
        <v>170</v>
      </c>
      <c r="D2282" t="s">
        <v>22</v>
      </c>
      <c r="E2282" t="str">
        <f>VLOOKUP(D2282,'Lista de Produtos CLASSIFICAÇÃO'!$A$103:$B$144,2,FALSE)</f>
        <v>Metanol</v>
      </c>
      <c r="F2282" s="62">
        <v>4647802</v>
      </c>
      <c r="G2282" s="56" t="str">
        <f>VLOOKUP(C2282,clientes!$C$3:$D$60,2,FALSE)</f>
        <v>MITSUBISHI</v>
      </c>
    </row>
    <row r="2283" spans="1:7" x14ac:dyDescent="0.25">
      <c r="A2283">
        <v>2026</v>
      </c>
      <c r="B2283" t="s">
        <v>136</v>
      </c>
      <c r="C2283" t="s">
        <v>170</v>
      </c>
      <c r="D2283" t="s">
        <v>22</v>
      </c>
      <c r="E2283" t="str">
        <f>VLOOKUP(D2283,'Lista de Produtos CLASSIFICAÇÃO'!$A$103:$B$144,2,FALSE)</f>
        <v>Metanol</v>
      </c>
      <c r="F2283" s="62">
        <v>4647802</v>
      </c>
      <c r="G2283" s="56" t="str">
        <f>VLOOKUP(C2283,clientes!$C$3:$D$60,2,FALSE)</f>
        <v>MITSUBISHI</v>
      </c>
    </row>
    <row r="2284" spans="1:7" x14ac:dyDescent="0.25">
      <c r="A2284">
        <v>2026</v>
      </c>
      <c r="B2284" t="s">
        <v>137</v>
      </c>
      <c r="C2284" t="s">
        <v>170</v>
      </c>
      <c r="D2284" t="s">
        <v>22</v>
      </c>
      <c r="E2284" t="str">
        <f>VLOOKUP(D2284,'Lista de Produtos CLASSIFICAÇÃO'!$A$103:$B$144,2,FALSE)</f>
        <v>Metanol</v>
      </c>
      <c r="F2284" s="62">
        <v>4647802</v>
      </c>
      <c r="G2284" s="56" t="str">
        <f>VLOOKUP(C2284,clientes!$C$3:$D$60,2,FALSE)</f>
        <v>MITSUBISHI</v>
      </c>
    </row>
    <row r="2285" spans="1:7" x14ac:dyDescent="0.25">
      <c r="A2285">
        <v>2026</v>
      </c>
      <c r="B2285" t="s">
        <v>138</v>
      </c>
      <c r="C2285" t="s">
        <v>170</v>
      </c>
      <c r="D2285" t="s">
        <v>22</v>
      </c>
      <c r="E2285" t="str">
        <f>VLOOKUP(D2285,'Lista de Produtos CLASSIFICAÇÃO'!$A$103:$B$144,2,FALSE)</f>
        <v>Metanol</v>
      </c>
      <c r="F2285" s="62">
        <v>4647802</v>
      </c>
      <c r="G2285" s="56" t="str">
        <f>VLOOKUP(C2285,clientes!$C$3:$D$60,2,FALSE)</f>
        <v>MITSUBISHI</v>
      </c>
    </row>
    <row r="2286" spans="1:7" x14ac:dyDescent="0.25">
      <c r="A2286">
        <v>2026</v>
      </c>
      <c r="B2286" t="s">
        <v>139</v>
      </c>
      <c r="C2286" t="s">
        <v>170</v>
      </c>
      <c r="D2286" t="s">
        <v>22</v>
      </c>
      <c r="E2286" t="str">
        <f>VLOOKUP(D2286,'Lista de Produtos CLASSIFICAÇÃO'!$A$103:$B$144,2,FALSE)</f>
        <v>Metanol</v>
      </c>
      <c r="F2286" s="62">
        <v>4647802</v>
      </c>
      <c r="G2286" s="56" t="str">
        <f>VLOOKUP(C2286,clientes!$C$3:$D$60,2,FALSE)</f>
        <v>MITSUBISHI</v>
      </c>
    </row>
    <row r="2287" spans="1:7" x14ac:dyDescent="0.25">
      <c r="A2287">
        <v>2026</v>
      </c>
      <c r="B2287" t="s">
        <v>140</v>
      </c>
      <c r="C2287" t="s">
        <v>170</v>
      </c>
      <c r="D2287" t="s">
        <v>22</v>
      </c>
      <c r="E2287" t="str">
        <f>VLOOKUP(D2287,'Lista de Produtos CLASSIFICAÇÃO'!$A$103:$B$144,2,FALSE)</f>
        <v>Metanol</v>
      </c>
      <c r="F2287" s="62">
        <v>4647802</v>
      </c>
      <c r="G2287" s="56" t="str">
        <f>VLOOKUP(C2287,clientes!$C$3:$D$60,2,FALSE)</f>
        <v>MITSUBISHI</v>
      </c>
    </row>
    <row r="2288" spans="1:7" x14ac:dyDescent="0.25">
      <c r="A2288">
        <v>2026</v>
      </c>
      <c r="B2288" t="s">
        <v>141</v>
      </c>
      <c r="C2288" t="s">
        <v>170</v>
      </c>
      <c r="D2288" t="s">
        <v>22</v>
      </c>
      <c r="E2288" t="str">
        <f>VLOOKUP(D2288,'Lista de Produtos CLASSIFICAÇÃO'!$A$103:$B$144,2,FALSE)</f>
        <v>Metanol</v>
      </c>
      <c r="F2288" s="62">
        <v>4647802</v>
      </c>
      <c r="G2288" s="56" t="str">
        <f>VLOOKUP(C2288,clientes!$C$3:$D$60,2,FALSE)</f>
        <v>MITSUBISHI</v>
      </c>
    </row>
    <row r="2289" spans="1:7" x14ac:dyDescent="0.25">
      <c r="A2289">
        <v>2026</v>
      </c>
      <c r="B2289" t="s">
        <v>142</v>
      </c>
      <c r="C2289" t="s">
        <v>170</v>
      </c>
      <c r="D2289" t="s">
        <v>22</v>
      </c>
      <c r="E2289" t="str">
        <f>VLOOKUP(D2289,'Lista de Produtos CLASSIFICAÇÃO'!$A$103:$B$144,2,FALSE)</f>
        <v>Metanol</v>
      </c>
      <c r="F2289" s="62">
        <v>4647802</v>
      </c>
      <c r="G2289" s="56" t="str">
        <f>VLOOKUP(C2289,clientes!$C$3:$D$60,2,FALSE)</f>
        <v>MITSUBISHI</v>
      </c>
    </row>
    <row r="2290" spans="1:7" x14ac:dyDescent="0.25">
      <c r="A2290">
        <v>2026</v>
      </c>
      <c r="B2290" t="s">
        <v>143</v>
      </c>
      <c r="C2290" t="s">
        <v>171</v>
      </c>
      <c r="D2290" t="s">
        <v>22</v>
      </c>
      <c r="E2290" t="str">
        <f>VLOOKUP(D2290,'Lista de Produtos CLASSIFICAÇÃO'!$A$103:$B$144,2,FALSE)</f>
        <v>Metanol</v>
      </c>
      <c r="F2290" s="62">
        <v>6215043</v>
      </c>
      <c r="G2290" s="56" t="str">
        <f>VLOOKUP(C2290,clientes!$C$3:$D$60,2,FALSE)</f>
        <v>VALENZ</v>
      </c>
    </row>
    <row r="2291" spans="1:7" x14ac:dyDescent="0.25">
      <c r="A2291">
        <v>2026</v>
      </c>
      <c r="B2291" t="s">
        <v>132</v>
      </c>
      <c r="C2291" t="s">
        <v>171</v>
      </c>
      <c r="D2291" t="s">
        <v>22</v>
      </c>
      <c r="E2291" t="str">
        <f>VLOOKUP(D2291,'Lista de Produtos CLASSIFICAÇÃO'!$A$103:$B$144,2,FALSE)</f>
        <v>Metanol</v>
      </c>
      <c r="F2291" s="62">
        <v>6215043</v>
      </c>
      <c r="G2291" s="56" t="str">
        <f>VLOOKUP(C2291,clientes!$C$3:$D$60,2,FALSE)</f>
        <v>VALENZ</v>
      </c>
    </row>
    <row r="2292" spans="1:7" x14ac:dyDescent="0.25">
      <c r="A2292">
        <v>2026</v>
      </c>
      <c r="B2292" t="s">
        <v>133</v>
      </c>
      <c r="C2292" t="s">
        <v>171</v>
      </c>
      <c r="D2292" t="s">
        <v>22</v>
      </c>
      <c r="E2292" t="str">
        <f>VLOOKUP(D2292,'Lista de Produtos CLASSIFICAÇÃO'!$A$103:$B$144,2,FALSE)</f>
        <v>Metanol</v>
      </c>
      <c r="F2292" s="62">
        <v>6215043</v>
      </c>
      <c r="G2292" s="56" t="str">
        <f>VLOOKUP(C2292,clientes!$C$3:$D$60,2,FALSE)</f>
        <v>VALENZ</v>
      </c>
    </row>
    <row r="2293" spans="1:7" x14ac:dyDescent="0.25">
      <c r="A2293">
        <v>2026</v>
      </c>
      <c r="B2293" t="s">
        <v>134</v>
      </c>
      <c r="C2293" t="s">
        <v>171</v>
      </c>
      <c r="D2293" t="s">
        <v>22</v>
      </c>
      <c r="E2293" t="str">
        <f>VLOOKUP(D2293,'Lista de Produtos CLASSIFICAÇÃO'!$A$103:$B$144,2,FALSE)</f>
        <v>Metanol</v>
      </c>
      <c r="F2293" s="62">
        <v>6215043</v>
      </c>
      <c r="G2293" s="56" t="str">
        <f>VLOOKUP(C2293,clientes!$C$3:$D$60,2,FALSE)</f>
        <v>VALENZ</v>
      </c>
    </row>
    <row r="2294" spans="1:7" x14ac:dyDescent="0.25">
      <c r="A2294">
        <v>2026</v>
      </c>
      <c r="B2294" t="s">
        <v>135</v>
      </c>
      <c r="C2294" t="s">
        <v>171</v>
      </c>
      <c r="D2294" t="s">
        <v>22</v>
      </c>
      <c r="E2294" t="str">
        <f>VLOOKUP(D2294,'Lista de Produtos CLASSIFICAÇÃO'!$A$103:$B$144,2,FALSE)</f>
        <v>Metanol</v>
      </c>
      <c r="F2294" s="62">
        <v>6215043</v>
      </c>
      <c r="G2294" s="56" t="str">
        <f>VLOOKUP(C2294,clientes!$C$3:$D$60,2,FALSE)</f>
        <v>VALENZ</v>
      </c>
    </row>
    <row r="2295" spans="1:7" x14ac:dyDescent="0.25">
      <c r="A2295">
        <v>2026</v>
      </c>
      <c r="B2295" t="s">
        <v>136</v>
      </c>
      <c r="C2295" t="s">
        <v>171</v>
      </c>
      <c r="D2295" t="s">
        <v>22</v>
      </c>
      <c r="E2295" t="str">
        <f>VLOOKUP(D2295,'Lista de Produtos CLASSIFICAÇÃO'!$A$103:$B$144,2,FALSE)</f>
        <v>Metanol</v>
      </c>
      <c r="F2295" s="62">
        <v>6215043</v>
      </c>
      <c r="G2295" s="56" t="str">
        <f>VLOOKUP(C2295,clientes!$C$3:$D$60,2,FALSE)</f>
        <v>VALENZ</v>
      </c>
    </row>
    <row r="2296" spans="1:7" x14ac:dyDescent="0.25">
      <c r="A2296">
        <v>2026</v>
      </c>
      <c r="B2296" t="s">
        <v>137</v>
      </c>
      <c r="C2296" t="s">
        <v>171</v>
      </c>
      <c r="D2296" t="s">
        <v>22</v>
      </c>
      <c r="E2296" t="str">
        <f>VLOOKUP(D2296,'Lista de Produtos CLASSIFICAÇÃO'!$A$103:$B$144,2,FALSE)</f>
        <v>Metanol</v>
      </c>
      <c r="F2296" s="62">
        <v>6215043</v>
      </c>
      <c r="G2296" s="56" t="str">
        <f>VLOOKUP(C2296,clientes!$C$3:$D$60,2,FALSE)</f>
        <v>VALENZ</v>
      </c>
    </row>
    <row r="2297" spans="1:7" x14ac:dyDescent="0.25">
      <c r="A2297">
        <v>2026</v>
      </c>
      <c r="B2297" t="s">
        <v>138</v>
      </c>
      <c r="C2297" t="s">
        <v>171</v>
      </c>
      <c r="D2297" t="s">
        <v>22</v>
      </c>
      <c r="E2297" t="str">
        <f>VLOOKUP(D2297,'Lista de Produtos CLASSIFICAÇÃO'!$A$103:$B$144,2,FALSE)</f>
        <v>Metanol</v>
      </c>
      <c r="F2297" s="62">
        <v>6215043</v>
      </c>
      <c r="G2297" s="56" t="str">
        <f>VLOOKUP(C2297,clientes!$C$3:$D$60,2,FALSE)</f>
        <v>VALENZ</v>
      </c>
    </row>
    <row r="2298" spans="1:7" x14ac:dyDescent="0.25">
      <c r="A2298">
        <v>2026</v>
      </c>
      <c r="B2298" t="s">
        <v>139</v>
      </c>
      <c r="C2298" t="s">
        <v>171</v>
      </c>
      <c r="D2298" t="s">
        <v>22</v>
      </c>
      <c r="E2298" t="str">
        <f>VLOOKUP(D2298,'Lista de Produtos CLASSIFICAÇÃO'!$A$103:$B$144,2,FALSE)</f>
        <v>Metanol</v>
      </c>
      <c r="F2298" s="62">
        <v>6215043</v>
      </c>
      <c r="G2298" s="56" t="str">
        <f>VLOOKUP(C2298,clientes!$C$3:$D$60,2,FALSE)</f>
        <v>VALENZ</v>
      </c>
    </row>
    <row r="2299" spans="1:7" x14ac:dyDescent="0.25">
      <c r="A2299">
        <v>2026</v>
      </c>
      <c r="B2299" t="s">
        <v>140</v>
      </c>
      <c r="C2299" t="s">
        <v>171</v>
      </c>
      <c r="D2299" t="s">
        <v>22</v>
      </c>
      <c r="E2299" t="str">
        <f>VLOOKUP(D2299,'Lista de Produtos CLASSIFICAÇÃO'!$A$103:$B$144,2,FALSE)</f>
        <v>Metanol</v>
      </c>
      <c r="F2299" s="62">
        <v>6215043</v>
      </c>
      <c r="G2299" s="56" t="str">
        <f>VLOOKUP(C2299,clientes!$C$3:$D$60,2,FALSE)</f>
        <v>VALENZ</v>
      </c>
    </row>
    <row r="2300" spans="1:7" x14ac:dyDescent="0.25">
      <c r="A2300">
        <v>2026</v>
      </c>
      <c r="B2300" t="s">
        <v>141</v>
      </c>
      <c r="C2300" t="s">
        <v>171</v>
      </c>
      <c r="D2300" t="s">
        <v>22</v>
      </c>
      <c r="E2300" t="str">
        <f>VLOOKUP(D2300,'Lista de Produtos CLASSIFICAÇÃO'!$A$103:$B$144,2,FALSE)</f>
        <v>Metanol</v>
      </c>
      <c r="F2300" s="62">
        <v>6215043</v>
      </c>
      <c r="G2300" s="56" t="str">
        <f>VLOOKUP(C2300,clientes!$C$3:$D$60,2,FALSE)</f>
        <v>VALENZ</v>
      </c>
    </row>
    <row r="2301" spans="1:7" x14ac:dyDescent="0.25">
      <c r="A2301">
        <v>2026</v>
      </c>
      <c r="B2301" t="s">
        <v>142</v>
      </c>
      <c r="C2301" t="s">
        <v>171</v>
      </c>
      <c r="D2301" t="s">
        <v>22</v>
      </c>
      <c r="E2301" t="str">
        <f>VLOOKUP(D2301,'Lista de Produtos CLASSIFICAÇÃO'!$A$103:$B$144,2,FALSE)</f>
        <v>Metanol</v>
      </c>
      <c r="F2301" s="62">
        <v>6215043</v>
      </c>
      <c r="G2301" s="56" t="str">
        <f>VLOOKUP(C2301,clientes!$C$3:$D$60,2,FALSE)</f>
        <v>VALENZ</v>
      </c>
    </row>
    <row r="2302" spans="1:7" x14ac:dyDescent="0.25">
      <c r="A2302">
        <v>2026</v>
      </c>
      <c r="B2302" t="s">
        <v>143</v>
      </c>
      <c r="C2302" t="s">
        <v>172</v>
      </c>
      <c r="D2302" t="s">
        <v>124</v>
      </c>
      <c r="E2302" t="str">
        <f>VLOOKUP(D2302,'Lista de Produtos CLASSIFICAÇÃO'!$A$103:$B$144,2,FALSE)</f>
        <v>Outros</v>
      </c>
      <c r="F2302" s="62">
        <v>435007</v>
      </c>
      <c r="G2302" s="56" t="str">
        <f>VLOOKUP(C2302,clientes!$C$3:$D$60,2,FALSE)</f>
        <v>EVONIK</v>
      </c>
    </row>
    <row r="2303" spans="1:7" x14ac:dyDescent="0.25">
      <c r="A2303">
        <v>2026</v>
      </c>
      <c r="B2303" t="s">
        <v>132</v>
      </c>
      <c r="C2303" t="s">
        <v>172</v>
      </c>
      <c r="D2303" t="s">
        <v>124</v>
      </c>
      <c r="E2303" t="str">
        <f>VLOOKUP(D2303,'Lista de Produtos CLASSIFICAÇÃO'!$A$103:$B$144,2,FALSE)</f>
        <v>Outros</v>
      </c>
      <c r="F2303" s="62">
        <v>435007</v>
      </c>
      <c r="G2303" s="56" t="str">
        <f>VLOOKUP(C2303,clientes!$C$3:$D$60,2,FALSE)</f>
        <v>EVONIK</v>
      </c>
    </row>
    <row r="2304" spans="1:7" x14ac:dyDescent="0.25">
      <c r="A2304">
        <v>2026</v>
      </c>
      <c r="B2304" t="s">
        <v>133</v>
      </c>
      <c r="C2304" t="s">
        <v>172</v>
      </c>
      <c r="D2304" t="s">
        <v>124</v>
      </c>
      <c r="E2304" t="str">
        <f>VLOOKUP(D2304,'Lista de Produtos CLASSIFICAÇÃO'!$A$103:$B$144,2,FALSE)</f>
        <v>Outros</v>
      </c>
      <c r="F2304" s="62">
        <v>435007</v>
      </c>
      <c r="G2304" s="56" t="str">
        <f>VLOOKUP(C2304,clientes!$C$3:$D$60,2,FALSE)</f>
        <v>EVONIK</v>
      </c>
    </row>
    <row r="2305" spans="1:7" x14ac:dyDescent="0.25">
      <c r="A2305">
        <v>2026</v>
      </c>
      <c r="B2305" t="s">
        <v>134</v>
      </c>
      <c r="C2305" t="s">
        <v>172</v>
      </c>
      <c r="D2305" t="s">
        <v>124</v>
      </c>
      <c r="E2305" t="str">
        <f>VLOOKUP(D2305,'Lista de Produtos CLASSIFICAÇÃO'!$A$103:$B$144,2,FALSE)</f>
        <v>Outros</v>
      </c>
      <c r="F2305" s="62">
        <v>435007</v>
      </c>
      <c r="G2305" s="56" t="str">
        <f>VLOOKUP(C2305,clientes!$C$3:$D$60,2,FALSE)</f>
        <v>EVONIK</v>
      </c>
    </row>
    <row r="2306" spans="1:7" x14ac:dyDescent="0.25">
      <c r="A2306">
        <v>2026</v>
      </c>
      <c r="B2306" t="s">
        <v>135</v>
      </c>
      <c r="C2306" t="s">
        <v>172</v>
      </c>
      <c r="D2306" t="s">
        <v>124</v>
      </c>
      <c r="E2306" t="str">
        <f>VLOOKUP(D2306,'Lista de Produtos CLASSIFICAÇÃO'!$A$103:$B$144,2,FALSE)</f>
        <v>Outros</v>
      </c>
      <c r="F2306" s="62">
        <v>435007</v>
      </c>
      <c r="G2306" s="56" t="str">
        <f>VLOOKUP(C2306,clientes!$C$3:$D$60,2,FALSE)</f>
        <v>EVONIK</v>
      </c>
    </row>
    <row r="2307" spans="1:7" x14ac:dyDescent="0.25">
      <c r="A2307">
        <v>2026</v>
      </c>
      <c r="B2307" t="s">
        <v>136</v>
      </c>
      <c r="C2307" t="s">
        <v>172</v>
      </c>
      <c r="D2307" t="s">
        <v>124</v>
      </c>
      <c r="E2307" t="str">
        <f>VLOOKUP(D2307,'Lista de Produtos CLASSIFICAÇÃO'!$A$103:$B$144,2,FALSE)</f>
        <v>Outros</v>
      </c>
      <c r="F2307" s="62">
        <v>435007</v>
      </c>
      <c r="G2307" s="56" t="str">
        <f>VLOOKUP(C2307,clientes!$C$3:$D$60,2,FALSE)</f>
        <v>EVONIK</v>
      </c>
    </row>
    <row r="2308" spans="1:7" x14ac:dyDescent="0.25">
      <c r="A2308">
        <v>2026</v>
      </c>
      <c r="B2308" t="s">
        <v>137</v>
      </c>
      <c r="C2308" t="s">
        <v>172</v>
      </c>
      <c r="D2308" t="s">
        <v>124</v>
      </c>
      <c r="E2308" t="str">
        <f>VLOOKUP(D2308,'Lista de Produtos CLASSIFICAÇÃO'!$A$103:$B$144,2,FALSE)</f>
        <v>Outros</v>
      </c>
      <c r="F2308" s="62">
        <v>435007</v>
      </c>
      <c r="G2308" s="56" t="str">
        <f>VLOOKUP(C2308,clientes!$C$3:$D$60,2,FALSE)</f>
        <v>EVONIK</v>
      </c>
    </row>
    <row r="2309" spans="1:7" x14ac:dyDescent="0.25">
      <c r="A2309">
        <v>2026</v>
      </c>
      <c r="B2309" t="s">
        <v>138</v>
      </c>
      <c r="C2309" t="s">
        <v>172</v>
      </c>
      <c r="D2309" t="s">
        <v>124</v>
      </c>
      <c r="E2309" t="str">
        <f>VLOOKUP(D2309,'Lista de Produtos CLASSIFICAÇÃO'!$A$103:$B$144,2,FALSE)</f>
        <v>Outros</v>
      </c>
      <c r="F2309" s="62">
        <v>435007</v>
      </c>
      <c r="G2309" s="56" t="str">
        <f>VLOOKUP(C2309,clientes!$C$3:$D$60,2,FALSE)</f>
        <v>EVONIK</v>
      </c>
    </row>
    <row r="2310" spans="1:7" x14ac:dyDescent="0.25">
      <c r="A2310">
        <v>2026</v>
      </c>
      <c r="B2310" t="s">
        <v>139</v>
      </c>
      <c r="C2310" t="s">
        <v>172</v>
      </c>
      <c r="D2310" t="s">
        <v>124</v>
      </c>
      <c r="E2310" t="str">
        <f>VLOOKUP(D2310,'Lista de Produtos CLASSIFICAÇÃO'!$A$103:$B$144,2,FALSE)</f>
        <v>Outros</v>
      </c>
      <c r="F2310" s="62">
        <v>435007</v>
      </c>
      <c r="G2310" s="56" t="str">
        <f>VLOOKUP(C2310,clientes!$C$3:$D$60,2,FALSE)</f>
        <v>EVONIK</v>
      </c>
    </row>
    <row r="2311" spans="1:7" x14ac:dyDescent="0.25">
      <c r="A2311">
        <v>2026</v>
      </c>
      <c r="B2311" t="s">
        <v>140</v>
      </c>
      <c r="C2311" t="s">
        <v>172</v>
      </c>
      <c r="D2311" t="s">
        <v>124</v>
      </c>
      <c r="E2311" t="str">
        <f>VLOOKUP(D2311,'Lista de Produtos CLASSIFICAÇÃO'!$A$103:$B$144,2,FALSE)</f>
        <v>Outros</v>
      </c>
      <c r="F2311" s="62">
        <v>435007</v>
      </c>
      <c r="G2311" s="56" t="str">
        <f>VLOOKUP(C2311,clientes!$C$3:$D$60,2,FALSE)</f>
        <v>EVONIK</v>
      </c>
    </row>
    <row r="2312" spans="1:7" x14ac:dyDescent="0.25">
      <c r="A2312">
        <v>2026</v>
      </c>
      <c r="B2312" t="s">
        <v>141</v>
      </c>
      <c r="C2312" t="s">
        <v>172</v>
      </c>
      <c r="D2312" t="s">
        <v>124</v>
      </c>
      <c r="E2312" t="str">
        <f>VLOOKUP(D2312,'Lista de Produtos CLASSIFICAÇÃO'!$A$103:$B$144,2,FALSE)</f>
        <v>Outros</v>
      </c>
      <c r="F2312" s="62">
        <v>435007</v>
      </c>
      <c r="G2312" s="56" t="str">
        <f>VLOOKUP(C2312,clientes!$C$3:$D$60,2,FALSE)</f>
        <v>EVONIK</v>
      </c>
    </row>
    <row r="2313" spans="1:7" x14ac:dyDescent="0.25">
      <c r="A2313">
        <v>2026</v>
      </c>
      <c r="B2313" t="s">
        <v>142</v>
      </c>
      <c r="C2313" t="s">
        <v>172</v>
      </c>
      <c r="D2313" t="s">
        <v>124</v>
      </c>
      <c r="E2313" t="str">
        <f>VLOOKUP(D2313,'Lista de Produtos CLASSIFICAÇÃO'!$A$103:$B$144,2,FALSE)</f>
        <v>Outros</v>
      </c>
      <c r="F2313" s="62">
        <v>435007</v>
      </c>
      <c r="G2313" s="56" t="str">
        <f>VLOOKUP(C2313,clientes!$C$3:$D$60,2,FALSE)</f>
        <v>EVONIK</v>
      </c>
    </row>
    <row r="2314" spans="1:7" x14ac:dyDescent="0.25">
      <c r="A2314">
        <v>2026</v>
      </c>
      <c r="B2314" t="s">
        <v>143</v>
      </c>
      <c r="C2314" t="s">
        <v>186</v>
      </c>
      <c r="D2314" t="s">
        <v>22</v>
      </c>
      <c r="E2314" t="str">
        <f>VLOOKUP(D2314,'Lista de Produtos CLASSIFICAÇÃO'!$A$103:$B$144,2,FALSE)</f>
        <v>Metanol</v>
      </c>
      <c r="F2314" s="62">
        <v>1780726</v>
      </c>
      <c r="G2314" s="56" t="str">
        <f>VLOOKUP(C2314,clientes!$C$3:$D$60,2,FALSE)</f>
        <v>OQ TRADING</v>
      </c>
    </row>
    <row r="2315" spans="1:7" x14ac:dyDescent="0.25">
      <c r="A2315">
        <v>2026</v>
      </c>
      <c r="B2315" t="s">
        <v>132</v>
      </c>
      <c r="C2315" t="s">
        <v>186</v>
      </c>
      <c r="D2315" t="s">
        <v>22</v>
      </c>
      <c r="E2315" t="str">
        <f>VLOOKUP(D2315,'Lista de Produtos CLASSIFICAÇÃO'!$A$103:$B$144,2,FALSE)</f>
        <v>Metanol</v>
      </c>
      <c r="F2315" s="62">
        <v>1530737</v>
      </c>
      <c r="G2315" s="56" t="str">
        <f>VLOOKUP(C2315,clientes!$C$3:$D$60,2,FALSE)</f>
        <v>OQ TRADING</v>
      </c>
    </row>
    <row r="2316" spans="1:7" x14ac:dyDescent="0.25">
      <c r="A2316">
        <v>2026</v>
      </c>
      <c r="B2316" t="s">
        <v>133</v>
      </c>
      <c r="C2316" t="s">
        <v>186</v>
      </c>
      <c r="D2316" t="s">
        <v>22</v>
      </c>
      <c r="E2316" t="str">
        <f>VLOOKUP(D2316,'Lista de Produtos CLASSIFICAÇÃO'!$A$103:$B$144,2,FALSE)</f>
        <v>Metanol</v>
      </c>
      <c r="F2316" s="62">
        <v>1780726</v>
      </c>
      <c r="G2316" s="56" t="str">
        <f>VLOOKUP(C2316,clientes!$C$3:$D$60,2,FALSE)</f>
        <v>OQ TRADING</v>
      </c>
    </row>
    <row r="2317" spans="1:7" x14ac:dyDescent="0.25">
      <c r="A2317">
        <v>2026</v>
      </c>
      <c r="B2317" t="s">
        <v>134</v>
      </c>
      <c r="C2317" t="s">
        <v>186</v>
      </c>
      <c r="D2317" t="s">
        <v>22</v>
      </c>
      <c r="E2317" t="str">
        <f>VLOOKUP(D2317,'Lista de Produtos CLASSIFICAÇÃO'!$A$103:$B$144,2,FALSE)</f>
        <v>Metanol</v>
      </c>
      <c r="F2317" s="62">
        <v>1530737</v>
      </c>
      <c r="G2317" s="56" t="str">
        <f>VLOOKUP(C2317,clientes!$C$3:$D$60,2,FALSE)</f>
        <v>OQ TRADING</v>
      </c>
    </row>
    <row r="2318" spans="1:7" x14ac:dyDescent="0.25">
      <c r="A2318">
        <v>2026</v>
      </c>
      <c r="B2318" t="s">
        <v>135</v>
      </c>
      <c r="C2318" t="s">
        <v>186</v>
      </c>
      <c r="D2318" t="s">
        <v>22</v>
      </c>
      <c r="E2318" t="str">
        <f>VLOOKUP(D2318,'Lista de Produtos CLASSIFICAÇÃO'!$A$103:$B$144,2,FALSE)</f>
        <v>Metanol</v>
      </c>
      <c r="F2318" s="62">
        <v>1222722</v>
      </c>
      <c r="G2318" s="56" t="str">
        <f>VLOOKUP(C2318,clientes!$C$3:$D$60,2,FALSE)</f>
        <v>OQ TRADING</v>
      </c>
    </row>
    <row r="2319" spans="1:7" x14ac:dyDescent="0.25">
      <c r="A2319">
        <v>2026</v>
      </c>
      <c r="B2319" t="s">
        <v>136</v>
      </c>
      <c r="C2319" t="s">
        <v>186</v>
      </c>
      <c r="D2319" t="s">
        <v>22</v>
      </c>
      <c r="E2319" t="str">
        <f>VLOOKUP(D2319,'Lista de Produtos CLASSIFICAÇÃO'!$A$103:$B$144,2,FALSE)</f>
        <v>Metanol</v>
      </c>
      <c r="F2319" s="62">
        <v>1046259</v>
      </c>
      <c r="G2319" s="56" t="str">
        <f>VLOOKUP(C2319,clientes!$C$3:$D$60,2,FALSE)</f>
        <v>OQ TRADING</v>
      </c>
    </row>
    <row r="2320" spans="1:7" x14ac:dyDescent="0.25">
      <c r="A2320">
        <v>2026</v>
      </c>
      <c r="B2320" t="s">
        <v>137</v>
      </c>
      <c r="C2320" t="s">
        <v>186</v>
      </c>
      <c r="D2320" t="s">
        <v>22</v>
      </c>
      <c r="E2320" t="str">
        <f>VLOOKUP(D2320,'Lista de Produtos CLASSIFICAÇÃO'!$A$103:$B$144,2,FALSE)</f>
        <v>Metanol</v>
      </c>
      <c r="F2320" s="62">
        <v>1222722</v>
      </c>
      <c r="G2320" s="56" t="str">
        <f>VLOOKUP(C2320,clientes!$C$3:$D$60,2,FALSE)</f>
        <v>OQ TRADING</v>
      </c>
    </row>
    <row r="2321" spans="1:7" x14ac:dyDescent="0.25">
      <c r="A2321">
        <v>2026</v>
      </c>
      <c r="B2321" t="s">
        <v>138</v>
      </c>
      <c r="C2321" t="s">
        <v>186</v>
      </c>
      <c r="D2321" t="s">
        <v>22</v>
      </c>
      <c r="E2321" t="str">
        <f>VLOOKUP(D2321,'Lista de Produtos CLASSIFICAÇÃO'!$A$103:$B$144,2,FALSE)</f>
        <v>Metanol</v>
      </c>
      <c r="F2321" s="62">
        <v>1046259</v>
      </c>
      <c r="G2321" s="56" t="str">
        <f>VLOOKUP(C2321,clientes!$C$3:$D$60,2,FALSE)</f>
        <v>OQ TRADING</v>
      </c>
    </row>
    <row r="2322" spans="1:7" x14ac:dyDescent="0.25">
      <c r="A2322">
        <v>2026</v>
      </c>
      <c r="B2322" t="s">
        <v>139</v>
      </c>
      <c r="C2322" t="s">
        <v>186</v>
      </c>
      <c r="D2322" t="s">
        <v>22</v>
      </c>
      <c r="E2322" t="str">
        <f>VLOOKUP(D2322,'Lista de Produtos CLASSIFICAÇÃO'!$A$103:$B$144,2,FALSE)</f>
        <v>Metanol</v>
      </c>
      <c r="F2322" s="62">
        <v>1222722</v>
      </c>
      <c r="G2322" s="56" t="str">
        <f>VLOOKUP(C2322,clientes!$C$3:$D$60,2,FALSE)</f>
        <v>OQ TRADING</v>
      </c>
    </row>
    <row r="2323" spans="1:7" x14ac:dyDescent="0.25">
      <c r="A2323">
        <v>2026</v>
      </c>
      <c r="B2323" t="s">
        <v>140</v>
      </c>
      <c r="C2323" t="s">
        <v>186</v>
      </c>
      <c r="D2323" t="s">
        <v>22</v>
      </c>
      <c r="E2323" t="str">
        <f>VLOOKUP(D2323,'Lista de Produtos CLASSIFICAÇÃO'!$A$103:$B$144,2,FALSE)</f>
        <v>Metanol</v>
      </c>
      <c r="F2323" s="62">
        <v>1046259</v>
      </c>
      <c r="G2323" s="56" t="str">
        <f>VLOOKUP(C2323,clientes!$C$3:$D$60,2,FALSE)</f>
        <v>OQ TRADING</v>
      </c>
    </row>
    <row r="2324" spans="1:7" x14ac:dyDescent="0.25">
      <c r="A2324">
        <v>2026</v>
      </c>
      <c r="B2324" t="s">
        <v>141</v>
      </c>
      <c r="C2324" t="s">
        <v>186</v>
      </c>
      <c r="D2324" t="s">
        <v>22</v>
      </c>
      <c r="E2324" t="str">
        <f>VLOOKUP(D2324,'Lista de Produtos CLASSIFICAÇÃO'!$A$103:$B$144,2,FALSE)</f>
        <v>Metanol</v>
      </c>
      <c r="F2324" s="62">
        <v>1222722</v>
      </c>
      <c r="G2324" s="56" t="str">
        <f>VLOOKUP(C2324,clientes!$C$3:$D$60,2,FALSE)</f>
        <v>OQ TRADING</v>
      </c>
    </row>
    <row r="2325" spans="1:7" x14ac:dyDescent="0.25">
      <c r="A2325">
        <v>2026</v>
      </c>
      <c r="B2325" t="s">
        <v>142</v>
      </c>
      <c r="C2325" t="s">
        <v>186</v>
      </c>
      <c r="D2325" t="s">
        <v>22</v>
      </c>
      <c r="E2325" t="str">
        <f>VLOOKUP(D2325,'Lista de Produtos CLASSIFICAÇÃO'!$A$103:$B$144,2,FALSE)</f>
        <v>Metanol</v>
      </c>
      <c r="F2325" s="62">
        <v>1046259</v>
      </c>
      <c r="G2325" s="56" t="str">
        <f>VLOOKUP(C2325,clientes!$C$3:$D$60,2,FALSE)</f>
        <v>OQ TRADING</v>
      </c>
    </row>
    <row r="2326" spans="1:7" x14ac:dyDescent="0.25">
      <c r="A2326">
        <v>2026</v>
      </c>
      <c r="B2326" t="s">
        <v>143</v>
      </c>
      <c r="C2326" t="s">
        <v>174</v>
      </c>
      <c r="D2326" t="s">
        <v>123</v>
      </c>
      <c r="E2326" t="str">
        <f>VLOOKUP(D2326,'Lista de Produtos CLASSIFICAÇÃO'!$A$103:$B$144,2,FALSE)</f>
        <v>Aquecidos</v>
      </c>
      <c r="F2326" s="62">
        <v>1989182</v>
      </c>
      <c r="G2326" s="56" t="str">
        <f>VLOOKUP(C2326,clientes!$C$3:$D$60,2,FALSE)</f>
        <v>CELENA</v>
      </c>
    </row>
    <row r="2327" spans="1:7" x14ac:dyDescent="0.25">
      <c r="A2327">
        <v>2026</v>
      </c>
      <c r="B2327" t="s">
        <v>132</v>
      </c>
      <c r="C2327" t="s">
        <v>174</v>
      </c>
      <c r="D2327" t="s">
        <v>123</v>
      </c>
      <c r="E2327" t="str">
        <f>VLOOKUP(D2327,'Lista de Produtos CLASSIFICAÇÃO'!$A$103:$B$144,2,FALSE)</f>
        <v>Aquecidos</v>
      </c>
      <c r="F2327" s="62">
        <v>1989182</v>
      </c>
      <c r="G2327" s="56" t="str">
        <f>VLOOKUP(C2327,clientes!$C$3:$D$60,2,FALSE)</f>
        <v>CELENA</v>
      </c>
    </row>
    <row r="2328" spans="1:7" x14ac:dyDescent="0.25">
      <c r="A2328">
        <v>2026</v>
      </c>
      <c r="B2328" t="s">
        <v>133</v>
      </c>
      <c r="C2328" t="s">
        <v>174</v>
      </c>
      <c r="D2328" t="s">
        <v>123</v>
      </c>
      <c r="E2328" t="str">
        <f>VLOOKUP(D2328,'Lista de Produtos CLASSIFICAÇÃO'!$A$103:$B$144,2,FALSE)</f>
        <v>Aquecidos</v>
      </c>
      <c r="F2328" s="62">
        <v>1989182</v>
      </c>
      <c r="G2328" s="56" t="str">
        <f>VLOOKUP(C2328,clientes!$C$3:$D$60,2,FALSE)</f>
        <v>CELENA</v>
      </c>
    </row>
    <row r="2329" spans="1:7" x14ac:dyDescent="0.25">
      <c r="A2329">
        <v>2026</v>
      </c>
      <c r="B2329" t="s">
        <v>134</v>
      </c>
      <c r="C2329" t="s">
        <v>174</v>
      </c>
      <c r="D2329" t="s">
        <v>123</v>
      </c>
      <c r="E2329" t="str">
        <f>VLOOKUP(D2329,'Lista de Produtos CLASSIFICAÇÃO'!$A$103:$B$144,2,FALSE)</f>
        <v>Aquecidos</v>
      </c>
      <c r="F2329" s="62">
        <v>1989182</v>
      </c>
      <c r="G2329" s="56" t="str">
        <f>VLOOKUP(C2329,clientes!$C$3:$D$60,2,FALSE)</f>
        <v>CELENA</v>
      </c>
    </row>
    <row r="2330" spans="1:7" x14ac:dyDescent="0.25">
      <c r="A2330">
        <v>2026</v>
      </c>
      <c r="B2330" t="s">
        <v>135</v>
      </c>
      <c r="C2330" t="s">
        <v>174</v>
      </c>
      <c r="D2330" t="s">
        <v>123</v>
      </c>
      <c r="E2330" t="str">
        <f>VLOOKUP(D2330,'Lista de Produtos CLASSIFICAÇÃO'!$A$103:$B$144,2,FALSE)</f>
        <v>Aquecidos</v>
      </c>
      <c r="F2330" s="62">
        <v>1989182</v>
      </c>
      <c r="G2330" s="56" t="str">
        <f>VLOOKUP(C2330,clientes!$C$3:$D$60,2,FALSE)</f>
        <v>CELENA</v>
      </c>
    </row>
    <row r="2331" spans="1:7" x14ac:dyDescent="0.25">
      <c r="A2331">
        <v>2026</v>
      </c>
      <c r="B2331" t="s">
        <v>136</v>
      </c>
      <c r="C2331" t="s">
        <v>174</v>
      </c>
      <c r="D2331" t="s">
        <v>123</v>
      </c>
      <c r="E2331" t="str">
        <f>VLOOKUP(D2331,'Lista de Produtos CLASSIFICAÇÃO'!$A$103:$B$144,2,FALSE)</f>
        <v>Aquecidos</v>
      </c>
      <c r="F2331" s="62">
        <v>1989182</v>
      </c>
      <c r="G2331" s="56" t="str">
        <f>VLOOKUP(C2331,clientes!$C$3:$D$60,2,FALSE)</f>
        <v>CELENA</v>
      </c>
    </row>
    <row r="2332" spans="1:7" x14ac:dyDescent="0.25">
      <c r="A2332">
        <v>2026</v>
      </c>
      <c r="B2332" t="s">
        <v>137</v>
      </c>
      <c r="C2332" t="s">
        <v>174</v>
      </c>
      <c r="D2332" t="s">
        <v>123</v>
      </c>
      <c r="E2332" t="str">
        <f>VLOOKUP(D2332,'Lista de Produtos CLASSIFICAÇÃO'!$A$103:$B$144,2,FALSE)</f>
        <v>Aquecidos</v>
      </c>
      <c r="F2332" s="62">
        <v>1989182</v>
      </c>
      <c r="G2332" s="56" t="str">
        <f>VLOOKUP(C2332,clientes!$C$3:$D$60,2,FALSE)</f>
        <v>CELENA</v>
      </c>
    </row>
    <row r="2333" spans="1:7" x14ac:dyDescent="0.25">
      <c r="A2333">
        <v>2026</v>
      </c>
      <c r="B2333" t="s">
        <v>138</v>
      </c>
      <c r="C2333" t="s">
        <v>174</v>
      </c>
      <c r="D2333" t="s">
        <v>123</v>
      </c>
      <c r="E2333" t="str">
        <f>VLOOKUP(D2333,'Lista de Produtos CLASSIFICAÇÃO'!$A$103:$B$144,2,FALSE)</f>
        <v>Aquecidos</v>
      </c>
      <c r="F2333" s="62">
        <v>1989182</v>
      </c>
      <c r="G2333" s="56" t="str">
        <f>VLOOKUP(C2333,clientes!$C$3:$D$60,2,FALSE)</f>
        <v>CELENA</v>
      </c>
    </row>
    <row r="2334" spans="1:7" x14ac:dyDescent="0.25">
      <c r="A2334">
        <v>2026</v>
      </c>
      <c r="B2334" t="s">
        <v>139</v>
      </c>
      <c r="C2334" t="s">
        <v>174</v>
      </c>
      <c r="D2334" t="s">
        <v>123</v>
      </c>
      <c r="E2334" t="str">
        <f>VLOOKUP(D2334,'Lista de Produtos CLASSIFICAÇÃO'!$A$103:$B$144,2,FALSE)</f>
        <v>Aquecidos</v>
      </c>
      <c r="F2334" s="62">
        <v>1989182</v>
      </c>
      <c r="G2334" s="56" t="str">
        <f>VLOOKUP(C2334,clientes!$C$3:$D$60,2,FALSE)</f>
        <v>CELENA</v>
      </c>
    </row>
    <row r="2335" spans="1:7" x14ac:dyDescent="0.25">
      <c r="A2335">
        <v>2026</v>
      </c>
      <c r="B2335" t="s">
        <v>140</v>
      </c>
      <c r="C2335" t="s">
        <v>174</v>
      </c>
      <c r="D2335" t="s">
        <v>123</v>
      </c>
      <c r="E2335" t="str">
        <f>VLOOKUP(D2335,'Lista de Produtos CLASSIFICAÇÃO'!$A$103:$B$144,2,FALSE)</f>
        <v>Aquecidos</v>
      </c>
      <c r="F2335" s="62">
        <v>1989182</v>
      </c>
      <c r="G2335" s="56" t="str">
        <f>VLOOKUP(C2335,clientes!$C$3:$D$60,2,FALSE)</f>
        <v>CELENA</v>
      </c>
    </row>
    <row r="2336" spans="1:7" x14ac:dyDescent="0.25">
      <c r="A2336">
        <v>2026</v>
      </c>
      <c r="B2336" t="s">
        <v>141</v>
      </c>
      <c r="C2336" t="s">
        <v>174</v>
      </c>
      <c r="D2336" t="s">
        <v>123</v>
      </c>
      <c r="E2336" t="str">
        <f>VLOOKUP(D2336,'Lista de Produtos CLASSIFICAÇÃO'!$A$103:$B$144,2,FALSE)</f>
        <v>Aquecidos</v>
      </c>
      <c r="F2336" s="62">
        <v>1989182</v>
      </c>
      <c r="G2336" s="56" t="str">
        <f>VLOOKUP(C2336,clientes!$C$3:$D$60,2,FALSE)</f>
        <v>CELENA</v>
      </c>
    </row>
    <row r="2337" spans="1:7" x14ac:dyDescent="0.25">
      <c r="A2337">
        <v>2026</v>
      </c>
      <c r="B2337" t="s">
        <v>142</v>
      </c>
      <c r="C2337" t="s">
        <v>174</v>
      </c>
      <c r="D2337" t="s">
        <v>123</v>
      </c>
      <c r="E2337" t="str">
        <f>VLOOKUP(D2337,'Lista de Produtos CLASSIFICAÇÃO'!$A$103:$B$144,2,FALSE)</f>
        <v>Aquecidos</v>
      </c>
      <c r="F2337" s="62">
        <v>1989182</v>
      </c>
      <c r="G2337" s="56" t="str">
        <f>VLOOKUP(C2337,clientes!$C$3:$D$60,2,FALSE)</f>
        <v>CELENA</v>
      </c>
    </row>
    <row r="2338" spans="1:7" x14ac:dyDescent="0.25">
      <c r="A2338">
        <v>2026</v>
      </c>
      <c r="B2338" t="s">
        <v>143</v>
      </c>
      <c r="C2338" t="s">
        <v>175</v>
      </c>
      <c r="D2338" t="s">
        <v>123</v>
      </c>
      <c r="E2338" t="str">
        <f>VLOOKUP(D2338,'Lista de Produtos CLASSIFICAÇÃO'!$A$103:$B$144,2,FALSE)</f>
        <v>Aquecidos</v>
      </c>
      <c r="F2338" s="62">
        <v>922807</v>
      </c>
      <c r="G2338" s="56" t="str">
        <f>VLOOKUP(C2338,clientes!$C$3:$D$60,2,FALSE)</f>
        <v>AAK DO BRASIL</v>
      </c>
    </row>
    <row r="2339" spans="1:7" x14ac:dyDescent="0.25">
      <c r="A2339">
        <v>2026</v>
      </c>
      <c r="B2339" t="s">
        <v>132</v>
      </c>
      <c r="C2339" t="s">
        <v>175</v>
      </c>
      <c r="D2339" t="s">
        <v>123</v>
      </c>
      <c r="E2339" t="str">
        <f>VLOOKUP(D2339,'Lista de Produtos CLASSIFICAÇÃO'!$A$103:$B$144,2,FALSE)</f>
        <v>Aquecidos</v>
      </c>
      <c r="F2339" s="62">
        <v>922807</v>
      </c>
      <c r="G2339" s="56" t="str">
        <f>VLOOKUP(C2339,clientes!$C$3:$D$60,2,FALSE)</f>
        <v>AAK DO BRASIL</v>
      </c>
    </row>
    <row r="2340" spans="1:7" x14ac:dyDescent="0.25">
      <c r="A2340">
        <v>2026</v>
      </c>
      <c r="B2340" t="s">
        <v>133</v>
      </c>
      <c r="C2340" t="s">
        <v>175</v>
      </c>
      <c r="D2340" t="s">
        <v>123</v>
      </c>
      <c r="E2340" t="str">
        <f>VLOOKUP(D2340,'Lista de Produtos CLASSIFICAÇÃO'!$A$103:$B$144,2,FALSE)</f>
        <v>Aquecidos</v>
      </c>
      <c r="F2340" s="62">
        <v>922807</v>
      </c>
      <c r="G2340" s="56" t="str">
        <f>VLOOKUP(C2340,clientes!$C$3:$D$60,2,FALSE)</f>
        <v>AAK DO BRASIL</v>
      </c>
    </row>
    <row r="2341" spans="1:7" x14ac:dyDescent="0.25">
      <c r="A2341">
        <v>2026</v>
      </c>
      <c r="B2341" t="s">
        <v>134</v>
      </c>
      <c r="C2341" t="s">
        <v>175</v>
      </c>
      <c r="D2341" t="s">
        <v>123</v>
      </c>
      <c r="E2341" t="str">
        <f>VLOOKUP(D2341,'Lista de Produtos CLASSIFICAÇÃO'!$A$103:$B$144,2,FALSE)</f>
        <v>Aquecidos</v>
      </c>
      <c r="F2341" s="62">
        <v>922807</v>
      </c>
      <c r="G2341" s="56" t="str">
        <f>VLOOKUP(C2341,clientes!$C$3:$D$60,2,FALSE)</f>
        <v>AAK DO BRASIL</v>
      </c>
    </row>
    <row r="2342" spans="1:7" x14ac:dyDescent="0.25">
      <c r="A2342">
        <v>2026</v>
      </c>
      <c r="B2342" t="s">
        <v>135</v>
      </c>
      <c r="C2342" t="s">
        <v>175</v>
      </c>
      <c r="D2342" t="s">
        <v>123</v>
      </c>
      <c r="E2342" t="str">
        <f>VLOOKUP(D2342,'Lista de Produtos CLASSIFICAÇÃO'!$A$103:$B$144,2,FALSE)</f>
        <v>Aquecidos</v>
      </c>
      <c r="F2342" s="62">
        <v>922807</v>
      </c>
      <c r="G2342" s="56" t="str">
        <f>VLOOKUP(C2342,clientes!$C$3:$D$60,2,FALSE)</f>
        <v>AAK DO BRASIL</v>
      </c>
    </row>
    <row r="2343" spans="1:7" x14ac:dyDescent="0.25">
      <c r="A2343">
        <v>2026</v>
      </c>
      <c r="B2343" t="s">
        <v>136</v>
      </c>
      <c r="C2343" t="s">
        <v>175</v>
      </c>
      <c r="D2343" t="s">
        <v>123</v>
      </c>
      <c r="E2343" t="str">
        <f>VLOOKUP(D2343,'Lista de Produtos CLASSIFICAÇÃO'!$A$103:$B$144,2,FALSE)</f>
        <v>Aquecidos</v>
      </c>
      <c r="F2343" s="62">
        <v>922807</v>
      </c>
      <c r="G2343" s="56" t="str">
        <f>VLOOKUP(C2343,clientes!$C$3:$D$60,2,FALSE)</f>
        <v>AAK DO BRASIL</v>
      </c>
    </row>
    <row r="2344" spans="1:7" x14ac:dyDescent="0.25">
      <c r="A2344">
        <v>2026</v>
      </c>
      <c r="B2344" t="s">
        <v>137</v>
      </c>
      <c r="C2344" t="s">
        <v>175</v>
      </c>
      <c r="D2344" t="s">
        <v>123</v>
      </c>
      <c r="E2344" t="str">
        <f>VLOOKUP(D2344,'Lista de Produtos CLASSIFICAÇÃO'!$A$103:$B$144,2,FALSE)</f>
        <v>Aquecidos</v>
      </c>
      <c r="F2344" s="62">
        <v>922807</v>
      </c>
      <c r="G2344" s="56" t="str">
        <f>VLOOKUP(C2344,clientes!$C$3:$D$60,2,FALSE)</f>
        <v>AAK DO BRASIL</v>
      </c>
    </row>
    <row r="2345" spans="1:7" x14ac:dyDescent="0.25">
      <c r="A2345">
        <v>2026</v>
      </c>
      <c r="B2345" t="s">
        <v>138</v>
      </c>
      <c r="C2345" t="s">
        <v>175</v>
      </c>
      <c r="D2345" t="s">
        <v>123</v>
      </c>
      <c r="E2345" t="str">
        <f>VLOOKUP(D2345,'Lista de Produtos CLASSIFICAÇÃO'!$A$103:$B$144,2,FALSE)</f>
        <v>Aquecidos</v>
      </c>
      <c r="F2345" s="62">
        <v>922807</v>
      </c>
      <c r="G2345" s="56" t="str">
        <f>VLOOKUP(C2345,clientes!$C$3:$D$60,2,FALSE)</f>
        <v>AAK DO BRASIL</v>
      </c>
    </row>
    <row r="2346" spans="1:7" x14ac:dyDescent="0.25">
      <c r="A2346">
        <v>2026</v>
      </c>
      <c r="B2346" t="s">
        <v>139</v>
      </c>
      <c r="C2346" t="s">
        <v>175</v>
      </c>
      <c r="D2346" t="s">
        <v>123</v>
      </c>
      <c r="E2346" t="str">
        <f>VLOOKUP(D2346,'Lista de Produtos CLASSIFICAÇÃO'!$A$103:$B$144,2,FALSE)</f>
        <v>Aquecidos</v>
      </c>
      <c r="F2346" s="62">
        <v>922807</v>
      </c>
      <c r="G2346" s="56" t="str">
        <f>VLOOKUP(C2346,clientes!$C$3:$D$60,2,FALSE)</f>
        <v>AAK DO BRASIL</v>
      </c>
    </row>
    <row r="2347" spans="1:7" x14ac:dyDescent="0.25">
      <c r="A2347">
        <v>2026</v>
      </c>
      <c r="B2347" t="s">
        <v>140</v>
      </c>
      <c r="C2347" t="s">
        <v>175</v>
      </c>
      <c r="D2347" t="s">
        <v>123</v>
      </c>
      <c r="E2347" t="str">
        <f>VLOOKUP(D2347,'Lista de Produtos CLASSIFICAÇÃO'!$A$103:$B$144,2,FALSE)</f>
        <v>Aquecidos</v>
      </c>
      <c r="F2347" s="62">
        <v>922807</v>
      </c>
      <c r="G2347" s="56" t="str">
        <f>VLOOKUP(C2347,clientes!$C$3:$D$60,2,FALSE)</f>
        <v>AAK DO BRASIL</v>
      </c>
    </row>
    <row r="2348" spans="1:7" x14ac:dyDescent="0.25">
      <c r="A2348">
        <v>2026</v>
      </c>
      <c r="B2348" t="s">
        <v>141</v>
      </c>
      <c r="C2348" t="s">
        <v>175</v>
      </c>
      <c r="D2348" t="s">
        <v>123</v>
      </c>
      <c r="E2348" t="str">
        <f>VLOOKUP(D2348,'Lista de Produtos CLASSIFICAÇÃO'!$A$103:$B$144,2,FALSE)</f>
        <v>Aquecidos</v>
      </c>
      <c r="F2348" s="62">
        <v>922807</v>
      </c>
      <c r="G2348" s="56" t="str">
        <f>VLOOKUP(C2348,clientes!$C$3:$D$60,2,FALSE)</f>
        <v>AAK DO BRASIL</v>
      </c>
    </row>
    <row r="2349" spans="1:7" x14ac:dyDescent="0.25">
      <c r="A2349">
        <v>2026</v>
      </c>
      <c r="B2349" t="s">
        <v>142</v>
      </c>
      <c r="C2349" t="s">
        <v>175</v>
      </c>
      <c r="D2349" t="s">
        <v>123</v>
      </c>
      <c r="E2349" t="str">
        <f>VLOOKUP(D2349,'Lista de Produtos CLASSIFICAÇÃO'!$A$103:$B$144,2,FALSE)</f>
        <v>Aquecidos</v>
      </c>
      <c r="F2349" s="62">
        <v>922807</v>
      </c>
      <c r="G2349" s="56" t="str">
        <f>VLOOKUP(C2349,clientes!$C$3:$D$60,2,FALSE)</f>
        <v>AAK DO BRASIL</v>
      </c>
    </row>
    <row r="2350" spans="1:7" x14ac:dyDescent="0.25">
      <c r="A2350">
        <v>2026</v>
      </c>
      <c r="B2350" t="s">
        <v>143</v>
      </c>
      <c r="C2350" t="s">
        <v>166</v>
      </c>
      <c r="D2350" t="s">
        <v>122</v>
      </c>
      <c r="E2350" t="str">
        <f>VLOOKUP(D2350,'Lista de Produtos CLASSIFICAÇÃO'!$A$103:$B$144,2,FALSE)</f>
        <v>Óleo Vegetal</v>
      </c>
      <c r="F2350" s="62">
        <v>228717</v>
      </c>
      <c r="G2350" s="56" t="str">
        <f>VLOOKUP(C2350,clientes!$C$3:$D$60,2,FALSE)</f>
        <v>CARGILL</v>
      </c>
    </row>
    <row r="2351" spans="1:7" x14ac:dyDescent="0.25">
      <c r="A2351">
        <v>2026</v>
      </c>
      <c r="B2351" t="s">
        <v>132</v>
      </c>
      <c r="C2351" t="s">
        <v>166</v>
      </c>
      <c r="D2351" t="s">
        <v>122</v>
      </c>
      <c r="E2351" t="str">
        <f>VLOOKUP(D2351,'Lista de Produtos CLASSIFICAÇÃO'!$A$103:$B$144,2,FALSE)</f>
        <v>Óleo Vegetal</v>
      </c>
      <c r="F2351" s="62">
        <v>228717</v>
      </c>
      <c r="G2351" s="56" t="str">
        <f>VLOOKUP(C2351,clientes!$C$3:$D$60,2,FALSE)</f>
        <v>CARGILL</v>
      </c>
    </row>
    <row r="2352" spans="1:7" x14ac:dyDescent="0.25">
      <c r="A2352">
        <v>2026</v>
      </c>
      <c r="B2352" t="s">
        <v>133</v>
      </c>
      <c r="C2352" t="s">
        <v>166</v>
      </c>
      <c r="D2352" t="s">
        <v>122</v>
      </c>
      <c r="E2352" t="str">
        <f>VLOOKUP(D2352,'Lista de Produtos CLASSIFICAÇÃO'!$A$103:$B$144,2,FALSE)</f>
        <v>Óleo Vegetal</v>
      </c>
      <c r="F2352" s="62">
        <v>228717</v>
      </c>
      <c r="G2352" s="56" t="str">
        <f>VLOOKUP(C2352,clientes!$C$3:$D$60,2,FALSE)</f>
        <v>CARGILL</v>
      </c>
    </row>
    <row r="2353" spans="1:7" x14ac:dyDescent="0.25">
      <c r="A2353">
        <v>2026</v>
      </c>
      <c r="B2353" t="s">
        <v>134</v>
      </c>
      <c r="C2353" t="s">
        <v>166</v>
      </c>
      <c r="D2353" t="s">
        <v>122</v>
      </c>
      <c r="E2353" t="str">
        <f>VLOOKUP(D2353,'Lista de Produtos CLASSIFICAÇÃO'!$A$103:$B$144,2,FALSE)</f>
        <v>Óleo Vegetal</v>
      </c>
      <c r="F2353" s="62">
        <v>228717</v>
      </c>
      <c r="G2353" s="56" t="str">
        <f>VLOOKUP(C2353,clientes!$C$3:$D$60,2,FALSE)</f>
        <v>CARGILL</v>
      </c>
    </row>
    <row r="2354" spans="1:7" x14ac:dyDescent="0.25">
      <c r="A2354">
        <v>2026</v>
      </c>
      <c r="B2354" t="s">
        <v>135</v>
      </c>
      <c r="C2354" t="s">
        <v>166</v>
      </c>
      <c r="D2354" t="s">
        <v>122</v>
      </c>
      <c r="E2354" t="str">
        <f>VLOOKUP(D2354,'Lista de Produtos CLASSIFICAÇÃO'!$A$103:$B$144,2,FALSE)</f>
        <v>Óleo Vegetal</v>
      </c>
      <c r="F2354" s="62">
        <v>228717</v>
      </c>
      <c r="G2354" s="56" t="str">
        <f>VLOOKUP(C2354,clientes!$C$3:$D$60,2,FALSE)</f>
        <v>CARGILL</v>
      </c>
    </row>
    <row r="2355" spans="1:7" x14ac:dyDescent="0.25">
      <c r="A2355">
        <v>2026</v>
      </c>
      <c r="B2355" t="s">
        <v>136</v>
      </c>
      <c r="C2355" t="s">
        <v>166</v>
      </c>
      <c r="D2355" t="s">
        <v>122</v>
      </c>
      <c r="E2355" t="str">
        <f>VLOOKUP(D2355,'Lista de Produtos CLASSIFICAÇÃO'!$A$103:$B$144,2,FALSE)</f>
        <v>Óleo Vegetal</v>
      </c>
      <c r="F2355" s="62">
        <v>228717</v>
      </c>
      <c r="G2355" s="56" t="str">
        <f>VLOOKUP(C2355,clientes!$C$3:$D$60,2,FALSE)</f>
        <v>CARGILL</v>
      </c>
    </row>
    <row r="2356" spans="1:7" x14ac:dyDescent="0.25">
      <c r="A2356">
        <v>2026</v>
      </c>
      <c r="B2356" t="s">
        <v>137</v>
      </c>
      <c r="C2356" t="s">
        <v>166</v>
      </c>
      <c r="D2356" t="s">
        <v>122</v>
      </c>
      <c r="E2356" t="str">
        <f>VLOOKUP(D2356,'Lista de Produtos CLASSIFICAÇÃO'!$A$103:$B$144,2,FALSE)</f>
        <v>Óleo Vegetal</v>
      </c>
      <c r="F2356" s="62">
        <v>228717</v>
      </c>
      <c r="G2356" s="56" t="str">
        <f>VLOOKUP(C2356,clientes!$C$3:$D$60,2,FALSE)</f>
        <v>CARGILL</v>
      </c>
    </row>
    <row r="2357" spans="1:7" x14ac:dyDescent="0.25">
      <c r="A2357">
        <v>2026</v>
      </c>
      <c r="B2357" t="s">
        <v>138</v>
      </c>
      <c r="C2357" t="s">
        <v>166</v>
      </c>
      <c r="D2357" t="s">
        <v>122</v>
      </c>
      <c r="E2357" t="str">
        <f>VLOOKUP(D2357,'Lista de Produtos CLASSIFICAÇÃO'!$A$103:$B$144,2,FALSE)</f>
        <v>Óleo Vegetal</v>
      </c>
      <c r="F2357" s="62">
        <v>228717</v>
      </c>
      <c r="G2357" s="56" t="str">
        <f>VLOOKUP(C2357,clientes!$C$3:$D$60,2,FALSE)</f>
        <v>CARGILL</v>
      </c>
    </row>
    <row r="2358" spans="1:7" x14ac:dyDescent="0.25">
      <c r="A2358">
        <v>2026</v>
      </c>
      <c r="B2358" t="s">
        <v>139</v>
      </c>
      <c r="C2358" t="s">
        <v>166</v>
      </c>
      <c r="D2358" t="s">
        <v>122</v>
      </c>
      <c r="E2358" t="str">
        <f>VLOOKUP(D2358,'Lista de Produtos CLASSIFICAÇÃO'!$A$103:$B$144,2,FALSE)</f>
        <v>Óleo Vegetal</v>
      </c>
      <c r="F2358" s="62">
        <v>228717</v>
      </c>
      <c r="G2358" s="56" t="str">
        <f>VLOOKUP(C2358,clientes!$C$3:$D$60,2,FALSE)</f>
        <v>CARGILL</v>
      </c>
    </row>
    <row r="2359" spans="1:7" x14ac:dyDescent="0.25">
      <c r="A2359">
        <v>2026</v>
      </c>
      <c r="B2359" t="s">
        <v>140</v>
      </c>
      <c r="C2359" t="s">
        <v>166</v>
      </c>
      <c r="D2359" t="s">
        <v>122</v>
      </c>
      <c r="E2359" t="str">
        <f>VLOOKUP(D2359,'Lista de Produtos CLASSIFICAÇÃO'!$A$103:$B$144,2,FALSE)</f>
        <v>Óleo Vegetal</v>
      </c>
      <c r="F2359" s="62">
        <v>228717</v>
      </c>
      <c r="G2359" s="56" t="str">
        <f>VLOOKUP(C2359,clientes!$C$3:$D$60,2,FALSE)</f>
        <v>CARGILL</v>
      </c>
    </row>
    <row r="2360" spans="1:7" x14ac:dyDescent="0.25">
      <c r="A2360">
        <v>2026</v>
      </c>
      <c r="B2360" t="s">
        <v>141</v>
      </c>
      <c r="C2360" t="s">
        <v>166</v>
      </c>
      <c r="D2360" t="s">
        <v>122</v>
      </c>
      <c r="E2360" t="str">
        <f>VLOOKUP(D2360,'Lista de Produtos CLASSIFICAÇÃO'!$A$103:$B$144,2,FALSE)</f>
        <v>Óleo Vegetal</v>
      </c>
      <c r="F2360" s="62">
        <v>228717</v>
      </c>
      <c r="G2360" s="56" t="str">
        <f>VLOOKUP(C2360,clientes!$C$3:$D$60,2,FALSE)</f>
        <v>CARGILL</v>
      </c>
    </row>
    <row r="2361" spans="1:7" x14ac:dyDescent="0.25">
      <c r="A2361">
        <v>2026</v>
      </c>
      <c r="B2361" t="s">
        <v>142</v>
      </c>
      <c r="C2361" t="s">
        <v>166</v>
      </c>
      <c r="D2361" t="s">
        <v>122</v>
      </c>
      <c r="E2361" t="str">
        <f>VLOOKUP(D2361,'Lista de Produtos CLASSIFICAÇÃO'!$A$103:$B$144,2,FALSE)</f>
        <v>Óleo Vegetal</v>
      </c>
      <c r="F2361" s="62">
        <v>228717</v>
      </c>
      <c r="G2361" s="56" t="str">
        <f>VLOOKUP(C2361,clientes!$C$3:$D$60,2,FALSE)</f>
        <v>CARGILL</v>
      </c>
    </row>
    <row r="2362" spans="1:7" x14ac:dyDescent="0.25">
      <c r="A2362">
        <v>2026</v>
      </c>
      <c r="B2362" t="s">
        <v>143</v>
      </c>
      <c r="C2362" t="s">
        <v>177</v>
      </c>
      <c r="D2362" t="s">
        <v>115</v>
      </c>
      <c r="E2362" t="s">
        <v>245</v>
      </c>
      <c r="F2362" s="62">
        <v>262174</v>
      </c>
      <c r="G2362" s="56" t="str">
        <f>VLOOKUP(C2362,clientes!$C$3:$D$60,2,FALSE)</f>
        <v>BRENNTAG</v>
      </c>
    </row>
    <row r="2363" spans="1:7" x14ac:dyDescent="0.25">
      <c r="A2363">
        <v>2026</v>
      </c>
      <c r="B2363" t="s">
        <v>132</v>
      </c>
      <c r="C2363" t="s">
        <v>177</v>
      </c>
      <c r="D2363" t="s">
        <v>115</v>
      </c>
      <c r="E2363" t="s">
        <v>245</v>
      </c>
      <c r="F2363" s="62">
        <v>262174</v>
      </c>
      <c r="G2363" s="56" t="str">
        <f>VLOOKUP(C2363,clientes!$C$3:$D$60,2,FALSE)</f>
        <v>BRENNTAG</v>
      </c>
    </row>
    <row r="2364" spans="1:7" x14ac:dyDescent="0.25">
      <c r="A2364">
        <v>2026</v>
      </c>
      <c r="B2364" t="s">
        <v>133</v>
      </c>
      <c r="C2364" t="s">
        <v>177</v>
      </c>
      <c r="D2364" t="s">
        <v>115</v>
      </c>
      <c r="E2364" t="s">
        <v>245</v>
      </c>
      <c r="F2364" s="62">
        <v>262174</v>
      </c>
      <c r="G2364" s="56" t="str">
        <f>VLOOKUP(C2364,clientes!$C$3:$D$60,2,FALSE)</f>
        <v>BRENNTAG</v>
      </c>
    </row>
    <row r="2365" spans="1:7" x14ac:dyDescent="0.25">
      <c r="A2365">
        <v>2026</v>
      </c>
      <c r="B2365" t="s">
        <v>134</v>
      </c>
      <c r="C2365" t="s">
        <v>177</v>
      </c>
      <c r="D2365" t="s">
        <v>115</v>
      </c>
      <c r="E2365" t="str">
        <f>VLOOKUP(D2365,'Lista de Produtos CLASSIFICAÇÃO'!$A$103:$B$144,2,FALSE)</f>
        <v>Soda Caustica</v>
      </c>
      <c r="F2365" s="62">
        <v>262174</v>
      </c>
      <c r="G2365" s="56" t="str">
        <f>VLOOKUP(C2365,clientes!$C$3:$D$60,2,FALSE)</f>
        <v>BRENNTAG</v>
      </c>
    </row>
    <row r="2366" spans="1:7" x14ac:dyDescent="0.25">
      <c r="A2366">
        <v>2026</v>
      </c>
      <c r="B2366" t="s">
        <v>135</v>
      </c>
      <c r="C2366" t="s">
        <v>177</v>
      </c>
      <c r="D2366" t="s">
        <v>115</v>
      </c>
      <c r="E2366" t="str">
        <f>VLOOKUP(D2366,'Lista de Produtos CLASSIFICAÇÃO'!$A$103:$B$144,2,FALSE)</f>
        <v>Soda Caustica</v>
      </c>
      <c r="F2366" s="62">
        <v>262174</v>
      </c>
      <c r="G2366" s="56" t="str">
        <f>VLOOKUP(C2366,clientes!$C$3:$D$60,2,FALSE)</f>
        <v>BRENNTAG</v>
      </c>
    </row>
    <row r="2367" spans="1:7" x14ac:dyDescent="0.25">
      <c r="A2367">
        <v>2026</v>
      </c>
      <c r="B2367" t="s">
        <v>136</v>
      </c>
      <c r="C2367" t="s">
        <v>177</v>
      </c>
      <c r="D2367" t="s">
        <v>115</v>
      </c>
      <c r="E2367" t="str">
        <f>VLOOKUP(D2367,'Lista de Produtos CLASSIFICAÇÃO'!$A$103:$B$144,2,FALSE)</f>
        <v>Soda Caustica</v>
      </c>
      <c r="F2367" s="62">
        <v>262174</v>
      </c>
      <c r="G2367" s="56" t="str">
        <f>VLOOKUP(C2367,clientes!$C$3:$D$60,2,FALSE)</f>
        <v>BRENNTAG</v>
      </c>
    </row>
    <row r="2368" spans="1:7" x14ac:dyDescent="0.25">
      <c r="A2368">
        <v>2026</v>
      </c>
      <c r="B2368" t="s">
        <v>137</v>
      </c>
      <c r="C2368" t="s">
        <v>177</v>
      </c>
      <c r="D2368" t="s">
        <v>115</v>
      </c>
      <c r="E2368" t="str">
        <f>VLOOKUP(D2368,'Lista de Produtos CLASSIFICAÇÃO'!$A$103:$B$144,2,FALSE)</f>
        <v>Soda Caustica</v>
      </c>
      <c r="F2368" s="62">
        <v>262174</v>
      </c>
      <c r="G2368" s="56" t="str">
        <f>VLOOKUP(C2368,clientes!$C$3:$D$60,2,FALSE)</f>
        <v>BRENNTAG</v>
      </c>
    </row>
    <row r="2369" spans="1:7" x14ac:dyDescent="0.25">
      <c r="A2369">
        <v>2026</v>
      </c>
      <c r="B2369" t="s">
        <v>138</v>
      </c>
      <c r="C2369" t="s">
        <v>177</v>
      </c>
      <c r="D2369" t="s">
        <v>115</v>
      </c>
      <c r="E2369" t="str">
        <f>VLOOKUP(D2369,'Lista de Produtos CLASSIFICAÇÃO'!$A$103:$B$144,2,FALSE)</f>
        <v>Soda Caustica</v>
      </c>
      <c r="F2369" s="62">
        <v>262174</v>
      </c>
      <c r="G2369" s="56" t="str">
        <f>VLOOKUP(C2369,clientes!$C$3:$D$60,2,FALSE)</f>
        <v>BRENNTAG</v>
      </c>
    </row>
    <row r="2370" spans="1:7" x14ac:dyDescent="0.25">
      <c r="A2370">
        <v>2026</v>
      </c>
      <c r="B2370" t="s">
        <v>139</v>
      </c>
      <c r="C2370" t="s">
        <v>177</v>
      </c>
      <c r="D2370" t="s">
        <v>115</v>
      </c>
      <c r="E2370" t="str">
        <f>VLOOKUP(D2370,'Lista de Produtos CLASSIFICAÇÃO'!$A$103:$B$144,2,FALSE)</f>
        <v>Soda Caustica</v>
      </c>
      <c r="F2370" s="62">
        <v>262174</v>
      </c>
      <c r="G2370" s="56" t="str">
        <f>VLOOKUP(C2370,clientes!$C$3:$D$60,2,FALSE)</f>
        <v>BRENNTAG</v>
      </c>
    </row>
    <row r="2371" spans="1:7" x14ac:dyDescent="0.25">
      <c r="A2371">
        <v>2026</v>
      </c>
      <c r="B2371" t="s">
        <v>140</v>
      </c>
      <c r="C2371" t="s">
        <v>177</v>
      </c>
      <c r="D2371" t="s">
        <v>115</v>
      </c>
      <c r="E2371" t="str">
        <f>VLOOKUP(D2371,'Lista de Produtos CLASSIFICAÇÃO'!$A$103:$B$144,2,FALSE)</f>
        <v>Soda Caustica</v>
      </c>
      <c r="F2371" s="62">
        <v>262174</v>
      </c>
      <c r="G2371" s="56" t="str">
        <f>VLOOKUP(C2371,clientes!$C$3:$D$60,2,FALSE)</f>
        <v>BRENNTAG</v>
      </c>
    </row>
    <row r="2372" spans="1:7" x14ac:dyDescent="0.25">
      <c r="A2372">
        <v>2026</v>
      </c>
      <c r="B2372" t="s">
        <v>141</v>
      </c>
      <c r="C2372" t="s">
        <v>177</v>
      </c>
      <c r="D2372" t="s">
        <v>115</v>
      </c>
      <c r="E2372" t="str">
        <f>VLOOKUP(D2372,'Lista de Produtos CLASSIFICAÇÃO'!$A$103:$B$144,2,FALSE)</f>
        <v>Soda Caustica</v>
      </c>
      <c r="F2372" s="62">
        <v>262174</v>
      </c>
      <c r="G2372" s="56" t="str">
        <f>VLOOKUP(C2372,clientes!$C$3:$D$60,2,FALSE)</f>
        <v>BRENNTAG</v>
      </c>
    </row>
    <row r="2373" spans="1:7" x14ac:dyDescent="0.25">
      <c r="A2373">
        <v>2026</v>
      </c>
      <c r="B2373" t="s">
        <v>142</v>
      </c>
      <c r="C2373" t="s">
        <v>177</v>
      </c>
      <c r="D2373" t="s">
        <v>115</v>
      </c>
      <c r="E2373" t="str">
        <f>VLOOKUP(D2373,'Lista de Produtos CLASSIFICAÇÃO'!$A$103:$B$144,2,FALSE)</f>
        <v>Soda Caustica</v>
      </c>
      <c r="F2373" s="62">
        <v>262174</v>
      </c>
      <c r="G2373" s="56" t="str">
        <f>VLOOKUP(C2373,clientes!$C$3:$D$60,2,FALSE)</f>
        <v>BRENNTAG</v>
      </c>
    </row>
    <row r="2374" spans="1:7" x14ac:dyDescent="0.25">
      <c r="A2374">
        <v>2026</v>
      </c>
      <c r="B2374" t="s">
        <v>143</v>
      </c>
      <c r="C2374" t="s">
        <v>178</v>
      </c>
      <c r="D2374" t="s">
        <v>115</v>
      </c>
      <c r="E2374" t="s">
        <v>245</v>
      </c>
      <c r="F2374" s="62">
        <v>2051393</v>
      </c>
      <c r="G2374" s="56" t="str">
        <f>VLOOKUP(C2374,clientes!$C$3:$D$60,2,FALSE)</f>
        <v>OLIN BLUE CUBE</v>
      </c>
    </row>
    <row r="2375" spans="1:7" x14ac:dyDescent="0.25">
      <c r="A2375">
        <v>2026</v>
      </c>
      <c r="B2375" t="s">
        <v>132</v>
      </c>
      <c r="C2375" t="s">
        <v>178</v>
      </c>
      <c r="D2375" t="s">
        <v>115</v>
      </c>
      <c r="E2375" t="s">
        <v>245</v>
      </c>
      <c r="F2375" s="62">
        <v>2144732</v>
      </c>
      <c r="G2375" s="56" t="str">
        <f>VLOOKUP(C2375,clientes!$C$3:$D$60,2,FALSE)</f>
        <v>OLIN BLUE CUBE</v>
      </c>
    </row>
    <row r="2376" spans="1:7" x14ac:dyDescent="0.25">
      <c r="A2376">
        <v>2026</v>
      </c>
      <c r="B2376" t="s">
        <v>133</v>
      </c>
      <c r="C2376" t="s">
        <v>178</v>
      </c>
      <c r="D2376" t="s">
        <v>115</v>
      </c>
      <c r="E2376" t="s">
        <v>245</v>
      </c>
      <c r="F2376" s="62">
        <v>2144732</v>
      </c>
      <c r="G2376" s="56" t="str">
        <f>VLOOKUP(C2376,clientes!$C$3:$D$60,2,FALSE)</f>
        <v>OLIN BLUE CUBE</v>
      </c>
    </row>
    <row r="2377" spans="1:7" x14ac:dyDescent="0.25">
      <c r="A2377">
        <v>2026</v>
      </c>
      <c r="B2377" t="s">
        <v>134</v>
      </c>
      <c r="C2377" t="s">
        <v>178</v>
      </c>
      <c r="D2377" t="s">
        <v>115</v>
      </c>
      <c r="E2377" t="str">
        <f>VLOOKUP(D2377,'Lista de Produtos CLASSIFICAÇÃO'!$A$103:$B$144,2,FALSE)</f>
        <v>Soda Caustica</v>
      </c>
      <c r="F2377" s="62">
        <v>2144732</v>
      </c>
      <c r="G2377" s="56" t="str">
        <f>VLOOKUP(C2377,clientes!$C$3:$D$60,2,FALSE)</f>
        <v>OLIN BLUE CUBE</v>
      </c>
    </row>
    <row r="2378" spans="1:7" x14ac:dyDescent="0.25">
      <c r="A2378">
        <v>2026</v>
      </c>
      <c r="B2378" t="s">
        <v>135</v>
      </c>
      <c r="C2378" t="s">
        <v>178</v>
      </c>
      <c r="D2378" t="s">
        <v>115</v>
      </c>
      <c r="E2378" t="str">
        <f>VLOOKUP(D2378,'Lista de Produtos CLASSIFICAÇÃO'!$A$103:$B$144,2,FALSE)</f>
        <v>Soda Caustica</v>
      </c>
      <c r="F2378" s="62">
        <v>2144732</v>
      </c>
      <c r="G2378" s="56" t="str">
        <f>VLOOKUP(C2378,clientes!$C$3:$D$60,2,FALSE)</f>
        <v>OLIN BLUE CUBE</v>
      </c>
    </row>
    <row r="2379" spans="1:7" x14ac:dyDescent="0.25">
      <c r="A2379">
        <v>2026</v>
      </c>
      <c r="B2379" t="s">
        <v>136</v>
      </c>
      <c r="C2379" t="s">
        <v>178</v>
      </c>
      <c r="D2379" t="s">
        <v>115</v>
      </c>
      <c r="E2379" t="str">
        <f>VLOOKUP(D2379,'Lista de Produtos CLASSIFICAÇÃO'!$A$103:$B$144,2,FALSE)</f>
        <v>Soda Caustica</v>
      </c>
      <c r="F2379" s="62">
        <v>2144732</v>
      </c>
      <c r="G2379" s="56" t="str">
        <f>VLOOKUP(C2379,clientes!$C$3:$D$60,2,FALSE)</f>
        <v>OLIN BLUE CUBE</v>
      </c>
    </row>
    <row r="2380" spans="1:7" x14ac:dyDescent="0.25">
      <c r="A2380">
        <v>2026</v>
      </c>
      <c r="B2380" t="s">
        <v>137</v>
      </c>
      <c r="C2380" t="s">
        <v>178</v>
      </c>
      <c r="D2380" t="s">
        <v>115</v>
      </c>
      <c r="E2380" t="str">
        <f>VLOOKUP(D2380,'Lista de Produtos CLASSIFICAÇÃO'!$A$103:$B$144,2,FALSE)</f>
        <v>Soda Caustica</v>
      </c>
      <c r="F2380" s="62">
        <v>2144732</v>
      </c>
      <c r="G2380" s="56" t="str">
        <f>VLOOKUP(C2380,clientes!$C$3:$D$60,2,FALSE)</f>
        <v>OLIN BLUE CUBE</v>
      </c>
    </row>
    <row r="2381" spans="1:7" x14ac:dyDescent="0.25">
      <c r="A2381">
        <v>2026</v>
      </c>
      <c r="B2381" t="s">
        <v>138</v>
      </c>
      <c r="C2381" t="s">
        <v>178</v>
      </c>
      <c r="D2381" t="s">
        <v>115</v>
      </c>
      <c r="E2381" t="str">
        <f>VLOOKUP(D2381,'Lista de Produtos CLASSIFICAÇÃO'!$A$103:$B$144,2,FALSE)</f>
        <v>Soda Caustica</v>
      </c>
      <c r="F2381" s="62">
        <v>2144732</v>
      </c>
      <c r="G2381" s="56" t="str">
        <f>VLOOKUP(C2381,clientes!$C$3:$D$60,2,FALSE)</f>
        <v>OLIN BLUE CUBE</v>
      </c>
    </row>
    <row r="2382" spans="1:7" x14ac:dyDescent="0.25">
      <c r="A2382">
        <v>2026</v>
      </c>
      <c r="B2382" t="s">
        <v>139</v>
      </c>
      <c r="C2382" t="s">
        <v>178</v>
      </c>
      <c r="D2382" t="s">
        <v>115</v>
      </c>
      <c r="E2382" t="str">
        <f>VLOOKUP(D2382,'Lista de Produtos CLASSIFICAÇÃO'!$A$103:$B$144,2,FALSE)</f>
        <v>Soda Caustica</v>
      </c>
      <c r="F2382" s="62">
        <v>2144732</v>
      </c>
      <c r="G2382" s="56" t="str">
        <f>VLOOKUP(C2382,clientes!$C$3:$D$60,2,FALSE)</f>
        <v>OLIN BLUE CUBE</v>
      </c>
    </row>
    <row r="2383" spans="1:7" x14ac:dyDescent="0.25">
      <c r="A2383">
        <v>2026</v>
      </c>
      <c r="B2383" t="s">
        <v>140</v>
      </c>
      <c r="C2383" t="s">
        <v>178</v>
      </c>
      <c r="D2383" t="s">
        <v>115</v>
      </c>
      <c r="E2383" t="str">
        <f>VLOOKUP(D2383,'Lista de Produtos CLASSIFICAÇÃO'!$A$103:$B$144,2,FALSE)</f>
        <v>Soda Caustica</v>
      </c>
      <c r="F2383" s="62">
        <v>2144732</v>
      </c>
      <c r="G2383" s="56" t="str">
        <f>VLOOKUP(C2383,clientes!$C$3:$D$60,2,FALSE)</f>
        <v>OLIN BLUE CUBE</v>
      </c>
    </row>
    <row r="2384" spans="1:7" x14ac:dyDescent="0.25">
      <c r="A2384">
        <v>2026</v>
      </c>
      <c r="B2384" t="s">
        <v>141</v>
      </c>
      <c r="C2384" t="s">
        <v>178</v>
      </c>
      <c r="D2384" t="s">
        <v>115</v>
      </c>
      <c r="E2384" t="str">
        <f>VLOOKUP(D2384,'Lista de Produtos CLASSIFICAÇÃO'!$A$103:$B$144,2,FALSE)</f>
        <v>Soda Caustica</v>
      </c>
      <c r="F2384" s="62">
        <v>2144732</v>
      </c>
      <c r="G2384" s="56" t="str">
        <f>VLOOKUP(C2384,clientes!$C$3:$D$60,2,FALSE)</f>
        <v>OLIN BLUE CUBE</v>
      </c>
    </row>
    <row r="2385" spans="1:7" x14ac:dyDescent="0.25">
      <c r="A2385">
        <v>2026</v>
      </c>
      <c r="B2385" t="s">
        <v>142</v>
      </c>
      <c r="C2385" t="s">
        <v>178</v>
      </c>
      <c r="D2385" t="s">
        <v>115</v>
      </c>
      <c r="E2385" t="str">
        <f>VLOOKUP(D2385,'Lista de Produtos CLASSIFICAÇÃO'!$A$103:$B$144,2,FALSE)</f>
        <v>Soda Caustica</v>
      </c>
      <c r="F2385" s="62">
        <v>2144732</v>
      </c>
      <c r="G2385" s="56" t="str">
        <f>VLOOKUP(C2385,clientes!$C$3:$D$60,2,FALSE)</f>
        <v>OLIN BLUE CUBE</v>
      </c>
    </row>
    <row r="2386" spans="1:7" x14ac:dyDescent="0.25">
      <c r="A2386">
        <v>2026</v>
      </c>
      <c r="B2386" t="s">
        <v>143</v>
      </c>
      <c r="C2386" t="s">
        <v>179</v>
      </c>
      <c r="D2386" t="s">
        <v>26</v>
      </c>
      <c r="E2386" t="str">
        <f>VLOOKUP(D2386,'Lista de Produtos CLASSIFICAÇÃO'!$A$103:$B$144,2,FALSE)</f>
        <v>Biocombustíveis</v>
      </c>
      <c r="F2386" s="62">
        <v>548951</v>
      </c>
      <c r="G2386" s="56" t="str">
        <f>VLOOKUP(C2386,clientes!$C$3:$D$60,2,FALSE)</f>
        <v>BSBIOS</v>
      </c>
    </row>
    <row r="2387" spans="1:7" x14ac:dyDescent="0.25">
      <c r="A2387">
        <v>2026</v>
      </c>
      <c r="B2387" t="s">
        <v>132</v>
      </c>
      <c r="C2387" t="s">
        <v>179</v>
      </c>
      <c r="D2387" t="s">
        <v>26</v>
      </c>
      <c r="E2387" t="str">
        <f>VLOOKUP(D2387,'Lista de Produtos CLASSIFICAÇÃO'!$A$103:$B$144,2,FALSE)</f>
        <v>Biocombustíveis</v>
      </c>
      <c r="F2387" s="62">
        <v>732603</v>
      </c>
      <c r="G2387" s="56" t="str">
        <f>VLOOKUP(C2387,clientes!$C$3:$D$60,2,FALSE)</f>
        <v>BSBIOS</v>
      </c>
    </row>
    <row r="2388" spans="1:7" x14ac:dyDescent="0.25">
      <c r="A2388">
        <v>2026</v>
      </c>
      <c r="B2388" t="s">
        <v>133</v>
      </c>
      <c r="C2388" t="s">
        <v>179</v>
      </c>
      <c r="D2388" t="s">
        <v>26</v>
      </c>
      <c r="E2388" t="str">
        <f>VLOOKUP(D2388,'Lista de Produtos CLASSIFICAÇÃO'!$A$103:$B$144,2,FALSE)</f>
        <v>Biocombustíveis</v>
      </c>
      <c r="F2388" s="62">
        <v>548951</v>
      </c>
      <c r="G2388" s="56" t="str">
        <f>VLOOKUP(C2388,clientes!$C$3:$D$60,2,FALSE)</f>
        <v>BSBIOS</v>
      </c>
    </row>
    <row r="2389" spans="1:7" x14ac:dyDescent="0.25">
      <c r="A2389">
        <v>2026</v>
      </c>
      <c r="B2389" t="s">
        <v>134</v>
      </c>
      <c r="C2389" t="s">
        <v>179</v>
      </c>
      <c r="D2389" t="s">
        <v>26</v>
      </c>
      <c r="E2389" t="str">
        <f>VLOOKUP(D2389,'Lista de Produtos CLASSIFICAÇÃO'!$A$103:$B$144,2,FALSE)</f>
        <v>Biocombustíveis</v>
      </c>
      <c r="F2389" s="62">
        <v>732603</v>
      </c>
      <c r="G2389" s="56" t="str">
        <f>VLOOKUP(C2389,clientes!$C$3:$D$60,2,FALSE)</f>
        <v>BSBIOS</v>
      </c>
    </row>
    <row r="2390" spans="1:7" x14ac:dyDescent="0.25">
      <c r="A2390">
        <v>2026</v>
      </c>
      <c r="B2390" t="s">
        <v>135</v>
      </c>
      <c r="C2390" t="s">
        <v>179</v>
      </c>
      <c r="D2390" t="s">
        <v>26</v>
      </c>
      <c r="E2390" t="str">
        <f>VLOOKUP(D2390,'Lista de Produtos CLASSIFICAÇÃO'!$A$103:$B$144,2,FALSE)</f>
        <v>Biocombustíveis</v>
      </c>
      <c r="F2390" s="62">
        <v>548951</v>
      </c>
      <c r="G2390" s="56" t="str">
        <f>VLOOKUP(C2390,clientes!$C$3:$D$60,2,FALSE)</f>
        <v>BSBIOS</v>
      </c>
    </row>
    <row r="2391" spans="1:7" x14ac:dyDescent="0.25">
      <c r="A2391">
        <v>2026</v>
      </c>
      <c r="B2391" t="s">
        <v>136</v>
      </c>
      <c r="C2391" t="s">
        <v>179</v>
      </c>
      <c r="D2391" t="s">
        <v>26</v>
      </c>
      <c r="E2391" t="str">
        <f>VLOOKUP(D2391,'Lista de Produtos CLASSIFICAÇÃO'!$A$103:$B$144,2,FALSE)</f>
        <v>Biocombustíveis</v>
      </c>
      <c r="F2391" s="62">
        <v>732603</v>
      </c>
      <c r="G2391" s="56" t="str">
        <f>VLOOKUP(C2391,clientes!$C$3:$D$60,2,FALSE)</f>
        <v>BSBIOS</v>
      </c>
    </row>
    <row r="2392" spans="1:7" x14ac:dyDescent="0.25">
      <c r="A2392">
        <v>2026</v>
      </c>
      <c r="B2392" t="s">
        <v>137</v>
      </c>
      <c r="C2392" t="s">
        <v>179</v>
      </c>
      <c r="D2392" t="s">
        <v>26</v>
      </c>
      <c r="E2392" t="str">
        <f>VLOOKUP(D2392,'Lista de Produtos CLASSIFICAÇÃO'!$A$103:$B$144,2,FALSE)</f>
        <v>Biocombustíveis</v>
      </c>
      <c r="F2392" s="62">
        <v>548951</v>
      </c>
      <c r="G2392" s="56" t="str">
        <f>VLOOKUP(C2392,clientes!$C$3:$D$60,2,FALSE)</f>
        <v>BSBIOS</v>
      </c>
    </row>
    <row r="2393" spans="1:7" x14ac:dyDescent="0.25">
      <c r="A2393">
        <v>2026</v>
      </c>
      <c r="B2393" t="s">
        <v>138</v>
      </c>
      <c r="C2393" t="s">
        <v>179</v>
      </c>
      <c r="D2393" t="s">
        <v>26</v>
      </c>
      <c r="E2393" t="str">
        <f>VLOOKUP(D2393,'Lista de Produtos CLASSIFICAÇÃO'!$A$103:$B$144,2,FALSE)</f>
        <v>Biocombustíveis</v>
      </c>
      <c r="F2393" s="62">
        <v>732603</v>
      </c>
      <c r="G2393" s="56" t="str">
        <f>VLOOKUP(C2393,clientes!$C$3:$D$60,2,FALSE)</f>
        <v>BSBIOS</v>
      </c>
    </row>
    <row r="2394" spans="1:7" x14ac:dyDescent="0.25">
      <c r="A2394">
        <v>2026</v>
      </c>
      <c r="B2394" t="s">
        <v>139</v>
      </c>
      <c r="C2394" t="s">
        <v>179</v>
      </c>
      <c r="D2394" t="s">
        <v>26</v>
      </c>
      <c r="E2394" t="str">
        <f>VLOOKUP(D2394,'Lista de Produtos CLASSIFICAÇÃO'!$A$103:$B$144,2,FALSE)</f>
        <v>Biocombustíveis</v>
      </c>
      <c r="F2394" s="62">
        <v>548951</v>
      </c>
      <c r="G2394" s="56" t="str">
        <f>VLOOKUP(C2394,clientes!$C$3:$D$60,2,FALSE)</f>
        <v>BSBIOS</v>
      </c>
    </row>
    <row r="2395" spans="1:7" x14ac:dyDescent="0.25">
      <c r="A2395">
        <v>2026</v>
      </c>
      <c r="B2395" t="s">
        <v>140</v>
      </c>
      <c r="C2395" t="s">
        <v>179</v>
      </c>
      <c r="D2395" t="s">
        <v>26</v>
      </c>
      <c r="E2395" t="str">
        <f>VLOOKUP(D2395,'Lista de Produtos CLASSIFICAÇÃO'!$A$103:$B$144,2,FALSE)</f>
        <v>Biocombustíveis</v>
      </c>
      <c r="F2395" s="62">
        <v>732603</v>
      </c>
      <c r="G2395" s="56" t="str">
        <f>VLOOKUP(C2395,clientes!$C$3:$D$60,2,FALSE)</f>
        <v>BSBIOS</v>
      </c>
    </row>
    <row r="2396" spans="1:7" x14ac:dyDescent="0.25">
      <c r="A2396">
        <v>2026</v>
      </c>
      <c r="B2396" t="s">
        <v>141</v>
      </c>
      <c r="C2396" t="s">
        <v>179</v>
      </c>
      <c r="D2396" t="s">
        <v>26</v>
      </c>
      <c r="E2396" t="str">
        <f>VLOOKUP(D2396,'Lista de Produtos CLASSIFICAÇÃO'!$A$103:$B$144,2,FALSE)</f>
        <v>Biocombustíveis</v>
      </c>
      <c r="F2396" s="62">
        <v>548951</v>
      </c>
      <c r="G2396" s="56" t="str">
        <f>VLOOKUP(C2396,clientes!$C$3:$D$60,2,FALSE)</f>
        <v>BSBIOS</v>
      </c>
    </row>
    <row r="2397" spans="1:7" x14ac:dyDescent="0.25">
      <c r="A2397">
        <v>2026</v>
      </c>
      <c r="B2397" t="s">
        <v>142</v>
      </c>
      <c r="C2397" t="s">
        <v>179</v>
      </c>
      <c r="D2397" t="s">
        <v>26</v>
      </c>
      <c r="E2397" t="str">
        <f>VLOOKUP(D2397,'Lista de Produtos CLASSIFICAÇÃO'!$A$103:$B$144,2,FALSE)</f>
        <v>Biocombustíveis</v>
      </c>
      <c r="F2397" s="62">
        <v>732603</v>
      </c>
      <c r="G2397" s="56" t="str">
        <f>VLOOKUP(C2397,clientes!$C$3:$D$60,2,FALSE)</f>
        <v>BSBIOS</v>
      </c>
    </row>
    <row r="2398" spans="1:7" x14ac:dyDescent="0.25">
      <c r="A2398">
        <v>2026</v>
      </c>
      <c r="B2398" t="s">
        <v>143</v>
      </c>
      <c r="C2398" t="s">
        <v>181</v>
      </c>
      <c r="D2398" t="s">
        <v>123</v>
      </c>
      <c r="E2398" t="str">
        <f>VLOOKUP(D2398,'Lista de Produtos CLASSIFICAÇÃO'!$A$103:$B$144,2,FALSE)</f>
        <v>Aquecidos</v>
      </c>
      <c r="F2398" s="62">
        <v>188452</v>
      </c>
      <c r="G2398" s="56" t="str">
        <f>VLOOKUP(C2398,clientes!$C$3:$D$60,2,FALSE)</f>
        <v>COAMO</v>
      </c>
    </row>
    <row r="2399" spans="1:7" x14ac:dyDescent="0.25">
      <c r="A2399">
        <v>2026</v>
      </c>
      <c r="B2399" t="s">
        <v>132</v>
      </c>
      <c r="C2399" t="s">
        <v>181</v>
      </c>
      <c r="D2399" t="s">
        <v>123</v>
      </c>
      <c r="E2399" t="str">
        <f>VLOOKUP(D2399,'Lista de Produtos CLASSIFICAÇÃO'!$A$103:$B$144,2,FALSE)</f>
        <v>Aquecidos</v>
      </c>
      <c r="F2399" s="62">
        <v>188452</v>
      </c>
      <c r="G2399" s="56" t="str">
        <f>VLOOKUP(C2399,clientes!$C$3:$D$60,2,FALSE)</f>
        <v>COAMO</v>
      </c>
    </row>
    <row r="2400" spans="1:7" x14ac:dyDescent="0.25">
      <c r="A2400">
        <v>2026</v>
      </c>
      <c r="B2400" t="s">
        <v>133</v>
      </c>
      <c r="C2400" t="s">
        <v>181</v>
      </c>
      <c r="D2400" t="s">
        <v>123</v>
      </c>
      <c r="E2400" t="str">
        <f>VLOOKUP(D2400,'Lista de Produtos CLASSIFICAÇÃO'!$A$103:$B$144,2,FALSE)</f>
        <v>Aquecidos</v>
      </c>
      <c r="F2400" s="62">
        <v>188452</v>
      </c>
      <c r="G2400" s="56" t="str">
        <f>VLOOKUP(C2400,clientes!$C$3:$D$60,2,FALSE)</f>
        <v>COAMO</v>
      </c>
    </row>
    <row r="2401" spans="1:7" x14ac:dyDescent="0.25">
      <c r="A2401">
        <v>2026</v>
      </c>
      <c r="B2401" t="s">
        <v>134</v>
      </c>
      <c r="C2401" t="s">
        <v>181</v>
      </c>
      <c r="D2401" t="s">
        <v>123</v>
      </c>
      <c r="E2401" t="str">
        <f>VLOOKUP(D2401,'Lista de Produtos CLASSIFICAÇÃO'!$A$103:$B$144,2,FALSE)</f>
        <v>Aquecidos</v>
      </c>
      <c r="F2401" s="62">
        <v>188452</v>
      </c>
      <c r="G2401" s="56" t="str">
        <f>VLOOKUP(C2401,clientes!$C$3:$D$60,2,FALSE)</f>
        <v>COAMO</v>
      </c>
    </row>
    <row r="2402" spans="1:7" x14ac:dyDescent="0.25">
      <c r="A2402">
        <v>2026</v>
      </c>
      <c r="B2402" t="s">
        <v>135</v>
      </c>
      <c r="C2402" t="s">
        <v>181</v>
      </c>
      <c r="D2402" t="s">
        <v>123</v>
      </c>
      <c r="E2402" t="str">
        <f>VLOOKUP(D2402,'Lista de Produtos CLASSIFICAÇÃO'!$A$103:$B$144,2,FALSE)</f>
        <v>Aquecidos</v>
      </c>
      <c r="F2402" s="62">
        <v>188452</v>
      </c>
      <c r="G2402" s="56" t="str">
        <f>VLOOKUP(C2402,clientes!$C$3:$D$60,2,FALSE)</f>
        <v>COAMO</v>
      </c>
    </row>
    <row r="2403" spans="1:7" x14ac:dyDescent="0.25">
      <c r="A2403">
        <v>2026</v>
      </c>
      <c r="B2403" t="s">
        <v>136</v>
      </c>
      <c r="C2403" t="s">
        <v>181</v>
      </c>
      <c r="D2403" t="s">
        <v>123</v>
      </c>
      <c r="E2403" t="str">
        <f>VLOOKUP(D2403,'Lista de Produtos CLASSIFICAÇÃO'!$A$103:$B$144,2,FALSE)</f>
        <v>Aquecidos</v>
      </c>
      <c r="F2403" s="62">
        <v>188452</v>
      </c>
      <c r="G2403" s="56" t="str">
        <f>VLOOKUP(C2403,clientes!$C$3:$D$60,2,FALSE)</f>
        <v>COAMO</v>
      </c>
    </row>
    <row r="2404" spans="1:7" x14ac:dyDescent="0.25">
      <c r="A2404">
        <v>2026</v>
      </c>
      <c r="B2404" t="s">
        <v>137</v>
      </c>
      <c r="C2404" t="s">
        <v>181</v>
      </c>
      <c r="D2404" t="s">
        <v>123</v>
      </c>
      <c r="E2404" t="str">
        <f>VLOOKUP(D2404,'Lista de Produtos CLASSIFICAÇÃO'!$A$103:$B$144,2,FALSE)</f>
        <v>Aquecidos</v>
      </c>
      <c r="F2404" s="62">
        <v>188452</v>
      </c>
      <c r="G2404" s="56" t="str">
        <f>VLOOKUP(C2404,clientes!$C$3:$D$60,2,FALSE)</f>
        <v>COAMO</v>
      </c>
    </row>
    <row r="2405" spans="1:7" x14ac:dyDescent="0.25">
      <c r="A2405">
        <v>2026</v>
      </c>
      <c r="B2405" t="s">
        <v>138</v>
      </c>
      <c r="C2405" t="s">
        <v>181</v>
      </c>
      <c r="D2405" t="s">
        <v>123</v>
      </c>
      <c r="E2405" t="str">
        <f>VLOOKUP(D2405,'Lista de Produtos CLASSIFICAÇÃO'!$A$103:$B$144,2,FALSE)</f>
        <v>Aquecidos</v>
      </c>
      <c r="F2405" s="62">
        <v>188452</v>
      </c>
      <c r="G2405" s="56" t="str">
        <f>VLOOKUP(C2405,clientes!$C$3:$D$60,2,FALSE)</f>
        <v>COAMO</v>
      </c>
    </row>
    <row r="2406" spans="1:7" x14ac:dyDescent="0.25">
      <c r="A2406">
        <v>2026</v>
      </c>
      <c r="B2406" t="s">
        <v>139</v>
      </c>
      <c r="C2406" t="s">
        <v>181</v>
      </c>
      <c r="D2406" t="s">
        <v>123</v>
      </c>
      <c r="E2406" t="str">
        <f>VLOOKUP(D2406,'Lista de Produtos CLASSIFICAÇÃO'!$A$103:$B$144,2,FALSE)</f>
        <v>Aquecidos</v>
      </c>
      <c r="F2406" s="62">
        <v>188452</v>
      </c>
      <c r="G2406" s="56" t="str">
        <f>VLOOKUP(C2406,clientes!$C$3:$D$60,2,FALSE)</f>
        <v>COAMO</v>
      </c>
    </row>
    <row r="2407" spans="1:7" x14ac:dyDescent="0.25">
      <c r="A2407">
        <v>2026</v>
      </c>
      <c r="B2407" t="s">
        <v>140</v>
      </c>
      <c r="C2407" t="s">
        <v>181</v>
      </c>
      <c r="D2407" t="s">
        <v>123</v>
      </c>
      <c r="E2407" t="str">
        <f>VLOOKUP(D2407,'Lista de Produtos CLASSIFICAÇÃO'!$A$103:$B$144,2,FALSE)</f>
        <v>Aquecidos</v>
      </c>
      <c r="F2407" s="62">
        <v>188452</v>
      </c>
      <c r="G2407" s="56" t="str">
        <f>VLOOKUP(C2407,clientes!$C$3:$D$60,2,FALSE)</f>
        <v>COAMO</v>
      </c>
    </row>
    <row r="2408" spans="1:7" x14ac:dyDescent="0.25">
      <c r="A2408">
        <v>2026</v>
      </c>
      <c r="B2408" t="s">
        <v>141</v>
      </c>
      <c r="C2408" t="s">
        <v>181</v>
      </c>
      <c r="D2408" t="s">
        <v>123</v>
      </c>
      <c r="E2408" t="str">
        <f>VLOOKUP(D2408,'Lista de Produtos CLASSIFICAÇÃO'!$A$103:$B$144,2,FALSE)</f>
        <v>Aquecidos</v>
      </c>
      <c r="F2408" s="62">
        <v>188452</v>
      </c>
      <c r="G2408" s="56" t="str">
        <f>VLOOKUP(C2408,clientes!$C$3:$D$60,2,FALSE)</f>
        <v>COAMO</v>
      </c>
    </row>
    <row r="2409" spans="1:7" x14ac:dyDescent="0.25">
      <c r="A2409">
        <v>2026</v>
      </c>
      <c r="B2409" t="s">
        <v>142</v>
      </c>
      <c r="C2409" t="s">
        <v>181</v>
      </c>
      <c r="D2409" t="s">
        <v>123</v>
      </c>
      <c r="E2409" t="str">
        <f>VLOOKUP(D2409,'Lista de Produtos CLASSIFICAÇÃO'!$A$103:$B$144,2,FALSE)</f>
        <v>Aquecidos</v>
      </c>
      <c r="F2409" s="62">
        <v>188452</v>
      </c>
      <c r="G2409" s="56" t="str">
        <f>VLOOKUP(C2409,clientes!$C$3:$D$60,2,FALSE)</f>
        <v>COAMO</v>
      </c>
    </row>
    <row r="2410" spans="1:7" x14ac:dyDescent="0.25">
      <c r="A2410">
        <v>2026</v>
      </c>
      <c r="B2410" t="s">
        <v>143</v>
      </c>
      <c r="C2410" t="s">
        <v>184</v>
      </c>
      <c r="D2410" t="s">
        <v>122</v>
      </c>
      <c r="E2410" t="str">
        <f>VLOOKUP(D2410,'Lista de Produtos CLASSIFICAÇÃO'!$A$103:$B$144,2,FALSE)</f>
        <v>Óleo Vegetal</v>
      </c>
      <c r="F2410" s="62">
        <v>247618</v>
      </c>
      <c r="G2410" s="56" t="str">
        <f>VLOOKUP(C2410,clientes!$C$3:$D$60,2,FALSE)</f>
        <v>INGREDION</v>
      </c>
    </row>
    <row r="2411" spans="1:7" x14ac:dyDescent="0.25">
      <c r="A2411">
        <v>2026</v>
      </c>
      <c r="B2411" t="s">
        <v>132</v>
      </c>
      <c r="C2411" t="s">
        <v>184</v>
      </c>
      <c r="D2411" t="s">
        <v>122</v>
      </c>
      <c r="E2411" t="str">
        <f>VLOOKUP(D2411,'Lista de Produtos CLASSIFICAÇÃO'!$A$103:$B$144,2,FALSE)</f>
        <v>Óleo Vegetal</v>
      </c>
      <c r="F2411" s="62">
        <v>247618</v>
      </c>
      <c r="G2411" s="56" t="str">
        <f>VLOOKUP(C2411,clientes!$C$3:$D$60,2,FALSE)</f>
        <v>INGREDION</v>
      </c>
    </row>
    <row r="2412" spans="1:7" x14ac:dyDescent="0.25">
      <c r="A2412">
        <v>2026</v>
      </c>
      <c r="B2412" t="s">
        <v>133</v>
      </c>
      <c r="C2412" t="s">
        <v>184</v>
      </c>
      <c r="D2412" t="s">
        <v>122</v>
      </c>
      <c r="E2412" t="str">
        <f>VLOOKUP(D2412,'Lista de Produtos CLASSIFICAÇÃO'!$A$103:$B$144,2,FALSE)</f>
        <v>Óleo Vegetal</v>
      </c>
      <c r="F2412" s="62">
        <v>247618</v>
      </c>
      <c r="G2412" s="56" t="str">
        <f>VLOOKUP(C2412,clientes!$C$3:$D$60,2,FALSE)</f>
        <v>INGREDION</v>
      </c>
    </row>
    <row r="2413" spans="1:7" x14ac:dyDescent="0.25">
      <c r="A2413">
        <v>2026</v>
      </c>
      <c r="B2413" t="s">
        <v>134</v>
      </c>
      <c r="C2413" t="s">
        <v>184</v>
      </c>
      <c r="D2413" t="s">
        <v>122</v>
      </c>
      <c r="E2413" t="str">
        <f>VLOOKUP(D2413,'Lista de Produtos CLASSIFICAÇÃO'!$A$103:$B$144,2,FALSE)</f>
        <v>Óleo Vegetal</v>
      </c>
      <c r="F2413" s="62">
        <v>247618</v>
      </c>
      <c r="G2413" s="56" t="str">
        <f>VLOOKUP(C2413,clientes!$C$3:$D$60,2,FALSE)</f>
        <v>INGREDION</v>
      </c>
    </row>
    <row r="2414" spans="1:7" x14ac:dyDescent="0.25">
      <c r="A2414">
        <v>2026</v>
      </c>
      <c r="B2414" t="s">
        <v>135</v>
      </c>
      <c r="C2414" t="s">
        <v>184</v>
      </c>
      <c r="D2414" t="s">
        <v>122</v>
      </c>
      <c r="E2414" t="str">
        <f>VLOOKUP(D2414,'Lista de Produtos CLASSIFICAÇÃO'!$A$103:$B$144,2,FALSE)</f>
        <v>Óleo Vegetal</v>
      </c>
      <c r="F2414" s="62">
        <v>247618</v>
      </c>
      <c r="G2414" s="56" t="str">
        <f>VLOOKUP(C2414,clientes!$C$3:$D$60,2,FALSE)</f>
        <v>INGREDION</v>
      </c>
    </row>
    <row r="2415" spans="1:7" x14ac:dyDescent="0.25">
      <c r="A2415">
        <v>2026</v>
      </c>
      <c r="B2415" t="s">
        <v>136</v>
      </c>
      <c r="C2415" t="s">
        <v>184</v>
      </c>
      <c r="D2415" t="s">
        <v>122</v>
      </c>
      <c r="E2415" t="str">
        <f>VLOOKUP(D2415,'Lista de Produtos CLASSIFICAÇÃO'!$A$103:$B$144,2,FALSE)</f>
        <v>Óleo Vegetal</v>
      </c>
      <c r="F2415" s="62">
        <v>247618</v>
      </c>
      <c r="G2415" s="56" t="str">
        <f>VLOOKUP(C2415,clientes!$C$3:$D$60,2,FALSE)</f>
        <v>INGREDION</v>
      </c>
    </row>
    <row r="2416" spans="1:7" x14ac:dyDescent="0.25">
      <c r="A2416">
        <v>2026</v>
      </c>
      <c r="B2416" t="s">
        <v>137</v>
      </c>
      <c r="C2416" t="s">
        <v>184</v>
      </c>
      <c r="D2416" t="s">
        <v>122</v>
      </c>
      <c r="E2416" t="str">
        <f>VLOOKUP(D2416,'Lista de Produtos CLASSIFICAÇÃO'!$A$103:$B$144,2,FALSE)</f>
        <v>Óleo Vegetal</v>
      </c>
      <c r="F2416" s="62">
        <v>247618</v>
      </c>
      <c r="G2416" s="56" t="str">
        <f>VLOOKUP(C2416,clientes!$C$3:$D$60,2,FALSE)</f>
        <v>INGREDION</v>
      </c>
    </row>
    <row r="2417" spans="1:7" x14ac:dyDescent="0.25">
      <c r="A2417">
        <v>2026</v>
      </c>
      <c r="B2417" t="s">
        <v>138</v>
      </c>
      <c r="C2417" t="s">
        <v>184</v>
      </c>
      <c r="D2417" t="s">
        <v>122</v>
      </c>
      <c r="E2417" t="str">
        <f>VLOOKUP(D2417,'Lista de Produtos CLASSIFICAÇÃO'!$A$103:$B$144,2,FALSE)</f>
        <v>Óleo Vegetal</v>
      </c>
      <c r="F2417" s="62">
        <v>247618</v>
      </c>
      <c r="G2417" s="56" t="str">
        <f>VLOOKUP(C2417,clientes!$C$3:$D$60,2,FALSE)</f>
        <v>INGREDION</v>
      </c>
    </row>
    <row r="2418" spans="1:7" x14ac:dyDescent="0.25">
      <c r="A2418">
        <v>2026</v>
      </c>
      <c r="B2418" t="s">
        <v>139</v>
      </c>
      <c r="C2418" t="s">
        <v>184</v>
      </c>
      <c r="D2418" t="s">
        <v>122</v>
      </c>
      <c r="E2418" t="str">
        <f>VLOOKUP(D2418,'Lista de Produtos CLASSIFICAÇÃO'!$A$103:$B$144,2,FALSE)</f>
        <v>Óleo Vegetal</v>
      </c>
      <c r="F2418" s="62">
        <v>247618</v>
      </c>
      <c r="G2418" s="56" t="str">
        <f>VLOOKUP(C2418,clientes!$C$3:$D$60,2,FALSE)</f>
        <v>INGREDION</v>
      </c>
    </row>
    <row r="2419" spans="1:7" x14ac:dyDescent="0.25">
      <c r="A2419">
        <v>2026</v>
      </c>
      <c r="B2419" t="s">
        <v>140</v>
      </c>
      <c r="C2419" t="s">
        <v>184</v>
      </c>
      <c r="D2419" t="s">
        <v>122</v>
      </c>
      <c r="E2419" t="str">
        <f>VLOOKUP(D2419,'Lista de Produtos CLASSIFICAÇÃO'!$A$103:$B$144,2,FALSE)</f>
        <v>Óleo Vegetal</v>
      </c>
      <c r="F2419" s="62">
        <v>247618</v>
      </c>
      <c r="G2419" s="56" t="str">
        <f>VLOOKUP(C2419,clientes!$C$3:$D$60,2,FALSE)</f>
        <v>INGREDION</v>
      </c>
    </row>
    <row r="2420" spans="1:7" x14ac:dyDescent="0.25">
      <c r="A2420">
        <v>2026</v>
      </c>
      <c r="B2420" t="s">
        <v>141</v>
      </c>
      <c r="C2420" t="s">
        <v>184</v>
      </c>
      <c r="D2420" t="s">
        <v>122</v>
      </c>
      <c r="E2420" t="str">
        <f>VLOOKUP(D2420,'Lista de Produtos CLASSIFICAÇÃO'!$A$103:$B$144,2,FALSE)</f>
        <v>Óleo Vegetal</v>
      </c>
      <c r="F2420" s="62">
        <v>247618</v>
      </c>
      <c r="G2420" s="56" t="str">
        <f>VLOOKUP(C2420,clientes!$C$3:$D$60,2,FALSE)</f>
        <v>INGREDION</v>
      </c>
    </row>
    <row r="2421" spans="1:7" x14ac:dyDescent="0.25">
      <c r="A2421">
        <v>2026</v>
      </c>
      <c r="B2421" t="s">
        <v>142</v>
      </c>
      <c r="C2421" t="s">
        <v>184</v>
      </c>
      <c r="D2421" t="s">
        <v>122</v>
      </c>
      <c r="E2421" t="str">
        <f>VLOOKUP(D2421,'Lista de Produtos CLASSIFICAÇÃO'!$A$103:$B$144,2,FALSE)</f>
        <v>Óleo Vegetal</v>
      </c>
      <c r="F2421" s="62">
        <v>247618</v>
      </c>
      <c r="G2421" s="56" t="str">
        <f>VLOOKUP(C2421,clientes!$C$3:$D$60,2,FALSE)</f>
        <v>INGREDION</v>
      </c>
    </row>
    <row r="2422" spans="1:7" x14ac:dyDescent="0.25">
      <c r="A2422">
        <v>2026</v>
      </c>
      <c r="B2422" t="s">
        <v>143</v>
      </c>
      <c r="C2422" t="s">
        <v>185</v>
      </c>
      <c r="D2422" t="s">
        <v>120</v>
      </c>
      <c r="E2422" t="str">
        <f>VLOOKUP(D2422,'Lista de Produtos CLASSIFICAÇÃO'!$A$103:$B$144,2,FALSE)</f>
        <v>Derivados</v>
      </c>
      <c r="F2422" s="62">
        <v>1108314</v>
      </c>
      <c r="G2422" s="56" t="str">
        <f>VLOOKUP(C2422,clientes!$C$3:$D$60,2,FALSE)</f>
        <v>CIAPETRO</v>
      </c>
    </row>
    <row r="2423" spans="1:7" x14ac:dyDescent="0.25">
      <c r="A2423">
        <v>2026</v>
      </c>
      <c r="B2423" t="s">
        <v>132</v>
      </c>
      <c r="C2423" t="s">
        <v>185</v>
      </c>
      <c r="D2423" t="s">
        <v>120</v>
      </c>
      <c r="E2423" t="str">
        <f>VLOOKUP(D2423,'Lista de Produtos CLASSIFICAÇÃO'!$A$103:$B$144,2,FALSE)</f>
        <v>Derivados</v>
      </c>
      <c r="F2423" s="62">
        <v>1108314</v>
      </c>
      <c r="G2423" s="56" t="str">
        <f>VLOOKUP(C2423,clientes!$C$3:$D$60,2,FALSE)</f>
        <v>CIAPETRO</v>
      </c>
    </row>
    <row r="2424" spans="1:7" x14ac:dyDescent="0.25">
      <c r="A2424">
        <v>2026</v>
      </c>
      <c r="B2424" t="s">
        <v>133</v>
      </c>
      <c r="C2424" t="s">
        <v>185</v>
      </c>
      <c r="D2424" t="s">
        <v>120</v>
      </c>
      <c r="E2424" t="str">
        <f>VLOOKUP(D2424,'Lista de Produtos CLASSIFICAÇÃO'!$A$103:$B$144,2,FALSE)</f>
        <v>Derivados</v>
      </c>
      <c r="F2424" s="62">
        <v>1108314</v>
      </c>
      <c r="G2424" s="56" t="str">
        <f>VLOOKUP(C2424,clientes!$C$3:$D$60,2,FALSE)</f>
        <v>CIAPETRO</v>
      </c>
    </row>
    <row r="2425" spans="1:7" x14ac:dyDescent="0.25">
      <c r="A2425">
        <v>2026</v>
      </c>
      <c r="B2425" t="s">
        <v>134</v>
      </c>
      <c r="C2425" t="s">
        <v>185</v>
      </c>
      <c r="D2425" t="s">
        <v>120</v>
      </c>
      <c r="E2425" t="str">
        <f>VLOOKUP(D2425,'Lista de Produtos CLASSIFICAÇÃO'!$A$103:$B$144,2,FALSE)</f>
        <v>Derivados</v>
      </c>
      <c r="F2425" s="62">
        <v>1108314</v>
      </c>
      <c r="G2425" s="56" t="str">
        <f>VLOOKUP(C2425,clientes!$C$3:$D$60,2,FALSE)</f>
        <v>CIAPETRO</v>
      </c>
    </row>
    <row r="2426" spans="1:7" x14ac:dyDescent="0.25">
      <c r="A2426">
        <v>2026</v>
      </c>
      <c r="B2426" t="s">
        <v>135</v>
      </c>
      <c r="C2426" t="s">
        <v>185</v>
      </c>
      <c r="D2426" t="s">
        <v>120</v>
      </c>
      <c r="E2426" t="str">
        <f>VLOOKUP(D2426,'Lista de Produtos CLASSIFICAÇÃO'!$A$103:$B$144,2,FALSE)</f>
        <v>Derivados</v>
      </c>
      <c r="F2426" s="62">
        <v>1108314</v>
      </c>
      <c r="G2426" s="56" t="str">
        <f>VLOOKUP(C2426,clientes!$C$3:$D$60,2,FALSE)</f>
        <v>CIAPETRO</v>
      </c>
    </row>
    <row r="2427" spans="1:7" x14ac:dyDescent="0.25">
      <c r="A2427">
        <v>2026</v>
      </c>
      <c r="B2427" t="s">
        <v>136</v>
      </c>
      <c r="C2427" t="s">
        <v>185</v>
      </c>
      <c r="D2427" t="s">
        <v>120</v>
      </c>
      <c r="E2427" t="str">
        <f>VLOOKUP(D2427,'Lista de Produtos CLASSIFICAÇÃO'!$A$103:$B$144,2,FALSE)</f>
        <v>Derivados</v>
      </c>
      <c r="F2427" s="62">
        <v>1108314</v>
      </c>
      <c r="G2427" s="56" t="str">
        <f>VLOOKUP(C2427,clientes!$C$3:$D$60,2,FALSE)</f>
        <v>CIAPETRO</v>
      </c>
    </row>
    <row r="2428" spans="1:7" x14ac:dyDescent="0.25">
      <c r="A2428">
        <v>2026</v>
      </c>
      <c r="B2428" t="s">
        <v>137</v>
      </c>
      <c r="C2428" t="s">
        <v>185</v>
      </c>
      <c r="D2428" t="s">
        <v>120</v>
      </c>
      <c r="E2428" t="str">
        <f>VLOOKUP(D2428,'Lista de Produtos CLASSIFICAÇÃO'!$A$103:$B$144,2,FALSE)</f>
        <v>Derivados</v>
      </c>
      <c r="F2428" s="62">
        <v>1108314</v>
      </c>
      <c r="G2428" s="56" t="str">
        <f>VLOOKUP(C2428,clientes!$C$3:$D$60,2,FALSE)</f>
        <v>CIAPETRO</v>
      </c>
    </row>
    <row r="2429" spans="1:7" x14ac:dyDescent="0.25">
      <c r="A2429">
        <v>2026</v>
      </c>
      <c r="B2429" t="s">
        <v>138</v>
      </c>
      <c r="C2429" t="s">
        <v>185</v>
      </c>
      <c r="D2429" t="s">
        <v>120</v>
      </c>
      <c r="E2429" t="str">
        <f>VLOOKUP(D2429,'Lista de Produtos CLASSIFICAÇÃO'!$A$103:$B$144,2,FALSE)</f>
        <v>Derivados</v>
      </c>
      <c r="F2429" s="62">
        <v>1108314</v>
      </c>
      <c r="G2429" s="56" t="str">
        <f>VLOOKUP(C2429,clientes!$C$3:$D$60,2,FALSE)</f>
        <v>CIAPETRO</v>
      </c>
    </row>
    <row r="2430" spans="1:7" x14ac:dyDescent="0.25">
      <c r="A2430">
        <v>2026</v>
      </c>
      <c r="B2430" t="s">
        <v>139</v>
      </c>
      <c r="C2430" t="s">
        <v>185</v>
      </c>
      <c r="D2430" t="s">
        <v>120</v>
      </c>
      <c r="E2430" t="str">
        <f>VLOOKUP(D2430,'Lista de Produtos CLASSIFICAÇÃO'!$A$103:$B$144,2,FALSE)</f>
        <v>Derivados</v>
      </c>
      <c r="F2430" s="62">
        <v>1108314</v>
      </c>
      <c r="G2430" s="56" t="str">
        <f>VLOOKUP(C2430,clientes!$C$3:$D$60,2,FALSE)</f>
        <v>CIAPETRO</v>
      </c>
    </row>
    <row r="2431" spans="1:7" x14ac:dyDescent="0.25">
      <c r="A2431">
        <v>2026</v>
      </c>
      <c r="B2431" t="s">
        <v>140</v>
      </c>
      <c r="C2431" t="s">
        <v>185</v>
      </c>
      <c r="D2431" t="s">
        <v>120</v>
      </c>
      <c r="E2431" t="str">
        <f>VLOOKUP(D2431,'Lista de Produtos CLASSIFICAÇÃO'!$A$103:$B$144,2,FALSE)</f>
        <v>Derivados</v>
      </c>
      <c r="F2431" s="62">
        <v>1108314</v>
      </c>
      <c r="G2431" s="56" t="str">
        <f>VLOOKUP(C2431,clientes!$C$3:$D$60,2,FALSE)</f>
        <v>CIAPETRO</v>
      </c>
    </row>
    <row r="2432" spans="1:7" x14ac:dyDescent="0.25">
      <c r="A2432">
        <v>2026</v>
      </c>
      <c r="B2432" t="s">
        <v>141</v>
      </c>
      <c r="C2432" t="s">
        <v>185</v>
      </c>
      <c r="D2432" t="s">
        <v>120</v>
      </c>
      <c r="E2432" t="str">
        <f>VLOOKUP(D2432,'Lista de Produtos CLASSIFICAÇÃO'!$A$103:$B$144,2,FALSE)</f>
        <v>Derivados</v>
      </c>
      <c r="F2432" s="62">
        <v>1108314</v>
      </c>
      <c r="G2432" s="56" t="str">
        <f>VLOOKUP(C2432,clientes!$C$3:$D$60,2,FALSE)</f>
        <v>CIAPETRO</v>
      </c>
    </row>
    <row r="2433" spans="1:7" x14ac:dyDescent="0.25">
      <c r="A2433">
        <v>2026</v>
      </c>
      <c r="B2433" t="s">
        <v>142</v>
      </c>
      <c r="C2433" t="s">
        <v>185</v>
      </c>
      <c r="D2433" t="s">
        <v>120</v>
      </c>
      <c r="E2433" t="str">
        <f>VLOOKUP(D2433,'Lista de Produtos CLASSIFICAÇÃO'!$A$103:$B$144,2,FALSE)</f>
        <v>Derivados</v>
      </c>
      <c r="F2433" s="62">
        <v>1108314</v>
      </c>
      <c r="G2433" s="56" t="str">
        <f>VLOOKUP(C2433,clientes!$C$3:$D$60,2,FALSE)</f>
        <v>CIAPETRO</v>
      </c>
    </row>
    <row r="2434" spans="1:7" x14ac:dyDescent="0.25">
      <c r="A2434">
        <v>2026</v>
      </c>
      <c r="B2434" t="s">
        <v>143</v>
      </c>
      <c r="C2434" t="s">
        <v>236</v>
      </c>
      <c r="D2434" t="s">
        <v>121</v>
      </c>
      <c r="E2434" t="str">
        <f>VLOOKUP(D2434,'Lista de Produtos CLASSIFICAÇÃO'!$A$103:$B$144,2,FALSE)</f>
        <v>Biocombustíveis</v>
      </c>
      <c r="F2434" s="62">
        <v>900000</v>
      </c>
      <c r="G2434" s="56" t="str">
        <f>VLOOKUP(C2434,clientes!$C$3:$D$60,2,FALSE)</f>
        <v>ETANOL OUTROS</v>
      </c>
    </row>
    <row r="2435" spans="1:7" x14ac:dyDescent="0.25">
      <c r="A2435">
        <v>2026</v>
      </c>
      <c r="B2435" t="s">
        <v>132</v>
      </c>
      <c r="C2435" t="s">
        <v>236</v>
      </c>
      <c r="D2435" t="s">
        <v>121</v>
      </c>
      <c r="E2435" t="str">
        <f>VLOOKUP(D2435,'Lista de Produtos CLASSIFICAÇÃO'!$A$103:$B$144,2,FALSE)</f>
        <v>Biocombustíveis</v>
      </c>
      <c r="F2435" s="62">
        <v>900000</v>
      </c>
      <c r="G2435" s="56" t="str">
        <f>VLOOKUP(C2435,clientes!$C$3:$D$60,2,FALSE)</f>
        <v>ETANOL OUTROS</v>
      </c>
    </row>
    <row r="2436" spans="1:7" x14ac:dyDescent="0.25">
      <c r="A2436">
        <v>2026</v>
      </c>
      <c r="B2436" t="s">
        <v>133</v>
      </c>
      <c r="C2436" t="s">
        <v>236</v>
      </c>
      <c r="D2436" t="s">
        <v>121</v>
      </c>
      <c r="E2436" t="str">
        <f>VLOOKUP(D2436,'Lista de Produtos CLASSIFICAÇÃO'!$A$103:$B$144,2,FALSE)</f>
        <v>Biocombustíveis</v>
      </c>
      <c r="F2436" s="62">
        <v>900000</v>
      </c>
      <c r="G2436" s="56" t="str">
        <f>VLOOKUP(C2436,clientes!$C$3:$D$60,2,FALSE)</f>
        <v>ETANOL OUTROS</v>
      </c>
    </row>
    <row r="2437" spans="1:7" x14ac:dyDescent="0.25">
      <c r="A2437">
        <v>2026</v>
      </c>
      <c r="B2437" t="s">
        <v>134</v>
      </c>
      <c r="C2437" t="s">
        <v>236</v>
      </c>
      <c r="D2437" t="s">
        <v>121</v>
      </c>
      <c r="E2437" t="str">
        <f>VLOOKUP(D2437,'Lista de Produtos CLASSIFICAÇÃO'!$A$103:$B$144,2,FALSE)</f>
        <v>Biocombustíveis</v>
      </c>
      <c r="F2437" s="62">
        <v>900000</v>
      </c>
      <c r="G2437" s="56" t="str">
        <f>VLOOKUP(C2437,clientes!$C$3:$D$60,2,FALSE)</f>
        <v>ETANOL OUTROS</v>
      </c>
    </row>
    <row r="2438" spans="1:7" x14ac:dyDescent="0.25">
      <c r="A2438">
        <v>2026</v>
      </c>
      <c r="B2438" t="s">
        <v>135</v>
      </c>
      <c r="C2438" t="s">
        <v>236</v>
      </c>
      <c r="D2438" t="s">
        <v>121</v>
      </c>
      <c r="E2438" t="str">
        <f>VLOOKUP(D2438,'Lista de Produtos CLASSIFICAÇÃO'!$A$103:$B$144,2,FALSE)</f>
        <v>Biocombustíveis</v>
      </c>
      <c r="F2438" s="62">
        <v>900000</v>
      </c>
      <c r="G2438" s="56" t="str">
        <f>VLOOKUP(C2438,clientes!$C$3:$D$60,2,FALSE)</f>
        <v>ETANOL OUTROS</v>
      </c>
    </row>
    <row r="2439" spans="1:7" x14ac:dyDescent="0.25">
      <c r="A2439">
        <v>2026</v>
      </c>
      <c r="B2439" t="s">
        <v>136</v>
      </c>
      <c r="C2439" t="s">
        <v>236</v>
      </c>
      <c r="D2439" t="s">
        <v>121</v>
      </c>
      <c r="E2439" t="str">
        <f>VLOOKUP(D2439,'Lista de Produtos CLASSIFICAÇÃO'!$A$103:$B$144,2,FALSE)</f>
        <v>Biocombustíveis</v>
      </c>
      <c r="F2439" s="62">
        <v>900000</v>
      </c>
      <c r="G2439" s="56" t="str">
        <f>VLOOKUP(C2439,clientes!$C$3:$D$60,2,FALSE)</f>
        <v>ETANOL OUTROS</v>
      </c>
    </row>
    <row r="2440" spans="1:7" x14ac:dyDescent="0.25">
      <c r="A2440">
        <v>2026</v>
      </c>
      <c r="B2440" t="s">
        <v>137</v>
      </c>
      <c r="C2440" t="s">
        <v>236</v>
      </c>
      <c r="D2440" t="s">
        <v>121</v>
      </c>
      <c r="E2440" t="str">
        <f>VLOOKUP(D2440,'Lista de Produtos CLASSIFICAÇÃO'!$A$103:$B$144,2,FALSE)</f>
        <v>Biocombustíveis</v>
      </c>
      <c r="F2440" s="62">
        <v>900000</v>
      </c>
      <c r="G2440" s="56" t="str">
        <f>VLOOKUP(C2440,clientes!$C$3:$D$60,2,FALSE)</f>
        <v>ETANOL OUTROS</v>
      </c>
    </row>
    <row r="2441" spans="1:7" x14ac:dyDescent="0.25">
      <c r="A2441">
        <v>2026</v>
      </c>
      <c r="B2441" t="s">
        <v>138</v>
      </c>
      <c r="C2441" t="s">
        <v>236</v>
      </c>
      <c r="D2441" t="s">
        <v>121</v>
      </c>
      <c r="E2441" t="str">
        <f>VLOOKUP(D2441,'Lista de Produtos CLASSIFICAÇÃO'!$A$103:$B$144,2,FALSE)</f>
        <v>Biocombustíveis</v>
      </c>
      <c r="F2441" s="62">
        <v>900000</v>
      </c>
      <c r="G2441" s="56" t="str">
        <f>VLOOKUP(C2441,clientes!$C$3:$D$60,2,FALSE)</f>
        <v>ETANOL OUTROS</v>
      </c>
    </row>
    <row r="2442" spans="1:7" x14ac:dyDescent="0.25">
      <c r="A2442">
        <v>2026</v>
      </c>
      <c r="B2442" t="s">
        <v>139</v>
      </c>
      <c r="C2442" t="s">
        <v>236</v>
      </c>
      <c r="D2442" t="s">
        <v>121</v>
      </c>
      <c r="E2442" t="str">
        <f>VLOOKUP(D2442,'Lista de Produtos CLASSIFICAÇÃO'!$A$103:$B$144,2,FALSE)</f>
        <v>Biocombustíveis</v>
      </c>
      <c r="F2442" s="62">
        <v>900000</v>
      </c>
      <c r="G2442" s="56" t="str">
        <f>VLOOKUP(C2442,clientes!$C$3:$D$60,2,FALSE)</f>
        <v>ETANOL OUTROS</v>
      </c>
    </row>
    <row r="2443" spans="1:7" x14ac:dyDescent="0.25">
      <c r="A2443">
        <v>2026</v>
      </c>
      <c r="B2443" t="s">
        <v>140</v>
      </c>
      <c r="C2443" t="s">
        <v>236</v>
      </c>
      <c r="D2443" t="s">
        <v>121</v>
      </c>
      <c r="E2443" t="str">
        <f>VLOOKUP(D2443,'Lista de Produtos CLASSIFICAÇÃO'!$A$103:$B$144,2,FALSE)</f>
        <v>Biocombustíveis</v>
      </c>
      <c r="F2443" s="62">
        <v>900000</v>
      </c>
      <c r="G2443" s="56" t="str">
        <f>VLOOKUP(C2443,clientes!$C$3:$D$60,2,FALSE)</f>
        <v>ETANOL OUTROS</v>
      </c>
    </row>
    <row r="2444" spans="1:7" x14ac:dyDescent="0.25">
      <c r="A2444">
        <v>2026</v>
      </c>
      <c r="B2444" t="s">
        <v>141</v>
      </c>
      <c r="C2444" t="s">
        <v>236</v>
      </c>
      <c r="D2444" t="s">
        <v>121</v>
      </c>
      <c r="E2444" t="str">
        <f>VLOOKUP(D2444,'Lista de Produtos CLASSIFICAÇÃO'!$A$103:$B$144,2,FALSE)</f>
        <v>Biocombustíveis</v>
      </c>
      <c r="F2444" s="62">
        <v>900000</v>
      </c>
      <c r="G2444" s="56" t="str">
        <f>VLOOKUP(C2444,clientes!$C$3:$D$60,2,FALSE)</f>
        <v>ETANOL OUTROS</v>
      </c>
    </row>
    <row r="2445" spans="1:7" x14ac:dyDescent="0.25">
      <c r="A2445">
        <v>2026</v>
      </c>
      <c r="B2445" t="s">
        <v>142</v>
      </c>
      <c r="C2445" t="s">
        <v>236</v>
      </c>
      <c r="D2445" t="s">
        <v>121</v>
      </c>
      <c r="E2445" t="str">
        <f>VLOOKUP(D2445,'Lista de Produtos CLASSIFICAÇÃO'!$A$103:$B$144,2,FALSE)</f>
        <v>Biocombustíveis</v>
      </c>
      <c r="F2445" s="62">
        <v>900000</v>
      </c>
      <c r="G2445" s="56" t="str">
        <f>VLOOKUP(C2445,clientes!$C$3:$D$60,2,FALSE)</f>
        <v>ETANOL OUTROS</v>
      </c>
    </row>
    <row r="2446" spans="1:7" x14ac:dyDescent="0.25">
      <c r="A2446">
        <v>2026</v>
      </c>
      <c r="B2446" t="s">
        <v>143</v>
      </c>
      <c r="C2446" t="s">
        <v>188</v>
      </c>
      <c r="D2446" t="s">
        <v>123</v>
      </c>
      <c r="E2446" t="str">
        <f>VLOOKUP(D2446,'Lista de Produtos CLASSIFICAÇÃO'!$A$103:$B$144,2,FALSE)</f>
        <v>Aquecidos</v>
      </c>
      <c r="F2446" s="62">
        <v>565866</v>
      </c>
      <c r="G2446" s="56" t="str">
        <f>VLOOKUP(C2446,clientes!$C$3:$D$60,2,FALSE)</f>
        <v>ARES MERCHANTS PTE LIMITE</v>
      </c>
    </row>
    <row r="2447" spans="1:7" x14ac:dyDescent="0.25">
      <c r="A2447">
        <v>2026</v>
      </c>
      <c r="B2447" t="s">
        <v>132</v>
      </c>
      <c r="C2447" t="s">
        <v>188</v>
      </c>
      <c r="D2447" t="s">
        <v>123</v>
      </c>
      <c r="E2447" t="str">
        <f>VLOOKUP(D2447,'Lista de Produtos CLASSIFICAÇÃO'!$A$103:$B$144,2,FALSE)</f>
        <v>Aquecidos</v>
      </c>
      <c r="F2447" s="62">
        <v>565866</v>
      </c>
      <c r="G2447" s="56" t="str">
        <f>VLOOKUP(C2447,clientes!$C$3:$D$60,2,FALSE)</f>
        <v>ARES MERCHANTS PTE LIMITE</v>
      </c>
    </row>
    <row r="2448" spans="1:7" x14ac:dyDescent="0.25">
      <c r="A2448">
        <v>2026</v>
      </c>
      <c r="B2448" t="s">
        <v>133</v>
      </c>
      <c r="C2448" t="s">
        <v>188</v>
      </c>
      <c r="D2448" t="s">
        <v>123</v>
      </c>
      <c r="E2448" t="str">
        <f>VLOOKUP(D2448,'Lista de Produtos CLASSIFICAÇÃO'!$A$103:$B$144,2,FALSE)</f>
        <v>Aquecidos</v>
      </c>
      <c r="F2448" s="62">
        <v>565866</v>
      </c>
      <c r="G2448" s="56" t="str">
        <f>VLOOKUP(C2448,clientes!$C$3:$D$60,2,FALSE)</f>
        <v>ARES MERCHANTS PTE LIMITE</v>
      </c>
    </row>
    <row r="2449" spans="1:7" x14ac:dyDescent="0.25">
      <c r="A2449">
        <v>2026</v>
      </c>
      <c r="B2449" t="s">
        <v>134</v>
      </c>
      <c r="C2449" t="s">
        <v>188</v>
      </c>
      <c r="D2449" t="s">
        <v>123</v>
      </c>
      <c r="E2449" t="str">
        <f>VLOOKUP(D2449,'Lista de Produtos CLASSIFICAÇÃO'!$A$103:$B$144,2,FALSE)</f>
        <v>Aquecidos</v>
      </c>
      <c r="F2449" s="62">
        <v>565866</v>
      </c>
      <c r="G2449" s="56" t="str">
        <f>VLOOKUP(C2449,clientes!$C$3:$D$60,2,FALSE)</f>
        <v>ARES MERCHANTS PTE LIMITE</v>
      </c>
    </row>
    <row r="2450" spans="1:7" x14ac:dyDescent="0.25">
      <c r="A2450">
        <v>2026</v>
      </c>
      <c r="B2450" t="s">
        <v>135</v>
      </c>
      <c r="C2450" t="s">
        <v>188</v>
      </c>
      <c r="D2450" t="s">
        <v>123</v>
      </c>
      <c r="E2450" t="str">
        <f>VLOOKUP(D2450,'Lista de Produtos CLASSIFICAÇÃO'!$A$103:$B$144,2,FALSE)</f>
        <v>Aquecidos</v>
      </c>
      <c r="F2450" s="62">
        <v>565866</v>
      </c>
      <c r="G2450" s="56" t="str">
        <f>VLOOKUP(C2450,clientes!$C$3:$D$60,2,FALSE)</f>
        <v>ARES MERCHANTS PTE LIMITE</v>
      </c>
    </row>
    <row r="2451" spans="1:7" x14ac:dyDescent="0.25">
      <c r="A2451">
        <v>2026</v>
      </c>
      <c r="B2451" t="s">
        <v>136</v>
      </c>
      <c r="C2451" t="s">
        <v>188</v>
      </c>
      <c r="D2451" t="s">
        <v>123</v>
      </c>
      <c r="E2451" t="str">
        <f>VLOOKUP(D2451,'Lista de Produtos CLASSIFICAÇÃO'!$A$103:$B$144,2,FALSE)</f>
        <v>Aquecidos</v>
      </c>
      <c r="F2451" s="62">
        <v>565866</v>
      </c>
      <c r="G2451" s="56" t="str">
        <f>VLOOKUP(C2451,clientes!$C$3:$D$60,2,FALSE)</f>
        <v>ARES MERCHANTS PTE LIMITE</v>
      </c>
    </row>
    <row r="2452" spans="1:7" x14ac:dyDescent="0.25">
      <c r="A2452">
        <v>2026</v>
      </c>
      <c r="B2452" t="s">
        <v>137</v>
      </c>
      <c r="C2452" t="s">
        <v>188</v>
      </c>
      <c r="D2452" t="s">
        <v>123</v>
      </c>
      <c r="E2452" t="str">
        <f>VLOOKUP(D2452,'Lista de Produtos CLASSIFICAÇÃO'!$A$103:$B$144,2,FALSE)</f>
        <v>Aquecidos</v>
      </c>
      <c r="F2452" s="62">
        <v>565866</v>
      </c>
      <c r="G2452" s="56" t="str">
        <f>VLOOKUP(C2452,clientes!$C$3:$D$60,2,FALSE)</f>
        <v>ARES MERCHANTS PTE LIMITE</v>
      </c>
    </row>
    <row r="2453" spans="1:7" x14ac:dyDescent="0.25">
      <c r="A2453">
        <v>2026</v>
      </c>
      <c r="B2453" t="s">
        <v>138</v>
      </c>
      <c r="C2453" t="s">
        <v>188</v>
      </c>
      <c r="D2453" t="s">
        <v>123</v>
      </c>
      <c r="E2453" t="str">
        <f>VLOOKUP(D2453,'Lista de Produtos CLASSIFICAÇÃO'!$A$103:$B$144,2,FALSE)</f>
        <v>Aquecidos</v>
      </c>
      <c r="F2453" s="62">
        <v>565866</v>
      </c>
      <c r="G2453" s="56" t="str">
        <f>VLOOKUP(C2453,clientes!$C$3:$D$60,2,FALSE)</f>
        <v>ARES MERCHANTS PTE LIMITE</v>
      </c>
    </row>
    <row r="2454" spans="1:7" x14ac:dyDescent="0.25">
      <c r="A2454">
        <v>2026</v>
      </c>
      <c r="B2454" t="s">
        <v>139</v>
      </c>
      <c r="C2454" t="s">
        <v>188</v>
      </c>
      <c r="D2454" t="s">
        <v>123</v>
      </c>
      <c r="E2454" t="str">
        <f>VLOOKUP(D2454,'Lista de Produtos CLASSIFICAÇÃO'!$A$103:$B$144,2,FALSE)</f>
        <v>Aquecidos</v>
      </c>
      <c r="F2454" s="62">
        <v>565866</v>
      </c>
      <c r="G2454" s="56" t="str">
        <f>VLOOKUP(C2454,clientes!$C$3:$D$60,2,FALSE)</f>
        <v>ARES MERCHANTS PTE LIMITE</v>
      </c>
    </row>
    <row r="2455" spans="1:7" x14ac:dyDescent="0.25">
      <c r="A2455">
        <v>2026</v>
      </c>
      <c r="B2455" t="s">
        <v>140</v>
      </c>
      <c r="C2455" t="s">
        <v>188</v>
      </c>
      <c r="D2455" t="s">
        <v>123</v>
      </c>
      <c r="E2455" t="str">
        <f>VLOOKUP(D2455,'Lista de Produtos CLASSIFICAÇÃO'!$A$103:$B$144,2,FALSE)</f>
        <v>Aquecidos</v>
      </c>
      <c r="F2455" s="62">
        <v>565866</v>
      </c>
      <c r="G2455" s="56" t="str">
        <f>VLOOKUP(C2455,clientes!$C$3:$D$60,2,FALSE)</f>
        <v>ARES MERCHANTS PTE LIMITE</v>
      </c>
    </row>
    <row r="2456" spans="1:7" x14ac:dyDescent="0.25">
      <c r="A2456">
        <v>2026</v>
      </c>
      <c r="B2456" t="s">
        <v>141</v>
      </c>
      <c r="C2456" t="s">
        <v>188</v>
      </c>
      <c r="D2456" t="s">
        <v>123</v>
      </c>
      <c r="E2456" t="str">
        <f>VLOOKUP(D2456,'Lista de Produtos CLASSIFICAÇÃO'!$A$103:$B$144,2,FALSE)</f>
        <v>Aquecidos</v>
      </c>
      <c r="F2456" s="62">
        <v>565866</v>
      </c>
      <c r="G2456" s="56" t="str">
        <f>VLOOKUP(C2456,clientes!$C$3:$D$60,2,FALSE)</f>
        <v>ARES MERCHANTS PTE LIMITE</v>
      </c>
    </row>
    <row r="2457" spans="1:7" x14ac:dyDescent="0.25">
      <c r="A2457">
        <v>2026</v>
      </c>
      <c r="B2457" t="s">
        <v>142</v>
      </c>
      <c r="C2457" t="s">
        <v>188</v>
      </c>
      <c r="D2457" t="s">
        <v>123</v>
      </c>
      <c r="E2457" t="str">
        <f>VLOOKUP(D2457,'Lista de Produtos CLASSIFICAÇÃO'!$A$103:$B$144,2,FALSE)</f>
        <v>Aquecidos</v>
      </c>
      <c r="F2457" s="62">
        <v>565866</v>
      </c>
      <c r="G2457" s="56" t="str">
        <f>VLOOKUP(C2457,clientes!$C$3:$D$60,2,FALSE)</f>
        <v>ARES MERCHANTS PTE LIMITE</v>
      </c>
    </row>
    <row r="2458" spans="1:7" x14ac:dyDescent="0.25">
      <c r="A2458">
        <v>2026</v>
      </c>
      <c r="B2458" t="s">
        <v>143</v>
      </c>
      <c r="C2458" t="s">
        <v>18</v>
      </c>
      <c r="D2458" t="s">
        <v>17</v>
      </c>
      <c r="E2458" t="s">
        <v>9</v>
      </c>
      <c r="F2458" s="62">
        <v>426927.85</v>
      </c>
      <c r="G2458" t="s">
        <v>9</v>
      </c>
    </row>
    <row r="2459" spans="1:7" x14ac:dyDescent="0.25">
      <c r="A2459">
        <v>2026</v>
      </c>
      <c r="B2459" t="s">
        <v>132</v>
      </c>
      <c r="C2459" t="s">
        <v>18</v>
      </c>
      <c r="D2459" t="s">
        <v>17</v>
      </c>
      <c r="E2459" t="s">
        <v>9</v>
      </c>
      <c r="F2459" s="62">
        <v>406994.33</v>
      </c>
      <c r="G2459" t="s">
        <v>9</v>
      </c>
    </row>
    <row r="2460" spans="1:7" x14ac:dyDescent="0.25">
      <c r="A2460">
        <v>2026</v>
      </c>
      <c r="B2460" t="s">
        <v>133</v>
      </c>
      <c r="C2460" t="s">
        <v>18</v>
      </c>
      <c r="D2460" t="s">
        <v>17</v>
      </c>
      <c r="E2460" t="s">
        <v>9</v>
      </c>
      <c r="F2460" s="62">
        <v>406994.33</v>
      </c>
      <c r="G2460" t="s">
        <v>9</v>
      </c>
    </row>
    <row r="2461" spans="1:7" x14ac:dyDescent="0.25">
      <c r="A2461">
        <v>2026</v>
      </c>
      <c r="B2461" t="s">
        <v>134</v>
      </c>
      <c r="C2461" t="s">
        <v>18</v>
      </c>
      <c r="D2461" t="s">
        <v>17</v>
      </c>
      <c r="E2461" t="s">
        <v>9</v>
      </c>
      <c r="F2461" s="62">
        <v>417085.85</v>
      </c>
      <c r="G2461" t="s">
        <v>9</v>
      </c>
    </row>
    <row r="2462" spans="1:7" x14ac:dyDescent="0.25">
      <c r="A2462">
        <v>2026</v>
      </c>
      <c r="B2462" t="s">
        <v>135</v>
      </c>
      <c r="C2462" t="s">
        <v>18</v>
      </c>
      <c r="D2462" t="s">
        <v>17</v>
      </c>
      <c r="E2462" t="s">
        <v>9</v>
      </c>
      <c r="F2462" s="62">
        <v>522355.6</v>
      </c>
      <c r="G2462" t="s">
        <v>9</v>
      </c>
    </row>
    <row r="2463" spans="1:7" x14ac:dyDescent="0.25">
      <c r="A2463">
        <v>2026</v>
      </c>
      <c r="B2463" t="s">
        <v>136</v>
      </c>
      <c r="C2463" t="s">
        <v>18</v>
      </c>
      <c r="D2463" t="s">
        <v>17</v>
      </c>
      <c r="E2463" t="s">
        <v>9</v>
      </c>
      <c r="F2463" s="62">
        <v>503731.19</v>
      </c>
      <c r="G2463" t="s">
        <v>9</v>
      </c>
    </row>
    <row r="2464" spans="1:7" x14ac:dyDescent="0.25">
      <c r="A2464">
        <v>2026</v>
      </c>
      <c r="B2464" t="s">
        <v>137</v>
      </c>
      <c r="C2464" t="s">
        <v>18</v>
      </c>
      <c r="D2464" t="s">
        <v>17</v>
      </c>
      <c r="E2464" t="s">
        <v>9</v>
      </c>
      <c r="F2464" s="62">
        <v>541718.5</v>
      </c>
      <c r="G2464" t="s">
        <v>9</v>
      </c>
    </row>
    <row r="2465" spans="1:7" x14ac:dyDescent="0.25">
      <c r="A2465">
        <v>2026</v>
      </c>
      <c r="B2465" t="s">
        <v>138</v>
      </c>
      <c r="C2465" t="s">
        <v>18</v>
      </c>
      <c r="D2465" t="s">
        <v>17</v>
      </c>
      <c r="E2465" t="s">
        <v>9</v>
      </c>
      <c r="F2465" s="62">
        <v>493729.48</v>
      </c>
      <c r="G2465" t="s">
        <v>9</v>
      </c>
    </row>
    <row r="2466" spans="1:7" x14ac:dyDescent="0.25">
      <c r="A2466">
        <v>2026</v>
      </c>
      <c r="B2466" t="s">
        <v>139</v>
      </c>
      <c r="C2466" t="s">
        <v>18</v>
      </c>
      <c r="D2466" t="s">
        <v>17</v>
      </c>
      <c r="E2466" t="s">
        <v>9</v>
      </c>
      <c r="F2466" s="62">
        <v>499011.46</v>
      </c>
      <c r="G2466" t="s">
        <v>9</v>
      </c>
    </row>
    <row r="2467" spans="1:7" x14ac:dyDescent="0.25">
      <c r="A2467">
        <v>2026</v>
      </c>
      <c r="B2467" t="s">
        <v>140</v>
      </c>
      <c r="C2467" t="s">
        <v>18</v>
      </c>
      <c r="D2467" t="s">
        <v>17</v>
      </c>
      <c r="E2467" t="s">
        <v>9</v>
      </c>
      <c r="F2467" s="62">
        <v>452606.6</v>
      </c>
      <c r="G2467" t="s">
        <v>9</v>
      </c>
    </row>
    <row r="2468" spans="1:7" x14ac:dyDescent="0.25">
      <c r="A2468">
        <v>2026</v>
      </c>
      <c r="B2468" t="s">
        <v>141</v>
      </c>
      <c r="C2468" t="s">
        <v>18</v>
      </c>
      <c r="D2468" t="s">
        <v>17</v>
      </c>
      <c r="E2468" t="s">
        <v>9</v>
      </c>
      <c r="F2468" s="62">
        <v>471031.66</v>
      </c>
      <c r="G2468" t="s">
        <v>9</v>
      </c>
    </row>
    <row r="2469" spans="1:7" x14ac:dyDescent="0.25">
      <c r="A2469">
        <v>2026</v>
      </c>
      <c r="B2469" t="s">
        <v>142</v>
      </c>
      <c r="C2469" t="s">
        <v>18</v>
      </c>
      <c r="D2469" t="s">
        <v>17</v>
      </c>
      <c r="E2469" t="s">
        <v>9</v>
      </c>
      <c r="F2469" s="62">
        <v>435122.8</v>
      </c>
      <c r="G2469" t="s">
        <v>9</v>
      </c>
    </row>
    <row r="2470" spans="1:7" x14ac:dyDescent="0.25">
      <c r="A2470">
        <v>2026</v>
      </c>
      <c r="B2470" t="s">
        <v>143</v>
      </c>
      <c r="C2470" t="s">
        <v>189</v>
      </c>
      <c r="D2470" t="s">
        <v>123</v>
      </c>
      <c r="E2470" t="str">
        <f>VLOOKUP(D2470,'Lista de Produtos CLASSIFICAÇÃO'!$A$103:$B$144,2,FALSE)</f>
        <v>Aquecidos</v>
      </c>
      <c r="F2470" s="62">
        <v>1067025</v>
      </c>
      <c r="G2470" s="56" t="str">
        <f>VLOOKUP(C2470,clientes!$C$3:$D$60,2,FALSE)</f>
        <v>ICOF</v>
      </c>
    </row>
    <row r="2471" spans="1:7" x14ac:dyDescent="0.25">
      <c r="A2471">
        <v>2026</v>
      </c>
      <c r="B2471" t="s">
        <v>132</v>
      </c>
      <c r="C2471" t="s">
        <v>189</v>
      </c>
      <c r="D2471" t="s">
        <v>123</v>
      </c>
      <c r="E2471" t="str">
        <f>VLOOKUP(D2471,'Lista de Produtos CLASSIFICAÇÃO'!$A$103:$B$144,2,FALSE)</f>
        <v>Aquecidos</v>
      </c>
      <c r="F2471" s="62">
        <v>1067025</v>
      </c>
      <c r="G2471" s="56" t="str">
        <f>VLOOKUP(C2471,clientes!$C$3:$D$60,2,FALSE)</f>
        <v>ICOF</v>
      </c>
    </row>
    <row r="2472" spans="1:7" x14ac:dyDescent="0.25">
      <c r="A2472">
        <v>2026</v>
      </c>
      <c r="B2472" t="s">
        <v>133</v>
      </c>
      <c r="C2472" t="s">
        <v>189</v>
      </c>
      <c r="D2472" t="s">
        <v>123</v>
      </c>
      <c r="E2472" t="str">
        <f>VLOOKUP(D2472,'Lista de Produtos CLASSIFICAÇÃO'!$A$103:$B$144,2,FALSE)</f>
        <v>Aquecidos</v>
      </c>
      <c r="F2472" s="62">
        <v>1067025</v>
      </c>
      <c r="G2472" s="56" t="str">
        <f>VLOOKUP(C2472,clientes!$C$3:$D$60,2,FALSE)</f>
        <v>ICOF</v>
      </c>
    </row>
    <row r="2473" spans="1:7" x14ac:dyDescent="0.25">
      <c r="A2473">
        <v>2026</v>
      </c>
      <c r="B2473" t="s">
        <v>134</v>
      </c>
      <c r="C2473" t="s">
        <v>189</v>
      </c>
      <c r="D2473" t="s">
        <v>123</v>
      </c>
      <c r="E2473" t="str">
        <f>VLOOKUP(D2473,'Lista de Produtos CLASSIFICAÇÃO'!$A$103:$B$144,2,FALSE)</f>
        <v>Aquecidos</v>
      </c>
      <c r="F2473" s="62">
        <v>1067025</v>
      </c>
      <c r="G2473" s="56" t="str">
        <f>VLOOKUP(C2473,clientes!$C$3:$D$60,2,FALSE)</f>
        <v>ICOF</v>
      </c>
    </row>
    <row r="2474" spans="1:7" x14ac:dyDescent="0.25">
      <c r="A2474">
        <v>2026</v>
      </c>
      <c r="B2474" t="s">
        <v>135</v>
      </c>
      <c r="C2474" t="s">
        <v>189</v>
      </c>
      <c r="D2474" t="s">
        <v>123</v>
      </c>
      <c r="E2474" t="str">
        <f>VLOOKUP(D2474,'Lista de Produtos CLASSIFICAÇÃO'!$A$103:$B$144,2,FALSE)</f>
        <v>Aquecidos</v>
      </c>
      <c r="F2474" s="62">
        <v>1067025</v>
      </c>
      <c r="G2474" s="56" t="str">
        <f>VLOOKUP(C2474,clientes!$C$3:$D$60,2,FALSE)</f>
        <v>ICOF</v>
      </c>
    </row>
    <row r="2475" spans="1:7" x14ac:dyDescent="0.25">
      <c r="A2475">
        <v>2026</v>
      </c>
      <c r="B2475" t="s">
        <v>136</v>
      </c>
      <c r="C2475" t="s">
        <v>189</v>
      </c>
      <c r="D2475" t="s">
        <v>123</v>
      </c>
      <c r="E2475" t="str">
        <f>VLOOKUP(D2475,'Lista de Produtos CLASSIFICAÇÃO'!$A$103:$B$144,2,FALSE)</f>
        <v>Aquecidos</v>
      </c>
      <c r="F2475" s="62">
        <v>1067025</v>
      </c>
      <c r="G2475" s="56" t="str">
        <f>VLOOKUP(C2475,clientes!$C$3:$D$60,2,FALSE)</f>
        <v>ICOF</v>
      </c>
    </row>
    <row r="2476" spans="1:7" x14ac:dyDescent="0.25">
      <c r="A2476">
        <v>2026</v>
      </c>
      <c r="B2476" t="s">
        <v>137</v>
      </c>
      <c r="C2476" t="s">
        <v>189</v>
      </c>
      <c r="D2476" t="s">
        <v>123</v>
      </c>
      <c r="E2476" t="str">
        <f>VLOOKUP(D2476,'Lista de Produtos CLASSIFICAÇÃO'!$A$103:$B$144,2,FALSE)</f>
        <v>Aquecidos</v>
      </c>
      <c r="F2476" s="62">
        <v>1067025</v>
      </c>
      <c r="G2476" s="56" t="str">
        <f>VLOOKUP(C2476,clientes!$C$3:$D$60,2,FALSE)</f>
        <v>ICOF</v>
      </c>
    </row>
    <row r="2477" spans="1:7" x14ac:dyDescent="0.25">
      <c r="A2477">
        <v>2026</v>
      </c>
      <c r="B2477" t="s">
        <v>138</v>
      </c>
      <c r="C2477" t="s">
        <v>189</v>
      </c>
      <c r="D2477" t="s">
        <v>123</v>
      </c>
      <c r="E2477" t="str">
        <f>VLOOKUP(D2477,'Lista de Produtos CLASSIFICAÇÃO'!$A$103:$B$144,2,FALSE)</f>
        <v>Aquecidos</v>
      </c>
      <c r="F2477" s="62">
        <v>1067025</v>
      </c>
      <c r="G2477" s="56" t="str">
        <f>VLOOKUP(C2477,clientes!$C$3:$D$60,2,FALSE)</f>
        <v>ICOF</v>
      </c>
    </row>
    <row r="2478" spans="1:7" x14ac:dyDescent="0.25">
      <c r="A2478">
        <v>2026</v>
      </c>
      <c r="B2478" t="s">
        <v>139</v>
      </c>
      <c r="C2478" t="s">
        <v>189</v>
      </c>
      <c r="D2478" t="s">
        <v>123</v>
      </c>
      <c r="E2478" t="str">
        <f>VLOOKUP(D2478,'Lista de Produtos CLASSIFICAÇÃO'!$A$103:$B$144,2,FALSE)</f>
        <v>Aquecidos</v>
      </c>
      <c r="F2478" s="62">
        <v>1067025</v>
      </c>
      <c r="G2478" s="56" t="str">
        <f>VLOOKUP(C2478,clientes!$C$3:$D$60,2,FALSE)</f>
        <v>ICOF</v>
      </c>
    </row>
    <row r="2479" spans="1:7" x14ac:dyDescent="0.25">
      <c r="A2479">
        <v>2026</v>
      </c>
      <c r="B2479" t="s">
        <v>140</v>
      </c>
      <c r="C2479" t="s">
        <v>189</v>
      </c>
      <c r="D2479" t="s">
        <v>123</v>
      </c>
      <c r="E2479" t="str">
        <f>VLOOKUP(D2479,'Lista de Produtos CLASSIFICAÇÃO'!$A$103:$B$144,2,FALSE)</f>
        <v>Aquecidos</v>
      </c>
      <c r="F2479" s="62">
        <v>1067025</v>
      </c>
      <c r="G2479" s="56" t="str">
        <f>VLOOKUP(C2479,clientes!$C$3:$D$60,2,FALSE)</f>
        <v>ICOF</v>
      </c>
    </row>
    <row r="2480" spans="1:7" x14ac:dyDescent="0.25">
      <c r="A2480">
        <v>2026</v>
      </c>
      <c r="B2480" t="s">
        <v>141</v>
      </c>
      <c r="C2480" t="s">
        <v>189</v>
      </c>
      <c r="D2480" t="s">
        <v>123</v>
      </c>
      <c r="E2480" t="str">
        <f>VLOOKUP(D2480,'Lista de Produtos CLASSIFICAÇÃO'!$A$103:$B$144,2,FALSE)</f>
        <v>Aquecidos</v>
      </c>
      <c r="F2480" s="62">
        <v>1067025</v>
      </c>
      <c r="G2480" s="56" t="str">
        <f>VLOOKUP(C2480,clientes!$C$3:$D$60,2,FALSE)</f>
        <v>ICOF</v>
      </c>
    </row>
    <row r="2481" spans="1:7" x14ac:dyDescent="0.25">
      <c r="A2481">
        <v>2026</v>
      </c>
      <c r="B2481" t="s">
        <v>142</v>
      </c>
      <c r="C2481" t="s">
        <v>189</v>
      </c>
      <c r="D2481" t="s">
        <v>123</v>
      </c>
      <c r="E2481" t="str">
        <f>VLOOKUP(D2481,'Lista de Produtos CLASSIFICAÇÃO'!$A$103:$B$144,2,FALSE)</f>
        <v>Aquecidos</v>
      </c>
      <c r="F2481" s="62">
        <v>1067025</v>
      </c>
      <c r="G2481" s="56" t="str">
        <f>VLOOKUP(C2481,clientes!$C$3:$D$60,2,FALSE)</f>
        <v>ICOF</v>
      </c>
    </row>
    <row r="2482" spans="1:7" x14ac:dyDescent="0.25">
      <c r="A2482">
        <v>2026</v>
      </c>
      <c r="B2482" t="s">
        <v>143</v>
      </c>
      <c r="C2482" t="s">
        <v>191</v>
      </c>
      <c r="D2482" t="s">
        <v>115</v>
      </c>
      <c r="E2482" t="s">
        <v>245</v>
      </c>
      <c r="F2482" s="62">
        <v>177070</v>
      </c>
      <c r="G2482" s="56" t="str">
        <f>VLOOKUP(C2482,clientes!$C$3:$D$60,2,FALSE)</f>
        <v>GPC</v>
      </c>
    </row>
    <row r="2483" spans="1:7" x14ac:dyDescent="0.25">
      <c r="A2483">
        <v>2026</v>
      </c>
      <c r="B2483" t="s">
        <v>132</v>
      </c>
      <c r="C2483" t="s">
        <v>191</v>
      </c>
      <c r="D2483" t="s">
        <v>115</v>
      </c>
      <c r="E2483" t="s">
        <v>245</v>
      </c>
      <c r="F2483" s="62">
        <v>177070</v>
      </c>
      <c r="G2483" s="56" t="str">
        <f>VLOOKUP(C2483,clientes!$C$3:$D$60,2,FALSE)</f>
        <v>GPC</v>
      </c>
    </row>
    <row r="2484" spans="1:7" x14ac:dyDescent="0.25">
      <c r="A2484">
        <v>2026</v>
      </c>
      <c r="B2484" t="s">
        <v>133</v>
      </c>
      <c r="C2484" t="s">
        <v>191</v>
      </c>
      <c r="D2484" t="s">
        <v>115</v>
      </c>
      <c r="E2484" t="s">
        <v>245</v>
      </c>
      <c r="F2484" s="62">
        <v>154554</v>
      </c>
      <c r="G2484" s="56" t="str">
        <f>VLOOKUP(C2484,clientes!$C$3:$D$60,2,FALSE)</f>
        <v>GPC</v>
      </c>
    </row>
    <row r="2485" spans="1:7" x14ac:dyDescent="0.25">
      <c r="A2485">
        <v>2026</v>
      </c>
      <c r="B2485" t="s">
        <v>134</v>
      </c>
      <c r="C2485" t="s">
        <v>191</v>
      </c>
      <c r="D2485" t="s">
        <v>115</v>
      </c>
      <c r="E2485" t="str">
        <f>VLOOKUP(D2485,'Lista de Produtos CLASSIFICAÇÃO'!$A$103:$B$144,2,FALSE)</f>
        <v>Soda Caustica</v>
      </c>
      <c r="F2485" s="62">
        <v>154554</v>
      </c>
      <c r="G2485" s="56" t="str">
        <f>VLOOKUP(C2485,clientes!$C$3:$D$60,2,FALSE)</f>
        <v>GPC</v>
      </c>
    </row>
    <row r="2486" spans="1:7" x14ac:dyDescent="0.25">
      <c r="A2486">
        <v>2026</v>
      </c>
      <c r="B2486" t="s">
        <v>135</v>
      </c>
      <c r="C2486" t="s">
        <v>191</v>
      </c>
      <c r="D2486" t="s">
        <v>115</v>
      </c>
      <c r="E2486" t="str">
        <f>VLOOKUP(D2486,'Lista de Produtos CLASSIFICAÇÃO'!$A$103:$B$144,2,FALSE)</f>
        <v>Soda Caustica</v>
      </c>
      <c r="F2486" s="62">
        <v>154554</v>
      </c>
      <c r="G2486" s="56" t="str">
        <f>VLOOKUP(C2486,clientes!$C$3:$D$60,2,FALSE)</f>
        <v>GPC</v>
      </c>
    </row>
    <row r="2487" spans="1:7" x14ac:dyDescent="0.25">
      <c r="A2487">
        <v>2026</v>
      </c>
      <c r="B2487" t="s">
        <v>136</v>
      </c>
      <c r="C2487" t="s">
        <v>191</v>
      </c>
      <c r="D2487" t="s">
        <v>115</v>
      </c>
      <c r="E2487" t="str">
        <f>VLOOKUP(D2487,'Lista de Produtos CLASSIFICAÇÃO'!$A$103:$B$144,2,FALSE)</f>
        <v>Soda Caustica</v>
      </c>
      <c r="F2487" s="62">
        <v>154554</v>
      </c>
      <c r="G2487" s="56" t="str">
        <f>VLOOKUP(C2487,clientes!$C$3:$D$60,2,FALSE)</f>
        <v>GPC</v>
      </c>
    </row>
    <row r="2488" spans="1:7" x14ac:dyDescent="0.25">
      <c r="A2488">
        <v>2026</v>
      </c>
      <c r="B2488" t="s">
        <v>137</v>
      </c>
      <c r="C2488" t="s">
        <v>191</v>
      </c>
      <c r="D2488" t="s">
        <v>115</v>
      </c>
      <c r="E2488" t="str">
        <f>VLOOKUP(D2488,'Lista de Produtos CLASSIFICAÇÃO'!$A$103:$B$144,2,FALSE)</f>
        <v>Soda Caustica</v>
      </c>
      <c r="F2488" s="62">
        <v>154554</v>
      </c>
      <c r="G2488" s="56" t="str">
        <f>VLOOKUP(C2488,clientes!$C$3:$D$60,2,FALSE)</f>
        <v>GPC</v>
      </c>
    </row>
    <row r="2489" spans="1:7" x14ac:dyDescent="0.25">
      <c r="A2489">
        <v>2026</v>
      </c>
      <c r="B2489" t="s">
        <v>138</v>
      </c>
      <c r="C2489" t="s">
        <v>191</v>
      </c>
      <c r="D2489" t="s">
        <v>115</v>
      </c>
      <c r="E2489" t="str">
        <f>VLOOKUP(D2489,'Lista de Produtos CLASSIFICAÇÃO'!$A$103:$B$144,2,FALSE)</f>
        <v>Soda Caustica</v>
      </c>
      <c r="F2489" s="62">
        <v>154554</v>
      </c>
      <c r="G2489" s="56" t="str">
        <f>VLOOKUP(C2489,clientes!$C$3:$D$60,2,FALSE)</f>
        <v>GPC</v>
      </c>
    </row>
    <row r="2490" spans="1:7" x14ac:dyDescent="0.25">
      <c r="A2490">
        <v>2026</v>
      </c>
      <c r="B2490" t="s">
        <v>139</v>
      </c>
      <c r="C2490" t="s">
        <v>191</v>
      </c>
      <c r="D2490" t="s">
        <v>115</v>
      </c>
      <c r="E2490" t="str">
        <f>VLOOKUP(D2490,'Lista de Produtos CLASSIFICAÇÃO'!$A$103:$B$144,2,FALSE)</f>
        <v>Soda Caustica</v>
      </c>
      <c r="F2490" s="62">
        <v>154554</v>
      </c>
      <c r="G2490" s="56" t="str">
        <f>VLOOKUP(C2490,clientes!$C$3:$D$60,2,FALSE)</f>
        <v>GPC</v>
      </c>
    </row>
    <row r="2491" spans="1:7" x14ac:dyDescent="0.25">
      <c r="A2491">
        <v>2026</v>
      </c>
      <c r="B2491" t="s">
        <v>140</v>
      </c>
      <c r="C2491" t="s">
        <v>191</v>
      </c>
      <c r="D2491" t="s">
        <v>115</v>
      </c>
      <c r="E2491" t="str">
        <f>VLOOKUP(D2491,'Lista de Produtos CLASSIFICAÇÃO'!$A$103:$B$144,2,FALSE)</f>
        <v>Soda Caustica</v>
      </c>
      <c r="F2491" s="62">
        <v>154554</v>
      </c>
      <c r="G2491" s="56" t="str">
        <f>VLOOKUP(C2491,clientes!$C$3:$D$60,2,FALSE)</f>
        <v>GPC</v>
      </c>
    </row>
    <row r="2492" spans="1:7" x14ac:dyDescent="0.25">
      <c r="A2492">
        <v>2026</v>
      </c>
      <c r="B2492" t="s">
        <v>141</v>
      </c>
      <c r="C2492" t="s">
        <v>191</v>
      </c>
      <c r="D2492" t="s">
        <v>115</v>
      </c>
      <c r="E2492" t="str">
        <f>VLOOKUP(D2492,'Lista de Produtos CLASSIFICAÇÃO'!$A$103:$B$144,2,FALSE)</f>
        <v>Soda Caustica</v>
      </c>
      <c r="F2492" s="62">
        <v>154554</v>
      </c>
      <c r="G2492" s="56" t="str">
        <f>VLOOKUP(C2492,clientes!$C$3:$D$60,2,FALSE)</f>
        <v>GPC</v>
      </c>
    </row>
    <row r="2493" spans="1:7" x14ac:dyDescent="0.25">
      <c r="A2493">
        <v>2026</v>
      </c>
      <c r="B2493" t="s">
        <v>142</v>
      </c>
      <c r="C2493" t="s">
        <v>191</v>
      </c>
      <c r="D2493" t="s">
        <v>115</v>
      </c>
      <c r="E2493" t="str">
        <f>VLOOKUP(D2493,'Lista de Produtos CLASSIFICAÇÃO'!$A$103:$B$144,2,FALSE)</f>
        <v>Soda Caustica</v>
      </c>
      <c r="F2493" s="62">
        <v>154554</v>
      </c>
      <c r="G2493" s="56" t="str">
        <f>VLOOKUP(C2493,clientes!$C$3:$D$60,2,FALSE)</f>
        <v>GPC</v>
      </c>
    </row>
    <row r="2494" spans="1:7" x14ac:dyDescent="0.25">
      <c r="A2494">
        <v>2026</v>
      </c>
      <c r="B2494" t="s">
        <v>143</v>
      </c>
      <c r="C2494" t="s">
        <v>192</v>
      </c>
      <c r="D2494" t="s">
        <v>121</v>
      </c>
      <c r="E2494" t="str">
        <f>VLOOKUP(D2494,'Lista de Produtos CLASSIFICAÇÃO'!$A$103:$B$144,2,FALSE)</f>
        <v>Biocombustíveis</v>
      </c>
      <c r="F2494" s="62">
        <v>455669.52</v>
      </c>
      <c r="G2494" s="56" t="str">
        <f>VLOOKUP(C2494,clientes!$C$3:$D$60,2,FALSE)</f>
        <v>INPASA</v>
      </c>
    </row>
    <row r="2495" spans="1:7" x14ac:dyDescent="0.25">
      <c r="A2495">
        <v>2026</v>
      </c>
      <c r="B2495" t="s">
        <v>132</v>
      </c>
      <c r="C2495" t="s">
        <v>192</v>
      </c>
      <c r="D2495" t="s">
        <v>121</v>
      </c>
      <c r="E2495" t="str">
        <f>VLOOKUP(D2495,'Lista de Produtos CLASSIFICAÇÃO'!$A$103:$B$144,2,FALSE)</f>
        <v>Biocombustíveis</v>
      </c>
      <c r="F2495" s="62">
        <v>448491.22</v>
      </c>
      <c r="G2495" s="56" t="str">
        <f>VLOOKUP(C2495,clientes!$C$3:$D$60,2,FALSE)</f>
        <v>INPASA</v>
      </c>
    </row>
    <row r="2496" spans="1:7" x14ac:dyDescent="0.25">
      <c r="A2496">
        <v>2026</v>
      </c>
      <c r="B2496" t="s">
        <v>133</v>
      </c>
      <c r="C2496" t="s">
        <v>192</v>
      </c>
      <c r="D2496" t="s">
        <v>121</v>
      </c>
      <c r="E2496" t="str">
        <f>VLOOKUP(D2496,'Lista de Produtos CLASSIFICAÇÃO'!$A$103:$B$144,2,FALSE)</f>
        <v>Biocombustíveis</v>
      </c>
      <c r="F2496" s="62">
        <v>537930.51</v>
      </c>
      <c r="G2496" s="56" t="str">
        <f>VLOOKUP(C2496,clientes!$C$3:$D$60,2,FALSE)</f>
        <v>INPASA</v>
      </c>
    </row>
    <row r="2497" spans="1:7" x14ac:dyDescent="0.25">
      <c r="A2497">
        <v>2026</v>
      </c>
      <c r="B2497" t="s">
        <v>134</v>
      </c>
      <c r="C2497" t="s">
        <v>192</v>
      </c>
      <c r="D2497" t="s">
        <v>121</v>
      </c>
      <c r="E2497" t="str">
        <f>VLOOKUP(D2497,'Lista de Produtos CLASSIFICAÇÃO'!$A$103:$B$144,2,FALSE)</f>
        <v>Biocombustíveis</v>
      </c>
      <c r="F2497" s="62">
        <v>495359.14</v>
      </c>
      <c r="G2497" s="56" t="str">
        <f>VLOOKUP(C2497,clientes!$C$3:$D$60,2,FALSE)</f>
        <v>INPASA</v>
      </c>
    </row>
    <row r="2498" spans="1:7" x14ac:dyDescent="0.25">
      <c r="A2498">
        <v>2026</v>
      </c>
      <c r="B2498" t="s">
        <v>135</v>
      </c>
      <c r="C2498" t="s">
        <v>192</v>
      </c>
      <c r="D2498" t="s">
        <v>121</v>
      </c>
      <c r="E2498" t="str">
        <f>VLOOKUP(D2498,'Lista de Produtos CLASSIFICAÇÃO'!$A$103:$B$144,2,FALSE)</f>
        <v>Biocombustíveis</v>
      </c>
      <c r="F2498" s="62">
        <v>497980.65</v>
      </c>
      <c r="G2498" s="56" t="str">
        <f>VLOOKUP(C2498,clientes!$C$3:$D$60,2,FALSE)</f>
        <v>INPASA</v>
      </c>
    </row>
    <row r="2499" spans="1:7" x14ac:dyDescent="0.25">
      <c r="A2499">
        <v>2026</v>
      </c>
      <c r="B2499" t="s">
        <v>136</v>
      </c>
      <c r="C2499" t="s">
        <v>192</v>
      </c>
      <c r="D2499" t="s">
        <v>121</v>
      </c>
      <c r="E2499" t="str">
        <f>VLOOKUP(D2499,'Lista de Produtos CLASSIFICAÇÃO'!$A$103:$B$144,2,FALSE)</f>
        <v>Biocombustíveis</v>
      </c>
      <c r="F2499" s="62">
        <v>513333.09</v>
      </c>
      <c r="G2499" s="56" t="str">
        <f>VLOOKUP(C2499,clientes!$C$3:$D$60,2,FALSE)</f>
        <v>INPASA</v>
      </c>
    </row>
    <row r="2500" spans="1:7" x14ac:dyDescent="0.25">
      <c r="A2500">
        <v>2026</v>
      </c>
      <c r="B2500" t="s">
        <v>137</v>
      </c>
      <c r="C2500" t="s">
        <v>192</v>
      </c>
      <c r="D2500" t="s">
        <v>121</v>
      </c>
      <c r="E2500" t="str">
        <f>VLOOKUP(D2500,'Lista de Produtos CLASSIFICAÇÃO'!$A$103:$B$144,2,FALSE)</f>
        <v>Biocombustíveis</v>
      </c>
      <c r="F2500" s="62">
        <v>560871.77</v>
      </c>
      <c r="G2500" s="56" t="str">
        <f>VLOOKUP(C2500,clientes!$C$3:$D$60,2,FALSE)</f>
        <v>INPASA</v>
      </c>
    </row>
    <row r="2501" spans="1:7" x14ac:dyDescent="0.25">
      <c r="A2501">
        <v>2026</v>
      </c>
      <c r="B2501" t="s">
        <v>138</v>
      </c>
      <c r="C2501" t="s">
        <v>192</v>
      </c>
      <c r="D2501" t="s">
        <v>121</v>
      </c>
      <c r="E2501" t="str">
        <f>VLOOKUP(D2501,'Lista de Produtos CLASSIFICAÇÃO'!$A$103:$B$144,2,FALSE)</f>
        <v>Biocombustíveis</v>
      </c>
      <c r="F2501" s="62">
        <v>486430.33</v>
      </c>
      <c r="G2501" s="56" t="str">
        <f>VLOOKUP(C2501,clientes!$C$3:$D$60,2,FALSE)</f>
        <v>INPASA</v>
      </c>
    </row>
    <row r="2502" spans="1:7" x14ac:dyDescent="0.25">
      <c r="A2502">
        <v>2026</v>
      </c>
      <c r="B2502" t="s">
        <v>139</v>
      </c>
      <c r="C2502" t="s">
        <v>192</v>
      </c>
      <c r="D2502" t="s">
        <v>121</v>
      </c>
      <c r="E2502" t="str">
        <f>VLOOKUP(D2502,'Lista de Produtos CLASSIFICAÇÃO'!$A$103:$B$144,2,FALSE)</f>
        <v>Biocombustíveis</v>
      </c>
      <c r="F2502" s="62">
        <v>484649.93</v>
      </c>
      <c r="G2502" s="56" t="str">
        <f>VLOOKUP(C2502,clientes!$C$3:$D$60,2,FALSE)</f>
        <v>INPASA</v>
      </c>
    </row>
    <row r="2503" spans="1:7" x14ac:dyDescent="0.25">
      <c r="A2503">
        <v>2026</v>
      </c>
      <c r="B2503" t="s">
        <v>140</v>
      </c>
      <c r="C2503" t="s">
        <v>192</v>
      </c>
      <c r="D2503" t="s">
        <v>121</v>
      </c>
      <c r="E2503" t="str">
        <f>VLOOKUP(D2503,'Lista de Produtos CLASSIFICAÇÃO'!$A$103:$B$144,2,FALSE)</f>
        <v>Biocombustíveis</v>
      </c>
      <c r="F2503" s="62">
        <v>477340.81</v>
      </c>
      <c r="G2503" s="56" t="str">
        <f>VLOOKUP(C2503,clientes!$C$3:$D$60,2,FALSE)</f>
        <v>INPASA</v>
      </c>
    </row>
    <row r="2504" spans="1:7" x14ac:dyDescent="0.25">
      <c r="A2504">
        <v>2026</v>
      </c>
      <c r="B2504" t="s">
        <v>141</v>
      </c>
      <c r="C2504" t="s">
        <v>192</v>
      </c>
      <c r="D2504" t="s">
        <v>121</v>
      </c>
      <c r="E2504" t="str">
        <f>VLOOKUP(D2504,'Lista de Produtos CLASSIFICAÇÃO'!$A$103:$B$144,2,FALSE)</f>
        <v>Biocombustíveis</v>
      </c>
      <c r="F2504" s="62">
        <v>473456.25</v>
      </c>
      <c r="G2504" s="56" t="str">
        <f>VLOOKUP(C2504,clientes!$C$3:$D$60,2,FALSE)</f>
        <v>INPASA</v>
      </c>
    </row>
    <row r="2505" spans="1:7" x14ac:dyDescent="0.25">
      <c r="A2505">
        <v>2026</v>
      </c>
      <c r="B2505" t="s">
        <v>142</v>
      </c>
      <c r="C2505" t="s">
        <v>192</v>
      </c>
      <c r="D2505" t="s">
        <v>121</v>
      </c>
      <c r="E2505" t="str">
        <f>VLOOKUP(D2505,'Lista de Produtos CLASSIFICAÇÃO'!$A$103:$B$144,2,FALSE)</f>
        <v>Biocombustíveis</v>
      </c>
      <c r="F2505" s="62">
        <v>449611.25</v>
      </c>
      <c r="G2505" s="56" t="str">
        <f>VLOOKUP(C2505,clientes!$C$3:$D$60,2,FALSE)</f>
        <v>INPASA</v>
      </c>
    </row>
    <row r="2506" spans="1:7" x14ac:dyDescent="0.25">
      <c r="A2506">
        <v>2026</v>
      </c>
      <c r="B2506" t="s">
        <v>143</v>
      </c>
      <c r="C2506" t="s">
        <v>237</v>
      </c>
      <c r="D2506" t="s">
        <v>120</v>
      </c>
      <c r="E2506" t="str">
        <f>VLOOKUP(D2506,'Lista de Produtos CLASSIFICAÇÃO'!$A$103:$B$144,2,FALSE)</f>
        <v>Derivados</v>
      </c>
      <c r="F2506" s="62">
        <v>603410</v>
      </c>
      <c r="G2506" s="56" t="str">
        <f>VLOOKUP(C2506,clientes!$C$3:$D$60,2,FALSE)</f>
        <v>FORTEZA TRADING DMCC</v>
      </c>
    </row>
    <row r="2507" spans="1:7" x14ac:dyDescent="0.25">
      <c r="A2507">
        <v>2026</v>
      </c>
      <c r="B2507" t="s">
        <v>132</v>
      </c>
      <c r="C2507" t="s">
        <v>237</v>
      </c>
      <c r="D2507" t="s">
        <v>120</v>
      </c>
      <c r="E2507" t="str">
        <f>VLOOKUP(D2507,'Lista de Produtos CLASSIFICAÇÃO'!$A$103:$B$144,2,FALSE)</f>
        <v>Derivados</v>
      </c>
      <c r="F2507" s="62">
        <v>603410</v>
      </c>
      <c r="G2507" s="56" t="str">
        <f>VLOOKUP(C2507,clientes!$C$3:$D$60,2,FALSE)</f>
        <v>FORTEZA TRADING DMCC</v>
      </c>
    </row>
    <row r="2508" spans="1:7" x14ac:dyDescent="0.25">
      <c r="A2508">
        <v>2026</v>
      </c>
      <c r="B2508" t="s">
        <v>133</v>
      </c>
      <c r="C2508" t="s">
        <v>237</v>
      </c>
      <c r="D2508" t="s">
        <v>120</v>
      </c>
      <c r="E2508" t="str">
        <f>VLOOKUP(D2508,'Lista de Produtos CLASSIFICAÇÃO'!$A$103:$B$144,2,FALSE)</f>
        <v>Derivados</v>
      </c>
      <c r="F2508" s="62">
        <v>603410</v>
      </c>
      <c r="G2508" s="56" t="str">
        <f>VLOOKUP(C2508,clientes!$C$3:$D$60,2,FALSE)</f>
        <v>FORTEZA TRADING DMCC</v>
      </c>
    </row>
    <row r="2509" spans="1:7" x14ac:dyDescent="0.25">
      <c r="A2509">
        <v>2026</v>
      </c>
      <c r="B2509" t="s">
        <v>134</v>
      </c>
      <c r="C2509" t="s">
        <v>237</v>
      </c>
      <c r="D2509" t="s">
        <v>120</v>
      </c>
      <c r="E2509" t="str">
        <f>VLOOKUP(D2509,'Lista de Produtos CLASSIFICAÇÃO'!$A$103:$B$144,2,FALSE)</f>
        <v>Derivados</v>
      </c>
      <c r="F2509" s="62">
        <v>603410</v>
      </c>
      <c r="G2509" s="56" t="str">
        <f>VLOOKUP(C2509,clientes!$C$3:$D$60,2,FALSE)</f>
        <v>FORTEZA TRADING DMCC</v>
      </c>
    </row>
    <row r="2510" spans="1:7" x14ac:dyDescent="0.25">
      <c r="A2510">
        <v>2026</v>
      </c>
      <c r="B2510" t="s">
        <v>135</v>
      </c>
      <c r="C2510" t="s">
        <v>237</v>
      </c>
      <c r="D2510" t="s">
        <v>120</v>
      </c>
      <c r="E2510" t="str">
        <f>VLOOKUP(D2510,'Lista de Produtos CLASSIFICAÇÃO'!$A$103:$B$144,2,FALSE)</f>
        <v>Derivados</v>
      </c>
      <c r="F2510" s="62">
        <v>603410</v>
      </c>
      <c r="G2510" s="56" t="str">
        <f>VLOOKUP(C2510,clientes!$C$3:$D$60,2,FALSE)</f>
        <v>FORTEZA TRADING DMCC</v>
      </c>
    </row>
    <row r="2511" spans="1:7" x14ac:dyDescent="0.25">
      <c r="A2511">
        <v>2026</v>
      </c>
      <c r="B2511" t="s">
        <v>136</v>
      </c>
      <c r="C2511" t="s">
        <v>237</v>
      </c>
      <c r="D2511" t="s">
        <v>120</v>
      </c>
      <c r="E2511" t="str">
        <f>VLOOKUP(D2511,'Lista de Produtos CLASSIFICAÇÃO'!$A$103:$B$144,2,FALSE)</f>
        <v>Derivados</v>
      </c>
      <c r="F2511" s="62">
        <v>603410</v>
      </c>
      <c r="G2511" s="56" t="str">
        <f>VLOOKUP(C2511,clientes!$C$3:$D$60,2,FALSE)</f>
        <v>FORTEZA TRADING DMCC</v>
      </c>
    </row>
    <row r="2512" spans="1:7" x14ac:dyDescent="0.25">
      <c r="A2512">
        <v>2026</v>
      </c>
      <c r="B2512" t="s">
        <v>137</v>
      </c>
      <c r="C2512" t="s">
        <v>237</v>
      </c>
      <c r="D2512" t="s">
        <v>120</v>
      </c>
      <c r="E2512" t="str">
        <f>VLOOKUP(D2512,'Lista de Produtos CLASSIFICAÇÃO'!$A$103:$B$144,2,FALSE)</f>
        <v>Derivados</v>
      </c>
      <c r="F2512" s="62">
        <v>603410</v>
      </c>
      <c r="G2512" s="56" t="str">
        <f>VLOOKUP(C2512,clientes!$C$3:$D$60,2,FALSE)</f>
        <v>FORTEZA TRADING DMCC</v>
      </c>
    </row>
    <row r="2513" spans="1:7" x14ac:dyDescent="0.25">
      <c r="A2513">
        <v>2026</v>
      </c>
      <c r="B2513" t="s">
        <v>138</v>
      </c>
      <c r="C2513" t="s">
        <v>237</v>
      </c>
      <c r="D2513" t="s">
        <v>120</v>
      </c>
      <c r="E2513" t="str">
        <f>VLOOKUP(D2513,'Lista de Produtos CLASSIFICAÇÃO'!$A$103:$B$144,2,FALSE)</f>
        <v>Derivados</v>
      </c>
      <c r="F2513" s="62">
        <v>603410</v>
      </c>
      <c r="G2513" s="56" t="str">
        <f>VLOOKUP(C2513,clientes!$C$3:$D$60,2,FALSE)</f>
        <v>FORTEZA TRADING DMCC</v>
      </c>
    </row>
    <row r="2514" spans="1:7" x14ac:dyDescent="0.25">
      <c r="A2514">
        <v>2026</v>
      </c>
      <c r="B2514" t="s">
        <v>139</v>
      </c>
      <c r="C2514" t="s">
        <v>237</v>
      </c>
      <c r="D2514" t="s">
        <v>120</v>
      </c>
      <c r="E2514" t="str">
        <f>VLOOKUP(D2514,'Lista de Produtos CLASSIFICAÇÃO'!$A$103:$B$144,2,FALSE)</f>
        <v>Derivados</v>
      </c>
      <c r="F2514" s="62">
        <v>603410</v>
      </c>
      <c r="G2514" s="56" t="str">
        <f>VLOOKUP(C2514,clientes!$C$3:$D$60,2,FALSE)</f>
        <v>FORTEZA TRADING DMCC</v>
      </c>
    </row>
    <row r="2515" spans="1:7" x14ac:dyDescent="0.25">
      <c r="A2515">
        <v>2026</v>
      </c>
      <c r="B2515" t="s">
        <v>140</v>
      </c>
      <c r="C2515" t="s">
        <v>237</v>
      </c>
      <c r="D2515" t="s">
        <v>120</v>
      </c>
      <c r="E2515" t="str">
        <f>VLOOKUP(D2515,'Lista de Produtos CLASSIFICAÇÃO'!$A$103:$B$144,2,FALSE)</f>
        <v>Derivados</v>
      </c>
      <c r="F2515" s="62">
        <v>603410</v>
      </c>
      <c r="G2515" s="56" t="str">
        <f>VLOOKUP(C2515,clientes!$C$3:$D$60,2,FALSE)</f>
        <v>FORTEZA TRADING DMCC</v>
      </c>
    </row>
    <row r="2516" spans="1:7" x14ac:dyDescent="0.25">
      <c r="A2516">
        <v>2026</v>
      </c>
      <c r="B2516" t="s">
        <v>141</v>
      </c>
      <c r="C2516" t="s">
        <v>237</v>
      </c>
      <c r="D2516" t="s">
        <v>120</v>
      </c>
      <c r="E2516" t="str">
        <f>VLOOKUP(D2516,'Lista de Produtos CLASSIFICAÇÃO'!$A$103:$B$144,2,FALSE)</f>
        <v>Derivados</v>
      </c>
      <c r="F2516" s="62">
        <v>603410</v>
      </c>
      <c r="G2516" s="56" t="str">
        <f>VLOOKUP(C2516,clientes!$C$3:$D$60,2,FALSE)</f>
        <v>FORTEZA TRADING DMCC</v>
      </c>
    </row>
    <row r="2517" spans="1:7" x14ac:dyDescent="0.25">
      <c r="A2517">
        <v>2026</v>
      </c>
      <c r="B2517" t="s">
        <v>142</v>
      </c>
      <c r="C2517" t="s">
        <v>237</v>
      </c>
      <c r="D2517" t="s">
        <v>120</v>
      </c>
      <c r="E2517" t="str">
        <f>VLOOKUP(D2517,'Lista de Produtos CLASSIFICAÇÃO'!$A$103:$B$144,2,FALSE)</f>
        <v>Derivados</v>
      </c>
      <c r="F2517" s="62">
        <v>603410</v>
      </c>
      <c r="G2517" s="56" t="str">
        <f>VLOOKUP(C2517,clientes!$C$3:$D$60,2,FALSE)</f>
        <v>FORTEZA TRADING DMCC</v>
      </c>
    </row>
    <row r="2518" spans="1:7" x14ac:dyDescent="0.25">
      <c r="A2518">
        <v>2026</v>
      </c>
      <c r="B2518" t="s">
        <v>143</v>
      </c>
      <c r="C2518" t="s">
        <v>238</v>
      </c>
      <c r="D2518" t="s">
        <v>26</v>
      </c>
      <c r="E2518" t="str">
        <f>VLOOKUP(D2518,'Lista de Produtos CLASSIFICAÇÃO'!$A$103:$B$144,2,FALSE)</f>
        <v>Biocombustíveis</v>
      </c>
      <c r="F2518" s="62">
        <v>477179</v>
      </c>
      <c r="G2518" s="56" t="str">
        <f>VLOOKUP(C2518,clientes!$C$3:$D$60,2,FALSE)</f>
        <v>PRISMA</v>
      </c>
    </row>
    <row r="2519" spans="1:7" x14ac:dyDescent="0.25">
      <c r="A2519">
        <v>2026</v>
      </c>
      <c r="B2519" t="s">
        <v>132</v>
      </c>
      <c r="C2519" t="s">
        <v>238</v>
      </c>
      <c r="D2519" t="s">
        <v>26</v>
      </c>
      <c r="E2519" t="str">
        <f>VLOOKUP(D2519,'Lista de Produtos CLASSIFICAÇÃO'!$A$103:$B$144,2,FALSE)</f>
        <v>Biocombustíveis</v>
      </c>
      <c r="F2519" s="62">
        <v>477179</v>
      </c>
      <c r="G2519" s="56" t="str">
        <f>VLOOKUP(C2519,clientes!$C$3:$D$60,2,FALSE)</f>
        <v>PRISMA</v>
      </c>
    </row>
    <row r="2520" spans="1:7" x14ac:dyDescent="0.25">
      <c r="A2520">
        <v>2026</v>
      </c>
      <c r="B2520" t="s">
        <v>133</v>
      </c>
      <c r="C2520" t="s">
        <v>238</v>
      </c>
      <c r="D2520" t="s">
        <v>26</v>
      </c>
      <c r="E2520" t="str">
        <f>VLOOKUP(D2520,'Lista de Produtos CLASSIFICAÇÃO'!$A$103:$B$144,2,FALSE)</f>
        <v>Biocombustíveis</v>
      </c>
      <c r="F2520" s="62">
        <v>477179</v>
      </c>
      <c r="G2520" s="56" t="str">
        <f>VLOOKUP(C2520,clientes!$C$3:$D$60,2,FALSE)</f>
        <v>PRISMA</v>
      </c>
    </row>
    <row r="2521" spans="1:7" x14ac:dyDescent="0.25">
      <c r="A2521">
        <v>2026</v>
      </c>
      <c r="B2521" t="s">
        <v>134</v>
      </c>
      <c r="C2521" t="s">
        <v>238</v>
      </c>
      <c r="D2521" t="s">
        <v>26</v>
      </c>
      <c r="E2521" t="str">
        <f>VLOOKUP(D2521,'Lista de Produtos CLASSIFICAÇÃO'!$A$103:$B$144,2,FALSE)</f>
        <v>Biocombustíveis</v>
      </c>
      <c r="F2521" s="62">
        <v>477179</v>
      </c>
      <c r="G2521" s="56" t="str">
        <f>VLOOKUP(C2521,clientes!$C$3:$D$60,2,FALSE)</f>
        <v>PRISMA</v>
      </c>
    </row>
    <row r="2522" spans="1:7" x14ac:dyDescent="0.25">
      <c r="A2522">
        <v>2026</v>
      </c>
      <c r="B2522" t="s">
        <v>135</v>
      </c>
      <c r="C2522" t="s">
        <v>238</v>
      </c>
      <c r="D2522" t="s">
        <v>26</v>
      </c>
      <c r="E2522" t="str">
        <f>VLOOKUP(D2522,'Lista de Produtos CLASSIFICAÇÃO'!$A$103:$B$144,2,FALSE)</f>
        <v>Biocombustíveis</v>
      </c>
      <c r="F2522" s="62">
        <v>477179</v>
      </c>
      <c r="G2522" s="56" t="str">
        <f>VLOOKUP(C2522,clientes!$C$3:$D$60,2,FALSE)</f>
        <v>PRISMA</v>
      </c>
    </row>
    <row r="2523" spans="1:7" x14ac:dyDescent="0.25">
      <c r="A2523">
        <v>2026</v>
      </c>
      <c r="B2523" t="s">
        <v>136</v>
      </c>
      <c r="C2523" t="s">
        <v>238</v>
      </c>
      <c r="D2523" t="s">
        <v>26</v>
      </c>
      <c r="E2523" t="str">
        <f>VLOOKUP(D2523,'Lista de Produtos CLASSIFICAÇÃO'!$A$103:$B$144,2,FALSE)</f>
        <v>Biocombustíveis</v>
      </c>
      <c r="F2523" s="62">
        <v>477179</v>
      </c>
      <c r="G2523" s="56" t="str">
        <f>VLOOKUP(C2523,clientes!$C$3:$D$60,2,FALSE)</f>
        <v>PRISMA</v>
      </c>
    </row>
    <row r="2524" spans="1:7" x14ac:dyDescent="0.25">
      <c r="A2524">
        <v>2026</v>
      </c>
      <c r="B2524" t="s">
        <v>137</v>
      </c>
      <c r="C2524" t="s">
        <v>238</v>
      </c>
      <c r="D2524" t="s">
        <v>26</v>
      </c>
      <c r="E2524" t="str">
        <f>VLOOKUP(D2524,'Lista de Produtos CLASSIFICAÇÃO'!$A$103:$B$144,2,FALSE)</f>
        <v>Biocombustíveis</v>
      </c>
      <c r="F2524" s="62">
        <v>477179</v>
      </c>
      <c r="G2524" s="56" t="str">
        <f>VLOOKUP(C2524,clientes!$C$3:$D$60,2,FALSE)</f>
        <v>PRISMA</v>
      </c>
    </row>
    <row r="2525" spans="1:7" x14ac:dyDescent="0.25">
      <c r="A2525">
        <v>2026</v>
      </c>
      <c r="B2525" t="s">
        <v>138</v>
      </c>
      <c r="C2525" t="s">
        <v>238</v>
      </c>
      <c r="D2525" t="s">
        <v>26</v>
      </c>
      <c r="E2525" t="str">
        <f>VLOOKUP(D2525,'Lista de Produtos CLASSIFICAÇÃO'!$A$103:$B$144,2,FALSE)</f>
        <v>Biocombustíveis</v>
      </c>
      <c r="F2525" s="62">
        <v>477179</v>
      </c>
      <c r="G2525" s="56" t="str">
        <f>VLOOKUP(C2525,clientes!$C$3:$D$60,2,FALSE)</f>
        <v>PRISMA</v>
      </c>
    </row>
    <row r="2526" spans="1:7" x14ac:dyDescent="0.25">
      <c r="A2526">
        <v>2026</v>
      </c>
      <c r="B2526" t="s">
        <v>139</v>
      </c>
      <c r="C2526" t="s">
        <v>238</v>
      </c>
      <c r="D2526" t="s">
        <v>26</v>
      </c>
      <c r="E2526" t="str">
        <f>VLOOKUP(D2526,'Lista de Produtos CLASSIFICAÇÃO'!$A$103:$B$144,2,FALSE)</f>
        <v>Biocombustíveis</v>
      </c>
      <c r="F2526" s="62">
        <v>477179</v>
      </c>
      <c r="G2526" s="56" t="str">
        <f>VLOOKUP(C2526,clientes!$C$3:$D$60,2,FALSE)</f>
        <v>PRISMA</v>
      </c>
    </row>
    <row r="2527" spans="1:7" x14ac:dyDescent="0.25">
      <c r="A2527">
        <v>2026</v>
      </c>
      <c r="B2527" t="s">
        <v>140</v>
      </c>
      <c r="C2527" t="s">
        <v>238</v>
      </c>
      <c r="D2527" t="s">
        <v>26</v>
      </c>
      <c r="E2527" t="str">
        <f>VLOOKUP(D2527,'Lista de Produtos CLASSIFICAÇÃO'!$A$103:$B$144,2,FALSE)</f>
        <v>Biocombustíveis</v>
      </c>
      <c r="F2527" s="62">
        <v>477179</v>
      </c>
      <c r="G2527" s="56" t="str">
        <f>VLOOKUP(C2527,clientes!$C$3:$D$60,2,FALSE)</f>
        <v>PRISMA</v>
      </c>
    </row>
    <row r="2528" spans="1:7" x14ac:dyDescent="0.25">
      <c r="A2528">
        <v>2026</v>
      </c>
      <c r="B2528" t="s">
        <v>141</v>
      </c>
      <c r="C2528" t="s">
        <v>238</v>
      </c>
      <c r="D2528" t="s">
        <v>26</v>
      </c>
      <c r="E2528" t="str">
        <f>VLOOKUP(D2528,'Lista de Produtos CLASSIFICAÇÃO'!$A$103:$B$144,2,FALSE)</f>
        <v>Biocombustíveis</v>
      </c>
      <c r="F2528" s="62">
        <v>477179</v>
      </c>
      <c r="G2528" s="56" t="str">
        <f>VLOOKUP(C2528,clientes!$C$3:$D$60,2,FALSE)</f>
        <v>PRISMA</v>
      </c>
    </row>
    <row r="2529" spans="1:7" x14ac:dyDescent="0.25">
      <c r="A2529">
        <v>2026</v>
      </c>
      <c r="B2529" t="s">
        <v>142</v>
      </c>
      <c r="C2529" t="s">
        <v>238</v>
      </c>
      <c r="D2529" t="s">
        <v>26</v>
      </c>
      <c r="E2529" t="str">
        <f>VLOOKUP(D2529,'Lista de Produtos CLASSIFICAÇÃO'!$A$103:$B$144,2,FALSE)</f>
        <v>Biocombustíveis</v>
      </c>
      <c r="F2529" s="62">
        <v>477179</v>
      </c>
      <c r="G2529" s="56" t="str">
        <f>VLOOKUP(C2529,clientes!$C$3:$D$60,2,FALSE)</f>
        <v>PRISMA</v>
      </c>
    </row>
    <row r="2530" spans="1:7" x14ac:dyDescent="0.25">
      <c r="A2530">
        <v>2026</v>
      </c>
      <c r="B2530" t="s">
        <v>143</v>
      </c>
      <c r="C2530" t="s">
        <v>239</v>
      </c>
      <c r="D2530" t="s">
        <v>115</v>
      </c>
      <c r="E2530" t="s">
        <v>245</v>
      </c>
      <c r="F2530" s="62">
        <v>148490</v>
      </c>
      <c r="G2530" s="56" t="str">
        <f>VLOOKUP(C2530,clientes!$C$3:$D$60,2,FALSE)</f>
        <v>BSC QUIMICA</v>
      </c>
    </row>
    <row r="2531" spans="1:7" x14ac:dyDescent="0.25">
      <c r="A2531">
        <v>2026</v>
      </c>
      <c r="B2531" t="s">
        <v>132</v>
      </c>
      <c r="C2531" t="s">
        <v>239</v>
      </c>
      <c r="D2531" t="s">
        <v>115</v>
      </c>
      <c r="E2531" t="s">
        <v>245</v>
      </c>
      <c r="F2531" s="62">
        <v>148490</v>
      </c>
      <c r="G2531" s="56" t="str">
        <f>VLOOKUP(C2531,clientes!$C$3:$D$60,2,FALSE)</f>
        <v>BSC QUIMICA</v>
      </c>
    </row>
    <row r="2532" spans="1:7" x14ac:dyDescent="0.25">
      <c r="A2532">
        <v>2026</v>
      </c>
      <c r="B2532" t="s">
        <v>133</v>
      </c>
      <c r="C2532" t="s">
        <v>239</v>
      </c>
      <c r="D2532" t="s">
        <v>115</v>
      </c>
      <c r="E2532" t="s">
        <v>245</v>
      </c>
      <c r="F2532" s="62">
        <v>148490</v>
      </c>
      <c r="G2532" s="56" t="str">
        <f>VLOOKUP(C2532,clientes!$C$3:$D$60,2,FALSE)</f>
        <v>BSC QUIMICA</v>
      </c>
    </row>
    <row r="2533" spans="1:7" x14ac:dyDescent="0.25">
      <c r="A2533">
        <v>2026</v>
      </c>
      <c r="B2533" t="s">
        <v>134</v>
      </c>
      <c r="C2533" t="s">
        <v>239</v>
      </c>
      <c r="D2533" t="s">
        <v>115</v>
      </c>
      <c r="E2533" t="str">
        <f>VLOOKUP(D2533,'Lista de Produtos CLASSIFICAÇÃO'!$A$103:$B$144,2,FALSE)</f>
        <v>Soda Caustica</v>
      </c>
      <c r="F2533" s="62">
        <v>148490</v>
      </c>
      <c r="G2533" s="56" t="str">
        <f>VLOOKUP(C2533,clientes!$C$3:$D$60,2,FALSE)</f>
        <v>BSC QUIMICA</v>
      </c>
    </row>
    <row r="2534" spans="1:7" x14ac:dyDescent="0.25">
      <c r="A2534">
        <v>2026</v>
      </c>
      <c r="B2534" t="s">
        <v>135</v>
      </c>
      <c r="C2534" t="s">
        <v>239</v>
      </c>
      <c r="D2534" t="s">
        <v>115</v>
      </c>
      <c r="E2534" t="str">
        <f>VLOOKUP(D2534,'Lista de Produtos CLASSIFICAÇÃO'!$A$103:$B$144,2,FALSE)</f>
        <v>Soda Caustica</v>
      </c>
      <c r="F2534" s="62">
        <v>148490</v>
      </c>
      <c r="G2534" s="56" t="str">
        <f>VLOOKUP(C2534,clientes!$C$3:$D$60,2,FALSE)</f>
        <v>BSC QUIMICA</v>
      </c>
    </row>
    <row r="2535" spans="1:7" x14ac:dyDescent="0.25">
      <c r="A2535">
        <v>2026</v>
      </c>
      <c r="B2535" t="s">
        <v>136</v>
      </c>
      <c r="C2535" t="s">
        <v>239</v>
      </c>
      <c r="D2535" t="s">
        <v>115</v>
      </c>
      <c r="E2535" t="str">
        <f>VLOOKUP(D2535,'Lista de Produtos CLASSIFICAÇÃO'!$A$103:$B$144,2,FALSE)</f>
        <v>Soda Caustica</v>
      </c>
      <c r="F2535" s="62">
        <v>148490</v>
      </c>
      <c r="G2535" s="56" t="str">
        <f>VLOOKUP(C2535,clientes!$C$3:$D$60,2,FALSE)</f>
        <v>BSC QUIMICA</v>
      </c>
    </row>
    <row r="2536" spans="1:7" x14ac:dyDescent="0.25">
      <c r="A2536">
        <v>2026</v>
      </c>
      <c r="B2536" t="s">
        <v>137</v>
      </c>
      <c r="C2536" t="s">
        <v>239</v>
      </c>
      <c r="D2536" t="s">
        <v>115</v>
      </c>
      <c r="E2536" t="str">
        <f>VLOOKUP(D2536,'Lista de Produtos CLASSIFICAÇÃO'!$A$103:$B$144,2,FALSE)</f>
        <v>Soda Caustica</v>
      </c>
      <c r="F2536" s="62">
        <v>148490</v>
      </c>
      <c r="G2536" s="56" t="str">
        <f>VLOOKUP(C2536,clientes!$C$3:$D$60,2,FALSE)</f>
        <v>BSC QUIMICA</v>
      </c>
    </row>
    <row r="2537" spans="1:7" x14ac:dyDescent="0.25">
      <c r="A2537">
        <v>2026</v>
      </c>
      <c r="B2537" t="s">
        <v>138</v>
      </c>
      <c r="C2537" t="s">
        <v>239</v>
      </c>
      <c r="D2537" t="s">
        <v>115</v>
      </c>
      <c r="E2537" t="str">
        <f>VLOOKUP(D2537,'Lista de Produtos CLASSIFICAÇÃO'!$A$103:$B$144,2,FALSE)</f>
        <v>Soda Caustica</v>
      </c>
      <c r="F2537" s="62">
        <v>148490</v>
      </c>
      <c r="G2537" s="56" t="str">
        <f>VLOOKUP(C2537,clientes!$C$3:$D$60,2,FALSE)</f>
        <v>BSC QUIMICA</v>
      </c>
    </row>
    <row r="2538" spans="1:7" x14ac:dyDescent="0.25">
      <c r="A2538">
        <v>2026</v>
      </c>
      <c r="B2538" t="s">
        <v>139</v>
      </c>
      <c r="C2538" t="s">
        <v>239</v>
      </c>
      <c r="D2538" t="s">
        <v>115</v>
      </c>
      <c r="E2538" t="str">
        <f>VLOOKUP(D2538,'Lista de Produtos CLASSIFICAÇÃO'!$A$103:$B$144,2,FALSE)</f>
        <v>Soda Caustica</v>
      </c>
      <c r="F2538" s="62">
        <v>148490</v>
      </c>
      <c r="G2538" s="56" t="str">
        <f>VLOOKUP(C2538,clientes!$C$3:$D$60,2,FALSE)</f>
        <v>BSC QUIMICA</v>
      </c>
    </row>
    <row r="2539" spans="1:7" x14ac:dyDescent="0.25">
      <c r="A2539">
        <v>2026</v>
      </c>
      <c r="B2539" t="s">
        <v>140</v>
      </c>
      <c r="C2539" t="s">
        <v>239</v>
      </c>
      <c r="D2539" t="s">
        <v>115</v>
      </c>
      <c r="E2539" t="str">
        <f>VLOOKUP(D2539,'Lista de Produtos CLASSIFICAÇÃO'!$A$103:$B$144,2,FALSE)</f>
        <v>Soda Caustica</v>
      </c>
      <c r="F2539" s="62">
        <v>148490</v>
      </c>
      <c r="G2539" s="56" t="str">
        <f>VLOOKUP(C2539,clientes!$C$3:$D$60,2,FALSE)</f>
        <v>BSC QUIMICA</v>
      </c>
    </row>
    <row r="2540" spans="1:7" x14ac:dyDescent="0.25">
      <c r="A2540">
        <v>2026</v>
      </c>
      <c r="B2540" t="s">
        <v>141</v>
      </c>
      <c r="C2540" t="s">
        <v>239</v>
      </c>
      <c r="D2540" t="s">
        <v>115</v>
      </c>
      <c r="E2540" t="str">
        <f>VLOOKUP(D2540,'Lista de Produtos CLASSIFICAÇÃO'!$A$103:$B$144,2,FALSE)</f>
        <v>Soda Caustica</v>
      </c>
      <c r="F2540" s="62">
        <v>148490</v>
      </c>
      <c r="G2540" s="56" t="str">
        <f>VLOOKUP(C2540,clientes!$C$3:$D$60,2,FALSE)</f>
        <v>BSC QUIMICA</v>
      </c>
    </row>
    <row r="2541" spans="1:7" x14ac:dyDescent="0.25">
      <c r="A2541">
        <v>2026</v>
      </c>
      <c r="B2541" t="s">
        <v>142</v>
      </c>
      <c r="C2541" t="s">
        <v>239</v>
      </c>
      <c r="D2541" t="s">
        <v>115</v>
      </c>
      <c r="E2541" t="str">
        <f>VLOOKUP(D2541,'Lista de Produtos CLASSIFICAÇÃO'!$A$103:$B$144,2,FALSE)</f>
        <v>Soda Caustica</v>
      </c>
      <c r="F2541" s="62">
        <v>148490</v>
      </c>
      <c r="G2541" s="56" t="str">
        <f>VLOOKUP(C2541,clientes!$C$3:$D$60,2,FALSE)</f>
        <v>BSC QUIMICA</v>
      </c>
    </row>
    <row r="2542" spans="1:7" x14ac:dyDescent="0.25">
      <c r="A2542">
        <v>2026</v>
      </c>
      <c r="B2542" t="s">
        <v>143</v>
      </c>
      <c r="C2542" t="s">
        <v>240</v>
      </c>
      <c r="D2542" t="s">
        <v>121</v>
      </c>
      <c r="E2542" t="str">
        <f>VLOOKUP(D2542,'Lista de Produtos CLASSIFICAÇÃO'!$A$103:$B$144,2,FALSE)</f>
        <v>Biocombustíveis</v>
      </c>
      <c r="F2542" s="62">
        <v>1151683</v>
      </c>
      <c r="G2542" s="56" t="str">
        <f>VLOOKUP(C2542,clientes!$C$3:$D$60,2,FALSE)</f>
        <v>FS</v>
      </c>
    </row>
    <row r="2543" spans="1:7" x14ac:dyDescent="0.25">
      <c r="A2543">
        <v>2026</v>
      </c>
      <c r="B2543" t="s">
        <v>132</v>
      </c>
      <c r="C2543" t="s">
        <v>240</v>
      </c>
      <c r="D2543" t="s">
        <v>121</v>
      </c>
      <c r="E2543" t="str">
        <f>VLOOKUP(D2543,'Lista de Produtos CLASSIFICAÇÃO'!$A$103:$B$144,2,FALSE)</f>
        <v>Biocombustíveis</v>
      </c>
      <c r="F2543" s="62">
        <v>1151683</v>
      </c>
      <c r="G2543" s="56" t="str">
        <f>VLOOKUP(C2543,clientes!$C$3:$D$60,2,FALSE)</f>
        <v>FS</v>
      </c>
    </row>
    <row r="2544" spans="1:7" x14ac:dyDescent="0.25">
      <c r="A2544">
        <v>2026</v>
      </c>
      <c r="B2544" t="s">
        <v>133</v>
      </c>
      <c r="C2544" t="s">
        <v>240</v>
      </c>
      <c r="D2544" t="s">
        <v>121</v>
      </c>
      <c r="E2544" t="str">
        <f>VLOOKUP(D2544,'Lista de Produtos CLASSIFICAÇÃO'!$A$103:$B$144,2,FALSE)</f>
        <v>Biocombustíveis</v>
      </c>
      <c r="F2544" s="62">
        <v>1151683</v>
      </c>
      <c r="G2544" s="56" t="str">
        <f>VLOOKUP(C2544,clientes!$C$3:$D$60,2,FALSE)</f>
        <v>FS</v>
      </c>
    </row>
    <row r="2545" spans="1:7" x14ac:dyDescent="0.25">
      <c r="A2545">
        <v>2026</v>
      </c>
      <c r="B2545" t="s">
        <v>134</v>
      </c>
      <c r="C2545" t="s">
        <v>240</v>
      </c>
      <c r="D2545" t="s">
        <v>121</v>
      </c>
      <c r="E2545" t="str">
        <f>VLOOKUP(D2545,'Lista de Produtos CLASSIFICAÇÃO'!$A$103:$B$144,2,FALSE)</f>
        <v>Biocombustíveis</v>
      </c>
      <c r="F2545" s="62">
        <v>1151683</v>
      </c>
      <c r="G2545" s="56" t="str">
        <f>VLOOKUP(C2545,clientes!$C$3:$D$60,2,FALSE)</f>
        <v>FS</v>
      </c>
    </row>
    <row r="2546" spans="1:7" x14ac:dyDescent="0.25">
      <c r="A2546">
        <v>2026</v>
      </c>
      <c r="B2546" t="s">
        <v>135</v>
      </c>
      <c r="C2546" t="s">
        <v>240</v>
      </c>
      <c r="D2546" t="s">
        <v>121</v>
      </c>
      <c r="E2546" t="str">
        <f>VLOOKUP(D2546,'Lista de Produtos CLASSIFICAÇÃO'!$A$103:$B$144,2,FALSE)</f>
        <v>Biocombustíveis</v>
      </c>
      <c r="F2546" s="62">
        <v>1151683</v>
      </c>
      <c r="G2546" s="56" t="str">
        <f>VLOOKUP(C2546,clientes!$C$3:$D$60,2,FALSE)</f>
        <v>FS</v>
      </c>
    </row>
    <row r="2547" spans="1:7" x14ac:dyDescent="0.25">
      <c r="A2547">
        <v>2026</v>
      </c>
      <c r="B2547" t="s">
        <v>136</v>
      </c>
      <c r="C2547" t="s">
        <v>240</v>
      </c>
      <c r="D2547" t="s">
        <v>121</v>
      </c>
      <c r="E2547" t="str">
        <f>VLOOKUP(D2547,'Lista de Produtos CLASSIFICAÇÃO'!$A$103:$B$144,2,FALSE)</f>
        <v>Biocombustíveis</v>
      </c>
      <c r="F2547" s="62">
        <v>1151683</v>
      </c>
      <c r="G2547" s="56" t="str">
        <f>VLOOKUP(C2547,clientes!$C$3:$D$60,2,FALSE)</f>
        <v>FS</v>
      </c>
    </row>
    <row r="2548" spans="1:7" x14ac:dyDescent="0.25">
      <c r="A2548">
        <v>2026</v>
      </c>
      <c r="B2548" t="s">
        <v>137</v>
      </c>
      <c r="C2548" t="s">
        <v>240</v>
      </c>
      <c r="D2548" t="s">
        <v>121</v>
      </c>
      <c r="E2548" t="str">
        <f>VLOOKUP(D2548,'Lista de Produtos CLASSIFICAÇÃO'!$A$103:$B$144,2,FALSE)</f>
        <v>Biocombustíveis</v>
      </c>
      <c r="F2548" s="62">
        <v>1151683</v>
      </c>
      <c r="G2548" s="56" t="str">
        <f>VLOOKUP(C2548,clientes!$C$3:$D$60,2,FALSE)</f>
        <v>FS</v>
      </c>
    </row>
    <row r="2549" spans="1:7" x14ac:dyDescent="0.25">
      <c r="A2549">
        <v>2026</v>
      </c>
      <c r="B2549" t="s">
        <v>138</v>
      </c>
      <c r="C2549" t="s">
        <v>240</v>
      </c>
      <c r="D2549" t="s">
        <v>121</v>
      </c>
      <c r="E2549" t="str">
        <f>VLOOKUP(D2549,'Lista de Produtos CLASSIFICAÇÃO'!$A$103:$B$144,2,FALSE)</f>
        <v>Biocombustíveis</v>
      </c>
      <c r="F2549" s="62">
        <v>1151683</v>
      </c>
      <c r="G2549" s="56" t="str">
        <f>VLOOKUP(C2549,clientes!$C$3:$D$60,2,FALSE)</f>
        <v>FS</v>
      </c>
    </row>
    <row r="2550" spans="1:7" x14ac:dyDescent="0.25">
      <c r="A2550">
        <v>2026</v>
      </c>
      <c r="B2550" t="s">
        <v>139</v>
      </c>
      <c r="C2550" t="s">
        <v>240</v>
      </c>
      <c r="D2550" t="s">
        <v>121</v>
      </c>
      <c r="E2550" t="str">
        <f>VLOOKUP(D2550,'Lista de Produtos CLASSIFICAÇÃO'!$A$103:$B$144,2,FALSE)</f>
        <v>Biocombustíveis</v>
      </c>
      <c r="F2550" s="62">
        <v>1151683</v>
      </c>
      <c r="G2550" s="56" t="str">
        <f>VLOOKUP(C2550,clientes!$C$3:$D$60,2,FALSE)</f>
        <v>FS</v>
      </c>
    </row>
    <row r="2551" spans="1:7" x14ac:dyDescent="0.25">
      <c r="A2551">
        <v>2026</v>
      </c>
      <c r="B2551" t="s">
        <v>140</v>
      </c>
      <c r="C2551" t="s">
        <v>240</v>
      </c>
      <c r="D2551" t="s">
        <v>121</v>
      </c>
      <c r="E2551" t="str">
        <f>VLOOKUP(D2551,'Lista de Produtos CLASSIFICAÇÃO'!$A$103:$B$144,2,FALSE)</f>
        <v>Biocombustíveis</v>
      </c>
      <c r="F2551" s="62">
        <v>1151683</v>
      </c>
      <c r="G2551" s="56" t="str">
        <f>VLOOKUP(C2551,clientes!$C$3:$D$60,2,FALSE)</f>
        <v>FS</v>
      </c>
    </row>
    <row r="2552" spans="1:7" x14ac:dyDescent="0.25">
      <c r="A2552">
        <v>2026</v>
      </c>
      <c r="B2552" t="s">
        <v>141</v>
      </c>
      <c r="C2552" t="s">
        <v>240</v>
      </c>
      <c r="D2552" t="s">
        <v>121</v>
      </c>
      <c r="E2552" t="str">
        <f>VLOOKUP(D2552,'Lista de Produtos CLASSIFICAÇÃO'!$A$103:$B$144,2,FALSE)</f>
        <v>Biocombustíveis</v>
      </c>
      <c r="F2552" s="62">
        <v>1151683</v>
      </c>
      <c r="G2552" s="56" t="str">
        <f>VLOOKUP(C2552,clientes!$C$3:$D$60,2,FALSE)</f>
        <v>FS</v>
      </c>
    </row>
    <row r="2553" spans="1:7" x14ac:dyDescent="0.25">
      <c r="A2553">
        <v>2026</v>
      </c>
      <c r="B2553" t="s">
        <v>142</v>
      </c>
      <c r="C2553" t="s">
        <v>240</v>
      </c>
      <c r="D2553" t="s">
        <v>121</v>
      </c>
      <c r="E2553" t="str">
        <f>VLOOKUP(D2553,'Lista de Produtos CLASSIFICAÇÃO'!$A$103:$B$144,2,FALSE)</f>
        <v>Biocombustíveis</v>
      </c>
      <c r="F2553" s="62">
        <v>1151683</v>
      </c>
      <c r="G2553" s="56" t="str">
        <f>VLOOKUP(C2553,clientes!$C$3:$D$60,2,FALSE)</f>
        <v>FS</v>
      </c>
    </row>
    <row r="2554" spans="1:7" x14ac:dyDescent="0.25">
      <c r="A2554">
        <v>2026</v>
      </c>
      <c r="B2554" t="s">
        <v>135</v>
      </c>
      <c r="C2554" t="s">
        <v>240</v>
      </c>
      <c r="D2554" t="s">
        <v>121</v>
      </c>
      <c r="E2554" t="str">
        <f>VLOOKUP(D2554,'Lista de Produtos CLASSIFICAÇÃO'!$A$103:$B$144,2,FALSE)</f>
        <v>Biocombustíveis</v>
      </c>
      <c r="F2554" s="62">
        <v>2086774</v>
      </c>
      <c r="G2554" s="56" t="str">
        <f>VLOOKUP(C2554,clientes!$C$3:$D$60,2,FALSE)</f>
        <v>FS</v>
      </c>
    </row>
    <row r="2555" spans="1:7" x14ac:dyDescent="0.25">
      <c r="A2555">
        <v>2026</v>
      </c>
      <c r="B2555" t="s">
        <v>136</v>
      </c>
      <c r="C2555" t="s">
        <v>240</v>
      </c>
      <c r="D2555" t="s">
        <v>121</v>
      </c>
      <c r="E2555" t="str">
        <f>VLOOKUP(D2555,'Lista de Produtos CLASSIFICAÇÃO'!$A$103:$B$144,2,FALSE)</f>
        <v>Biocombustíveis</v>
      </c>
      <c r="F2555" s="62">
        <v>1870895</v>
      </c>
      <c r="G2555" s="56" t="str">
        <f>VLOOKUP(C2555,clientes!$C$3:$D$60,2,FALSE)</f>
        <v>FS</v>
      </c>
    </row>
    <row r="2556" spans="1:7" x14ac:dyDescent="0.25">
      <c r="A2556">
        <v>2026</v>
      </c>
      <c r="B2556" t="s">
        <v>137</v>
      </c>
      <c r="C2556" t="s">
        <v>240</v>
      </c>
      <c r="D2556" t="s">
        <v>121</v>
      </c>
      <c r="E2556" t="str">
        <f>VLOOKUP(D2556,'Lista de Produtos CLASSIFICAÇÃO'!$A$103:$B$144,2,FALSE)</f>
        <v>Biocombustíveis</v>
      </c>
      <c r="F2556" s="62">
        <v>2086774</v>
      </c>
      <c r="G2556" s="56" t="str">
        <f>VLOOKUP(C2556,clientes!$C$3:$D$60,2,FALSE)</f>
        <v>FS</v>
      </c>
    </row>
    <row r="2557" spans="1:7" x14ac:dyDescent="0.25">
      <c r="A2557">
        <v>2026</v>
      </c>
      <c r="B2557" t="s">
        <v>138</v>
      </c>
      <c r="C2557" t="s">
        <v>240</v>
      </c>
      <c r="D2557" t="s">
        <v>121</v>
      </c>
      <c r="E2557" t="str">
        <f>VLOOKUP(D2557,'Lista de Produtos CLASSIFICAÇÃO'!$A$103:$B$144,2,FALSE)</f>
        <v>Biocombustíveis</v>
      </c>
      <c r="F2557" s="62">
        <v>1870895</v>
      </c>
      <c r="G2557" s="56" t="str">
        <f>VLOOKUP(C2557,clientes!$C$3:$D$60,2,FALSE)</f>
        <v>FS</v>
      </c>
    </row>
    <row r="2558" spans="1:7" x14ac:dyDescent="0.25">
      <c r="A2558">
        <v>2026</v>
      </c>
      <c r="B2558" t="s">
        <v>139</v>
      </c>
      <c r="C2558" t="s">
        <v>240</v>
      </c>
      <c r="D2558" t="s">
        <v>121</v>
      </c>
      <c r="E2558" t="str">
        <f>VLOOKUP(D2558,'Lista de Produtos CLASSIFICAÇÃO'!$A$103:$B$144,2,FALSE)</f>
        <v>Biocombustíveis</v>
      </c>
      <c r="F2558" s="62">
        <v>2086774</v>
      </c>
      <c r="G2558" s="56" t="str">
        <f>VLOOKUP(C2558,clientes!$C$3:$D$60,2,FALSE)</f>
        <v>FS</v>
      </c>
    </row>
    <row r="2559" spans="1:7" x14ac:dyDescent="0.25">
      <c r="A2559">
        <v>2026</v>
      </c>
      <c r="B2559" t="s">
        <v>140</v>
      </c>
      <c r="C2559" t="s">
        <v>240</v>
      </c>
      <c r="D2559" t="s">
        <v>121</v>
      </c>
      <c r="E2559" t="str">
        <f>VLOOKUP(D2559,'Lista de Produtos CLASSIFICAÇÃO'!$A$103:$B$144,2,FALSE)</f>
        <v>Biocombustíveis</v>
      </c>
      <c r="F2559" s="62">
        <v>1870895</v>
      </c>
      <c r="G2559" s="56" t="str">
        <f>VLOOKUP(C2559,clientes!$C$3:$D$60,2,FALSE)</f>
        <v>FS</v>
      </c>
    </row>
    <row r="2560" spans="1:7" x14ac:dyDescent="0.25">
      <c r="A2560">
        <v>2026</v>
      </c>
      <c r="B2560" t="s">
        <v>141</v>
      </c>
      <c r="C2560" t="s">
        <v>240</v>
      </c>
      <c r="D2560" t="s">
        <v>121</v>
      </c>
      <c r="E2560" t="str">
        <f>VLOOKUP(D2560,'Lista de Produtos CLASSIFICAÇÃO'!$A$103:$B$144,2,FALSE)</f>
        <v>Biocombustíveis</v>
      </c>
      <c r="F2560" s="62">
        <v>2086774</v>
      </c>
      <c r="G2560" s="56" t="str">
        <f>VLOOKUP(C2560,clientes!$C$3:$D$60,2,FALSE)</f>
        <v>FS</v>
      </c>
    </row>
    <row r="2561" spans="1:7" x14ac:dyDescent="0.25">
      <c r="A2561">
        <v>2026</v>
      </c>
      <c r="B2561" t="s">
        <v>142</v>
      </c>
      <c r="C2561" t="s">
        <v>240</v>
      </c>
      <c r="D2561" t="s">
        <v>121</v>
      </c>
      <c r="E2561" t="str">
        <f>VLOOKUP(D2561,'Lista de Produtos CLASSIFICAÇÃO'!$A$103:$B$144,2,FALSE)</f>
        <v>Biocombustíveis</v>
      </c>
      <c r="F2561" s="62">
        <v>1870895</v>
      </c>
      <c r="G2561" s="56" t="str">
        <f>VLOOKUP(C2561,clientes!$C$3:$D$60,2,FALSE)</f>
        <v>FS</v>
      </c>
    </row>
    <row r="2562" spans="1:7" x14ac:dyDescent="0.25">
      <c r="A2562">
        <v>2026</v>
      </c>
      <c r="B2562" t="s">
        <v>135</v>
      </c>
      <c r="C2562" t="s">
        <v>192</v>
      </c>
      <c r="D2562" t="s">
        <v>121</v>
      </c>
      <c r="E2562" t="str">
        <f>VLOOKUP(D2562,'Lista de Produtos CLASSIFICAÇÃO'!$A$103:$B$144,2,FALSE)</f>
        <v>Biocombustíveis</v>
      </c>
      <c r="F2562" s="62">
        <v>2062827</v>
      </c>
      <c r="G2562" s="56" t="str">
        <f>VLOOKUP(C2562,clientes!$C$3:$D$60,2,FALSE)</f>
        <v>INPASA</v>
      </c>
    </row>
    <row r="2563" spans="1:7" x14ac:dyDescent="0.25">
      <c r="A2563">
        <v>2026</v>
      </c>
      <c r="B2563" t="s">
        <v>136</v>
      </c>
      <c r="C2563" t="s">
        <v>192</v>
      </c>
      <c r="D2563" t="s">
        <v>121</v>
      </c>
      <c r="E2563" t="str">
        <f>VLOOKUP(D2563,'Lista de Produtos CLASSIFICAÇÃO'!$A$103:$B$144,2,FALSE)</f>
        <v>Biocombustíveis</v>
      </c>
      <c r="F2563" s="62">
        <v>2062827</v>
      </c>
      <c r="G2563" s="56" t="str">
        <f>VLOOKUP(C2563,clientes!$C$3:$D$60,2,FALSE)</f>
        <v>INPASA</v>
      </c>
    </row>
    <row r="2564" spans="1:7" x14ac:dyDescent="0.25">
      <c r="A2564">
        <v>2026</v>
      </c>
      <c r="B2564" t="s">
        <v>137</v>
      </c>
      <c r="C2564" t="s">
        <v>192</v>
      </c>
      <c r="D2564" t="s">
        <v>121</v>
      </c>
      <c r="E2564" t="str">
        <f>VLOOKUP(D2564,'Lista de Produtos CLASSIFICAÇÃO'!$A$103:$B$144,2,FALSE)</f>
        <v>Biocombustíveis</v>
      </c>
      <c r="F2564" s="62">
        <v>2062827</v>
      </c>
      <c r="G2564" s="56" t="str">
        <f>VLOOKUP(C2564,clientes!$C$3:$D$60,2,FALSE)</f>
        <v>INPASA</v>
      </c>
    </row>
    <row r="2565" spans="1:7" x14ac:dyDescent="0.25">
      <c r="A2565">
        <v>2026</v>
      </c>
      <c r="B2565" t="s">
        <v>138</v>
      </c>
      <c r="C2565" t="s">
        <v>192</v>
      </c>
      <c r="D2565" t="s">
        <v>121</v>
      </c>
      <c r="E2565" t="str">
        <f>VLOOKUP(D2565,'Lista de Produtos CLASSIFICAÇÃO'!$A$103:$B$144,2,FALSE)</f>
        <v>Biocombustíveis</v>
      </c>
      <c r="F2565" s="62">
        <v>2062827</v>
      </c>
      <c r="G2565" s="56" t="str">
        <f>VLOOKUP(C2565,clientes!$C$3:$D$60,2,FALSE)</f>
        <v>INPASA</v>
      </c>
    </row>
    <row r="2566" spans="1:7" x14ac:dyDescent="0.25">
      <c r="A2566">
        <v>2026</v>
      </c>
      <c r="B2566" t="s">
        <v>139</v>
      </c>
      <c r="C2566" t="s">
        <v>192</v>
      </c>
      <c r="D2566" t="s">
        <v>121</v>
      </c>
      <c r="E2566" t="str">
        <f>VLOOKUP(D2566,'Lista de Produtos CLASSIFICAÇÃO'!$A$103:$B$144,2,FALSE)</f>
        <v>Biocombustíveis</v>
      </c>
      <c r="F2566" s="62">
        <v>2062827</v>
      </c>
      <c r="G2566" s="56" t="str">
        <f>VLOOKUP(C2566,clientes!$C$3:$D$60,2,FALSE)</f>
        <v>INPASA</v>
      </c>
    </row>
    <row r="2567" spans="1:7" x14ac:dyDescent="0.25">
      <c r="A2567">
        <v>2026</v>
      </c>
      <c r="B2567" t="s">
        <v>140</v>
      </c>
      <c r="C2567" t="s">
        <v>192</v>
      </c>
      <c r="D2567" t="s">
        <v>121</v>
      </c>
      <c r="E2567" t="str">
        <f>VLOOKUP(D2567,'Lista de Produtos CLASSIFICAÇÃO'!$A$103:$B$144,2,FALSE)</f>
        <v>Biocombustíveis</v>
      </c>
      <c r="F2567" s="62">
        <v>2062827</v>
      </c>
      <c r="G2567" s="56" t="str">
        <f>VLOOKUP(C2567,clientes!$C$3:$D$60,2,FALSE)</f>
        <v>INPASA</v>
      </c>
    </row>
    <row r="2568" spans="1:7" x14ac:dyDescent="0.25">
      <c r="A2568">
        <v>2026</v>
      </c>
      <c r="B2568" t="s">
        <v>141</v>
      </c>
      <c r="C2568" t="s">
        <v>192</v>
      </c>
      <c r="D2568" t="s">
        <v>121</v>
      </c>
      <c r="E2568" t="str">
        <f>VLOOKUP(D2568,'Lista de Produtos CLASSIFICAÇÃO'!$A$103:$B$144,2,FALSE)</f>
        <v>Biocombustíveis</v>
      </c>
      <c r="F2568" s="62">
        <v>2062827</v>
      </c>
      <c r="G2568" s="56" t="str">
        <f>VLOOKUP(C2568,clientes!$C$3:$D$60,2,FALSE)</f>
        <v>INPASA</v>
      </c>
    </row>
    <row r="2569" spans="1:7" x14ac:dyDescent="0.25">
      <c r="A2569">
        <v>2026</v>
      </c>
      <c r="B2569" t="s">
        <v>142</v>
      </c>
      <c r="C2569" t="s">
        <v>192</v>
      </c>
      <c r="D2569" t="s">
        <v>121</v>
      </c>
      <c r="E2569" t="str">
        <f>VLOOKUP(D2569,'Lista de Produtos CLASSIFICAÇÃO'!$A$103:$B$144,2,FALSE)</f>
        <v>Biocombustíveis</v>
      </c>
      <c r="F2569" s="62">
        <v>2062827</v>
      </c>
      <c r="G2569" s="56" t="str">
        <f>VLOOKUP(C2569,clientes!$C$3:$D$60,2,FALSE)</f>
        <v>INPASA</v>
      </c>
    </row>
    <row r="2570" spans="1:7" x14ac:dyDescent="0.25">
      <c r="A2570">
        <v>2026</v>
      </c>
      <c r="B2570" t="s">
        <v>135</v>
      </c>
      <c r="C2570" t="s">
        <v>169</v>
      </c>
      <c r="D2570" t="s">
        <v>22</v>
      </c>
      <c r="E2570" t="str">
        <f>VLOOKUP(D2570,'Lista de Produtos CLASSIFICAÇÃO'!$A$103:$B$144,2,FALSE)</f>
        <v>Metanol</v>
      </c>
      <c r="F2570" s="62">
        <v>2351173</v>
      </c>
      <c r="G2570" s="56" t="str">
        <f>VLOOKUP(C2570,clientes!$C$3:$D$60,2,FALSE)</f>
        <v>METHANEX</v>
      </c>
    </row>
    <row r="2571" spans="1:7" x14ac:dyDescent="0.25">
      <c r="A2571">
        <v>2026</v>
      </c>
      <c r="B2571" t="s">
        <v>136</v>
      </c>
      <c r="C2571" t="s">
        <v>169</v>
      </c>
      <c r="D2571" t="s">
        <v>22</v>
      </c>
      <c r="E2571" t="str">
        <f>VLOOKUP(D2571,'Lista de Produtos CLASSIFICAÇÃO'!$A$103:$B$144,2,FALSE)</f>
        <v>Metanol</v>
      </c>
      <c r="F2571" s="62">
        <v>2351173</v>
      </c>
      <c r="G2571" s="56" t="str">
        <f>VLOOKUP(C2571,clientes!$C$3:$D$60,2,FALSE)</f>
        <v>METHANEX</v>
      </c>
    </row>
    <row r="2572" spans="1:7" x14ac:dyDescent="0.25">
      <c r="A2572">
        <v>2026</v>
      </c>
      <c r="B2572" t="s">
        <v>137</v>
      </c>
      <c r="C2572" t="s">
        <v>169</v>
      </c>
      <c r="D2572" t="s">
        <v>22</v>
      </c>
      <c r="E2572" t="str">
        <f>VLOOKUP(D2572,'Lista de Produtos CLASSIFICAÇÃO'!$A$103:$B$144,2,FALSE)</f>
        <v>Metanol</v>
      </c>
      <c r="F2572" s="62">
        <v>2351173</v>
      </c>
      <c r="G2572" s="56" t="str">
        <f>VLOOKUP(C2572,clientes!$C$3:$D$60,2,FALSE)</f>
        <v>METHANEX</v>
      </c>
    </row>
    <row r="2573" spans="1:7" x14ac:dyDescent="0.25">
      <c r="A2573">
        <v>2026</v>
      </c>
      <c r="B2573" t="s">
        <v>138</v>
      </c>
      <c r="C2573" t="s">
        <v>169</v>
      </c>
      <c r="D2573" t="s">
        <v>22</v>
      </c>
      <c r="E2573" t="str">
        <f>VLOOKUP(D2573,'Lista de Produtos CLASSIFICAÇÃO'!$A$103:$B$144,2,FALSE)</f>
        <v>Metanol</v>
      </c>
      <c r="F2573" s="62">
        <v>2351173</v>
      </c>
      <c r="G2573" s="56" t="str">
        <f>VLOOKUP(C2573,clientes!$C$3:$D$60,2,FALSE)</f>
        <v>METHANEX</v>
      </c>
    </row>
    <row r="2574" spans="1:7" x14ac:dyDescent="0.25">
      <c r="A2574">
        <v>2026</v>
      </c>
      <c r="B2574" t="s">
        <v>139</v>
      </c>
      <c r="C2574" t="s">
        <v>169</v>
      </c>
      <c r="D2574" t="s">
        <v>22</v>
      </c>
      <c r="E2574" t="str">
        <f>VLOOKUP(D2574,'Lista de Produtos CLASSIFICAÇÃO'!$A$103:$B$144,2,FALSE)</f>
        <v>Metanol</v>
      </c>
      <c r="F2574" s="62">
        <v>2351173</v>
      </c>
      <c r="G2574" s="56" t="str">
        <f>VLOOKUP(C2574,clientes!$C$3:$D$60,2,FALSE)</f>
        <v>METHANEX</v>
      </c>
    </row>
    <row r="2575" spans="1:7" x14ac:dyDescent="0.25">
      <c r="A2575">
        <v>2026</v>
      </c>
      <c r="B2575" t="s">
        <v>140</v>
      </c>
      <c r="C2575" t="s">
        <v>169</v>
      </c>
      <c r="D2575" t="s">
        <v>22</v>
      </c>
      <c r="E2575" t="str">
        <f>VLOOKUP(D2575,'Lista de Produtos CLASSIFICAÇÃO'!$A$103:$B$144,2,FALSE)</f>
        <v>Metanol</v>
      </c>
      <c r="F2575" s="62">
        <v>2351173</v>
      </c>
      <c r="G2575" s="56" t="str">
        <f>VLOOKUP(C2575,clientes!$C$3:$D$60,2,FALSE)</f>
        <v>METHANEX</v>
      </c>
    </row>
    <row r="2576" spans="1:7" x14ac:dyDescent="0.25">
      <c r="A2576">
        <v>2026</v>
      </c>
      <c r="B2576" t="s">
        <v>141</v>
      </c>
      <c r="C2576" t="s">
        <v>169</v>
      </c>
      <c r="D2576" t="s">
        <v>22</v>
      </c>
      <c r="E2576" t="str">
        <f>VLOOKUP(D2576,'Lista de Produtos CLASSIFICAÇÃO'!$A$103:$B$144,2,FALSE)</f>
        <v>Metanol</v>
      </c>
      <c r="F2576" s="62">
        <v>2351173</v>
      </c>
      <c r="G2576" s="56" t="str">
        <f>VLOOKUP(C2576,clientes!$C$3:$D$60,2,FALSE)</f>
        <v>METHANEX</v>
      </c>
    </row>
    <row r="2577" spans="1:7" x14ac:dyDescent="0.25">
      <c r="A2577">
        <v>2026</v>
      </c>
      <c r="B2577" t="s">
        <v>142</v>
      </c>
      <c r="C2577" t="s">
        <v>169</v>
      </c>
      <c r="D2577" t="s">
        <v>22</v>
      </c>
      <c r="E2577" t="str">
        <f>VLOOKUP(D2577,'Lista de Produtos CLASSIFICAÇÃO'!$A$103:$B$144,2,FALSE)</f>
        <v>Metanol</v>
      </c>
      <c r="F2577" s="62">
        <v>2351173</v>
      </c>
      <c r="G2577" s="56" t="str">
        <f>VLOOKUP(C2577,clientes!$C$3:$D$60,2,FALSE)</f>
        <v>METHANEX</v>
      </c>
    </row>
    <row r="2578" spans="1:7" x14ac:dyDescent="0.25">
      <c r="A2578">
        <v>2026</v>
      </c>
      <c r="B2578" t="s">
        <v>135</v>
      </c>
      <c r="C2578" t="s">
        <v>186</v>
      </c>
      <c r="D2578" t="s">
        <v>22</v>
      </c>
      <c r="E2578" t="str">
        <f>VLOOKUP(D2578,'Lista de Produtos CLASSIFICAÇÃO'!$A$103:$B$144,2,FALSE)</f>
        <v>Metanol</v>
      </c>
      <c r="F2578" s="62">
        <v>558005</v>
      </c>
      <c r="G2578" s="56" t="str">
        <f>VLOOKUP(C2578,clientes!$C$3:$D$60,2,FALSE)</f>
        <v>OQ TRADING</v>
      </c>
    </row>
    <row r="2579" spans="1:7" x14ac:dyDescent="0.25">
      <c r="A2579">
        <v>2026</v>
      </c>
      <c r="B2579" t="s">
        <v>136</v>
      </c>
      <c r="C2579" t="s">
        <v>186</v>
      </c>
      <c r="D2579" t="s">
        <v>22</v>
      </c>
      <c r="E2579" t="str">
        <f>VLOOKUP(D2579,'Lista de Produtos CLASSIFICAÇÃO'!$A$103:$B$144,2,FALSE)</f>
        <v>Metanol</v>
      </c>
      <c r="F2579" s="62">
        <v>484478</v>
      </c>
      <c r="G2579" s="56" t="str">
        <f>VLOOKUP(C2579,clientes!$C$3:$D$60,2,FALSE)</f>
        <v>OQ TRADING</v>
      </c>
    </row>
    <row r="2580" spans="1:7" x14ac:dyDescent="0.25">
      <c r="A2580">
        <v>2026</v>
      </c>
      <c r="B2580" t="s">
        <v>137</v>
      </c>
      <c r="C2580" t="s">
        <v>186</v>
      </c>
      <c r="D2580" t="s">
        <v>22</v>
      </c>
      <c r="E2580" t="str">
        <f>VLOOKUP(D2580,'Lista de Produtos CLASSIFICAÇÃO'!$A$103:$B$144,2,FALSE)</f>
        <v>Metanol</v>
      </c>
      <c r="F2580" s="62">
        <v>558005</v>
      </c>
      <c r="G2580" s="56" t="str">
        <f>VLOOKUP(C2580,clientes!$C$3:$D$60,2,FALSE)</f>
        <v>OQ TRADING</v>
      </c>
    </row>
    <row r="2581" spans="1:7" x14ac:dyDescent="0.25">
      <c r="A2581">
        <v>2026</v>
      </c>
      <c r="B2581" t="s">
        <v>138</v>
      </c>
      <c r="C2581" t="s">
        <v>186</v>
      </c>
      <c r="D2581" t="s">
        <v>22</v>
      </c>
      <c r="E2581" t="str">
        <f>VLOOKUP(D2581,'Lista de Produtos CLASSIFICAÇÃO'!$A$103:$B$144,2,FALSE)</f>
        <v>Metanol</v>
      </c>
      <c r="F2581" s="62">
        <v>484478</v>
      </c>
      <c r="G2581" s="56" t="str">
        <f>VLOOKUP(C2581,clientes!$C$3:$D$60,2,FALSE)</f>
        <v>OQ TRADING</v>
      </c>
    </row>
    <row r="2582" spans="1:7" x14ac:dyDescent="0.25">
      <c r="A2582">
        <v>2026</v>
      </c>
      <c r="B2582" t="s">
        <v>139</v>
      </c>
      <c r="C2582" t="s">
        <v>186</v>
      </c>
      <c r="D2582" t="s">
        <v>22</v>
      </c>
      <c r="E2582" t="str">
        <f>VLOOKUP(D2582,'Lista de Produtos CLASSIFICAÇÃO'!$A$103:$B$144,2,FALSE)</f>
        <v>Metanol</v>
      </c>
      <c r="F2582" s="62">
        <v>558005</v>
      </c>
      <c r="G2582" s="56" t="str">
        <f>VLOOKUP(C2582,clientes!$C$3:$D$60,2,FALSE)</f>
        <v>OQ TRADING</v>
      </c>
    </row>
    <row r="2583" spans="1:7" x14ac:dyDescent="0.25">
      <c r="A2583">
        <v>2026</v>
      </c>
      <c r="B2583" t="s">
        <v>140</v>
      </c>
      <c r="C2583" t="s">
        <v>186</v>
      </c>
      <c r="D2583" t="s">
        <v>22</v>
      </c>
      <c r="E2583" t="str">
        <f>VLOOKUP(D2583,'Lista de Produtos CLASSIFICAÇÃO'!$A$103:$B$144,2,FALSE)</f>
        <v>Metanol</v>
      </c>
      <c r="F2583" s="62">
        <v>484478</v>
      </c>
      <c r="G2583" s="56" t="str">
        <f>VLOOKUP(C2583,clientes!$C$3:$D$60,2,FALSE)</f>
        <v>OQ TRADING</v>
      </c>
    </row>
    <row r="2584" spans="1:7" x14ac:dyDescent="0.25">
      <c r="A2584">
        <v>2026</v>
      </c>
      <c r="B2584" t="s">
        <v>141</v>
      </c>
      <c r="C2584" t="s">
        <v>186</v>
      </c>
      <c r="D2584" t="s">
        <v>22</v>
      </c>
      <c r="E2584" t="str">
        <f>VLOOKUP(D2584,'Lista de Produtos CLASSIFICAÇÃO'!$A$103:$B$144,2,FALSE)</f>
        <v>Metanol</v>
      </c>
      <c r="F2584" s="62">
        <v>558005</v>
      </c>
      <c r="G2584" s="56" t="str">
        <f>VLOOKUP(C2584,clientes!$C$3:$D$60,2,FALSE)</f>
        <v>OQ TRADING</v>
      </c>
    </row>
    <row r="2585" spans="1:7" x14ac:dyDescent="0.25">
      <c r="A2585">
        <v>2026</v>
      </c>
      <c r="B2585" t="s">
        <v>142</v>
      </c>
      <c r="C2585" t="s">
        <v>186</v>
      </c>
      <c r="D2585" t="s">
        <v>22</v>
      </c>
      <c r="E2585" t="str">
        <f>VLOOKUP(D2585,'Lista de Produtos CLASSIFICAÇÃO'!$A$103:$B$144,2,FALSE)</f>
        <v>Metanol</v>
      </c>
      <c r="F2585" s="62">
        <v>484478</v>
      </c>
      <c r="G2585" s="56" t="str">
        <f>VLOOKUP(C2585,clientes!$C$3:$D$60,2,FALSE)</f>
        <v>OQ TRADING</v>
      </c>
    </row>
    <row r="2586" spans="1:7" x14ac:dyDescent="0.25">
      <c r="A2586">
        <v>2026</v>
      </c>
      <c r="B2586" t="s">
        <v>135</v>
      </c>
      <c r="C2586" t="s">
        <v>241</v>
      </c>
      <c r="D2586" t="s">
        <v>120</v>
      </c>
      <c r="E2586" t="str">
        <f>VLOOKUP(D2586,'Lista de Produtos CLASSIFICAÇÃO'!$A$103:$B$144,2,FALSE)</f>
        <v>Derivados</v>
      </c>
      <c r="F2586" s="62">
        <v>2036965</v>
      </c>
      <c r="G2586" s="56" t="str">
        <f>VLOOKUP(C2586,clientes!$C$3:$D$60,2,FALSE)</f>
        <v>ROYAL FIC</v>
      </c>
    </row>
    <row r="2587" spans="1:7" x14ac:dyDescent="0.25">
      <c r="A2587">
        <v>2026</v>
      </c>
      <c r="B2587" t="s">
        <v>136</v>
      </c>
      <c r="C2587" t="s">
        <v>241</v>
      </c>
      <c r="D2587" t="s">
        <v>120</v>
      </c>
      <c r="E2587" t="str">
        <f>VLOOKUP(D2587,'Lista de Produtos CLASSIFICAÇÃO'!$A$103:$B$144,2,FALSE)</f>
        <v>Derivados</v>
      </c>
      <c r="F2587" s="62">
        <v>2036965</v>
      </c>
      <c r="G2587" s="56" t="str">
        <f>VLOOKUP(C2587,clientes!$C$3:$D$60,2,FALSE)</f>
        <v>ROYAL FIC</v>
      </c>
    </row>
    <row r="2588" spans="1:7" x14ac:dyDescent="0.25">
      <c r="A2588">
        <v>2026</v>
      </c>
      <c r="B2588" t="s">
        <v>137</v>
      </c>
      <c r="C2588" t="s">
        <v>241</v>
      </c>
      <c r="D2588" t="s">
        <v>120</v>
      </c>
      <c r="E2588" t="str">
        <f>VLOOKUP(D2588,'Lista de Produtos CLASSIFICAÇÃO'!$A$103:$B$144,2,FALSE)</f>
        <v>Derivados</v>
      </c>
      <c r="F2588" s="62">
        <v>2036965</v>
      </c>
      <c r="G2588" s="56" t="str">
        <f>VLOOKUP(C2588,clientes!$C$3:$D$60,2,FALSE)</f>
        <v>ROYAL FIC</v>
      </c>
    </row>
    <row r="2589" spans="1:7" x14ac:dyDescent="0.25">
      <c r="A2589">
        <v>2026</v>
      </c>
      <c r="B2589" t="s">
        <v>138</v>
      </c>
      <c r="C2589" t="s">
        <v>241</v>
      </c>
      <c r="D2589" t="s">
        <v>120</v>
      </c>
      <c r="E2589" t="str">
        <f>VLOOKUP(D2589,'Lista de Produtos CLASSIFICAÇÃO'!$A$103:$B$144,2,FALSE)</f>
        <v>Derivados</v>
      </c>
      <c r="F2589" s="62">
        <v>2036965</v>
      </c>
      <c r="G2589" s="56" t="str">
        <f>VLOOKUP(C2589,clientes!$C$3:$D$60,2,FALSE)</f>
        <v>ROYAL FIC</v>
      </c>
    </row>
    <row r="2590" spans="1:7" x14ac:dyDescent="0.25">
      <c r="A2590">
        <v>2026</v>
      </c>
      <c r="B2590" t="s">
        <v>139</v>
      </c>
      <c r="C2590" t="s">
        <v>241</v>
      </c>
      <c r="D2590" t="s">
        <v>120</v>
      </c>
      <c r="E2590" t="str">
        <f>VLOOKUP(D2590,'Lista de Produtos CLASSIFICAÇÃO'!$A$103:$B$144,2,FALSE)</f>
        <v>Derivados</v>
      </c>
      <c r="F2590" s="62">
        <v>2036965</v>
      </c>
      <c r="G2590" s="56" t="str">
        <f>VLOOKUP(C2590,clientes!$C$3:$D$60,2,FALSE)</f>
        <v>ROYAL FIC</v>
      </c>
    </row>
    <row r="2591" spans="1:7" x14ac:dyDescent="0.25">
      <c r="A2591">
        <v>2026</v>
      </c>
      <c r="B2591" t="s">
        <v>140</v>
      </c>
      <c r="C2591" t="s">
        <v>241</v>
      </c>
      <c r="D2591" t="s">
        <v>120</v>
      </c>
      <c r="E2591" t="str">
        <f>VLOOKUP(D2591,'Lista de Produtos CLASSIFICAÇÃO'!$A$103:$B$144,2,FALSE)</f>
        <v>Derivados</v>
      </c>
      <c r="F2591" s="62">
        <v>2036965</v>
      </c>
      <c r="G2591" s="56" t="str">
        <f>VLOOKUP(C2591,clientes!$C$3:$D$60,2,FALSE)</f>
        <v>ROYAL FIC</v>
      </c>
    </row>
    <row r="2592" spans="1:7" x14ac:dyDescent="0.25">
      <c r="A2592">
        <v>2026</v>
      </c>
      <c r="B2592" t="s">
        <v>141</v>
      </c>
      <c r="C2592" t="s">
        <v>241</v>
      </c>
      <c r="D2592" t="s">
        <v>120</v>
      </c>
      <c r="E2592" t="str">
        <f>VLOOKUP(D2592,'Lista de Produtos CLASSIFICAÇÃO'!$A$103:$B$144,2,FALSE)</f>
        <v>Derivados</v>
      </c>
      <c r="F2592" s="62">
        <v>2036965</v>
      </c>
      <c r="G2592" s="56" t="str">
        <f>VLOOKUP(C2592,clientes!$C$3:$D$60,2,FALSE)</f>
        <v>ROYAL FIC</v>
      </c>
    </row>
    <row r="2593" spans="1:7" x14ac:dyDescent="0.25">
      <c r="A2593">
        <v>2026</v>
      </c>
      <c r="B2593" t="s">
        <v>142</v>
      </c>
      <c r="C2593" t="s">
        <v>241</v>
      </c>
      <c r="D2593" t="s">
        <v>120</v>
      </c>
      <c r="E2593" t="str">
        <f>VLOOKUP(D2593,'Lista de Produtos CLASSIFICAÇÃO'!$A$103:$B$144,2,FALSE)</f>
        <v>Derivados</v>
      </c>
      <c r="F2593" s="62">
        <v>2036965</v>
      </c>
      <c r="G2593" s="56" t="str">
        <f>VLOOKUP(C2593,clientes!$C$3:$D$60,2,FALSE)</f>
        <v>ROYAL FIC</v>
      </c>
    </row>
    <row r="2594" spans="1:7" x14ac:dyDescent="0.25">
      <c r="A2594">
        <v>2026</v>
      </c>
      <c r="B2594" t="s">
        <v>135</v>
      </c>
      <c r="C2594" t="s">
        <v>242</v>
      </c>
      <c r="D2594" t="s">
        <v>120</v>
      </c>
      <c r="E2594" t="str">
        <f>VLOOKUP(D2594,'Lista de Produtos CLASSIFICAÇÃO'!$A$103:$B$144,2,FALSE)</f>
        <v>Derivados</v>
      </c>
      <c r="F2594" s="62">
        <v>1967400</v>
      </c>
      <c r="G2594" s="56" t="str">
        <f>VLOOKUP(C2594,clientes!$C$3:$D$60,2,FALSE)</f>
        <v>RODOOIL DISTRIBUIDORA</v>
      </c>
    </row>
    <row r="2595" spans="1:7" x14ac:dyDescent="0.25">
      <c r="A2595">
        <v>2026</v>
      </c>
      <c r="B2595" t="s">
        <v>136</v>
      </c>
      <c r="C2595" t="s">
        <v>242</v>
      </c>
      <c r="D2595" t="s">
        <v>120</v>
      </c>
      <c r="E2595" t="str">
        <f>VLOOKUP(D2595,'Lista de Produtos CLASSIFICAÇÃO'!$A$103:$B$144,2,FALSE)</f>
        <v>Derivados</v>
      </c>
      <c r="F2595" s="62">
        <v>1967400</v>
      </c>
      <c r="G2595" s="56" t="str">
        <f>VLOOKUP(C2595,clientes!$C$3:$D$60,2,FALSE)</f>
        <v>RODOOIL DISTRIBUIDORA</v>
      </c>
    </row>
    <row r="2596" spans="1:7" x14ac:dyDescent="0.25">
      <c r="A2596">
        <v>2026</v>
      </c>
      <c r="B2596" t="s">
        <v>137</v>
      </c>
      <c r="C2596" t="s">
        <v>242</v>
      </c>
      <c r="D2596" t="s">
        <v>120</v>
      </c>
      <c r="E2596" t="str">
        <f>VLOOKUP(D2596,'Lista de Produtos CLASSIFICAÇÃO'!$A$103:$B$144,2,FALSE)</f>
        <v>Derivados</v>
      </c>
      <c r="F2596" s="62">
        <v>1967400</v>
      </c>
      <c r="G2596" s="56" t="str">
        <f>VLOOKUP(C2596,clientes!$C$3:$D$60,2,FALSE)</f>
        <v>RODOOIL DISTRIBUIDORA</v>
      </c>
    </row>
    <row r="2597" spans="1:7" x14ac:dyDescent="0.25">
      <c r="A2597">
        <v>2026</v>
      </c>
      <c r="B2597" t="s">
        <v>138</v>
      </c>
      <c r="C2597" t="s">
        <v>242</v>
      </c>
      <c r="D2597" t="s">
        <v>120</v>
      </c>
      <c r="E2597" t="str">
        <f>VLOOKUP(D2597,'Lista de Produtos CLASSIFICAÇÃO'!$A$103:$B$144,2,FALSE)</f>
        <v>Derivados</v>
      </c>
      <c r="F2597" s="62">
        <v>1967400</v>
      </c>
      <c r="G2597" s="56" t="str">
        <f>VLOOKUP(C2597,clientes!$C$3:$D$60,2,FALSE)</f>
        <v>RODOOIL DISTRIBUIDORA</v>
      </c>
    </row>
    <row r="2598" spans="1:7" x14ac:dyDescent="0.25">
      <c r="A2598">
        <v>2026</v>
      </c>
      <c r="B2598" t="s">
        <v>139</v>
      </c>
      <c r="C2598" t="s">
        <v>242</v>
      </c>
      <c r="D2598" t="s">
        <v>120</v>
      </c>
      <c r="E2598" t="str">
        <f>VLOOKUP(D2598,'Lista de Produtos CLASSIFICAÇÃO'!$A$103:$B$144,2,FALSE)</f>
        <v>Derivados</v>
      </c>
      <c r="F2598" s="62">
        <v>1967400</v>
      </c>
      <c r="G2598" s="56" t="str">
        <f>VLOOKUP(C2598,clientes!$C$3:$D$60,2,FALSE)</f>
        <v>RODOOIL DISTRIBUIDORA</v>
      </c>
    </row>
    <row r="2599" spans="1:7" x14ac:dyDescent="0.25">
      <c r="A2599">
        <v>2026</v>
      </c>
      <c r="B2599" t="s">
        <v>140</v>
      </c>
      <c r="C2599" t="s">
        <v>242</v>
      </c>
      <c r="D2599" t="s">
        <v>120</v>
      </c>
      <c r="E2599" t="str">
        <f>VLOOKUP(D2599,'Lista de Produtos CLASSIFICAÇÃO'!$A$103:$B$144,2,FALSE)</f>
        <v>Derivados</v>
      </c>
      <c r="F2599" s="62">
        <v>1967400</v>
      </c>
      <c r="G2599" s="56" t="str">
        <f>VLOOKUP(C2599,clientes!$C$3:$D$60,2,FALSE)</f>
        <v>RODOOIL DISTRIBUIDORA</v>
      </c>
    </row>
    <row r="2600" spans="1:7" x14ac:dyDescent="0.25">
      <c r="A2600">
        <v>2026</v>
      </c>
      <c r="B2600" t="s">
        <v>141</v>
      </c>
      <c r="C2600" t="s">
        <v>242</v>
      </c>
      <c r="D2600" t="s">
        <v>120</v>
      </c>
      <c r="E2600" t="str">
        <f>VLOOKUP(D2600,'Lista de Produtos CLASSIFICAÇÃO'!$A$103:$B$144,2,FALSE)</f>
        <v>Derivados</v>
      </c>
      <c r="F2600" s="62">
        <v>1967400</v>
      </c>
      <c r="G2600" s="56" t="str">
        <f>VLOOKUP(C2600,clientes!$C$3:$D$60,2,FALSE)</f>
        <v>RODOOIL DISTRIBUIDORA</v>
      </c>
    </row>
    <row r="2601" spans="1:7" x14ac:dyDescent="0.25">
      <c r="A2601">
        <v>2026</v>
      </c>
      <c r="B2601" t="s">
        <v>142</v>
      </c>
      <c r="C2601" t="s">
        <v>242</v>
      </c>
      <c r="D2601" t="s">
        <v>120</v>
      </c>
      <c r="E2601" t="str">
        <f>VLOOKUP(D2601,'Lista de Produtos CLASSIFICAÇÃO'!$A$103:$B$144,2,FALSE)</f>
        <v>Derivados</v>
      </c>
      <c r="F2601" s="62">
        <v>1967400</v>
      </c>
      <c r="G2601" s="56" t="str">
        <f>VLOOKUP(C2601,clientes!$C$3:$D$60,2,FALSE)</f>
        <v>RODOOIL DISTRIBUIDORA</v>
      </c>
    </row>
    <row r="2602" spans="1:7" x14ac:dyDescent="0.25">
      <c r="A2602">
        <v>2026</v>
      </c>
      <c r="B2602" t="s">
        <v>135</v>
      </c>
      <c r="C2602" t="s">
        <v>243</v>
      </c>
      <c r="D2602" t="s">
        <v>120</v>
      </c>
      <c r="E2602" t="str">
        <f>VLOOKUP(D2602,'Lista de Produtos CLASSIFICAÇÃO'!$A$103:$B$144,2,FALSE)</f>
        <v>Derivados</v>
      </c>
      <c r="F2602" s="62">
        <v>1072636</v>
      </c>
      <c r="G2602" s="56" t="str">
        <f>VLOOKUP(C2602,clientes!$C$3:$D$60,2,FALSE)</f>
        <v>ART PETRO</v>
      </c>
    </row>
    <row r="2603" spans="1:7" x14ac:dyDescent="0.25">
      <c r="A2603">
        <v>2026</v>
      </c>
      <c r="B2603" t="s">
        <v>136</v>
      </c>
      <c r="C2603" t="s">
        <v>243</v>
      </c>
      <c r="D2603" t="s">
        <v>120</v>
      </c>
      <c r="E2603" t="str">
        <f>VLOOKUP(D2603,'Lista de Produtos CLASSIFICAÇÃO'!$A$103:$B$144,2,FALSE)</f>
        <v>Derivados</v>
      </c>
      <c r="F2603" s="62">
        <v>1072636</v>
      </c>
      <c r="G2603" s="56" t="str">
        <f>VLOOKUP(C2603,clientes!$C$3:$D$60,2,FALSE)</f>
        <v>ART PETRO</v>
      </c>
    </row>
    <row r="2604" spans="1:7" x14ac:dyDescent="0.25">
      <c r="A2604">
        <v>2026</v>
      </c>
      <c r="B2604" t="s">
        <v>137</v>
      </c>
      <c r="C2604" t="s">
        <v>243</v>
      </c>
      <c r="D2604" t="s">
        <v>120</v>
      </c>
      <c r="E2604" t="str">
        <f>VLOOKUP(D2604,'Lista de Produtos CLASSIFICAÇÃO'!$A$103:$B$144,2,FALSE)</f>
        <v>Derivados</v>
      </c>
      <c r="F2604" s="62">
        <v>1072636</v>
      </c>
      <c r="G2604" s="56" t="str">
        <f>VLOOKUP(C2604,clientes!$C$3:$D$60,2,FALSE)</f>
        <v>ART PETRO</v>
      </c>
    </row>
    <row r="2605" spans="1:7" x14ac:dyDescent="0.25">
      <c r="A2605">
        <v>2026</v>
      </c>
      <c r="B2605" t="s">
        <v>138</v>
      </c>
      <c r="C2605" t="s">
        <v>243</v>
      </c>
      <c r="D2605" t="s">
        <v>120</v>
      </c>
      <c r="E2605" t="str">
        <f>VLOOKUP(D2605,'Lista de Produtos CLASSIFICAÇÃO'!$A$103:$B$144,2,FALSE)</f>
        <v>Derivados</v>
      </c>
      <c r="F2605" s="62">
        <v>1072636</v>
      </c>
      <c r="G2605" s="56" t="str">
        <f>VLOOKUP(C2605,clientes!$C$3:$D$60,2,FALSE)</f>
        <v>ART PETRO</v>
      </c>
    </row>
    <row r="2606" spans="1:7" x14ac:dyDescent="0.25">
      <c r="A2606">
        <v>2026</v>
      </c>
      <c r="B2606" t="s">
        <v>139</v>
      </c>
      <c r="C2606" t="s">
        <v>243</v>
      </c>
      <c r="D2606" t="s">
        <v>120</v>
      </c>
      <c r="E2606" t="str">
        <f>VLOOKUP(D2606,'Lista de Produtos CLASSIFICAÇÃO'!$A$103:$B$144,2,FALSE)</f>
        <v>Derivados</v>
      </c>
      <c r="F2606" s="62">
        <v>1072636</v>
      </c>
      <c r="G2606" s="56" t="str">
        <f>VLOOKUP(C2606,clientes!$C$3:$D$60,2,FALSE)</f>
        <v>ART PETRO</v>
      </c>
    </row>
    <row r="2607" spans="1:7" x14ac:dyDescent="0.25">
      <c r="A2607">
        <v>2026</v>
      </c>
      <c r="B2607" t="s">
        <v>140</v>
      </c>
      <c r="C2607" t="s">
        <v>243</v>
      </c>
      <c r="D2607" t="s">
        <v>120</v>
      </c>
      <c r="E2607" t="str">
        <f>VLOOKUP(D2607,'Lista de Produtos CLASSIFICAÇÃO'!$A$103:$B$144,2,FALSE)</f>
        <v>Derivados</v>
      </c>
      <c r="F2607" s="62">
        <v>1072636</v>
      </c>
      <c r="G2607" s="56" t="str">
        <f>VLOOKUP(C2607,clientes!$C$3:$D$60,2,FALSE)</f>
        <v>ART PETRO</v>
      </c>
    </row>
    <row r="2608" spans="1:7" x14ac:dyDescent="0.25">
      <c r="A2608">
        <v>2026</v>
      </c>
      <c r="B2608" t="s">
        <v>141</v>
      </c>
      <c r="C2608" t="s">
        <v>243</v>
      </c>
      <c r="D2608" t="s">
        <v>120</v>
      </c>
      <c r="E2608" t="str">
        <f>VLOOKUP(D2608,'Lista de Produtos CLASSIFICAÇÃO'!$A$103:$B$144,2,FALSE)</f>
        <v>Derivados</v>
      </c>
      <c r="F2608" s="62">
        <v>1072636</v>
      </c>
      <c r="G2608" s="56" t="str">
        <f>VLOOKUP(C2608,clientes!$C$3:$D$60,2,FALSE)</f>
        <v>ART PETRO</v>
      </c>
    </row>
    <row r="2609" spans="1:7" x14ac:dyDescent="0.25">
      <c r="A2609">
        <v>2026</v>
      </c>
      <c r="B2609" t="s">
        <v>142</v>
      </c>
      <c r="C2609" t="s">
        <v>243</v>
      </c>
      <c r="D2609" t="s">
        <v>120</v>
      </c>
      <c r="E2609" t="str">
        <f>VLOOKUP(D2609,'Lista de Produtos CLASSIFICAÇÃO'!$A$103:$B$144,2,FALSE)</f>
        <v>Derivados</v>
      </c>
      <c r="F2609" s="62">
        <v>1072636</v>
      </c>
      <c r="G2609" s="56" t="str">
        <f>VLOOKUP(C2609,clientes!$C$3:$D$60,2,FALSE)</f>
        <v>ART PETRO</v>
      </c>
    </row>
    <row r="2610" spans="1:7" x14ac:dyDescent="0.25">
      <c r="A2610">
        <v>2026</v>
      </c>
      <c r="B2610" t="s">
        <v>139</v>
      </c>
      <c r="C2610" t="s">
        <v>160</v>
      </c>
      <c r="D2610" t="s">
        <v>120</v>
      </c>
      <c r="E2610" t="str">
        <f>VLOOKUP(D2610,'Lista de Produtos CLASSIFICAÇÃO'!$A$103:$B$144,2,FALSE)</f>
        <v>Derivados</v>
      </c>
      <c r="F2610" s="62">
        <v>1962520</v>
      </c>
      <c r="G2610" s="56" t="str">
        <f>VLOOKUP(C2610,clientes!$C$3:$D$60,2,FALSE)</f>
        <v>VIBRA</v>
      </c>
    </row>
    <row r="2611" spans="1:7" x14ac:dyDescent="0.25">
      <c r="A2611">
        <v>2026</v>
      </c>
      <c r="B2611" t="s">
        <v>140</v>
      </c>
      <c r="C2611" t="s">
        <v>160</v>
      </c>
      <c r="D2611" t="s">
        <v>120</v>
      </c>
      <c r="E2611" t="str">
        <f>VLOOKUP(D2611,'Lista de Produtos CLASSIFICAÇÃO'!$A$103:$B$144,2,FALSE)</f>
        <v>Derivados</v>
      </c>
      <c r="F2611" s="62">
        <v>1962520</v>
      </c>
      <c r="G2611" s="56" t="str">
        <f>VLOOKUP(C2611,clientes!$C$3:$D$60,2,FALSE)</f>
        <v>VIBRA</v>
      </c>
    </row>
    <row r="2612" spans="1:7" x14ac:dyDescent="0.25">
      <c r="A2612">
        <v>2026</v>
      </c>
      <c r="B2612" t="s">
        <v>141</v>
      </c>
      <c r="C2612" t="s">
        <v>160</v>
      </c>
      <c r="D2612" t="s">
        <v>120</v>
      </c>
      <c r="E2612" t="str">
        <f>VLOOKUP(D2612,'Lista de Produtos CLASSIFICAÇÃO'!$A$103:$B$144,2,FALSE)</f>
        <v>Derivados</v>
      </c>
      <c r="F2612" s="62">
        <v>1962520</v>
      </c>
      <c r="G2612" s="56" t="str">
        <f>VLOOKUP(C2612,clientes!$C$3:$D$60,2,FALSE)</f>
        <v>VIBRA</v>
      </c>
    </row>
    <row r="2613" spans="1:7" x14ac:dyDescent="0.25">
      <c r="A2613">
        <v>2026</v>
      </c>
      <c r="B2613" t="s">
        <v>142</v>
      </c>
      <c r="C2613" t="s">
        <v>160</v>
      </c>
      <c r="D2613" t="s">
        <v>120</v>
      </c>
      <c r="E2613" t="str">
        <f>VLOOKUP(D2613,'Lista de Produtos CLASSIFICAÇÃO'!$A$103:$B$144,2,FALSE)</f>
        <v>Derivados</v>
      </c>
      <c r="F2613" s="62">
        <v>1962520</v>
      </c>
      <c r="G2613" s="56" t="str">
        <f>VLOOKUP(C2613,clientes!$C$3:$D$60,2,FALSE)</f>
        <v>VIBRA</v>
      </c>
    </row>
    <row r="2614" spans="1:7" x14ac:dyDescent="0.25">
      <c r="A2614">
        <v>2026</v>
      </c>
      <c r="B2614" t="s">
        <v>135</v>
      </c>
      <c r="C2614" t="s">
        <v>244</v>
      </c>
      <c r="D2614" t="s">
        <v>120</v>
      </c>
      <c r="E2614" t="str">
        <f>VLOOKUP(D2614,'Lista de Produtos CLASSIFICAÇÃO'!$A$103:$B$144,2,FALSE)</f>
        <v>Derivados</v>
      </c>
      <c r="F2614" s="62">
        <v>1072636</v>
      </c>
      <c r="G2614" s="56" t="str">
        <f>VLOOKUP(C2614,clientes!$C$3:$D$60,2,FALSE)</f>
        <v>TAURUS</v>
      </c>
    </row>
    <row r="2615" spans="1:7" x14ac:dyDescent="0.25">
      <c r="A2615">
        <v>2026</v>
      </c>
      <c r="B2615" t="s">
        <v>136</v>
      </c>
      <c r="C2615" t="s">
        <v>244</v>
      </c>
      <c r="D2615" t="s">
        <v>120</v>
      </c>
      <c r="E2615" t="str">
        <f>VLOOKUP(D2615,'Lista de Produtos CLASSIFICAÇÃO'!$A$103:$B$144,2,FALSE)</f>
        <v>Derivados</v>
      </c>
      <c r="F2615" s="62">
        <v>1072636</v>
      </c>
      <c r="G2615" s="56" t="str">
        <f>VLOOKUP(C2615,clientes!$C$3:$D$60,2,FALSE)</f>
        <v>TAURUS</v>
      </c>
    </row>
    <row r="2616" spans="1:7" x14ac:dyDescent="0.25">
      <c r="A2616">
        <v>2026</v>
      </c>
      <c r="B2616" t="s">
        <v>137</v>
      </c>
      <c r="C2616" t="s">
        <v>244</v>
      </c>
      <c r="D2616" t="s">
        <v>120</v>
      </c>
      <c r="E2616" t="str">
        <f>VLOOKUP(D2616,'Lista de Produtos CLASSIFICAÇÃO'!$A$103:$B$144,2,FALSE)</f>
        <v>Derivados</v>
      </c>
      <c r="F2616" s="62">
        <v>1072636</v>
      </c>
      <c r="G2616" s="56" t="str">
        <f>VLOOKUP(C2616,clientes!$C$3:$D$60,2,FALSE)</f>
        <v>TAURUS</v>
      </c>
    </row>
    <row r="2617" spans="1:7" x14ac:dyDescent="0.25">
      <c r="A2617">
        <v>2026</v>
      </c>
      <c r="B2617" t="s">
        <v>138</v>
      </c>
      <c r="C2617" t="s">
        <v>244</v>
      </c>
      <c r="D2617" t="s">
        <v>120</v>
      </c>
      <c r="E2617" t="str">
        <f>VLOOKUP(D2617,'Lista de Produtos CLASSIFICAÇÃO'!$A$103:$B$144,2,FALSE)</f>
        <v>Derivados</v>
      </c>
      <c r="F2617" s="62">
        <v>1072636</v>
      </c>
      <c r="G2617" s="56" t="str">
        <f>VLOOKUP(C2617,clientes!$C$3:$D$60,2,FALSE)</f>
        <v>TAURUS</v>
      </c>
    </row>
    <row r="2618" spans="1:7" x14ac:dyDescent="0.25">
      <c r="A2618">
        <v>2026</v>
      </c>
      <c r="B2618" t="s">
        <v>139</v>
      </c>
      <c r="C2618" t="s">
        <v>244</v>
      </c>
      <c r="D2618" t="s">
        <v>120</v>
      </c>
      <c r="E2618" t="str">
        <f>VLOOKUP(D2618,'Lista de Produtos CLASSIFICAÇÃO'!$A$103:$B$144,2,FALSE)</f>
        <v>Derivados</v>
      </c>
      <c r="F2618" s="62">
        <v>1072636</v>
      </c>
      <c r="G2618" s="56" t="str">
        <f>VLOOKUP(C2618,clientes!$C$3:$D$60,2,FALSE)</f>
        <v>TAURUS</v>
      </c>
    </row>
    <row r="2619" spans="1:7" x14ac:dyDescent="0.25">
      <c r="A2619">
        <v>2026</v>
      </c>
      <c r="B2619" t="s">
        <v>140</v>
      </c>
      <c r="C2619" t="s">
        <v>244</v>
      </c>
      <c r="D2619" t="s">
        <v>120</v>
      </c>
      <c r="E2619" t="str">
        <f>VLOOKUP(D2619,'Lista de Produtos CLASSIFICAÇÃO'!$A$103:$B$144,2,FALSE)</f>
        <v>Derivados</v>
      </c>
      <c r="F2619" s="62">
        <v>1072636</v>
      </c>
      <c r="G2619" s="56" t="str">
        <f>VLOOKUP(C2619,clientes!$C$3:$D$60,2,FALSE)</f>
        <v>TAURUS</v>
      </c>
    </row>
    <row r="2620" spans="1:7" x14ac:dyDescent="0.25">
      <c r="A2620">
        <v>2026</v>
      </c>
      <c r="B2620" t="s">
        <v>141</v>
      </c>
      <c r="C2620" t="s">
        <v>244</v>
      </c>
      <c r="D2620" t="s">
        <v>120</v>
      </c>
      <c r="E2620" t="str">
        <f>VLOOKUP(D2620,'Lista de Produtos CLASSIFICAÇÃO'!$A$103:$B$144,2,FALSE)</f>
        <v>Derivados</v>
      </c>
      <c r="F2620" s="62">
        <v>1072636</v>
      </c>
      <c r="G2620" s="56" t="str">
        <f>VLOOKUP(C2620,clientes!$C$3:$D$60,2,FALSE)</f>
        <v>TAURUS</v>
      </c>
    </row>
    <row r="2621" spans="1:7" x14ac:dyDescent="0.25">
      <c r="A2621">
        <v>2026</v>
      </c>
      <c r="B2621" t="s">
        <v>142</v>
      </c>
      <c r="C2621" t="s">
        <v>244</v>
      </c>
      <c r="D2621" t="s">
        <v>120</v>
      </c>
      <c r="E2621" t="str">
        <f>VLOOKUP(D2621,'Lista de Produtos CLASSIFICAÇÃO'!$A$103:$B$144,2,FALSE)</f>
        <v>Derivados</v>
      </c>
      <c r="F2621" s="62">
        <v>1072636</v>
      </c>
      <c r="G2621" s="56" t="str">
        <f>VLOOKUP(C2621,clientes!$C$3:$D$60,2,FALSE)</f>
        <v>TAURUS</v>
      </c>
    </row>
    <row r="2622" spans="1:7" x14ac:dyDescent="0.25">
      <c r="E2622" t="e">
        <f>VLOOKUP(D2622,'Lista de Produtos CLASSIFICAÇÃO'!$A$103:$B$144,2,FALSE)</f>
        <v>#N/A</v>
      </c>
      <c r="F2622" s="53"/>
      <c r="G2622" s="56" t="e">
        <f>VLOOKUP(C2622,clientes!$C$3:$D$60,2,FALSE)</f>
        <v>#N/A</v>
      </c>
    </row>
    <row r="2623" spans="1:7" x14ac:dyDescent="0.25">
      <c r="E2623" t="e">
        <f>VLOOKUP(D2623,'Lista de Produtos CLASSIFICAÇÃO'!$A$103:$B$144,2,FALSE)</f>
        <v>#N/A</v>
      </c>
      <c r="F2623" s="53"/>
      <c r="G2623" s="56" t="e">
        <f>VLOOKUP(C2623,clientes!$C$3:$D$60,2,FALSE)</f>
        <v>#N/A</v>
      </c>
    </row>
    <row r="2624" spans="1:7" x14ac:dyDescent="0.25">
      <c r="E2624" t="e">
        <f>VLOOKUP(D2624,'Lista de Produtos CLASSIFICAÇÃO'!$A$103:$B$144,2,FALSE)</f>
        <v>#N/A</v>
      </c>
      <c r="F2624" s="53"/>
      <c r="G2624" s="56" t="e">
        <f>VLOOKUP(C2624,clientes!$C$3:$D$60,2,FALSE)</f>
        <v>#N/A</v>
      </c>
    </row>
    <row r="2625" spans="5:7" x14ac:dyDescent="0.25">
      <c r="E2625" t="e">
        <f>VLOOKUP(D2625,'Lista de Produtos CLASSIFICAÇÃO'!$A$103:$B$144,2,FALSE)</f>
        <v>#N/A</v>
      </c>
      <c r="F2625" s="53"/>
      <c r="G2625" s="56" t="e">
        <f>VLOOKUP(C2625,clientes!$C$3:$D$60,2,FALSE)</f>
        <v>#N/A</v>
      </c>
    </row>
    <row r="2626" spans="5:7" x14ac:dyDescent="0.25">
      <c r="E2626" t="e">
        <f>VLOOKUP(D2626,'Lista de Produtos CLASSIFICAÇÃO'!$A$103:$B$144,2,FALSE)</f>
        <v>#N/A</v>
      </c>
      <c r="F2626" s="53"/>
      <c r="G2626" s="56" t="e">
        <f>VLOOKUP(C2626,clientes!$C$3:$D$60,2,FALSE)</f>
        <v>#N/A</v>
      </c>
    </row>
    <row r="2627" spans="5:7" x14ac:dyDescent="0.25">
      <c r="E2627" t="e">
        <f>VLOOKUP(D2627,'Lista de Produtos CLASSIFICAÇÃO'!$A$103:$B$144,2,FALSE)</f>
        <v>#N/A</v>
      </c>
      <c r="F2627" s="53"/>
      <c r="G2627" s="56" t="e">
        <f>VLOOKUP(C2627,clientes!$C$3:$D$60,2,FALSE)</f>
        <v>#N/A</v>
      </c>
    </row>
    <row r="2628" spans="5:7" x14ac:dyDescent="0.25">
      <c r="E2628" t="e">
        <f>VLOOKUP(D2628,'Lista de Produtos CLASSIFICAÇÃO'!$A$103:$B$144,2,FALSE)</f>
        <v>#N/A</v>
      </c>
      <c r="F2628" s="53"/>
      <c r="G2628" s="56" t="e">
        <f>VLOOKUP(C2628,clientes!$C$3:$D$60,2,FALSE)</f>
        <v>#N/A</v>
      </c>
    </row>
    <row r="2629" spans="5:7" x14ac:dyDescent="0.25">
      <c r="E2629" t="e">
        <f>VLOOKUP(D2629,'Lista de Produtos CLASSIFICAÇÃO'!$A$103:$B$144,2,FALSE)</f>
        <v>#N/A</v>
      </c>
      <c r="F2629" s="53"/>
      <c r="G2629" s="56" t="e">
        <f>VLOOKUP(C2629,clientes!$C$3:$D$60,2,FALSE)</f>
        <v>#N/A</v>
      </c>
    </row>
    <row r="2630" spans="5:7" x14ac:dyDescent="0.25">
      <c r="E2630" t="e">
        <f>VLOOKUP(D2630,'Lista de Produtos CLASSIFICAÇÃO'!$A$103:$B$144,2,FALSE)</f>
        <v>#N/A</v>
      </c>
      <c r="F2630" s="53"/>
      <c r="G2630" s="56" t="e">
        <f>VLOOKUP(C2630,clientes!$C$3:$D$60,2,FALSE)</f>
        <v>#N/A</v>
      </c>
    </row>
    <row r="2631" spans="5:7" x14ac:dyDescent="0.25">
      <c r="E2631" t="e">
        <f>VLOOKUP(D2631,'Lista de Produtos CLASSIFICAÇÃO'!$A$103:$B$144,2,FALSE)</f>
        <v>#N/A</v>
      </c>
      <c r="F2631" s="53"/>
      <c r="G2631" s="56" t="e">
        <f>VLOOKUP(C2631,clientes!$C$3:$D$60,2,FALSE)</f>
        <v>#N/A</v>
      </c>
    </row>
    <row r="2632" spans="5:7" x14ac:dyDescent="0.25">
      <c r="E2632" t="e">
        <f>VLOOKUP(D2632,'Lista de Produtos CLASSIFICAÇÃO'!$A$103:$B$144,2,FALSE)</f>
        <v>#N/A</v>
      </c>
      <c r="F2632" s="53"/>
      <c r="G2632" s="56" t="e">
        <f>VLOOKUP(C2632,clientes!$C$3:$D$60,2,FALSE)</f>
        <v>#N/A</v>
      </c>
    </row>
    <row r="2633" spans="5:7" x14ac:dyDescent="0.25">
      <c r="E2633" t="e">
        <f>VLOOKUP(D2633,'Lista de Produtos CLASSIFICAÇÃO'!$A$103:$B$144,2,FALSE)</f>
        <v>#N/A</v>
      </c>
      <c r="F2633" s="53"/>
      <c r="G2633" s="56" t="e">
        <f>VLOOKUP(C2633,clientes!$C$3:$D$60,2,FALSE)</f>
        <v>#N/A</v>
      </c>
    </row>
    <row r="2634" spans="5:7" x14ac:dyDescent="0.25">
      <c r="E2634" t="e">
        <f>VLOOKUP(D2634,'Lista de Produtos CLASSIFICAÇÃO'!$A$103:$B$144,2,FALSE)</f>
        <v>#N/A</v>
      </c>
      <c r="F2634" s="53"/>
      <c r="G2634" s="56" t="e">
        <f>VLOOKUP(C2634,clientes!$C$3:$D$60,2,FALSE)</f>
        <v>#N/A</v>
      </c>
    </row>
    <row r="2635" spans="5:7" x14ac:dyDescent="0.25">
      <c r="E2635" t="e">
        <f>VLOOKUP(D2635,'Lista de Produtos CLASSIFICAÇÃO'!$A$103:$B$144,2,FALSE)</f>
        <v>#N/A</v>
      </c>
      <c r="F2635" s="53"/>
      <c r="G2635" s="56" t="e">
        <f>VLOOKUP(C2635,clientes!$C$3:$D$60,2,FALSE)</f>
        <v>#N/A</v>
      </c>
    </row>
    <row r="2636" spans="5:7" x14ac:dyDescent="0.25">
      <c r="E2636" t="e">
        <f>VLOOKUP(D2636,'Lista de Produtos CLASSIFICAÇÃO'!$A$103:$B$144,2,FALSE)</f>
        <v>#N/A</v>
      </c>
      <c r="F2636" s="53"/>
      <c r="G2636" s="56" t="e">
        <f>VLOOKUP(C2636,clientes!$C$3:$D$60,2,FALSE)</f>
        <v>#N/A</v>
      </c>
    </row>
    <row r="2637" spans="5:7" x14ac:dyDescent="0.25">
      <c r="E2637" t="e">
        <f>VLOOKUP(D2637,'Lista de Produtos CLASSIFICAÇÃO'!$A$103:$B$144,2,FALSE)</f>
        <v>#N/A</v>
      </c>
      <c r="F2637" s="53"/>
      <c r="G2637" s="56" t="e">
        <f>VLOOKUP(C2637,clientes!$C$3:$D$60,2,FALSE)</f>
        <v>#N/A</v>
      </c>
    </row>
    <row r="2638" spans="5:7" x14ac:dyDescent="0.25">
      <c r="E2638" t="e">
        <f>VLOOKUP(D2638,'Lista de Produtos CLASSIFICAÇÃO'!$A$103:$B$144,2,FALSE)</f>
        <v>#N/A</v>
      </c>
      <c r="F2638" s="53"/>
      <c r="G2638" s="56" t="e">
        <f>VLOOKUP(C2638,clientes!$C$3:$D$60,2,FALSE)</f>
        <v>#N/A</v>
      </c>
    </row>
    <row r="2639" spans="5:7" x14ac:dyDescent="0.25">
      <c r="E2639" t="e">
        <f>VLOOKUP(D2639,'Lista de Produtos CLASSIFICAÇÃO'!$A$103:$B$144,2,FALSE)</f>
        <v>#N/A</v>
      </c>
      <c r="F2639" s="53"/>
      <c r="G2639" s="56" t="e">
        <f>VLOOKUP(C2639,clientes!$C$3:$D$60,2,FALSE)</f>
        <v>#N/A</v>
      </c>
    </row>
    <row r="2640" spans="5:7" x14ac:dyDescent="0.25">
      <c r="E2640" t="e">
        <f>VLOOKUP(D2640,'Lista de Produtos CLASSIFICAÇÃO'!$A$103:$B$144,2,FALSE)</f>
        <v>#N/A</v>
      </c>
      <c r="F2640" s="53"/>
      <c r="G2640" s="56" t="e">
        <f>VLOOKUP(C2640,clientes!$C$3:$D$60,2,FALSE)</f>
        <v>#N/A</v>
      </c>
    </row>
    <row r="2641" spans="5:7" x14ac:dyDescent="0.25">
      <c r="E2641" t="e">
        <f>VLOOKUP(D2641,'Lista de Produtos CLASSIFICAÇÃO'!$A$103:$B$144,2,FALSE)</f>
        <v>#N/A</v>
      </c>
      <c r="F2641" s="53"/>
      <c r="G2641" s="56" t="e">
        <f>VLOOKUP(C2641,clientes!$C$3:$D$60,2,FALSE)</f>
        <v>#N/A</v>
      </c>
    </row>
    <row r="2642" spans="5:7" x14ac:dyDescent="0.25">
      <c r="E2642" t="e">
        <f>VLOOKUP(D2642,'Lista de Produtos CLASSIFICAÇÃO'!$A$103:$B$144,2,FALSE)</f>
        <v>#N/A</v>
      </c>
      <c r="F2642" s="53"/>
      <c r="G2642" s="56" t="e">
        <f>VLOOKUP(C2642,clientes!$C$3:$D$60,2,FALSE)</f>
        <v>#N/A</v>
      </c>
    </row>
    <row r="2643" spans="5:7" x14ac:dyDescent="0.25">
      <c r="E2643" t="e">
        <f>VLOOKUP(D2643,'Lista de Produtos CLASSIFICAÇÃO'!$A$103:$B$144,2,FALSE)</f>
        <v>#N/A</v>
      </c>
      <c r="F2643" s="53"/>
      <c r="G2643" s="56" t="e">
        <f>VLOOKUP(C2643,clientes!$C$3:$D$60,2,FALSE)</f>
        <v>#N/A</v>
      </c>
    </row>
    <row r="2644" spans="5:7" x14ac:dyDescent="0.25">
      <c r="E2644" t="e">
        <f>VLOOKUP(D2644,'Lista de Produtos CLASSIFICAÇÃO'!$A$103:$B$144,2,FALSE)</f>
        <v>#N/A</v>
      </c>
      <c r="F2644" s="53"/>
      <c r="G2644" s="56" t="e">
        <f>VLOOKUP(C2644,clientes!$C$3:$D$60,2,FALSE)</f>
        <v>#N/A</v>
      </c>
    </row>
    <row r="2645" spans="5:7" x14ac:dyDescent="0.25">
      <c r="E2645" t="e">
        <f>VLOOKUP(D2645,'Lista de Produtos CLASSIFICAÇÃO'!$A$103:$B$144,2,FALSE)</f>
        <v>#N/A</v>
      </c>
      <c r="F2645" s="53"/>
      <c r="G2645" s="56" t="e">
        <f>VLOOKUP(C2645,clientes!$C$3:$D$60,2,FALSE)</f>
        <v>#N/A</v>
      </c>
    </row>
    <row r="2646" spans="5:7" x14ac:dyDescent="0.25">
      <c r="E2646" t="e">
        <f>VLOOKUP(D2646,'Lista de Produtos CLASSIFICAÇÃO'!$A$103:$B$144,2,FALSE)</f>
        <v>#N/A</v>
      </c>
      <c r="F2646" s="53"/>
      <c r="G2646" s="56" t="e">
        <f>VLOOKUP(C2646,clientes!$C$3:$D$60,2,FALSE)</f>
        <v>#N/A</v>
      </c>
    </row>
    <row r="2647" spans="5:7" x14ac:dyDescent="0.25">
      <c r="E2647" t="e">
        <f>VLOOKUP(D2647,'Lista de Produtos CLASSIFICAÇÃO'!$A$103:$B$144,2,FALSE)</f>
        <v>#N/A</v>
      </c>
      <c r="F2647" s="53"/>
      <c r="G2647" s="56" t="e">
        <f>VLOOKUP(C2647,clientes!$C$3:$D$60,2,FALSE)</f>
        <v>#N/A</v>
      </c>
    </row>
    <row r="2648" spans="5:7" x14ac:dyDescent="0.25">
      <c r="E2648" t="e">
        <f>VLOOKUP(D2648,'Lista de Produtos CLASSIFICAÇÃO'!$A$103:$B$144,2,FALSE)</f>
        <v>#N/A</v>
      </c>
      <c r="F2648" s="53"/>
      <c r="G2648" s="56" t="e">
        <f>VLOOKUP(C2648,clientes!$C$3:$D$60,2,FALSE)</f>
        <v>#N/A</v>
      </c>
    </row>
    <row r="2649" spans="5:7" x14ac:dyDescent="0.25">
      <c r="E2649" t="e">
        <f>VLOOKUP(D2649,'Lista de Produtos CLASSIFICAÇÃO'!$A$103:$B$144,2,FALSE)</f>
        <v>#N/A</v>
      </c>
      <c r="F2649" s="53"/>
      <c r="G2649" s="56" t="e">
        <f>VLOOKUP(C2649,clientes!$C$3:$D$60,2,FALSE)</f>
        <v>#N/A</v>
      </c>
    </row>
    <row r="2650" spans="5:7" x14ac:dyDescent="0.25">
      <c r="E2650" t="e">
        <f>VLOOKUP(D2650,'Lista de Produtos CLASSIFICAÇÃO'!$A$103:$B$144,2,FALSE)</f>
        <v>#N/A</v>
      </c>
      <c r="F2650" s="53"/>
      <c r="G2650" s="56" t="e">
        <f>VLOOKUP(C2650,clientes!$C$3:$D$60,2,FALSE)</f>
        <v>#N/A</v>
      </c>
    </row>
    <row r="2651" spans="5:7" x14ac:dyDescent="0.25">
      <c r="E2651" t="e">
        <f>VLOOKUP(D2651,'Lista de Produtos CLASSIFICAÇÃO'!$A$103:$B$144,2,FALSE)</f>
        <v>#N/A</v>
      </c>
      <c r="F2651" s="53"/>
      <c r="G2651" s="56" t="e">
        <f>VLOOKUP(C2651,clientes!$C$3:$D$60,2,FALSE)</f>
        <v>#N/A</v>
      </c>
    </row>
    <row r="2652" spans="5:7" x14ac:dyDescent="0.25">
      <c r="E2652" t="e">
        <f>VLOOKUP(D2652,'Lista de Produtos CLASSIFICAÇÃO'!$A$103:$B$144,2,FALSE)</f>
        <v>#N/A</v>
      </c>
      <c r="F2652" s="53"/>
      <c r="G2652" s="56" t="e">
        <f>VLOOKUP(C2652,clientes!$C$3:$D$60,2,FALSE)</f>
        <v>#N/A</v>
      </c>
    </row>
    <row r="2653" spans="5:7" x14ac:dyDescent="0.25">
      <c r="E2653" t="e">
        <f>VLOOKUP(D2653,'Lista de Produtos CLASSIFICAÇÃO'!$A$103:$B$144,2,FALSE)</f>
        <v>#N/A</v>
      </c>
      <c r="F2653" s="53"/>
      <c r="G2653" s="56" t="e">
        <f>VLOOKUP(C2653,clientes!$C$3:$D$60,2,FALSE)</f>
        <v>#N/A</v>
      </c>
    </row>
    <row r="2654" spans="5:7" x14ac:dyDescent="0.25">
      <c r="E2654" t="e">
        <f>VLOOKUP(D2654,'Lista de Produtos CLASSIFICAÇÃO'!$A$103:$B$144,2,FALSE)</f>
        <v>#N/A</v>
      </c>
      <c r="F2654" s="53"/>
      <c r="G2654" s="56" t="e">
        <f>VLOOKUP(C2654,clientes!$C$3:$D$60,2,FALSE)</f>
        <v>#N/A</v>
      </c>
    </row>
    <row r="2655" spans="5:7" x14ac:dyDescent="0.25">
      <c r="E2655" t="e">
        <f>VLOOKUP(D2655,'Lista de Produtos CLASSIFICAÇÃO'!$A$103:$B$144,2,FALSE)</f>
        <v>#N/A</v>
      </c>
      <c r="F2655" s="53"/>
      <c r="G2655" s="56" t="e">
        <f>VLOOKUP(C2655,clientes!$C$3:$D$60,2,FALSE)</f>
        <v>#N/A</v>
      </c>
    </row>
    <row r="2656" spans="5:7" x14ac:dyDescent="0.25">
      <c r="E2656" t="e">
        <f>VLOOKUP(D2656,'Lista de Produtos CLASSIFICAÇÃO'!$A$103:$B$144,2,FALSE)</f>
        <v>#N/A</v>
      </c>
      <c r="F2656" s="53"/>
      <c r="G2656" s="56" t="e">
        <f>VLOOKUP(C2656,clientes!$C$3:$D$60,2,FALSE)</f>
        <v>#N/A</v>
      </c>
    </row>
    <row r="2657" spans="5:7" x14ac:dyDescent="0.25">
      <c r="E2657" t="e">
        <f>VLOOKUP(D2657,'Lista de Produtos CLASSIFICAÇÃO'!$A$103:$B$144,2,FALSE)</f>
        <v>#N/A</v>
      </c>
      <c r="F2657" s="53"/>
      <c r="G2657" s="56" t="e">
        <f>VLOOKUP(C2657,clientes!$C$3:$D$60,2,FALSE)</f>
        <v>#N/A</v>
      </c>
    </row>
    <row r="2658" spans="5:7" x14ac:dyDescent="0.25">
      <c r="E2658" t="e">
        <f>VLOOKUP(D2658,'Lista de Produtos CLASSIFICAÇÃO'!$A$103:$B$144,2,FALSE)</f>
        <v>#N/A</v>
      </c>
      <c r="F2658" s="53"/>
      <c r="G2658" s="56" t="e">
        <f>VLOOKUP(C2658,clientes!$C$3:$D$60,2,FALSE)</f>
        <v>#N/A</v>
      </c>
    </row>
    <row r="2659" spans="5:7" x14ac:dyDescent="0.25">
      <c r="E2659" t="e">
        <f>VLOOKUP(D2659,'Lista de Produtos CLASSIFICAÇÃO'!$A$103:$B$144,2,FALSE)</f>
        <v>#N/A</v>
      </c>
      <c r="F2659" s="53"/>
      <c r="G2659" s="56" t="e">
        <f>VLOOKUP(C2659,clientes!$C$3:$D$60,2,FALSE)</f>
        <v>#N/A</v>
      </c>
    </row>
    <row r="2660" spans="5:7" x14ac:dyDescent="0.25">
      <c r="E2660" t="e">
        <f>VLOOKUP(D2660,'Lista de Produtos CLASSIFICAÇÃO'!$A$103:$B$144,2,FALSE)</f>
        <v>#N/A</v>
      </c>
      <c r="F2660" s="53"/>
      <c r="G2660" s="56" t="e">
        <f>VLOOKUP(C2660,clientes!$C$3:$D$60,2,FALSE)</f>
        <v>#N/A</v>
      </c>
    </row>
    <row r="2661" spans="5:7" x14ac:dyDescent="0.25">
      <c r="E2661" t="e">
        <f>VLOOKUP(D2661,'Lista de Produtos CLASSIFICAÇÃO'!$A$103:$B$144,2,FALSE)</f>
        <v>#N/A</v>
      </c>
      <c r="F2661" s="53"/>
      <c r="G2661" s="56" t="e">
        <f>VLOOKUP(C2661,clientes!$C$3:$D$60,2,FALSE)</f>
        <v>#N/A</v>
      </c>
    </row>
    <row r="2662" spans="5:7" x14ac:dyDescent="0.25">
      <c r="E2662" t="e">
        <f>VLOOKUP(D2662,'Lista de Produtos CLASSIFICAÇÃO'!$A$103:$B$144,2,FALSE)</f>
        <v>#N/A</v>
      </c>
      <c r="F2662" s="53"/>
      <c r="G2662" s="56" t="e">
        <f>VLOOKUP(C2662,clientes!$C$3:$D$60,2,FALSE)</f>
        <v>#N/A</v>
      </c>
    </row>
    <row r="2663" spans="5:7" x14ac:dyDescent="0.25">
      <c r="E2663" t="e">
        <f>VLOOKUP(D2663,'Lista de Produtos CLASSIFICAÇÃO'!$A$103:$B$144,2,FALSE)</f>
        <v>#N/A</v>
      </c>
      <c r="F2663" s="53"/>
      <c r="G2663" s="56" t="e">
        <f>VLOOKUP(C2663,clientes!$C$3:$D$60,2,FALSE)</f>
        <v>#N/A</v>
      </c>
    </row>
    <row r="2664" spans="5:7" x14ac:dyDescent="0.25">
      <c r="E2664" t="e">
        <f>VLOOKUP(D2664,'Lista de Produtos CLASSIFICAÇÃO'!$A$103:$B$144,2,FALSE)</f>
        <v>#N/A</v>
      </c>
      <c r="F2664" s="53"/>
      <c r="G2664" s="56" t="e">
        <f>VLOOKUP(C2664,clientes!$C$3:$D$60,2,FALSE)</f>
        <v>#N/A</v>
      </c>
    </row>
    <row r="2665" spans="5:7" x14ac:dyDescent="0.25">
      <c r="E2665" t="e">
        <f>VLOOKUP(D2665,'Lista de Produtos CLASSIFICAÇÃO'!$A$103:$B$144,2,FALSE)</f>
        <v>#N/A</v>
      </c>
      <c r="F2665" s="53"/>
      <c r="G2665" s="56" t="e">
        <f>VLOOKUP(C2665,clientes!$C$3:$D$60,2,FALSE)</f>
        <v>#N/A</v>
      </c>
    </row>
    <row r="2666" spans="5:7" x14ac:dyDescent="0.25">
      <c r="E2666" t="e">
        <f>VLOOKUP(D2666,'Lista de Produtos CLASSIFICAÇÃO'!$A$103:$B$144,2,FALSE)</f>
        <v>#N/A</v>
      </c>
      <c r="F2666" s="53"/>
      <c r="G2666" s="56" t="e">
        <f>VLOOKUP(C2666,clientes!$C$3:$D$60,2,FALSE)</f>
        <v>#N/A</v>
      </c>
    </row>
    <row r="2667" spans="5:7" x14ac:dyDescent="0.25">
      <c r="E2667" t="e">
        <f>VLOOKUP(D2667,'Lista de Produtos CLASSIFICAÇÃO'!$A$103:$B$144,2,FALSE)</f>
        <v>#N/A</v>
      </c>
      <c r="F2667" s="53"/>
      <c r="G2667" s="56" t="e">
        <f>VLOOKUP(C2667,clientes!$C$3:$D$60,2,FALSE)</f>
        <v>#N/A</v>
      </c>
    </row>
    <row r="2668" spans="5:7" x14ac:dyDescent="0.25">
      <c r="E2668" t="e">
        <f>VLOOKUP(D2668,'Lista de Produtos CLASSIFICAÇÃO'!$A$103:$B$144,2,FALSE)</f>
        <v>#N/A</v>
      </c>
      <c r="F2668" s="53"/>
      <c r="G2668" s="56" t="e">
        <f>VLOOKUP(C2668,clientes!$C$3:$D$60,2,FALSE)</f>
        <v>#N/A</v>
      </c>
    </row>
    <row r="2669" spans="5:7" x14ac:dyDescent="0.25">
      <c r="E2669" t="e">
        <f>VLOOKUP(D2669,'Lista de Produtos CLASSIFICAÇÃO'!$A$103:$B$144,2,FALSE)</f>
        <v>#N/A</v>
      </c>
      <c r="F2669" s="53"/>
      <c r="G2669" s="56" t="e">
        <f>VLOOKUP(C2669,clientes!$C$3:$D$60,2,FALSE)</f>
        <v>#N/A</v>
      </c>
    </row>
    <row r="2670" spans="5:7" x14ac:dyDescent="0.25">
      <c r="E2670" t="e">
        <f>VLOOKUP(D2670,'Lista de Produtos CLASSIFICAÇÃO'!$A$103:$B$144,2,FALSE)</f>
        <v>#N/A</v>
      </c>
      <c r="F2670" s="53"/>
      <c r="G2670" s="56" t="e">
        <f>VLOOKUP(C2670,clientes!$C$3:$D$60,2,FALSE)</f>
        <v>#N/A</v>
      </c>
    </row>
    <row r="2671" spans="5:7" x14ac:dyDescent="0.25">
      <c r="E2671" t="e">
        <f>VLOOKUP(D2671,'Lista de Produtos CLASSIFICAÇÃO'!$A$103:$B$144,2,FALSE)</f>
        <v>#N/A</v>
      </c>
      <c r="F2671" s="53"/>
      <c r="G2671" s="56" t="e">
        <f>VLOOKUP(C2671,clientes!$C$3:$D$60,2,FALSE)</f>
        <v>#N/A</v>
      </c>
    </row>
    <row r="2672" spans="5:7" x14ac:dyDescent="0.25">
      <c r="E2672" t="e">
        <f>VLOOKUP(D2672,'Lista de Produtos CLASSIFICAÇÃO'!$A$103:$B$144,2,FALSE)</f>
        <v>#N/A</v>
      </c>
      <c r="F2672" s="53"/>
      <c r="G2672" s="56" t="e">
        <f>VLOOKUP(C2672,clientes!$C$3:$D$60,2,FALSE)</f>
        <v>#N/A</v>
      </c>
    </row>
    <row r="2673" spans="5:7" x14ac:dyDescent="0.25">
      <c r="E2673" t="e">
        <f>VLOOKUP(D2673,'Lista de Produtos CLASSIFICAÇÃO'!$A$103:$B$144,2,FALSE)</f>
        <v>#N/A</v>
      </c>
      <c r="F2673" s="53"/>
      <c r="G2673" s="56" t="e">
        <f>VLOOKUP(C2673,clientes!$C$3:$D$60,2,FALSE)</f>
        <v>#N/A</v>
      </c>
    </row>
    <row r="2674" spans="5:7" x14ac:dyDescent="0.25">
      <c r="E2674" t="e">
        <f>VLOOKUP(D2674,'Lista de Produtos CLASSIFICAÇÃO'!$A$103:$B$144,2,FALSE)</f>
        <v>#N/A</v>
      </c>
      <c r="F2674" s="53"/>
      <c r="G2674" s="56" t="e">
        <f>VLOOKUP(C2674,clientes!$C$3:$D$60,2,FALSE)</f>
        <v>#N/A</v>
      </c>
    </row>
    <row r="2675" spans="5:7" x14ac:dyDescent="0.25">
      <c r="E2675" t="e">
        <f>VLOOKUP(D2675,'Lista de Produtos CLASSIFICAÇÃO'!$A$103:$B$144,2,FALSE)</f>
        <v>#N/A</v>
      </c>
      <c r="F2675" s="53"/>
      <c r="G2675" s="56" t="e">
        <f>VLOOKUP(C2675,clientes!$C$3:$D$60,2,FALSE)</f>
        <v>#N/A</v>
      </c>
    </row>
    <row r="2676" spans="5:7" x14ac:dyDescent="0.25">
      <c r="E2676" t="e">
        <f>VLOOKUP(D2676,'Lista de Produtos CLASSIFICAÇÃO'!$A$103:$B$144,2,FALSE)</f>
        <v>#N/A</v>
      </c>
      <c r="F2676" s="53"/>
      <c r="G2676" s="56" t="e">
        <f>VLOOKUP(C2676,clientes!$C$3:$D$60,2,FALSE)</f>
        <v>#N/A</v>
      </c>
    </row>
    <row r="2677" spans="5:7" x14ac:dyDescent="0.25">
      <c r="E2677" t="e">
        <f>VLOOKUP(D2677,'Lista de Produtos CLASSIFICAÇÃO'!$A$103:$B$144,2,FALSE)</f>
        <v>#N/A</v>
      </c>
      <c r="F2677" s="53"/>
      <c r="G2677" s="56" t="e">
        <f>VLOOKUP(C2677,clientes!$C$3:$D$60,2,FALSE)</f>
        <v>#N/A</v>
      </c>
    </row>
    <row r="2678" spans="5:7" x14ac:dyDescent="0.25">
      <c r="E2678" t="e">
        <f>VLOOKUP(D2678,'Lista de Produtos CLASSIFICAÇÃO'!$A$103:$B$144,2,FALSE)</f>
        <v>#N/A</v>
      </c>
      <c r="F2678" s="53"/>
      <c r="G2678" s="56" t="e">
        <f>VLOOKUP(C2678,clientes!$C$3:$D$60,2,FALSE)</f>
        <v>#N/A</v>
      </c>
    </row>
    <row r="2679" spans="5:7" x14ac:dyDescent="0.25">
      <c r="E2679" t="e">
        <f>VLOOKUP(D2679,'Lista de Produtos CLASSIFICAÇÃO'!$A$103:$B$144,2,FALSE)</f>
        <v>#N/A</v>
      </c>
      <c r="F2679" s="53"/>
      <c r="G2679" s="56" t="e">
        <f>VLOOKUP(C2679,clientes!$C$3:$D$60,2,FALSE)</f>
        <v>#N/A</v>
      </c>
    </row>
    <row r="2680" spans="5:7" x14ac:dyDescent="0.25">
      <c r="E2680" t="e">
        <f>VLOOKUP(D2680,'Lista de Produtos CLASSIFICAÇÃO'!$A$103:$B$144,2,FALSE)</f>
        <v>#N/A</v>
      </c>
      <c r="F2680" s="53"/>
      <c r="G2680" s="56" t="e">
        <f>VLOOKUP(C2680,clientes!$C$3:$D$60,2,FALSE)</f>
        <v>#N/A</v>
      </c>
    </row>
    <row r="2681" spans="5:7" x14ac:dyDescent="0.25">
      <c r="E2681" t="e">
        <f>VLOOKUP(D2681,'Lista de Produtos CLASSIFICAÇÃO'!$A$103:$B$144,2,FALSE)</f>
        <v>#N/A</v>
      </c>
      <c r="F2681" s="53"/>
      <c r="G2681" s="56" t="e">
        <f>VLOOKUP(C2681,clientes!$C$3:$D$60,2,FALSE)</f>
        <v>#N/A</v>
      </c>
    </row>
    <row r="2682" spans="5:7" x14ac:dyDescent="0.25">
      <c r="E2682" t="e">
        <f>VLOOKUP(D2682,'Lista de Produtos CLASSIFICAÇÃO'!$A$103:$B$144,2,FALSE)</f>
        <v>#N/A</v>
      </c>
      <c r="F2682" s="53"/>
      <c r="G2682" s="56" t="e">
        <f>VLOOKUP(C2682,clientes!$C$3:$D$60,2,FALSE)</f>
        <v>#N/A</v>
      </c>
    </row>
    <row r="2683" spans="5:7" x14ac:dyDescent="0.25">
      <c r="E2683" t="e">
        <f>VLOOKUP(D2683,'Lista de Produtos CLASSIFICAÇÃO'!$A$103:$B$144,2,FALSE)</f>
        <v>#N/A</v>
      </c>
      <c r="F2683" s="53"/>
      <c r="G2683" s="56" t="e">
        <f>VLOOKUP(C2683,clientes!$C$3:$D$60,2,FALSE)</f>
        <v>#N/A</v>
      </c>
    </row>
    <row r="2684" spans="5:7" x14ac:dyDescent="0.25">
      <c r="E2684" t="e">
        <f>VLOOKUP(D2684,'Lista de Produtos CLASSIFICAÇÃO'!$A$103:$B$144,2,FALSE)</f>
        <v>#N/A</v>
      </c>
      <c r="F2684" s="53"/>
      <c r="G2684" s="56" t="e">
        <f>VLOOKUP(C2684,clientes!$C$3:$D$60,2,FALSE)</f>
        <v>#N/A</v>
      </c>
    </row>
    <row r="2685" spans="5:7" x14ac:dyDescent="0.25">
      <c r="E2685" t="e">
        <f>VLOOKUP(D2685,'Lista de Produtos CLASSIFICAÇÃO'!$A$103:$B$144,2,FALSE)</f>
        <v>#N/A</v>
      </c>
      <c r="F2685" s="53"/>
      <c r="G2685" s="56" t="e">
        <f>VLOOKUP(C2685,clientes!$C$3:$D$60,2,FALSE)</f>
        <v>#N/A</v>
      </c>
    </row>
    <row r="2686" spans="5:7" x14ac:dyDescent="0.25">
      <c r="E2686" t="e">
        <f>VLOOKUP(D2686,'Lista de Produtos CLASSIFICAÇÃO'!$A$103:$B$144,2,FALSE)</f>
        <v>#N/A</v>
      </c>
      <c r="F2686" s="53"/>
      <c r="G2686" s="56" t="e">
        <f>VLOOKUP(C2686,clientes!$C$3:$D$60,2,FALSE)</f>
        <v>#N/A</v>
      </c>
    </row>
    <row r="2687" spans="5:7" x14ac:dyDescent="0.25">
      <c r="E2687" t="e">
        <f>VLOOKUP(D2687,'Lista de Produtos CLASSIFICAÇÃO'!$A$103:$B$144,2,FALSE)</f>
        <v>#N/A</v>
      </c>
      <c r="F2687" s="53"/>
      <c r="G2687" s="56" t="e">
        <f>VLOOKUP(C2687,clientes!$C$3:$D$60,2,FALSE)</f>
        <v>#N/A</v>
      </c>
    </row>
    <row r="2688" spans="5:7" x14ac:dyDescent="0.25">
      <c r="E2688" t="e">
        <f>VLOOKUP(D2688,'Lista de Produtos CLASSIFICAÇÃO'!$A$103:$B$144,2,FALSE)</f>
        <v>#N/A</v>
      </c>
      <c r="F2688" s="53"/>
      <c r="G2688" s="56" t="e">
        <f>VLOOKUP(C2688,clientes!$C$3:$D$60,2,FALSE)</f>
        <v>#N/A</v>
      </c>
    </row>
    <row r="2689" spans="5:7" x14ac:dyDescent="0.25">
      <c r="E2689" t="e">
        <f>VLOOKUP(D2689,'Lista de Produtos CLASSIFICAÇÃO'!$A$103:$B$144,2,FALSE)</f>
        <v>#N/A</v>
      </c>
      <c r="F2689" s="53"/>
      <c r="G2689" s="56" t="e">
        <f>VLOOKUP(C2689,clientes!$C$3:$D$60,2,FALSE)</f>
        <v>#N/A</v>
      </c>
    </row>
    <row r="2690" spans="5:7" x14ac:dyDescent="0.25">
      <c r="E2690" t="e">
        <f>VLOOKUP(D2690,'Lista de Produtos CLASSIFICAÇÃO'!$A$103:$B$144,2,FALSE)</f>
        <v>#N/A</v>
      </c>
      <c r="F2690" s="53"/>
      <c r="G2690" s="56" t="e">
        <f>VLOOKUP(C2690,clientes!$C$3:$D$60,2,FALSE)</f>
        <v>#N/A</v>
      </c>
    </row>
    <row r="2691" spans="5:7" x14ac:dyDescent="0.25">
      <c r="E2691" t="e">
        <f>VLOOKUP(D2691,'Lista de Produtos CLASSIFICAÇÃO'!$A$103:$B$144,2,FALSE)</f>
        <v>#N/A</v>
      </c>
      <c r="F2691" s="53"/>
      <c r="G2691" s="56" t="e">
        <f>VLOOKUP(C2691,clientes!$C$3:$D$60,2,FALSE)</f>
        <v>#N/A</v>
      </c>
    </row>
    <row r="2692" spans="5:7" x14ac:dyDescent="0.25">
      <c r="E2692" t="e">
        <f>VLOOKUP(D2692,'Lista de Produtos CLASSIFICAÇÃO'!$A$103:$B$144,2,FALSE)</f>
        <v>#N/A</v>
      </c>
      <c r="F2692" s="53"/>
      <c r="G2692" s="56" t="e">
        <f>VLOOKUP(C2692,clientes!$C$3:$D$60,2,FALSE)</f>
        <v>#N/A</v>
      </c>
    </row>
    <row r="2693" spans="5:7" x14ac:dyDescent="0.25">
      <c r="E2693" t="e">
        <f>VLOOKUP(D2693,'Lista de Produtos CLASSIFICAÇÃO'!$A$103:$B$144,2,FALSE)</f>
        <v>#N/A</v>
      </c>
      <c r="F2693" s="53"/>
      <c r="G2693" s="56" t="e">
        <f>VLOOKUP(C2693,clientes!$C$3:$D$60,2,FALSE)</f>
        <v>#N/A</v>
      </c>
    </row>
    <row r="2694" spans="5:7" x14ac:dyDescent="0.25">
      <c r="E2694" t="e">
        <f>VLOOKUP(D2694,'Lista de Produtos CLASSIFICAÇÃO'!$A$103:$B$144,2,FALSE)</f>
        <v>#N/A</v>
      </c>
      <c r="F2694" s="53"/>
      <c r="G2694" s="56" t="e">
        <f>VLOOKUP(C2694,clientes!$C$3:$D$60,2,FALSE)</f>
        <v>#N/A</v>
      </c>
    </row>
    <row r="2695" spans="5:7" x14ac:dyDescent="0.25">
      <c r="E2695" t="e">
        <f>VLOOKUP(D2695,'Lista de Produtos CLASSIFICAÇÃO'!$A$103:$B$144,2,FALSE)</f>
        <v>#N/A</v>
      </c>
      <c r="F2695" s="53"/>
      <c r="G2695" s="56" t="e">
        <f>VLOOKUP(C2695,clientes!$C$3:$D$60,2,FALSE)</f>
        <v>#N/A</v>
      </c>
    </row>
    <row r="2696" spans="5:7" x14ac:dyDescent="0.25">
      <c r="E2696" t="e">
        <f>VLOOKUP(D2696,'Lista de Produtos CLASSIFICAÇÃO'!$A$103:$B$144,2,FALSE)</f>
        <v>#N/A</v>
      </c>
      <c r="F2696" s="53"/>
      <c r="G2696" s="56" t="e">
        <f>VLOOKUP(C2696,clientes!$C$3:$D$60,2,FALSE)</f>
        <v>#N/A</v>
      </c>
    </row>
    <row r="2697" spans="5:7" x14ac:dyDescent="0.25">
      <c r="E2697" t="e">
        <f>VLOOKUP(D2697,'Lista de Produtos CLASSIFICAÇÃO'!$A$103:$B$144,2,FALSE)</f>
        <v>#N/A</v>
      </c>
      <c r="F2697" s="53"/>
      <c r="G2697" s="56" t="e">
        <f>VLOOKUP(C2697,clientes!$C$3:$D$60,2,FALSE)</f>
        <v>#N/A</v>
      </c>
    </row>
    <row r="2698" spans="5:7" x14ac:dyDescent="0.25">
      <c r="E2698" t="e">
        <f>VLOOKUP(D2698,'Lista de Produtos CLASSIFICAÇÃO'!$A$103:$B$144,2,FALSE)</f>
        <v>#N/A</v>
      </c>
      <c r="F2698" s="53"/>
      <c r="G2698" s="56" t="e">
        <f>VLOOKUP(C2698,clientes!$C$3:$D$60,2,FALSE)</f>
        <v>#N/A</v>
      </c>
    </row>
    <row r="2699" spans="5:7" x14ac:dyDescent="0.25">
      <c r="E2699" t="e">
        <f>VLOOKUP(D2699,'Lista de Produtos CLASSIFICAÇÃO'!$A$103:$B$144,2,FALSE)</f>
        <v>#N/A</v>
      </c>
      <c r="F2699" s="53"/>
      <c r="G2699" s="56" t="e">
        <f>VLOOKUP(C2699,clientes!$C$3:$D$60,2,FALSE)</f>
        <v>#N/A</v>
      </c>
    </row>
    <row r="2700" spans="5:7" x14ac:dyDescent="0.25">
      <c r="E2700" t="e">
        <f>VLOOKUP(D2700,'Lista de Produtos CLASSIFICAÇÃO'!$A$103:$B$144,2,FALSE)</f>
        <v>#N/A</v>
      </c>
      <c r="F2700" s="53"/>
      <c r="G2700" s="56" t="e">
        <f>VLOOKUP(C2700,clientes!$C$3:$D$60,2,FALSE)</f>
        <v>#N/A</v>
      </c>
    </row>
    <row r="2701" spans="5:7" x14ac:dyDescent="0.25">
      <c r="E2701" t="e">
        <f>VLOOKUP(D2701,'Lista de Produtos CLASSIFICAÇÃO'!$A$103:$B$144,2,FALSE)</f>
        <v>#N/A</v>
      </c>
      <c r="F2701" s="53"/>
      <c r="G2701" s="56" t="e">
        <f>VLOOKUP(C2701,clientes!$C$3:$D$60,2,FALSE)</f>
        <v>#N/A</v>
      </c>
    </row>
    <row r="2702" spans="5:7" x14ac:dyDescent="0.25">
      <c r="E2702" t="e">
        <f>VLOOKUP(D2702,'Lista de Produtos CLASSIFICAÇÃO'!$A$103:$B$144,2,FALSE)</f>
        <v>#N/A</v>
      </c>
      <c r="F2702" s="53"/>
      <c r="G2702" s="56" t="e">
        <f>VLOOKUP(C2702,clientes!$C$3:$D$60,2,FALSE)</f>
        <v>#N/A</v>
      </c>
    </row>
    <row r="2703" spans="5:7" x14ac:dyDescent="0.25">
      <c r="E2703" t="e">
        <f>VLOOKUP(D2703,'Lista de Produtos CLASSIFICAÇÃO'!$A$103:$B$144,2,FALSE)</f>
        <v>#N/A</v>
      </c>
      <c r="F2703" s="53"/>
      <c r="G2703" s="56" t="e">
        <f>VLOOKUP(C2703,clientes!$C$3:$D$60,2,FALSE)</f>
        <v>#N/A</v>
      </c>
    </row>
    <row r="2704" spans="5:7" x14ac:dyDescent="0.25">
      <c r="E2704" t="e">
        <f>VLOOKUP(D2704,'Lista de Produtos CLASSIFICAÇÃO'!$A$103:$B$144,2,FALSE)</f>
        <v>#N/A</v>
      </c>
      <c r="F2704" s="53"/>
      <c r="G2704" s="56" t="e">
        <f>VLOOKUP(C2704,clientes!$C$3:$D$60,2,FALSE)</f>
        <v>#N/A</v>
      </c>
    </row>
    <row r="2705" spans="5:7" x14ac:dyDescent="0.25">
      <c r="E2705" t="e">
        <f>VLOOKUP(D2705,'Lista de Produtos CLASSIFICAÇÃO'!$A$103:$B$144,2,FALSE)</f>
        <v>#N/A</v>
      </c>
      <c r="F2705" s="53"/>
      <c r="G2705" s="56" t="e">
        <f>VLOOKUP(C2705,clientes!$C$3:$D$60,2,FALSE)</f>
        <v>#N/A</v>
      </c>
    </row>
    <row r="2706" spans="5:7" x14ac:dyDescent="0.25">
      <c r="E2706" t="e">
        <f>VLOOKUP(D2706,'Lista de Produtos CLASSIFICAÇÃO'!$A$103:$B$144,2,FALSE)</f>
        <v>#N/A</v>
      </c>
      <c r="F2706" s="53"/>
      <c r="G2706" s="56" t="e">
        <f>VLOOKUP(C2706,clientes!$C$3:$D$60,2,FALSE)</f>
        <v>#N/A</v>
      </c>
    </row>
    <row r="2707" spans="5:7" x14ac:dyDescent="0.25">
      <c r="E2707" t="e">
        <f>VLOOKUP(D2707,'Lista de Produtos CLASSIFICAÇÃO'!$A$103:$B$144,2,FALSE)</f>
        <v>#N/A</v>
      </c>
      <c r="F2707" s="53"/>
      <c r="G2707" s="56" t="e">
        <f>VLOOKUP(C2707,clientes!$C$3:$D$60,2,FALSE)</f>
        <v>#N/A</v>
      </c>
    </row>
    <row r="2708" spans="5:7" x14ac:dyDescent="0.25">
      <c r="E2708" t="e">
        <f>VLOOKUP(D2708,'Lista de Produtos CLASSIFICAÇÃO'!$A$103:$B$144,2,FALSE)</f>
        <v>#N/A</v>
      </c>
      <c r="F2708" s="53"/>
      <c r="G2708" s="56" t="e">
        <f>VLOOKUP(C2708,clientes!$C$3:$D$60,2,FALSE)</f>
        <v>#N/A</v>
      </c>
    </row>
    <row r="2709" spans="5:7" x14ac:dyDescent="0.25">
      <c r="E2709" t="e">
        <f>VLOOKUP(D2709,'Lista de Produtos CLASSIFICAÇÃO'!$A$103:$B$144,2,FALSE)</f>
        <v>#N/A</v>
      </c>
      <c r="F2709" s="53"/>
      <c r="G2709" s="56" t="e">
        <f>VLOOKUP(C2709,clientes!$C$3:$D$60,2,FALSE)</f>
        <v>#N/A</v>
      </c>
    </row>
    <row r="2710" spans="5:7" x14ac:dyDescent="0.25">
      <c r="E2710" t="e">
        <f>VLOOKUP(D2710,'Lista de Produtos CLASSIFICAÇÃO'!$A$103:$B$144,2,FALSE)</f>
        <v>#N/A</v>
      </c>
      <c r="F2710" s="53"/>
      <c r="G2710" s="56" t="e">
        <f>VLOOKUP(C2710,clientes!$C$3:$D$60,2,FALSE)</f>
        <v>#N/A</v>
      </c>
    </row>
    <row r="2711" spans="5:7" x14ac:dyDescent="0.25">
      <c r="E2711" t="e">
        <f>VLOOKUP(D2711,'Lista de Produtos CLASSIFICAÇÃO'!$A$103:$B$144,2,FALSE)</f>
        <v>#N/A</v>
      </c>
      <c r="F2711" s="53"/>
      <c r="G2711" s="56" t="e">
        <f>VLOOKUP(C2711,clientes!$C$3:$D$60,2,FALSE)</f>
        <v>#N/A</v>
      </c>
    </row>
    <row r="2712" spans="5:7" x14ac:dyDescent="0.25">
      <c r="E2712" t="e">
        <f>VLOOKUP(D2712,'Lista de Produtos CLASSIFICAÇÃO'!$A$103:$B$144,2,FALSE)</f>
        <v>#N/A</v>
      </c>
      <c r="F2712" s="53"/>
      <c r="G2712" s="56" t="e">
        <f>VLOOKUP(C2712,clientes!$C$3:$D$60,2,FALSE)</f>
        <v>#N/A</v>
      </c>
    </row>
    <row r="2713" spans="5:7" x14ac:dyDescent="0.25">
      <c r="E2713" t="e">
        <f>VLOOKUP(D2713,'Lista de Produtos CLASSIFICAÇÃO'!$A$103:$B$144,2,FALSE)</f>
        <v>#N/A</v>
      </c>
      <c r="F2713" s="53"/>
      <c r="G2713" s="56" t="e">
        <f>VLOOKUP(C2713,clientes!$C$3:$D$60,2,FALSE)</f>
        <v>#N/A</v>
      </c>
    </row>
    <row r="2714" spans="5:7" x14ac:dyDescent="0.25">
      <c r="E2714" t="e">
        <f>VLOOKUP(D2714,'Lista de Produtos CLASSIFICAÇÃO'!$A$103:$B$144,2,FALSE)</f>
        <v>#N/A</v>
      </c>
      <c r="F2714" s="53"/>
      <c r="G2714" s="56" t="e">
        <f>VLOOKUP(C2714,clientes!$C$3:$D$60,2,FALSE)</f>
        <v>#N/A</v>
      </c>
    </row>
    <row r="2715" spans="5:7" x14ac:dyDescent="0.25">
      <c r="E2715" t="e">
        <f>VLOOKUP(D2715,'Lista de Produtos CLASSIFICAÇÃO'!$A$103:$B$144,2,FALSE)</f>
        <v>#N/A</v>
      </c>
      <c r="F2715" s="53"/>
      <c r="G2715" s="56" t="e">
        <f>VLOOKUP(C2715,clientes!$C$3:$D$60,2,FALSE)</f>
        <v>#N/A</v>
      </c>
    </row>
    <row r="2716" spans="5:7" x14ac:dyDescent="0.25">
      <c r="E2716" t="e">
        <f>VLOOKUP(D2716,'Lista de Produtos CLASSIFICAÇÃO'!$A$103:$B$144,2,FALSE)</f>
        <v>#N/A</v>
      </c>
      <c r="F2716" s="53"/>
      <c r="G2716" s="56" t="e">
        <f>VLOOKUP(C2716,clientes!$C$3:$D$60,2,FALSE)</f>
        <v>#N/A</v>
      </c>
    </row>
    <row r="2717" spans="5:7" x14ac:dyDescent="0.25">
      <c r="E2717" t="e">
        <f>VLOOKUP(D2717,'Lista de Produtos CLASSIFICAÇÃO'!$A$103:$B$144,2,FALSE)</f>
        <v>#N/A</v>
      </c>
      <c r="F2717" s="53"/>
      <c r="G2717" s="56" t="e">
        <f>VLOOKUP(C2717,clientes!$C$3:$D$60,2,FALSE)</f>
        <v>#N/A</v>
      </c>
    </row>
    <row r="2718" spans="5:7" x14ac:dyDescent="0.25">
      <c r="E2718" t="e">
        <f>VLOOKUP(D2718,'Lista de Produtos CLASSIFICAÇÃO'!$A$103:$B$144,2,FALSE)</f>
        <v>#N/A</v>
      </c>
      <c r="F2718" s="53"/>
      <c r="G2718" s="56" t="e">
        <f>VLOOKUP(C2718,clientes!$C$3:$D$60,2,FALSE)</f>
        <v>#N/A</v>
      </c>
    </row>
    <row r="2719" spans="5:7" x14ac:dyDescent="0.25">
      <c r="E2719" t="e">
        <f>VLOOKUP(D2719,'Lista de Produtos CLASSIFICAÇÃO'!$A$103:$B$144,2,FALSE)</f>
        <v>#N/A</v>
      </c>
      <c r="F2719" s="53"/>
      <c r="G2719" s="56" t="e">
        <f>VLOOKUP(C2719,clientes!$C$3:$D$60,2,FALSE)</f>
        <v>#N/A</v>
      </c>
    </row>
    <row r="2720" spans="5:7" x14ac:dyDescent="0.25">
      <c r="E2720" t="e">
        <f>VLOOKUP(D2720,'Lista de Produtos CLASSIFICAÇÃO'!$A$103:$B$144,2,FALSE)</f>
        <v>#N/A</v>
      </c>
      <c r="F2720" s="53"/>
      <c r="G2720" s="56" t="e">
        <f>VLOOKUP(C2720,clientes!$C$3:$D$60,2,FALSE)</f>
        <v>#N/A</v>
      </c>
    </row>
    <row r="2721" spans="5:7" x14ac:dyDescent="0.25">
      <c r="E2721" t="e">
        <f>VLOOKUP(D2721,'Lista de Produtos CLASSIFICAÇÃO'!$A$103:$B$144,2,FALSE)</f>
        <v>#N/A</v>
      </c>
      <c r="F2721" s="53"/>
      <c r="G2721" s="56" t="e">
        <f>VLOOKUP(C2721,clientes!$C$3:$D$60,2,FALSE)</f>
        <v>#N/A</v>
      </c>
    </row>
    <row r="2722" spans="5:7" x14ac:dyDescent="0.25">
      <c r="E2722" t="e">
        <f>VLOOKUP(D2722,'Lista de Produtos CLASSIFICAÇÃO'!$A$103:$B$144,2,FALSE)</f>
        <v>#N/A</v>
      </c>
      <c r="F2722" s="53"/>
      <c r="G2722" s="56" t="e">
        <f>VLOOKUP(C2722,clientes!$C$3:$D$60,2,FALSE)</f>
        <v>#N/A</v>
      </c>
    </row>
    <row r="2723" spans="5:7" x14ac:dyDescent="0.25">
      <c r="E2723" t="e">
        <f>VLOOKUP(D2723,'Lista de Produtos CLASSIFICAÇÃO'!$A$103:$B$144,2,FALSE)</f>
        <v>#N/A</v>
      </c>
      <c r="F2723" s="53"/>
      <c r="G2723" s="56" t="e">
        <f>VLOOKUP(C2723,clientes!$C$3:$D$60,2,FALSE)</f>
        <v>#N/A</v>
      </c>
    </row>
    <row r="2724" spans="5:7" x14ac:dyDescent="0.25">
      <c r="E2724" t="e">
        <f>VLOOKUP(D2724,'Lista de Produtos CLASSIFICAÇÃO'!$A$103:$B$144,2,FALSE)</f>
        <v>#N/A</v>
      </c>
      <c r="F2724" s="53"/>
      <c r="G2724" s="56" t="e">
        <f>VLOOKUP(C2724,clientes!$C$3:$D$60,2,FALSE)</f>
        <v>#N/A</v>
      </c>
    </row>
    <row r="2725" spans="5:7" x14ac:dyDescent="0.25">
      <c r="E2725" t="e">
        <f>VLOOKUP(D2725,'Lista de Produtos CLASSIFICAÇÃO'!$A$103:$B$144,2,FALSE)</f>
        <v>#N/A</v>
      </c>
      <c r="F2725" s="53"/>
      <c r="G2725" s="56" t="e">
        <f>VLOOKUP(C2725,clientes!$C$3:$D$60,2,FALSE)</f>
        <v>#N/A</v>
      </c>
    </row>
    <row r="2726" spans="5:7" x14ac:dyDescent="0.25">
      <c r="E2726" t="e">
        <f>VLOOKUP(D2726,'Lista de Produtos CLASSIFICAÇÃO'!$A$103:$B$144,2,FALSE)</f>
        <v>#N/A</v>
      </c>
      <c r="F2726" s="53"/>
      <c r="G2726" s="56" t="e">
        <f>VLOOKUP(C2726,clientes!$C$3:$D$60,2,FALSE)</f>
        <v>#N/A</v>
      </c>
    </row>
    <row r="2727" spans="5:7" x14ac:dyDescent="0.25">
      <c r="E2727" t="e">
        <f>VLOOKUP(D2727,'Lista de Produtos CLASSIFICAÇÃO'!$A$103:$B$144,2,FALSE)</f>
        <v>#N/A</v>
      </c>
      <c r="F2727" s="53"/>
      <c r="G2727" s="56" t="e">
        <f>VLOOKUP(C2727,clientes!$C$3:$D$60,2,FALSE)</f>
        <v>#N/A</v>
      </c>
    </row>
    <row r="2728" spans="5:7" x14ac:dyDescent="0.25">
      <c r="E2728" t="e">
        <f>VLOOKUP(D2728,'Lista de Produtos CLASSIFICAÇÃO'!$A$103:$B$144,2,FALSE)</f>
        <v>#N/A</v>
      </c>
      <c r="F2728" s="53"/>
      <c r="G2728" s="56" t="e">
        <f>VLOOKUP(C2728,clientes!$C$3:$D$60,2,FALSE)</f>
        <v>#N/A</v>
      </c>
    </row>
    <row r="2729" spans="5:7" x14ac:dyDescent="0.25">
      <c r="E2729" t="e">
        <f>VLOOKUP(D2729,'Lista de Produtos CLASSIFICAÇÃO'!$A$103:$B$144,2,FALSE)</f>
        <v>#N/A</v>
      </c>
      <c r="F2729" s="53"/>
      <c r="G2729" s="56" t="e">
        <f>VLOOKUP(C2729,clientes!$C$3:$D$60,2,FALSE)</f>
        <v>#N/A</v>
      </c>
    </row>
    <row r="2730" spans="5:7" x14ac:dyDescent="0.25">
      <c r="E2730" t="e">
        <f>VLOOKUP(D2730,'Lista de Produtos CLASSIFICAÇÃO'!$A$103:$B$144,2,FALSE)</f>
        <v>#N/A</v>
      </c>
      <c r="F2730" s="53"/>
      <c r="G2730" s="56" t="e">
        <f>VLOOKUP(C2730,clientes!$C$3:$D$60,2,FALSE)</f>
        <v>#N/A</v>
      </c>
    </row>
    <row r="2731" spans="5:7" x14ac:dyDescent="0.25">
      <c r="E2731" t="e">
        <f>VLOOKUP(D2731,'Lista de Produtos CLASSIFICAÇÃO'!$A$103:$B$144,2,FALSE)</f>
        <v>#N/A</v>
      </c>
      <c r="F2731" s="53"/>
      <c r="G2731" s="56" t="e">
        <f>VLOOKUP(C2731,clientes!$C$3:$D$60,2,FALSE)</f>
        <v>#N/A</v>
      </c>
    </row>
    <row r="2732" spans="5:7" x14ac:dyDescent="0.25">
      <c r="E2732" t="e">
        <f>VLOOKUP(D2732,'Lista de Produtos CLASSIFICAÇÃO'!$A$103:$B$144,2,FALSE)</f>
        <v>#N/A</v>
      </c>
      <c r="F2732" s="53"/>
      <c r="G2732" s="56" t="e">
        <f>VLOOKUP(C2732,clientes!$C$3:$D$60,2,FALSE)</f>
        <v>#N/A</v>
      </c>
    </row>
    <row r="2733" spans="5:7" x14ac:dyDescent="0.25">
      <c r="E2733" t="e">
        <f>VLOOKUP(D2733,'Lista de Produtos CLASSIFICAÇÃO'!$A$103:$B$144,2,FALSE)</f>
        <v>#N/A</v>
      </c>
      <c r="F2733" s="53"/>
      <c r="G2733" s="56" t="e">
        <f>VLOOKUP(C2733,clientes!$C$3:$D$60,2,FALSE)</f>
        <v>#N/A</v>
      </c>
    </row>
    <row r="2734" spans="5:7" x14ac:dyDescent="0.25">
      <c r="E2734" t="e">
        <f>VLOOKUP(D2734,'Lista de Produtos CLASSIFICAÇÃO'!$A$103:$B$144,2,FALSE)</f>
        <v>#N/A</v>
      </c>
      <c r="F2734" s="53"/>
      <c r="G2734" s="56" t="e">
        <f>VLOOKUP(C2734,clientes!$C$3:$D$60,2,FALSE)</f>
        <v>#N/A</v>
      </c>
    </row>
    <row r="2735" spans="5:7" x14ac:dyDescent="0.25">
      <c r="E2735" t="e">
        <f>VLOOKUP(D2735,'Lista de Produtos CLASSIFICAÇÃO'!$A$103:$B$144,2,FALSE)</f>
        <v>#N/A</v>
      </c>
      <c r="F2735" s="53"/>
      <c r="G2735" s="56" t="e">
        <f>VLOOKUP(C2735,clientes!$C$3:$D$60,2,FALSE)</f>
        <v>#N/A</v>
      </c>
    </row>
    <row r="2736" spans="5:7" x14ac:dyDescent="0.25">
      <c r="E2736" t="e">
        <f>VLOOKUP(D2736,'Lista de Produtos CLASSIFICAÇÃO'!$A$103:$B$144,2,FALSE)</f>
        <v>#N/A</v>
      </c>
      <c r="F2736" s="53"/>
      <c r="G2736" s="56" t="e">
        <f>VLOOKUP(C2736,clientes!$C$3:$D$60,2,FALSE)</f>
        <v>#N/A</v>
      </c>
    </row>
    <row r="2737" spans="5:7" x14ac:dyDescent="0.25">
      <c r="E2737" t="e">
        <f>VLOOKUP(D2737,'Lista de Produtos CLASSIFICAÇÃO'!$A$103:$B$144,2,FALSE)</f>
        <v>#N/A</v>
      </c>
      <c r="F2737" s="53"/>
      <c r="G2737" s="56" t="e">
        <f>VLOOKUP(C2737,clientes!$C$3:$D$60,2,FALSE)</f>
        <v>#N/A</v>
      </c>
    </row>
    <row r="2738" spans="5:7" x14ac:dyDescent="0.25">
      <c r="E2738" t="e">
        <f>VLOOKUP(D2738,'Lista de Produtos CLASSIFICAÇÃO'!$A$103:$B$144,2,FALSE)</f>
        <v>#N/A</v>
      </c>
      <c r="F2738" s="53"/>
      <c r="G2738" s="56" t="e">
        <f>VLOOKUP(C2738,clientes!$C$3:$D$60,2,FALSE)</f>
        <v>#N/A</v>
      </c>
    </row>
    <row r="2739" spans="5:7" x14ac:dyDescent="0.25">
      <c r="E2739" t="e">
        <f>VLOOKUP(D2739,'Lista de Produtos CLASSIFICAÇÃO'!$A$103:$B$144,2,FALSE)</f>
        <v>#N/A</v>
      </c>
      <c r="F2739" s="53"/>
      <c r="G2739" s="56" t="e">
        <f>VLOOKUP(C2739,clientes!$C$3:$D$60,2,FALSE)</f>
        <v>#N/A</v>
      </c>
    </row>
    <row r="2740" spans="5:7" x14ac:dyDescent="0.25">
      <c r="E2740" t="e">
        <f>VLOOKUP(D2740,'Lista de Produtos CLASSIFICAÇÃO'!$A$103:$B$144,2,FALSE)</f>
        <v>#N/A</v>
      </c>
      <c r="F2740" s="53"/>
      <c r="G2740" s="56" t="e">
        <f>VLOOKUP(C2740,clientes!$C$3:$D$60,2,FALSE)</f>
        <v>#N/A</v>
      </c>
    </row>
    <row r="2741" spans="5:7" x14ac:dyDescent="0.25">
      <c r="E2741" t="e">
        <f>VLOOKUP(D2741,'Lista de Produtos CLASSIFICAÇÃO'!$A$103:$B$144,2,FALSE)</f>
        <v>#N/A</v>
      </c>
      <c r="F2741" s="53"/>
      <c r="G2741" s="56" t="e">
        <f>VLOOKUP(C2741,clientes!$C$3:$D$60,2,FALSE)</f>
        <v>#N/A</v>
      </c>
    </row>
    <row r="2742" spans="5:7" x14ac:dyDescent="0.25">
      <c r="E2742" t="e">
        <f>VLOOKUP(D2742,'Lista de Produtos CLASSIFICAÇÃO'!$A$103:$B$144,2,FALSE)</f>
        <v>#N/A</v>
      </c>
      <c r="F2742" s="53"/>
      <c r="G2742" s="56" t="e">
        <f>VLOOKUP(C2742,clientes!$C$3:$D$60,2,FALSE)</f>
        <v>#N/A</v>
      </c>
    </row>
    <row r="2743" spans="5:7" x14ac:dyDescent="0.25">
      <c r="E2743" t="e">
        <f>VLOOKUP(D2743,'Lista de Produtos CLASSIFICAÇÃO'!$A$103:$B$144,2,FALSE)</f>
        <v>#N/A</v>
      </c>
      <c r="F2743" s="53"/>
      <c r="G2743" s="56" t="e">
        <f>VLOOKUP(C2743,clientes!$C$3:$D$60,2,FALSE)</f>
        <v>#N/A</v>
      </c>
    </row>
    <row r="2744" spans="5:7" x14ac:dyDescent="0.25">
      <c r="E2744" t="e">
        <f>VLOOKUP(D2744,'Lista de Produtos CLASSIFICAÇÃO'!$A$103:$B$144,2,FALSE)</f>
        <v>#N/A</v>
      </c>
      <c r="F2744" s="53"/>
      <c r="G2744" s="56" t="e">
        <f>VLOOKUP(C2744,clientes!$C$3:$D$60,2,FALSE)</f>
        <v>#N/A</v>
      </c>
    </row>
    <row r="2745" spans="5:7" x14ac:dyDescent="0.25">
      <c r="E2745" t="e">
        <f>VLOOKUP(D2745,'Lista de Produtos CLASSIFICAÇÃO'!$A$103:$B$144,2,FALSE)</f>
        <v>#N/A</v>
      </c>
      <c r="F2745" s="53"/>
      <c r="G2745" s="56" t="e">
        <f>VLOOKUP(C2745,clientes!$C$3:$D$60,2,FALSE)</f>
        <v>#N/A</v>
      </c>
    </row>
    <row r="2746" spans="5:7" x14ac:dyDescent="0.25">
      <c r="E2746" t="e">
        <f>VLOOKUP(D2746,'Lista de Produtos CLASSIFICAÇÃO'!$A$103:$B$144,2,FALSE)</f>
        <v>#N/A</v>
      </c>
      <c r="F2746" s="53"/>
      <c r="G2746" s="56" t="e">
        <f>VLOOKUP(C2746,clientes!$C$3:$D$60,2,FALSE)</f>
        <v>#N/A</v>
      </c>
    </row>
    <row r="2747" spans="5:7" x14ac:dyDescent="0.25">
      <c r="E2747" t="e">
        <f>VLOOKUP(D2747,'Lista de Produtos CLASSIFICAÇÃO'!$A$103:$B$144,2,FALSE)</f>
        <v>#N/A</v>
      </c>
      <c r="F2747" s="53"/>
      <c r="G2747" s="56" t="e">
        <f>VLOOKUP(C2747,clientes!$C$3:$D$60,2,FALSE)</f>
        <v>#N/A</v>
      </c>
    </row>
    <row r="2748" spans="5:7" x14ac:dyDescent="0.25">
      <c r="E2748" t="e">
        <f>VLOOKUP(D2748,'Lista de Produtos CLASSIFICAÇÃO'!$A$103:$B$144,2,FALSE)</f>
        <v>#N/A</v>
      </c>
      <c r="F2748" s="53"/>
      <c r="G2748" s="56" t="e">
        <f>VLOOKUP(C2748,clientes!$C$3:$D$60,2,FALSE)</f>
        <v>#N/A</v>
      </c>
    </row>
    <row r="2749" spans="5:7" x14ac:dyDescent="0.25">
      <c r="E2749" t="e">
        <f>VLOOKUP(D2749,'Lista de Produtos CLASSIFICAÇÃO'!$A$103:$B$144,2,FALSE)</f>
        <v>#N/A</v>
      </c>
      <c r="F2749" s="53"/>
      <c r="G2749" s="56" t="e">
        <f>VLOOKUP(C2749,clientes!$C$3:$D$60,2,FALSE)</f>
        <v>#N/A</v>
      </c>
    </row>
    <row r="2750" spans="5:7" x14ac:dyDescent="0.25">
      <c r="E2750" t="e">
        <f>VLOOKUP(D2750,'Lista de Produtos CLASSIFICAÇÃO'!$A$103:$B$144,2,FALSE)</f>
        <v>#N/A</v>
      </c>
      <c r="F2750" s="53"/>
      <c r="G2750" s="56" t="e">
        <f>VLOOKUP(C2750,clientes!$C$3:$D$60,2,FALSE)</f>
        <v>#N/A</v>
      </c>
    </row>
    <row r="2751" spans="5:7" x14ac:dyDescent="0.25">
      <c r="E2751" t="e">
        <f>VLOOKUP(D2751,'Lista de Produtos CLASSIFICAÇÃO'!$A$103:$B$144,2,FALSE)</f>
        <v>#N/A</v>
      </c>
      <c r="F2751" s="53"/>
      <c r="G2751" s="56" t="e">
        <f>VLOOKUP(C2751,clientes!$C$3:$D$60,2,FALSE)</f>
        <v>#N/A</v>
      </c>
    </row>
    <row r="2752" spans="5:7" x14ac:dyDescent="0.25">
      <c r="E2752" t="e">
        <f>VLOOKUP(D2752,'Lista de Produtos CLASSIFICAÇÃO'!$A$103:$B$144,2,FALSE)</f>
        <v>#N/A</v>
      </c>
      <c r="F2752" s="53"/>
      <c r="G2752" s="56" t="e">
        <f>VLOOKUP(C2752,clientes!$C$3:$D$60,2,FALSE)</f>
        <v>#N/A</v>
      </c>
    </row>
    <row r="2753" spans="5:7" x14ac:dyDescent="0.25">
      <c r="E2753" t="e">
        <f>VLOOKUP(D2753,'Lista de Produtos CLASSIFICAÇÃO'!$A$103:$B$144,2,FALSE)</f>
        <v>#N/A</v>
      </c>
      <c r="F2753" s="53"/>
      <c r="G2753" s="56" t="e">
        <f>VLOOKUP(C2753,clientes!$C$3:$D$60,2,FALSE)</f>
        <v>#N/A</v>
      </c>
    </row>
    <row r="2754" spans="5:7" x14ac:dyDescent="0.25">
      <c r="E2754" t="e">
        <f>VLOOKUP(D2754,'Lista de Produtos CLASSIFICAÇÃO'!$A$103:$B$144,2,FALSE)</f>
        <v>#N/A</v>
      </c>
      <c r="F2754" s="53"/>
      <c r="G2754" s="56" t="e">
        <f>VLOOKUP(C2754,clientes!$C$3:$D$60,2,FALSE)</f>
        <v>#N/A</v>
      </c>
    </row>
    <row r="2755" spans="5:7" x14ac:dyDescent="0.25">
      <c r="E2755" t="e">
        <f>VLOOKUP(D2755,'Lista de Produtos CLASSIFICAÇÃO'!$A$103:$B$144,2,FALSE)</f>
        <v>#N/A</v>
      </c>
      <c r="F2755" s="53"/>
      <c r="G2755" s="56" t="e">
        <f>VLOOKUP(C2755,clientes!$C$3:$D$60,2,FALSE)</f>
        <v>#N/A</v>
      </c>
    </row>
    <row r="2756" spans="5:7" x14ac:dyDescent="0.25">
      <c r="E2756" t="e">
        <f>VLOOKUP(D2756,'Lista de Produtos CLASSIFICAÇÃO'!$A$103:$B$144,2,FALSE)</f>
        <v>#N/A</v>
      </c>
      <c r="F2756" s="53"/>
      <c r="G2756" s="56" t="e">
        <f>VLOOKUP(C2756,clientes!$C$3:$D$60,2,FALSE)</f>
        <v>#N/A</v>
      </c>
    </row>
    <row r="2757" spans="5:7" x14ac:dyDescent="0.25">
      <c r="E2757" t="e">
        <f>VLOOKUP(D2757,'Lista de Produtos CLASSIFICAÇÃO'!$A$103:$B$144,2,FALSE)</f>
        <v>#N/A</v>
      </c>
      <c r="F2757" s="53"/>
      <c r="G2757" s="56" t="e">
        <f>VLOOKUP(C2757,clientes!$C$3:$D$60,2,FALSE)</f>
        <v>#N/A</v>
      </c>
    </row>
    <row r="2758" spans="5:7" x14ac:dyDescent="0.25">
      <c r="E2758" t="e">
        <f>VLOOKUP(D2758,'Lista de Produtos CLASSIFICAÇÃO'!$A$103:$B$144,2,FALSE)</f>
        <v>#N/A</v>
      </c>
      <c r="F2758" s="53"/>
      <c r="G2758" s="56" t="e">
        <f>VLOOKUP(C2758,clientes!$C$3:$D$60,2,FALSE)</f>
        <v>#N/A</v>
      </c>
    </row>
    <row r="2759" spans="5:7" x14ac:dyDescent="0.25">
      <c r="E2759" t="e">
        <f>VLOOKUP(D2759,'Lista de Produtos CLASSIFICAÇÃO'!$A$103:$B$144,2,FALSE)</f>
        <v>#N/A</v>
      </c>
      <c r="F2759" s="53"/>
      <c r="G2759" s="56" t="e">
        <f>VLOOKUP(C2759,clientes!$C$3:$D$60,2,FALSE)</f>
        <v>#N/A</v>
      </c>
    </row>
    <row r="2760" spans="5:7" x14ac:dyDescent="0.25">
      <c r="E2760" t="e">
        <f>VLOOKUP(D2760,'Lista de Produtos CLASSIFICAÇÃO'!$A$103:$B$144,2,FALSE)</f>
        <v>#N/A</v>
      </c>
      <c r="F2760" s="53"/>
      <c r="G2760" s="56" t="e">
        <f>VLOOKUP(C2760,clientes!$C$3:$D$60,2,FALSE)</f>
        <v>#N/A</v>
      </c>
    </row>
    <row r="2761" spans="5:7" x14ac:dyDescent="0.25">
      <c r="E2761" t="e">
        <f>VLOOKUP(D2761,'Lista de Produtos CLASSIFICAÇÃO'!$A$103:$B$144,2,FALSE)</f>
        <v>#N/A</v>
      </c>
      <c r="F2761" s="53"/>
      <c r="G2761" s="56" t="e">
        <f>VLOOKUP(C2761,clientes!$C$3:$D$60,2,FALSE)</f>
        <v>#N/A</v>
      </c>
    </row>
    <row r="2762" spans="5:7" x14ac:dyDescent="0.25">
      <c r="E2762" t="e">
        <f>VLOOKUP(D2762,'Lista de Produtos CLASSIFICAÇÃO'!$A$103:$B$144,2,FALSE)</f>
        <v>#N/A</v>
      </c>
      <c r="F2762" s="53"/>
      <c r="G2762" s="56" t="e">
        <f>VLOOKUP(C2762,clientes!$C$3:$D$60,2,FALSE)</f>
        <v>#N/A</v>
      </c>
    </row>
    <row r="2763" spans="5:7" x14ac:dyDescent="0.25">
      <c r="E2763" t="e">
        <f>VLOOKUP(D2763,'Lista de Produtos CLASSIFICAÇÃO'!$A$103:$B$144,2,FALSE)</f>
        <v>#N/A</v>
      </c>
      <c r="F2763" s="53"/>
      <c r="G2763" s="56" t="e">
        <f>VLOOKUP(C2763,clientes!$C$3:$D$60,2,FALSE)</f>
        <v>#N/A</v>
      </c>
    </row>
    <row r="2764" spans="5:7" x14ac:dyDescent="0.25">
      <c r="E2764" t="e">
        <f>VLOOKUP(D2764,'Lista de Produtos CLASSIFICAÇÃO'!$A$103:$B$144,2,FALSE)</f>
        <v>#N/A</v>
      </c>
      <c r="F2764" s="53"/>
      <c r="G2764" s="56" t="e">
        <f>VLOOKUP(C2764,clientes!$C$3:$D$60,2,FALSE)</f>
        <v>#N/A</v>
      </c>
    </row>
    <row r="2765" spans="5:7" x14ac:dyDescent="0.25">
      <c r="E2765" t="e">
        <f>VLOOKUP(D2765,'Lista de Produtos CLASSIFICAÇÃO'!$A$103:$B$144,2,FALSE)</f>
        <v>#N/A</v>
      </c>
      <c r="F2765" s="53"/>
      <c r="G2765" s="56" t="e">
        <f>VLOOKUP(C2765,clientes!$C$3:$D$60,2,FALSE)</f>
        <v>#N/A</v>
      </c>
    </row>
    <row r="2766" spans="5:7" x14ac:dyDescent="0.25">
      <c r="E2766" t="e">
        <f>VLOOKUP(D2766,'Lista de Produtos CLASSIFICAÇÃO'!$A$103:$B$144,2,FALSE)</f>
        <v>#N/A</v>
      </c>
      <c r="F2766" s="53"/>
      <c r="G2766" s="56" t="e">
        <f>VLOOKUP(C2766,clientes!$C$3:$D$60,2,FALSE)</f>
        <v>#N/A</v>
      </c>
    </row>
    <row r="2767" spans="5:7" x14ac:dyDescent="0.25">
      <c r="E2767" t="e">
        <f>VLOOKUP(D2767,'Lista de Produtos CLASSIFICAÇÃO'!$A$103:$B$144,2,FALSE)</f>
        <v>#N/A</v>
      </c>
      <c r="F2767" s="53"/>
      <c r="G2767" s="56" t="e">
        <f>VLOOKUP(C2767,clientes!$C$3:$D$60,2,FALSE)</f>
        <v>#N/A</v>
      </c>
    </row>
    <row r="2768" spans="5:7" x14ac:dyDescent="0.25">
      <c r="E2768" t="e">
        <f>VLOOKUP(D2768,'Lista de Produtos CLASSIFICAÇÃO'!$A$103:$B$144,2,FALSE)</f>
        <v>#N/A</v>
      </c>
      <c r="F2768" s="53"/>
      <c r="G2768" s="56" t="e">
        <f>VLOOKUP(C2768,clientes!$C$3:$D$60,2,FALSE)</f>
        <v>#N/A</v>
      </c>
    </row>
    <row r="2769" spans="5:7" x14ac:dyDescent="0.25">
      <c r="E2769" t="e">
        <f>VLOOKUP(D2769,'Lista de Produtos CLASSIFICAÇÃO'!$A$103:$B$144,2,FALSE)</f>
        <v>#N/A</v>
      </c>
      <c r="F2769" s="53"/>
      <c r="G2769" s="56" t="e">
        <f>VLOOKUP(C2769,clientes!$C$3:$D$60,2,FALSE)</f>
        <v>#N/A</v>
      </c>
    </row>
    <row r="2770" spans="5:7" x14ac:dyDescent="0.25">
      <c r="E2770" t="e">
        <f>VLOOKUP(D2770,'Lista de Produtos CLASSIFICAÇÃO'!$A$103:$B$144,2,FALSE)</f>
        <v>#N/A</v>
      </c>
      <c r="F2770" s="53"/>
      <c r="G2770" s="56" t="e">
        <f>VLOOKUP(C2770,clientes!$C$3:$D$60,2,FALSE)</f>
        <v>#N/A</v>
      </c>
    </row>
    <row r="2771" spans="5:7" x14ac:dyDescent="0.25">
      <c r="E2771" t="e">
        <f>VLOOKUP(D2771,'Lista de Produtos CLASSIFICAÇÃO'!$A$103:$B$144,2,FALSE)</f>
        <v>#N/A</v>
      </c>
      <c r="F2771" s="53"/>
      <c r="G2771" s="56" t="e">
        <f>VLOOKUP(C2771,clientes!$C$3:$D$60,2,FALSE)</f>
        <v>#N/A</v>
      </c>
    </row>
    <row r="2772" spans="5:7" x14ac:dyDescent="0.25">
      <c r="E2772" t="e">
        <f>VLOOKUP(D2772,'Lista de Produtos CLASSIFICAÇÃO'!$A$103:$B$144,2,FALSE)</f>
        <v>#N/A</v>
      </c>
      <c r="F2772" s="53"/>
      <c r="G2772" s="56" t="e">
        <f>VLOOKUP(C2772,clientes!$C$3:$D$60,2,FALSE)</f>
        <v>#N/A</v>
      </c>
    </row>
    <row r="2773" spans="5:7" x14ac:dyDescent="0.25">
      <c r="E2773" t="e">
        <f>VLOOKUP(D2773,'Lista de Produtos CLASSIFICAÇÃO'!$A$103:$B$144,2,FALSE)</f>
        <v>#N/A</v>
      </c>
      <c r="F2773" s="53"/>
      <c r="G2773" s="56" t="e">
        <f>VLOOKUP(C2773,clientes!$C$3:$D$60,2,FALSE)</f>
        <v>#N/A</v>
      </c>
    </row>
    <row r="2774" spans="5:7" x14ac:dyDescent="0.25">
      <c r="E2774" t="e">
        <f>VLOOKUP(D2774,'Lista de Produtos CLASSIFICAÇÃO'!$A$103:$B$144,2,FALSE)</f>
        <v>#N/A</v>
      </c>
      <c r="F2774" s="53"/>
      <c r="G2774" s="56" t="e">
        <f>VLOOKUP(C2774,clientes!$C$3:$D$60,2,FALSE)</f>
        <v>#N/A</v>
      </c>
    </row>
    <row r="2775" spans="5:7" x14ac:dyDescent="0.25">
      <c r="E2775" t="e">
        <f>VLOOKUP(D2775,'Lista de Produtos CLASSIFICAÇÃO'!$A$103:$B$144,2,FALSE)</f>
        <v>#N/A</v>
      </c>
      <c r="F2775" s="53"/>
      <c r="G2775" s="56" t="e">
        <f>VLOOKUP(C2775,clientes!$C$3:$D$60,2,FALSE)</f>
        <v>#N/A</v>
      </c>
    </row>
    <row r="2776" spans="5:7" x14ac:dyDescent="0.25">
      <c r="E2776" t="e">
        <f>VLOOKUP(D2776,'Lista de Produtos CLASSIFICAÇÃO'!$A$103:$B$144,2,FALSE)</f>
        <v>#N/A</v>
      </c>
      <c r="F2776" s="53"/>
      <c r="G2776" s="56" t="e">
        <f>VLOOKUP(C2776,clientes!$C$3:$D$60,2,FALSE)</f>
        <v>#N/A</v>
      </c>
    </row>
    <row r="2777" spans="5:7" x14ac:dyDescent="0.25">
      <c r="E2777" t="e">
        <f>VLOOKUP(D2777,'Lista de Produtos CLASSIFICAÇÃO'!$A$103:$B$144,2,FALSE)</f>
        <v>#N/A</v>
      </c>
      <c r="F2777" s="53"/>
      <c r="G2777" s="56" t="e">
        <f>VLOOKUP(C2777,clientes!$C$3:$D$60,2,FALSE)</f>
        <v>#N/A</v>
      </c>
    </row>
    <row r="2778" spans="5:7" x14ac:dyDescent="0.25">
      <c r="E2778" t="e">
        <f>VLOOKUP(D2778,'Lista de Produtos CLASSIFICAÇÃO'!$A$103:$B$144,2,FALSE)</f>
        <v>#N/A</v>
      </c>
      <c r="F2778" s="53"/>
      <c r="G2778" s="56" t="e">
        <f>VLOOKUP(C2778,clientes!$C$3:$D$60,2,FALSE)</f>
        <v>#N/A</v>
      </c>
    </row>
    <row r="2779" spans="5:7" x14ac:dyDescent="0.25">
      <c r="E2779" t="e">
        <f>VLOOKUP(D2779,'Lista de Produtos CLASSIFICAÇÃO'!$A$103:$B$144,2,FALSE)</f>
        <v>#N/A</v>
      </c>
      <c r="F2779" s="53"/>
      <c r="G2779" s="56" t="e">
        <f>VLOOKUP(C2779,clientes!$C$3:$D$60,2,FALSE)</f>
        <v>#N/A</v>
      </c>
    </row>
    <row r="2780" spans="5:7" x14ac:dyDescent="0.25">
      <c r="E2780" t="e">
        <f>VLOOKUP(D2780,'Lista de Produtos CLASSIFICAÇÃO'!$A$103:$B$144,2,FALSE)</f>
        <v>#N/A</v>
      </c>
      <c r="F2780" s="53"/>
      <c r="G2780" s="56" t="e">
        <f>VLOOKUP(C2780,clientes!$C$3:$D$60,2,FALSE)</f>
        <v>#N/A</v>
      </c>
    </row>
    <row r="2781" spans="5:7" x14ac:dyDescent="0.25">
      <c r="E2781" t="e">
        <f>VLOOKUP(D2781,'Lista de Produtos CLASSIFICAÇÃO'!$A$103:$B$144,2,FALSE)</f>
        <v>#N/A</v>
      </c>
      <c r="F2781" s="53"/>
      <c r="G2781" s="56" t="e">
        <f>VLOOKUP(C2781,clientes!$C$3:$D$60,2,FALSE)</f>
        <v>#N/A</v>
      </c>
    </row>
    <row r="2782" spans="5:7" x14ac:dyDescent="0.25">
      <c r="E2782" t="e">
        <f>VLOOKUP(D2782,'Lista de Produtos CLASSIFICAÇÃO'!$A$103:$B$144,2,FALSE)</f>
        <v>#N/A</v>
      </c>
      <c r="F2782" s="53"/>
      <c r="G2782" s="56" t="e">
        <f>VLOOKUP(C2782,clientes!$C$3:$D$60,2,FALSE)</f>
        <v>#N/A</v>
      </c>
    </row>
    <row r="2783" spans="5:7" x14ac:dyDescent="0.25">
      <c r="E2783" t="e">
        <f>VLOOKUP(D2783,'Lista de Produtos CLASSIFICAÇÃO'!$A$103:$B$144,2,FALSE)</f>
        <v>#N/A</v>
      </c>
      <c r="F2783" s="53"/>
      <c r="G2783" s="56" t="e">
        <f>VLOOKUP(C2783,clientes!$C$3:$D$60,2,FALSE)</f>
        <v>#N/A</v>
      </c>
    </row>
    <row r="2784" spans="5:7" x14ac:dyDescent="0.25">
      <c r="E2784" t="e">
        <f>VLOOKUP(D2784,'Lista de Produtos CLASSIFICAÇÃO'!$A$103:$B$144,2,FALSE)</f>
        <v>#N/A</v>
      </c>
      <c r="F2784" s="53"/>
      <c r="G2784" s="56" t="e">
        <f>VLOOKUP(C2784,clientes!$C$3:$D$60,2,FALSE)</f>
        <v>#N/A</v>
      </c>
    </row>
    <row r="2785" spans="5:7" x14ac:dyDescent="0.25">
      <c r="E2785" t="e">
        <f>VLOOKUP(D2785,'Lista de Produtos CLASSIFICAÇÃO'!$A$103:$B$144,2,FALSE)</f>
        <v>#N/A</v>
      </c>
      <c r="F2785" s="53"/>
      <c r="G2785" s="56" t="e">
        <f>VLOOKUP(C2785,clientes!$C$3:$D$60,2,FALSE)</f>
        <v>#N/A</v>
      </c>
    </row>
    <row r="2786" spans="5:7" x14ac:dyDescent="0.25">
      <c r="E2786" t="e">
        <f>VLOOKUP(D2786,'Lista de Produtos CLASSIFICAÇÃO'!$A$103:$B$144,2,FALSE)</f>
        <v>#N/A</v>
      </c>
      <c r="F2786" s="53"/>
      <c r="G2786" s="56" t="e">
        <f>VLOOKUP(C2786,clientes!$C$3:$D$60,2,FALSE)</f>
        <v>#N/A</v>
      </c>
    </row>
    <row r="2787" spans="5:7" x14ac:dyDescent="0.25">
      <c r="E2787" t="e">
        <f>VLOOKUP(D2787,'Lista de Produtos CLASSIFICAÇÃO'!$A$103:$B$144,2,FALSE)</f>
        <v>#N/A</v>
      </c>
      <c r="F2787" s="53"/>
      <c r="G2787" s="56" t="e">
        <f>VLOOKUP(C2787,clientes!$C$3:$D$60,2,FALSE)</f>
        <v>#N/A</v>
      </c>
    </row>
    <row r="2788" spans="5:7" x14ac:dyDescent="0.25">
      <c r="E2788" t="e">
        <f>VLOOKUP(D2788,'Lista de Produtos CLASSIFICAÇÃO'!$A$103:$B$144,2,FALSE)</f>
        <v>#N/A</v>
      </c>
      <c r="F2788" s="53"/>
      <c r="G2788" s="56" t="e">
        <f>VLOOKUP(C2788,clientes!$C$3:$D$60,2,FALSE)</f>
        <v>#N/A</v>
      </c>
    </row>
    <row r="2789" spans="5:7" x14ac:dyDescent="0.25">
      <c r="E2789" t="e">
        <f>VLOOKUP(D2789,'Lista de Produtos CLASSIFICAÇÃO'!$A$103:$B$144,2,FALSE)</f>
        <v>#N/A</v>
      </c>
      <c r="F2789" s="53"/>
      <c r="G2789" s="56" t="e">
        <f>VLOOKUP(C2789,clientes!$C$3:$D$60,2,FALSE)</f>
        <v>#N/A</v>
      </c>
    </row>
    <row r="2790" spans="5:7" x14ac:dyDescent="0.25">
      <c r="E2790" t="e">
        <f>VLOOKUP(D2790,'Lista de Produtos CLASSIFICAÇÃO'!$A$103:$B$144,2,FALSE)</f>
        <v>#N/A</v>
      </c>
      <c r="F2790" s="53"/>
      <c r="G2790" s="56" t="e">
        <f>VLOOKUP(C2790,clientes!$C$3:$D$60,2,FALSE)</f>
        <v>#N/A</v>
      </c>
    </row>
    <row r="2791" spans="5:7" x14ac:dyDescent="0.25">
      <c r="E2791" t="e">
        <f>VLOOKUP(D2791,'Lista de Produtos CLASSIFICAÇÃO'!$A$103:$B$144,2,FALSE)</f>
        <v>#N/A</v>
      </c>
      <c r="F2791" s="53"/>
      <c r="G2791" s="56" t="e">
        <f>VLOOKUP(C2791,clientes!$C$3:$D$60,2,FALSE)</f>
        <v>#N/A</v>
      </c>
    </row>
    <row r="2792" spans="5:7" x14ac:dyDescent="0.25">
      <c r="E2792" t="e">
        <f>VLOOKUP(D2792,'Lista de Produtos CLASSIFICAÇÃO'!$A$103:$B$144,2,FALSE)</f>
        <v>#N/A</v>
      </c>
      <c r="F2792" s="53"/>
      <c r="G2792" s="56" t="e">
        <f>VLOOKUP(C2792,clientes!$C$3:$D$60,2,FALSE)</f>
        <v>#N/A</v>
      </c>
    </row>
    <row r="2793" spans="5:7" x14ac:dyDescent="0.25">
      <c r="E2793" t="e">
        <f>VLOOKUP(D2793,'Lista de Produtos CLASSIFICAÇÃO'!$A$103:$B$144,2,FALSE)</f>
        <v>#N/A</v>
      </c>
      <c r="F2793" s="53"/>
      <c r="G2793" s="56" t="e">
        <f>VLOOKUP(C2793,clientes!$C$3:$D$60,2,FALSE)</f>
        <v>#N/A</v>
      </c>
    </row>
    <row r="2794" spans="5:7" x14ac:dyDescent="0.25">
      <c r="E2794" t="e">
        <f>VLOOKUP(D2794,'Lista de Produtos CLASSIFICAÇÃO'!$A$103:$B$144,2,FALSE)</f>
        <v>#N/A</v>
      </c>
      <c r="F2794" s="53"/>
      <c r="G2794" s="56" t="e">
        <f>VLOOKUP(C2794,clientes!$C$3:$D$60,2,FALSE)</f>
        <v>#N/A</v>
      </c>
    </row>
    <row r="2795" spans="5:7" x14ac:dyDescent="0.25">
      <c r="E2795" t="e">
        <f>VLOOKUP(D2795,'Lista de Produtos CLASSIFICAÇÃO'!$A$103:$B$144,2,FALSE)</f>
        <v>#N/A</v>
      </c>
      <c r="F2795" s="53"/>
      <c r="G2795" s="56" t="e">
        <f>VLOOKUP(C2795,clientes!$C$3:$D$60,2,FALSE)</f>
        <v>#N/A</v>
      </c>
    </row>
    <row r="2796" spans="5:7" x14ac:dyDescent="0.25">
      <c r="E2796" t="e">
        <f>VLOOKUP(D2796,'Lista de Produtos CLASSIFICAÇÃO'!$A$103:$B$144,2,FALSE)</f>
        <v>#N/A</v>
      </c>
      <c r="F2796" s="53"/>
      <c r="G2796" s="56" t="e">
        <f>VLOOKUP(C2796,clientes!$C$3:$D$60,2,FALSE)</f>
        <v>#N/A</v>
      </c>
    </row>
    <row r="2797" spans="5:7" x14ac:dyDescent="0.25">
      <c r="E2797" t="e">
        <f>VLOOKUP(D2797,'Lista de Produtos CLASSIFICAÇÃO'!$A$103:$B$144,2,FALSE)</f>
        <v>#N/A</v>
      </c>
      <c r="F2797" s="53"/>
      <c r="G2797" s="56" t="e">
        <f>VLOOKUP(C2797,clientes!$C$3:$D$60,2,FALSE)</f>
        <v>#N/A</v>
      </c>
    </row>
    <row r="2798" spans="5:7" x14ac:dyDescent="0.25">
      <c r="E2798" t="e">
        <f>VLOOKUP(D2798,'Lista de Produtos CLASSIFICAÇÃO'!$A$103:$B$144,2,FALSE)</f>
        <v>#N/A</v>
      </c>
      <c r="F2798" s="53"/>
      <c r="G2798" s="56" t="e">
        <f>VLOOKUP(C2798,clientes!$C$3:$D$60,2,FALSE)</f>
        <v>#N/A</v>
      </c>
    </row>
    <row r="2799" spans="5:7" x14ac:dyDescent="0.25">
      <c r="E2799" t="e">
        <f>VLOOKUP(D2799,'Lista de Produtos CLASSIFICAÇÃO'!$A$103:$B$144,2,FALSE)</f>
        <v>#N/A</v>
      </c>
      <c r="F2799" s="53"/>
      <c r="G2799" s="56" t="e">
        <f>VLOOKUP(C2799,clientes!$C$3:$D$60,2,FALSE)</f>
        <v>#N/A</v>
      </c>
    </row>
    <row r="2800" spans="5:7" x14ac:dyDescent="0.25">
      <c r="E2800" t="e">
        <f>VLOOKUP(D2800,'Lista de Produtos CLASSIFICAÇÃO'!$A$103:$B$144,2,FALSE)</f>
        <v>#N/A</v>
      </c>
      <c r="F2800" s="53"/>
      <c r="G2800" s="56" t="e">
        <f>VLOOKUP(C2800,clientes!$C$3:$D$60,2,FALSE)</f>
        <v>#N/A</v>
      </c>
    </row>
    <row r="2801" spans="5:7" x14ac:dyDescent="0.25">
      <c r="E2801" t="e">
        <f>VLOOKUP(D2801,'Lista de Produtos CLASSIFICAÇÃO'!$A$103:$B$144,2,FALSE)</f>
        <v>#N/A</v>
      </c>
      <c r="F2801" s="53"/>
      <c r="G2801" s="56" t="e">
        <f>VLOOKUP(C2801,clientes!$C$3:$D$60,2,FALSE)</f>
        <v>#N/A</v>
      </c>
    </row>
    <row r="2802" spans="5:7" x14ac:dyDescent="0.25">
      <c r="E2802" t="e">
        <f>VLOOKUP(D2802,'Lista de Produtos CLASSIFICAÇÃO'!$A$103:$B$144,2,FALSE)</f>
        <v>#N/A</v>
      </c>
      <c r="F2802" s="53"/>
      <c r="G2802" s="56" t="e">
        <f>VLOOKUP(C2802,clientes!$C$3:$D$60,2,FALSE)</f>
        <v>#N/A</v>
      </c>
    </row>
    <row r="2803" spans="5:7" x14ac:dyDescent="0.25">
      <c r="E2803" t="e">
        <f>VLOOKUP(D2803,'Lista de Produtos CLASSIFICAÇÃO'!$A$103:$B$144,2,FALSE)</f>
        <v>#N/A</v>
      </c>
      <c r="F2803" s="53"/>
      <c r="G2803" s="56" t="e">
        <f>VLOOKUP(C2803,clientes!$C$3:$D$60,2,FALSE)</f>
        <v>#N/A</v>
      </c>
    </row>
    <row r="2804" spans="5:7" x14ac:dyDescent="0.25">
      <c r="E2804" t="e">
        <f>VLOOKUP(D2804,'Lista de Produtos CLASSIFICAÇÃO'!$A$103:$B$144,2,FALSE)</f>
        <v>#N/A</v>
      </c>
      <c r="F2804" s="53"/>
      <c r="G2804" s="56" t="e">
        <f>VLOOKUP(C2804,clientes!$C$3:$D$60,2,FALSE)</f>
        <v>#N/A</v>
      </c>
    </row>
    <row r="2805" spans="5:7" x14ac:dyDescent="0.25">
      <c r="E2805" t="e">
        <f>VLOOKUP(D2805,'Lista de Produtos CLASSIFICAÇÃO'!$A$103:$B$144,2,FALSE)</f>
        <v>#N/A</v>
      </c>
      <c r="F2805" s="53"/>
      <c r="G2805" s="56" t="e">
        <f>VLOOKUP(C2805,clientes!$C$3:$D$60,2,FALSE)</f>
        <v>#N/A</v>
      </c>
    </row>
    <row r="2806" spans="5:7" x14ac:dyDescent="0.25">
      <c r="E2806" t="e">
        <f>VLOOKUP(D2806,'Lista de Produtos CLASSIFICAÇÃO'!$A$103:$B$144,2,FALSE)</f>
        <v>#N/A</v>
      </c>
      <c r="F2806" s="53"/>
      <c r="G2806" s="56" t="e">
        <f>VLOOKUP(C2806,clientes!$C$3:$D$60,2,FALSE)</f>
        <v>#N/A</v>
      </c>
    </row>
    <row r="2807" spans="5:7" x14ac:dyDescent="0.25">
      <c r="E2807" t="e">
        <f>VLOOKUP(D2807,'Lista de Produtos CLASSIFICAÇÃO'!$A$103:$B$144,2,FALSE)</f>
        <v>#N/A</v>
      </c>
      <c r="F2807" s="53"/>
      <c r="G2807" s="56" t="e">
        <f>VLOOKUP(C2807,clientes!$C$3:$D$60,2,FALSE)</f>
        <v>#N/A</v>
      </c>
    </row>
    <row r="2808" spans="5:7" x14ac:dyDescent="0.25">
      <c r="E2808" t="e">
        <f>VLOOKUP(D2808,'Lista de Produtos CLASSIFICAÇÃO'!$A$103:$B$144,2,FALSE)</f>
        <v>#N/A</v>
      </c>
      <c r="F2808" s="53"/>
      <c r="G2808" s="56" t="e">
        <f>VLOOKUP(C2808,clientes!$C$3:$D$60,2,FALSE)</f>
        <v>#N/A</v>
      </c>
    </row>
    <row r="2809" spans="5:7" x14ac:dyDescent="0.25">
      <c r="E2809" t="e">
        <f>VLOOKUP(D2809,'Lista de Produtos CLASSIFICAÇÃO'!$A$103:$B$144,2,FALSE)</f>
        <v>#N/A</v>
      </c>
      <c r="F2809" s="53"/>
      <c r="G2809" s="56" t="e">
        <f>VLOOKUP(C2809,clientes!$C$3:$D$60,2,FALSE)</f>
        <v>#N/A</v>
      </c>
    </row>
    <row r="2810" spans="5:7" x14ac:dyDescent="0.25">
      <c r="E2810" t="e">
        <f>VLOOKUP(D2810,'Lista de Produtos CLASSIFICAÇÃO'!$A$103:$B$144,2,FALSE)</f>
        <v>#N/A</v>
      </c>
      <c r="F2810" s="53"/>
      <c r="G2810" s="56" t="e">
        <f>VLOOKUP(C2810,clientes!$C$3:$D$60,2,FALSE)</f>
        <v>#N/A</v>
      </c>
    </row>
    <row r="2811" spans="5:7" x14ac:dyDescent="0.25">
      <c r="E2811" t="e">
        <f>VLOOKUP(D2811,'Lista de Produtos CLASSIFICAÇÃO'!$A$103:$B$144,2,FALSE)</f>
        <v>#N/A</v>
      </c>
      <c r="F2811" s="53"/>
      <c r="G2811" s="56" t="e">
        <f>VLOOKUP(C2811,clientes!$C$3:$D$60,2,FALSE)</f>
        <v>#N/A</v>
      </c>
    </row>
    <row r="2812" spans="5:7" x14ac:dyDescent="0.25">
      <c r="E2812" t="e">
        <f>VLOOKUP(D2812,'Lista de Produtos CLASSIFICAÇÃO'!$A$103:$B$144,2,FALSE)</f>
        <v>#N/A</v>
      </c>
      <c r="F2812" s="53"/>
      <c r="G2812" s="56" t="e">
        <f>VLOOKUP(C2812,clientes!$C$3:$D$60,2,FALSE)</f>
        <v>#N/A</v>
      </c>
    </row>
    <row r="2813" spans="5:7" x14ac:dyDescent="0.25">
      <c r="E2813" t="e">
        <f>VLOOKUP(D2813,'Lista de Produtos CLASSIFICAÇÃO'!$A$103:$B$144,2,FALSE)</f>
        <v>#N/A</v>
      </c>
      <c r="F2813" s="53"/>
      <c r="G2813" s="56" t="e">
        <f>VLOOKUP(C2813,clientes!$C$3:$D$60,2,FALSE)</f>
        <v>#N/A</v>
      </c>
    </row>
    <row r="2814" spans="5:7" x14ac:dyDescent="0.25">
      <c r="E2814" t="e">
        <f>VLOOKUP(D2814,'Lista de Produtos CLASSIFICAÇÃO'!$A$103:$B$144,2,FALSE)</f>
        <v>#N/A</v>
      </c>
      <c r="F2814" s="53"/>
      <c r="G2814" s="56" t="e">
        <f>VLOOKUP(C2814,clientes!$C$3:$D$60,2,FALSE)</f>
        <v>#N/A</v>
      </c>
    </row>
    <row r="2815" spans="5:7" x14ac:dyDescent="0.25">
      <c r="E2815" t="e">
        <f>VLOOKUP(D2815,'Lista de Produtos CLASSIFICAÇÃO'!$A$103:$B$144,2,FALSE)</f>
        <v>#N/A</v>
      </c>
      <c r="F2815" s="53"/>
      <c r="G2815" s="56" t="e">
        <f>VLOOKUP(C2815,clientes!$C$3:$D$60,2,FALSE)</f>
        <v>#N/A</v>
      </c>
    </row>
    <row r="2816" spans="5:7" x14ac:dyDescent="0.25">
      <c r="E2816" t="e">
        <f>VLOOKUP(D2816,'Lista de Produtos CLASSIFICAÇÃO'!$A$103:$B$144,2,FALSE)</f>
        <v>#N/A</v>
      </c>
      <c r="F2816" s="53"/>
      <c r="G2816" s="56" t="e">
        <f>VLOOKUP(C2816,clientes!$C$3:$D$60,2,FALSE)</f>
        <v>#N/A</v>
      </c>
    </row>
    <row r="2817" spans="5:7" x14ac:dyDescent="0.25">
      <c r="E2817" t="e">
        <f>VLOOKUP(D2817,'Lista de Produtos CLASSIFICAÇÃO'!$A$103:$B$144,2,FALSE)</f>
        <v>#N/A</v>
      </c>
      <c r="F2817" s="53"/>
      <c r="G2817" s="56" t="e">
        <f>VLOOKUP(C2817,clientes!$C$3:$D$60,2,FALSE)</f>
        <v>#N/A</v>
      </c>
    </row>
    <row r="2818" spans="5:7" x14ac:dyDescent="0.25">
      <c r="E2818" t="e">
        <f>VLOOKUP(D2818,'Lista de Produtos CLASSIFICAÇÃO'!$A$103:$B$144,2,FALSE)</f>
        <v>#N/A</v>
      </c>
      <c r="F2818" s="53"/>
      <c r="G2818" s="56" t="e">
        <f>VLOOKUP(C2818,clientes!$C$3:$D$60,2,FALSE)</f>
        <v>#N/A</v>
      </c>
    </row>
    <row r="2819" spans="5:7" x14ac:dyDescent="0.25">
      <c r="E2819" t="e">
        <f>VLOOKUP(D2819,'Lista de Produtos CLASSIFICAÇÃO'!$A$103:$B$144,2,FALSE)</f>
        <v>#N/A</v>
      </c>
      <c r="F2819" s="53"/>
      <c r="G2819" s="56" t="e">
        <f>VLOOKUP(C2819,clientes!$C$3:$D$60,2,FALSE)</f>
        <v>#N/A</v>
      </c>
    </row>
    <row r="2820" spans="5:7" x14ac:dyDescent="0.25">
      <c r="E2820" t="e">
        <f>VLOOKUP(D2820,'Lista de Produtos CLASSIFICAÇÃO'!$A$103:$B$144,2,FALSE)</f>
        <v>#N/A</v>
      </c>
      <c r="F2820" s="53"/>
      <c r="G2820" s="56" t="e">
        <f>VLOOKUP(C2820,clientes!$C$3:$D$60,2,FALSE)</f>
        <v>#N/A</v>
      </c>
    </row>
    <row r="2821" spans="5:7" x14ac:dyDescent="0.25">
      <c r="E2821" t="e">
        <f>VLOOKUP(D2821,'Lista de Produtos CLASSIFICAÇÃO'!$A$103:$B$144,2,FALSE)</f>
        <v>#N/A</v>
      </c>
      <c r="F2821" s="53"/>
      <c r="G2821" s="56" t="e">
        <f>VLOOKUP(C2821,clientes!$C$3:$D$60,2,FALSE)</f>
        <v>#N/A</v>
      </c>
    </row>
    <row r="2822" spans="5:7" x14ac:dyDescent="0.25">
      <c r="E2822" t="e">
        <f>VLOOKUP(D2822,'Lista de Produtos CLASSIFICAÇÃO'!$A$103:$B$144,2,FALSE)</f>
        <v>#N/A</v>
      </c>
      <c r="F2822" s="53"/>
      <c r="G2822" s="56" t="e">
        <f>VLOOKUP(C2822,clientes!$C$3:$D$60,2,FALSE)</f>
        <v>#N/A</v>
      </c>
    </row>
    <row r="2823" spans="5:7" x14ac:dyDescent="0.25">
      <c r="E2823" t="e">
        <f>VLOOKUP(D2823,'Lista de Produtos CLASSIFICAÇÃO'!$A$103:$B$144,2,FALSE)</f>
        <v>#N/A</v>
      </c>
      <c r="F2823" s="53"/>
      <c r="G2823" s="56" t="e">
        <f>VLOOKUP(C2823,clientes!$C$3:$D$60,2,FALSE)</f>
        <v>#N/A</v>
      </c>
    </row>
    <row r="2824" spans="5:7" x14ac:dyDescent="0.25">
      <c r="E2824" t="e">
        <f>VLOOKUP(D2824,'Lista de Produtos CLASSIFICAÇÃO'!$A$103:$B$144,2,FALSE)</f>
        <v>#N/A</v>
      </c>
      <c r="F2824" s="53"/>
      <c r="G2824" s="56" t="e">
        <f>VLOOKUP(C2824,clientes!$C$3:$D$60,2,FALSE)</f>
        <v>#N/A</v>
      </c>
    </row>
    <row r="2825" spans="5:7" x14ac:dyDescent="0.25">
      <c r="E2825" t="e">
        <f>VLOOKUP(D2825,'Lista de Produtos CLASSIFICAÇÃO'!$A$103:$B$144,2,FALSE)</f>
        <v>#N/A</v>
      </c>
      <c r="F2825" s="53"/>
      <c r="G2825" s="56" t="e">
        <f>VLOOKUP(C2825,clientes!$C$3:$D$60,2,FALSE)</f>
        <v>#N/A</v>
      </c>
    </row>
    <row r="2826" spans="5:7" x14ac:dyDescent="0.25">
      <c r="E2826" t="e">
        <f>VLOOKUP(D2826,'Lista de Produtos CLASSIFICAÇÃO'!$A$103:$B$144,2,FALSE)</f>
        <v>#N/A</v>
      </c>
      <c r="F2826" s="53"/>
      <c r="G2826" s="56" t="e">
        <f>VLOOKUP(C2826,clientes!$C$3:$D$60,2,FALSE)</f>
        <v>#N/A</v>
      </c>
    </row>
    <row r="2827" spans="5:7" x14ac:dyDescent="0.25">
      <c r="E2827" t="e">
        <f>VLOOKUP(D2827,'Lista de Produtos CLASSIFICAÇÃO'!$A$103:$B$144,2,FALSE)</f>
        <v>#N/A</v>
      </c>
      <c r="F2827" s="53"/>
      <c r="G2827" s="56" t="e">
        <f>VLOOKUP(C2827,clientes!$C$3:$D$60,2,FALSE)</f>
        <v>#N/A</v>
      </c>
    </row>
    <row r="2828" spans="5:7" x14ac:dyDescent="0.25">
      <c r="E2828" t="e">
        <f>VLOOKUP(D2828,'Lista de Produtos CLASSIFICAÇÃO'!$A$103:$B$144,2,FALSE)</f>
        <v>#N/A</v>
      </c>
      <c r="F2828" s="53"/>
      <c r="G2828" s="56" t="e">
        <f>VLOOKUP(C2828,clientes!$C$3:$D$60,2,FALSE)</f>
        <v>#N/A</v>
      </c>
    </row>
    <row r="2829" spans="5:7" x14ac:dyDescent="0.25">
      <c r="E2829" t="e">
        <f>VLOOKUP(D2829,'Lista de Produtos CLASSIFICAÇÃO'!$A$103:$B$144,2,FALSE)</f>
        <v>#N/A</v>
      </c>
      <c r="F2829" s="53"/>
      <c r="G2829" s="56" t="e">
        <f>VLOOKUP(C2829,clientes!$C$3:$D$60,2,FALSE)</f>
        <v>#N/A</v>
      </c>
    </row>
    <row r="2830" spans="5:7" x14ac:dyDescent="0.25">
      <c r="E2830" t="e">
        <f>VLOOKUP(D2830,'Lista de Produtos CLASSIFICAÇÃO'!$A$103:$B$144,2,FALSE)</f>
        <v>#N/A</v>
      </c>
      <c r="F2830" s="53"/>
      <c r="G2830" s="56" t="e">
        <f>VLOOKUP(C2830,clientes!$C$3:$D$60,2,FALSE)</f>
        <v>#N/A</v>
      </c>
    </row>
    <row r="2831" spans="5:7" x14ac:dyDescent="0.25">
      <c r="E2831" t="e">
        <f>VLOOKUP(D2831,'Lista de Produtos CLASSIFICAÇÃO'!$A$103:$B$144,2,FALSE)</f>
        <v>#N/A</v>
      </c>
      <c r="F2831" s="53"/>
      <c r="G2831" s="56" t="e">
        <f>VLOOKUP(C2831,clientes!$C$3:$D$60,2,FALSE)</f>
        <v>#N/A</v>
      </c>
    </row>
    <row r="2832" spans="5:7" x14ac:dyDescent="0.25">
      <c r="E2832" t="e">
        <f>VLOOKUP(D2832,'Lista de Produtos CLASSIFICAÇÃO'!$A$103:$B$144,2,FALSE)</f>
        <v>#N/A</v>
      </c>
      <c r="F2832" s="53"/>
      <c r="G2832" s="56" t="e">
        <f>VLOOKUP(C2832,clientes!$C$3:$D$60,2,FALSE)</f>
        <v>#N/A</v>
      </c>
    </row>
    <row r="2833" spans="5:7" x14ac:dyDescent="0.25">
      <c r="E2833" t="e">
        <f>VLOOKUP(D2833,'Lista de Produtos CLASSIFICAÇÃO'!$A$103:$B$144,2,FALSE)</f>
        <v>#N/A</v>
      </c>
      <c r="F2833" s="53"/>
      <c r="G2833" s="56" t="e">
        <f>VLOOKUP(C2833,clientes!$C$3:$D$60,2,FALSE)</f>
        <v>#N/A</v>
      </c>
    </row>
    <row r="2834" spans="5:7" x14ac:dyDescent="0.25">
      <c r="E2834" t="e">
        <f>VLOOKUP(D2834,'Lista de Produtos CLASSIFICAÇÃO'!$A$103:$B$144,2,FALSE)</f>
        <v>#N/A</v>
      </c>
      <c r="F2834" s="53"/>
      <c r="G2834" s="56" t="e">
        <f>VLOOKUP(C2834,clientes!$C$3:$D$60,2,FALSE)</f>
        <v>#N/A</v>
      </c>
    </row>
    <row r="2835" spans="5:7" x14ac:dyDescent="0.25">
      <c r="E2835" t="e">
        <f>VLOOKUP(D2835,'Lista de Produtos CLASSIFICAÇÃO'!$A$103:$B$144,2,FALSE)</f>
        <v>#N/A</v>
      </c>
      <c r="F2835" s="53"/>
      <c r="G2835" s="56" t="e">
        <f>VLOOKUP(C2835,clientes!$C$3:$D$60,2,FALSE)</f>
        <v>#N/A</v>
      </c>
    </row>
    <row r="2836" spans="5:7" x14ac:dyDescent="0.25">
      <c r="E2836" t="e">
        <f>VLOOKUP(D2836,'Lista de Produtos CLASSIFICAÇÃO'!$A$103:$B$144,2,FALSE)</f>
        <v>#N/A</v>
      </c>
      <c r="F2836" s="53"/>
      <c r="G2836" s="56" t="e">
        <f>VLOOKUP(C2836,clientes!$C$3:$D$60,2,FALSE)</f>
        <v>#N/A</v>
      </c>
    </row>
    <row r="2837" spans="5:7" x14ac:dyDescent="0.25">
      <c r="E2837" t="e">
        <f>VLOOKUP(D2837,'Lista de Produtos CLASSIFICAÇÃO'!$A$103:$B$144,2,FALSE)</f>
        <v>#N/A</v>
      </c>
      <c r="F2837" s="53"/>
      <c r="G2837" s="56" t="e">
        <f>VLOOKUP(C2837,clientes!$C$3:$D$60,2,FALSE)</f>
        <v>#N/A</v>
      </c>
    </row>
    <row r="2838" spans="5:7" x14ac:dyDescent="0.25">
      <c r="E2838" t="e">
        <f>VLOOKUP(D2838,'Lista de Produtos CLASSIFICAÇÃO'!$A$103:$B$144,2,FALSE)</f>
        <v>#N/A</v>
      </c>
      <c r="F2838" s="53"/>
      <c r="G2838" s="56" t="e">
        <f>VLOOKUP(C2838,clientes!$C$3:$D$60,2,FALSE)</f>
        <v>#N/A</v>
      </c>
    </row>
    <row r="2839" spans="5:7" x14ac:dyDescent="0.25">
      <c r="E2839" t="e">
        <f>VLOOKUP(D2839,'Lista de Produtos CLASSIFICAÇÃO'!$A$103:$B$144,2,FALSE)</f>
        <v>#N/A</v>
      </c>
      <c r="F2839" s="53"/>
      <c r="G2839" s="56" t="e">
        <f>VLOOKUP(C2839,clientes!$C$3:$D$60,2,FALSE)</f>
        <v>#N/A</v>
      </c>
    </row>
    <row r="2840" spans="5:7" x14ac:dyDescent="0.25">
      <c r="E2840" t="e">
        <f>VLOOKUP(D2840,'Lista de Produtos CLASSIFICAÇÃO'!$A$103:$B$144,2,FALSE)</f>
        <v>#N/A</v>
      </c>
      <c r="F2840" s="53"/>
      <c r="G2840" s="56" t="e">
        <f>VLOOKUP(C2840,clientes!$C$3:$D$60,2,FALSE)</f>
        <v>#N/A</v>
      </c>
    </row>
    <row r="2841" spans="5:7" x14ac:dyDescent="0.25">
      <c r="E2841" t="e">
        <f>VLOOKUP(D2841,'Lista de Produtos CLASSIFICAÇÃO'!$A$103:$B$144,2,FALSE)</f>
        <v>#N/A</v>
      </c>
      <c r="F2841" s="53"/>
      <c r="G2841" s="56" t="e">
        <f>VLOOKUP(C2841,clientes!$C$3:$D$60,2,FALSE)</f>
        <v>#N/A</v>
      </c>
    </row>
    <row r="2842" spans="5:7" x14ac:dyDescent="0.25">
      <c r="E2842" t="e">
        <f>VLOOKUP(D2842,'Lista de Produtos CLASSIFICAÇÃO'!$A$103:$B$144,2,FALSE)</f>
        <v>#N/A</v>
      </c>
      <c r="F2842" s="53"/>
      <c r="G2842" s="56" t="e">
        <f>VLOOKUP(C2842,clientes!$C$3:$D$60,2,FALSE)</f>
        <v>#N/A</v>
      </c>
    </row>
    <row r="2843" spans="5:7" x14ac:dyDescent="0.25">
      <c r="E2843" t="e">
        <f>VLOOKUP(D2843,'Lista de Produtos CLASSIFICAÇÃO'!$A$103:$B$144,2,FALSE)</f>
        <v>#N/A</v>
      </c>
      <c r="F2843" s="53"/>
      <c r="G2843" s="56" t="e">
        <f>VLOOKUP(C2843,clientes!$C$3:$D$60,2,FALSE)</f>
        <v>#N/A</v>
      </c>
    </row>
    <row r="2844" spans="5:7" x14ac:dyDescent="0.25">
      <c r="E2844" t="e">
        <f>VLOOKUP(D2844,'Lista de Produtos CLASSIFICAÇÃO'!$A$103:$B$144,2,FALSE)</f>
        <v>#N/A</v>
      </c>
      <c r="F2844" s="53"/>
      <c r="G2844" s="56" t="e">
        <f>VLOOKUP(C2844,clientes!$C$3:$D$60,2,FALSE)</f>
        <v>#N/A</v>
      </c>
    </row>
    <row r="2845" spans="5:7" x14ac:dyDescent="0.25">
      <c r="E2845" t="e">
        <f>VLOOKUP(D2845,'Lista de Produtos CLASSIFICAÇÃO'!$A$103:$B$144,2,FALSE)</f>
        <v>#N/A</v>
      </c>
      <c r="F2845" s="53"/>
      <c r="G2845" s="56" t="e">
        <f>VLOOKUP(C2845,clientes!$C$3:$D$60,2,FALSE)</f>
        <v>#N/A</v>
      </c>
    </row>
    <row r="2846" spans="5:7" x14ac:dyDescent="0.25">
      <c r="E2846" t="e">
        <f>VLOOKUP(D2846,'Lista de Produtos CLASSIFICAÇÃO'!$A$103:$B$144,2,FALSE)</f>
        <v>#N/A</v>
      </c>
      <c r="F2846" s="53"/>
      <c r="G2846" s="56" t="e">
        <f>VLOOKUP(C2846,clientes!$C$3:$D$60,2,FALSE)</f>
        <v>#N/A</v>
      </c>
    </row>
    <row r="2847" spans="5:7" x14ac:dyDescent="0.25">
      <c r="E2847" t="e">
        <f>VLOOKUP(D2847,'Lista de Produtos CLASSIFICAÇÃO'!$A$103:$B$144,2,FALSE)</f>
        <v>#N/A</v>
      </c>
      <c r="F2847" s="53"/>
      <c r="G2847" s="56" t="e">
        <f>VLOOKUP(C2847,clientes!$C$3:$D$60,2,FALSE)</f>
        <v>#N/A</v>
      </c>
    </row>
    <row r="2848" spans="5:7" x14ac:dyDescent="0.25">
      <c r="E2848" t="e">
        <f>VLOOKUP(D2848,'Lista de Produtos CLASSIFICAÇÃO'!$A$103:$B$144,2,FALSE)</f>
        <v>#N/A</v>
      </c>
      <c r="F2848" s="53"/>
      <c r="G2848" s="56" t="e">
        <f>VLOOKUP(C2848,clientes!$C$3:$D$60,2,FALSE)</f>
        <v>#N/A</v>
      </c>
    </row>
    <row r="2849" spans="5:7" x14ac:dyDescent="0.25">
      <c r="E2849" t="e">
        <f>VLOOKUP(D2849,'Lista de Produtos CLASSIFICAÇÃO'!$A$103:$B$144,2,FALSE)</f>
        <v>#N/A</v>
      </c>
      <c r="F2849" s="53"/>
      <c r="G2849" s="56" t="e">
        <f>VLOOKUP(C2849,clientes!$C$3:$D$60,2,FALSE)</f>
        <v>#N/A</v>
      </c>
    </row>
    <row r="2850" spans="5:7" x14ac:dyDescent="0.25">
      <c r="E2850" t="e">
        <f>VLOOKUP(D2850,'Lista de Produtos CLASSIFICAÇÃO'!$A$103:$B$144,2,FALSE)</f>
        <v>#N/A</v>
      </c>
      <c r="F2850" s="53"/>
      <c r="G2850" s="56" t="e">
        <f>VLOOKUP(C2850,clientes!$C$3:$D$60,2,FALSE)</f>
        <v>#N/A</v>
      </c>
    </row>
    <row r="2851" spans="5:7" x14ac:dyDescent="0.25">
      <c r="E2851" t="e">
        <f>VLOOKUP(D2851,'Lista de Produtos CLASSIFICAÇÃO'!$A$103:$B$144,2,FALSE)</f>
        <v>#N/A</v>
      </c>
      <c r="F2851" s="53"/>
      <c r="G2851" s="56" t="e">
        <f>VLOOKUP(C2851,clientes!$C$3:$D$60,2,FALSE)</f>
        <v>#N/A</v>
      </c>
    </row>
    <row r="2852" spans="5:7" x14ac:dyDescent="0.25">
      <c r="E2852" t="e">
        <f>VLOOKUP(D2852,'Lista de Produtos CLASSIFICAÇÃO'!$A$103:$B$144,2,FALSE)</f>
        <v>#N/A</v>
      </c>
      <c r="F2852" s="53"/>
      <c r="G2852" s="56" t="e">
        <f>VLOOKUP(C2852,clientes!$C$3:$D$60,2,FALSE)</f>
        <v>#N/A</v>
      </c>
    </row>
    <row r="2853" spans="5:7" x14ac:dyDescent="0.25">
      <c r="E2853" t="e">
        <f>VLOOKUP(D2853,'Lista de Produtos CLASSIFICAÇÃO'!$A$103:$B$144,2,FALSE)</f>
        <v>#N/A</v>
      </c>
      <c r="F2853" s="53"/>
      <c r="G2853" s="56" t="e">
        <f>VLOOKUP(C2853,clientes!$C$3:$D$60,2,FALSE)</f>
        <v>#N/A</v>
      </c>
    </row>
    <row r="2854" spans="5:7" x14ac:dyDescent="0.25">
      <c r="E2854" t="e">
        <f>VLOOKUP(D2854,'Lista de Produtos CLASSIFICAÇÃO'!$A$103:$B$144,2,FALSE)</f>
        <v>#N/A</v>
      </c>
      <c r="F2854" s="53"/>
      <c r="G2854" s="56" t="e">
        <f>VLOOKUP(C2854,clientes!$C$3:$D$60,2,FALSE)</f>
        <v>#N/A</v>
      </c>
    </row>
    <row r="2855" spans="5:7" x14ac:dyDescent="0.25">
      <c r="E2855" t="e">
        <f>VLOOKUP(D2855,'Lista de Produtos CLASSIFICAÇÃO'!$A$103:$B$144,2,FALSE)</f>
        <v>#N/A</v>
      </c>
      <c r="F2855" s="53"/>
      <c r="G2855" s="56" t="e">
        <f>VLOOKUP(C2855,clientes!$C$3:$D$60,2,FALSE)</f>
        <v>#N/A</v>
      </c>
    </row>
    <row r="2856" spans="5:7" x14ac:dyDescent="0.25">
      <c r="E2856" t="e">
        <f>VLOOKUP(D2856,'Lista de Produtos CLASSIFICAÇÃO'!$A$103:$B$144,2,FALSE)</f>
        <v>#N/A</v>
      </c>
      <c r="F2856" s="53"/>
      <c r="G2856" s="56" t="e">
        <f>VLOOKUP(C2856,clientes!$C$3:$D$60,2,FALSE)</f>
        <v>#N/A</v>
      </c>
    </row>
    <row r="2857" spans="5:7" x14ac:dyDescent="0.25">
      <c r="E2857" t="e">
        <f>VLOOKUP(D2857,'Lista de Produtos CLASSIFICAÇÃO'!$A$103:$B$144,2,FALSE)</f>
        <v>#N/A</v>
      </c>
      <c r="F2857" s="53"/>
      <c r="G2857" s="56" t="e">
        <f>VLOOKUP(C2857,clientes!$C$3:$D$60,2,FALSE)</f>
        <v>#N/A</v>
      </c>
    </row>
    <row r="2858" spans="5:7" x14ac:dyDescent="0.25">
      <c r="E2858" t="e">
        <f>VLOOKUP(D2858,'Lista de Produtos CLASSIFICAÇÃO'!$A$103:$B$144,2,FALSE)</f>
        <v>#N/A</v>
      </c>
      <c r="F2858" s="53"/>
      <c r="G2858" s="56" t="e">
        <f>VLOOKUP(C2858,clientes!$C$3:$D$60,2,FALSE)</f>
        <v>#N/A</v>
      </c>
    </row>
    <row r="2859" spans="5:7" x14ac:dyDescent="0.25">
      <c r="E2859" t="e">
        <f>VLOOKUP(D2859,'Lista de Produtos CLASSIFICAÇÃO'!$A$103:$B$144,2,FALSE)</f>
        <v>#N/A</v>
      </c>
      <c r="F2859" s="53"/>
      <c r="G2859" s="56" t="e">
        <f>VLOOKUP(C2859,clientes!$C$3:$D$60,2,FALSE)</f>
        <v>#N/A</v>
      </c>
    </row>
    <row r="2860" spans="5:7" x14ac:dyDescent="0.25">
      <c r="E2860" t="e">
        <f>VLOOKUP(D2860,'Lista de Produtos CLASSIFICAÇÃO'!$A$103:$B$144,2,FALSE)</f>
        <v>#N/A</v>
      </c>
      <c r="F2860" s="53"/>
      <c r="G2860" s="56" t="e">
        <f>VLOOKUP(C2860,clientes!$C$3:$D$60,2,FALSE)</f>
        <v>#N/A</v>
      </c>
    </row>
    <row r="2861" spans="5:7" x14ac:dyDescent="0.25">
      <c r="E2861" t="e">
        <f>VLOOKUP(D2861,'Lista de Produtos CLASSIFICAÇÃO'!$A$103:$B$144,2,FALSE)</f>
        <v>#N/A</v>
      </c>
      <c r="F2861" s="53"/>
      <c r="G2861" s="56" t="e">
        <f>VLOOKUP(C2861,clientes!$C$3:$D$60,2,FALSE)</f>
        <v>#N/A</v>
      </c>
    </row>
    <row r="2862" spans="5:7" x14ac:dyDescent="0.25">
      <c r="E2862" t="e">
        <f>VLOOKUP(D2862,'Lista de Produtos CLASSIFICAÇÃO'!$A$103:$B$144,2,FALSE)</f>
        <v>#N/A</v>
      </c>
      <c r="F2862" s="53"/>
      <c r="G2862" s="56" t="e">
        <f>VLOOKUP(C2862,clientes!$C$3:$D$60,2,FALSE)</f>
        <v>#N/A</v>
      </c>
    </row>
    <row r="2863" spans="5:7" x14ac:dyDescent="0.25">
      <c r="E2863" t="e">
        <f>VLOOKUP(D2863,'Lista de Produtos CLASSIFICAÇÃO'!$A$103:$B$144,2,FALSE)</f>
        <v>#N/A</v>
      </c>
      <c r="F2863" s="53"/>
      <c r="G2863" s="56" t="e">
        <f>VLOOKUP(C2863,clientes!$C$3:$D$60,2,FALSE)</f>
        <v>#N/A</v>
      </c>
    </row>
    <row r="2864" spans="5:7" x14ac:dyDescent="0.25">
      <c r="E2864" t="e">
        <f>VLOOKUP(D2864,'Lista de Produtos CLASSIFICAÇÃO'!$A$103:$B$144,2,FALSE)</f>
        <v>#N/A</v>
      </c>
      <c r="F2864" s="53"/>
      <c r="G2864" s="56" t="e">
        <f>VLOOKUP(C2864,clientes!$C$3:$D$60,2,FALSE)</f>
        <v>#N/A</v>
      </c>
    </row>
    <row r="2865" spans="5:7" x14ac:dyDescent="0.25">
      <c r="E2865" t="e">
        <f>VLOOKUP(D2865,'Lista de Produtos CLASSIFICAÇÃO'!$A$103:$B$144,2,FALSE)</f>
        <v>#N/A</v>
      </c>
      <c r="F2865" s="53"/>
      <c r="G2865" s="56" t="e">
        <f>VLOOKUP(C2865,clientes!$C$3:$D$60,2,FALSE)</f>
        <v>#N/A</v>
      </c>
    </row>
    <row r="2866" spans="5:7" x14ac:dyDescent="0.25">
      <c r="E2866" t="e">
        <f>VLOOKUP(D2866,'Lista de Produtos CLASSIFICAÇÃO'!$A$103:$B$144,2,FALSE)</f>
        <v>#N/A</v>
      </c>
      <c r="F2866" s="53"/>
      <c r="G2866" s="56" t="e">
        <f>VLOOKUP(C2866,clientes!$C$3:$D$60,2,FALSE)</f>
        <v>#N/A</v>
      </c>
    </row>
    <row r="2867" spans="5:7" x14ac:dyDescent="0.25">
      <c r="E2867" t="e">
        <f>VLOOKUP(D2867,'Lista de Produtos CLASSIFICAÇÃO'!$A$103:$B$144,2,FALSE)</f>
        <v>#N/A</v>
      </c>
      <c r="F2867" s="53"/>
      <c r="G2867" s="56" t="e">
        <f>VLOOKUP(C2867,clientes!$C$3:$D$60,2,FALSE)</f>
        <v>#N/A</v>
      </c>
    </row>
    <row r="2868" spans="5:7" x14ac:dyDescent="0.25">
      <c r="E2868" t="e">
        <f>VLOOKUP(D2868,'Lista de Produtos CLASSIFICAÇÃO'!$A$103:$B$144,2,FALSE)</f>
        <v>#N/A</v>
      </c>
      <c r="F2868" s="53"/>
      <c r="G2868" s="56" t="e">
        <f>VLOOKUP(C2868,clientes!$C$3:$D$60,2,FALSE)</f>
        <v>#N/A</v>
      </c>
    </row>
    <row r="2869" spans="5:7" x14ac:dyDescent="0.25">
      <c r="E2869" t="e">
        <f>VLOOKUP(D2869,'Lista de Produtos CLASSIFICAÇÃO'!$A$103:$B$144,2,FALSE)</f>
        <v>#N/A</v>
      </c>
      <c r="F2869" s="53"/>
      <c r="G2869" s="56" t="e">
        <f>VLOOKUP(C2869,clientes!$C$3:$D$60,2,FALSE)</f>
        <v>#N/A</v>
      </c>
    </row>
    <row r="2870" spans="5:7" x14ac:dyDescent="0.25">
      <c r="E2870" t="e">
        <f>VLOOKUP(D2870,'Lista de Produtos CLASSIFICAÇÃO'!$A$103:$B$144,2,FALSE)</f>
        <v>#N/A</v>
      </c>
      <c r="F2870" s="53"/>
      <c r="G2870" s="56" t="e">
        <f>VLOOKUP(C2870,clientes!$C$3:$D$60,2,FALSE)</f>
        <v>#N/A</v>
      </c>
    </row>
    <row r="2871" spans="5:7" x14ac:dyDescent="0.25">
      <c r="E2871" t="e">
        <f>VLOOKUP(D2871,'Lista de Produtos CLASSIFICAÇÃO'!$A$103:$B$144,2,FALSE)</f>
        <v>#N/A</v>
      </c>
      <c r="F2871" s="53"/>
      <c r="G2871" s="56" t="e">
        <f>VLOOKUP(C2871,clientes!$C$3:$D$60,2,FALSE)</f>
        <v>#N/A</v>
      </c>
    </row>
    <row r="2872" spans="5:7" x14ac:dyDescent="0.25">
      <c r="E2872" t="e">
        <f>VLOOKUP(D2872,'Lista de Produtos CLASSIFICAÇÃO'!$A$103:$B$144,2,FALSE)</f>
        <v>#N/A</v>
      </c>
      <c r="F2872" s="53"/>
      <c r="G2872" s="56" t="e">
        <f>VLOOKUP(C2872,clientes!$C$3:$D$60,2,FALSE)</f>
        <v>#N/A</v>
      </c>
    </row>
    <row r="2873" spans="5:7" x14ac:dyDescent="0.25">
      <c r="E2873" t="e">
        <f>VLOOKUP(D2873,'Lista de Produtos CLASSIFICAÇÃO'!$A$103:$B$144,2,FALSE)</f>
        <v>#N/A</v>
      </c>
      <c r="F2873" s="53"/>
      <c r="G2873" s="56" t="e">
        <f>VLOOKUP(C2873,clientes!$C$3:$D$60,2,FALSE)</f>
        <v>#N/A</v>
      </c>
    </row>
    <row r="2874" spans="5:7" x14ac:dyDescent="0.25">
      <c r="E2874" t="e">
        <f>VLOOKUP(D2874,'Lista de Produtos CLASSIFICAÇÃO'!$A$103:$B$144,2,FALSE)</f>
        <v>#N/A</v>
      </c>
      <c r="F2874" s="53"/>
      <c r="G2874" s="56" t="e">
        <f>VLOOKUP(C2874,clientes!$C$3:$D$60,2,FALSE)</f>
        <v>#N/A</v>
      </c>
    </row>
    <row r="2875" spans="5:7" x14ac:dyDescent="0.25">
      <c r="E2875" t="e">
        <f>VLOOKUP(D2875,'Lista de Produtos CLASSIFICAÇÃO'!$A$103:$B$144,2,FALSE)</f>
        <v>#N/A</v>
      </c>
      <c r="F2875" s="53"/>
      <c r="G2875" s="56" t="e">
        <f>VLOOKUP(C2875,clientes!$C$3:$D$60,2,FALSE)</f>
        <v>#N/A</v>
      </c>
    </row>
    <row r="2876" spans="5:7" x14ac:dyDescent="0.25">
      <c r="E2876" t="e">
        <f>VLOOKUP(D2876,'Lista de Produtos CLASSIFICAÇÃO'!$A$103:$B$144,2,FALSE)</f>
        <v>#N/A</v>
      </c>
      <c r="F2876" s="53"/>
      <c r="G2876" s="56" t="e">
        <f>VLOOKUP(C2876,clientes!$C$3:$D$60,2,FALSE)</f>
        <v>#N/A</v>
      </c>
    </row>
    <row r="2877" spans="5:7" x14ac:dyDescent="0.25">
      <c r="E2877" t="e">
        <f>VLOOKUP(D2877,'Lista de Produtos CLASSIFICAÇÃO'!$A$103:$B$144,2,FALSE)</f>
        <v>#N/A</v>
      </c>
      <c r="F2877" s="53"/>
      <c r="G2877" s="56" t="e">
        <f>VLOOKUP(C2877,clientes!$C$3:$D$60,2,FALSE)</f>
        <v>#N/A</v>
      </c>
    </row>
    <row r="2878" spans="5:7" x14ac:dyDescent="0.25">
      <c r="E2878" t="e">
        <f>VLOOKUP(D2878,'Lista de Produtos CLASSIFICAÇÃO'!$A$103:$B$144,2,FALSE)</f>
        <v>#N/A</v>
      </c>
      <c r="F2878" s="53"/>
      <c r="G2878" s="56" t="e">
        <f>VLOOKUP(C2878,clientes!$C$3:$D$60,2,FALSE)</f>
        <v>#N/A</v>
      </c>
    </row>
    <row r="2879" spans="5:7" x14ac:dyDescent="0.25">
      <c r="E2879" t="e">
        <f>VLOOKUP(D2879,'Lista de Produtos CLASSIFICAÇÃO'!$A$103:$B$144,2,FALSE)</f>
        <v>#N/A</v>
      </c>
      <c r="F2879" s="53"/>
      <c r="G2879" s="56" t="e">
        <f>VLOOKUP(C2879,clientes!$C$3:$D$60,2,FALSE)</f>
        <v>#N/A</v>
      </c>
    </row>
    <row r="2880" spans="5:7" x14ac:dyDescent="0.25">
      <c r="E2880" t="e">
        <f>VLOOKUP(D2880,'Lista de Produtos CLASSIFICAÇÃO'!$A$103:$B$144,2,FALSE)</f>
        <v>#N/A</v>
      </c>
      <c r="F2880" s="53"/>
      <c r="G2880" s="56" t="e">
        <f>VLOOKUP(C2880,clientes!$C$3:$D$60,2,FALSE)</f>
        <v>#N/A</v>
      </c>
    </row>
    <row r="2881" spans="5:7" x14ac:dyDescent="0.25">
      <c r="E2881" t="e">
        <f>VLOOKUP(D2881,'Lista de Produtos CLASSIFICAÇÃO'!$A$103:$B$144,2,FALSE)</f>
        <v>#N/A</v>
      </c>
      <c r="F2881" s="53"/>
      <c r="G2881" s="56" t="e">
        <f>VLOOKUP(C2881,clientes!$C$3:$D$60,2,FALSE)</f>
        <v>#N/A</v>
      </c>
    </row>
    <row r="2882" spans="5:7" x14ac:dyDescent="0.25">
      <c r="E2882" t="e">
        <f>VLOOKUP(D2882,'Lista de Produtos CLASSIFICAÇÃO'!$A$103:$B$144,2,FALSE)</f>
        <v>#N/A</v>
      </c>
      <c r="F2882" s="53"/>
      <c r="G2882" s="56" t="e">
        <f>VLOOKUP(C2882,clientes!$C$3:$D$60,2,FALSE)</f>
        <v>#N/A</v>
      </c>
    </row>
    <row r="2883" spans="5:7" x14ac:dyDescent="0.25">
      <c r="E2883" t="e">
        <f>VLOOKUP(D2883,'Lista de Produtos CLASSIFICAÇÃO'!$A$103:$B$144,2,FALSE)</f>
        <v>#N/A</v>
      </c>
      <c r="F2883" s="53"/>
      <c r="G2883" s="56" t="e">
        <f>VLOOKUP(C2883,clientes!$C$3:$D$60,2,FALSE)</f>
        <v>#N/A</v>
      </c>
    </row>
    <row r="2884" spans="5:7" x14ac:dyDescent="0.25">
      <c r="E2884" t="e">
        <f>VLOOKUP(D2884,'Lista de Produtos CLASSIFICAÇÃO'!$A$103:$B$144,2,FALSE)</f>
        <v>#N/A</v>
      </c>
      <c r="F2884" s="53"/>
      <c r="G2884" s="56" t="e">
        <f>VLOOKUP(C2884,clientes!$C$3:$D$60,2,FALSE)</f>
        <v>#N/A</v>
      </c>
    </row>
    <row r="2885" spans="5:7" x14ac:dyDescent="0.25">
      <c r="E2885" t="e">
        <f>VLOOKUP(D2885,'Lista de Produtos CLASSIFICAÇÃO'!$A$103:$B$144,2,FALSE)</f>
        <v>#N/A</v>
      </c>
      <c r="F2885" s="53"/>
      <c r="G2885" s="56" t="e">
        <f>VLOOKUP(C2885,clientes!$C$3:$D$60,2,FALSE)</f>
        <v>#N/A</v>
      </c>
    </row>
    <row r="2886" spans="5:7" x14ac:dyDescent="0.25">
      <c r="E2886" t="e">
        <f>VLOOKUP(D2886,'Lista de Produtos CLASSIFICAÇÃO'!$A$103:$B$144,2,FALSE)</f>
        <v>#N/A</v>
      </c>
      <c r="F2886" s="53"/>
      <c r="G2886" s="56" t="e">
        <f>VLOOKUP(C2886,clientes!$C$3:$D$60,2,FALSE)</f>
        <v>#N/A</v>
      </c>
    </row>
    <row r="2887" spans="5:7" x14ac:dyDescent="0.25">
      <c r="E2887" t="e">
        <f>VLOOKUP(D2887,'Lista de Produtos CLASSIFICAÇÃO'!$A$103:$B$144,2,FALSE)</f>
        <v>#N/A</v>
      </c>
      <c r="F2887" s="53"/>
      <c r="G2887" s="56" t="e">
        <f>VLOOKUP(C2887,clientes!$C$3:$D$60,2,FALSE)</f>
        <v>#N/A</v>
      </c>
    </row>
    <row r="2888" spans="5:7" x14ac:dyDescent="0.25">
      <c r="E2888" t="e">
        <f>VLOOKUP(D2888,'Lista de Produtos CLASSIFICAÇÃO'!$A$103:$B$144,2,FALSE)</f>
        <v>#N/A</v>
      </c>
      <c r="F2888" s="53"/>
      <c r="G2888" s="56" t="e">
        <f>VLOOKUP(C2888,clientes!$C$3:$D$60,2,FALSE)</f>
        <v>#N/A</v>
      </c>
    </row>
    <row r="2889" spans="5:7" x14ac:dyDescent="0.25">
      <c r="E2889" t="e">
        <f>VLOOKUP(D2889,'Lista de Produtos CLASSIFICAÇÃO'!$A$103:$B$144,2,FALSE)</f>
        <v>#N/A</v>
      </c>
      <c r="F2889" s="53"/>
      <c r="G2889" s="56" t="e">
        <f>VLOOKUP(C2889,clientes!$C$3:$D$60,2,FALSE)</f>
        <v>#N/A</v>
      </c>
    </row>
    <row r="2890" spans="5:7" x14ac:dyDescent="0.25">
      <c r="E2890" t="e">
        <f>VLOOKUP(D2890,'Lista de Produtos CLASSIFICAÇÃO'!$A$103:$B$144,2,FALSE)</f>
        <v>#N/A</v>
      </c>
      <c r="F2890" s="53"/>
      <c r="G2890" s="56" t="e">
        <f>VLOOKUP(C2890,clientes!$C$3:$D$60,2,FALSE)</f>
        <v>#N/A</v>
      </c>
    </row>
    <row r="2891" spans="5:7" x14ac:dyDescent="0.25">
      <c r="E2891" t="e">
        <f>VLOOKUP(D2891,'Lista de Produtos CLASSIFICAÇÃO'!$A$103:$B$144,2,FALSE)</f>
        <v>#N/A</v>
      </c>
      <c r="F2891" s="53"/>
      <c r="G2891" s="56" t="e">
        <f>VLOOKUP(C2891,clientes!$C$3:$D$60,2,FALSE)</f>
        <v>#N/A</v>
      </c>
    </row>
    <row r="2892" spans="5:7" x14ac:dyDescent="0.25">
      <c r="E2892" t="e">
        <f>VLOOKUP(D2892,'Lista de Produtos CLASSIFICAÇÃO'!$A$103:$B$144,2,FALSE)</f>
        <v>#N/A</v>
      </c>
      <c r="F2892" s="53"/>
      <c r="G2892" s="56" t="e">
        <f>VLOOKUP(C2892,clientes!$C$3:$D$60,2,FALSE)</f>
        <v>#N/A</v>
      </c>
    </row>
    <row r="2893" spans="5:7" x14ac:dyDescent="0.25">
      <c r="E2893" t="e">
        <f>VLOOKUP(D2893,'Lista de Produtos CLASSIFICAÇÃO'!$A$103:$B$144,2,FALSE)</f>
        <v>#N/A</v>
      </c>
      <c r="F2893" s="53"/>
      <c r="G2893" s="56" t="e">
        <f>VLOOKUP(C2893,clientes!$C$3:$D$60,2,FALSE)</f>
        <v>#N/A</v>
      </c>
    </row>
    <row r="2894" spans="5:7" x14ac:dyDescent="0.25">
      <c r="E2894" t="e">
        <f>VLOOKUP(D2894,'Lista de Produtos CLASSIFICAÇÃO'!$A$103:$B$144,2,FALSE)</f>
        <v>#N/A</v>
      </c>
      <c r="F2894" s="53"/>
      <c r="G2894" s="56" t="e">
        <f>VLOOKUP(C2894,clientes!$C$3:$D$60,2,FALSE)</f>
        <v>#N/A</v>
      </c>
    </row>
    <row r="2895" spans="5:7" x14ac:dyDescent="0.25">
      <c r="E2895" t="e">
        <f>VLOOKUP(D2895,'Lista de Produtos CLASSIFICAÇÃO'!$A$103:$B$144,2,FALSE)</f>
        <v>#N/A</v>
      </c>
      <c r="F2895" s="53"/>
      <c r="G2895" s="56" t="e">
        <f>VLOOKUP(C2895,clientes!$C$3:$D$60,2,FALSE)</f>
        <v>#N/A</v>
      </c>
    </row>
    <row r="2896" spans="5:7" x14ac:dyDescent="0.25">
      <c r="E2896" t="e">
        <f>VLOOKUP(D2896,'Lista de Produtos CLASSIFICAÇÃO'!$A$103:$B$144,2,FALSE)</f>
        <v>#N/A</v>
      </c>
      <c r="F2896" s="53"/>
      <c r="G2896" s="56" t="e">
        <f>VLOOKUP(C2896,clientes!$C$3:$D$60,2,FALSE)</f>
        <v>#N/A</v>
      </c>
    </row>
    <row r="2897" spans="5:7" x14ac:dyDescent="0.25">
      <c r="E2897" t="e">
        <f>VLOOKUP(D2897,'Lista de Produtos CLASSIFICAÇÃO'!$A$103:$B$144,2,FALSE)</f>
        <v>#N/A</v>
      </c>
      <c r="F2897" s="53"/>
      <c r="G2897" s="56" t="e">
        <f>VLOOKUP(C2897,clientes!$C$3:$D$60,2,FALSE)</f>
        <v>#N/A</v>
      </c>
    </row>
    <row r="2898" spans="5:7" x14ac:dyDescent="0.25">
      <c r="E2898" t="e">
        <f>VLOOKUP(D2898,'Lista de Produtos CLASSIFICAÇÃO'!$A$103:$B$144,2,FALSE)</f>
        <v>#N/A</v>
      </c>
      <c r="F2898" s="53"/>
      <c r="G2898" s="56" t="e">
        <f>VLOOKUP(C2898,clientes!$C$3:$D$60,2,FALSE)</f>
        <v>#N/A</v>
      </c>
    </row>
    <row r="2899" spans="5:7" x14ac:dyDescent="0.25">
      <c r="E2899" t="e">
        <f>VLOOKUP(D2899,'Lista de Produtos CLASSIFICAÇÃO'!$A$103:$B$144,2,FALSE)</f>
        <v>#N/A</v>
      </c>
      <c r="F2899" s="53"/>
      <c r="G2899" s="56" t="e">
        <f>VLOOKUP(C2899,clientes!$C$3:$D$60,2,FALSE)</f>
        <v>#N/A</v>
      </c>
    </row>
    <row r="2900" spans="5:7" x14ac:dyDescent="0.25">
      <c r="E2900" t="e">
        <f>VLOOKUP(D2900,'Lista de Produtos CLASSIFICAÇÃO'!$A$103:$B$144,2,FALSE)</f>
        <v>#N/A</v>
      </c>
      <c r="F2900" s="53"/>
      <c r="G2900" s="56" t="e">
        <f>VLOOKUP(C2900,clientes!$C$3:$D$60,2,FALSE)</f>
        <v>#N/A</v>
      </c>
    </row>
    <row r="2901" spans="5:7" x14ac:dyDescent="0.25">
      <c r="E2901" t="e">
        <f>VLOOKUP(D2901,'Lista de Produtos CLASSIFICAÇÃO'!$A$103:$B$144,2,FALSE)</f>
        <v>#N/A</v>
      </c>
      <c r="F2901" s="53"/>
      <c r="G2901" s="56" t="e">
        <f>VLOOKUP(C2901,clientes!$C$3:$D$60,2,FALSE)</f>
        <v>#N/A</v>
      </c>
    </row>
    <row r="2902" spans="5:7" x14ac:dyDescent="0.25">
      <c r="E2902" t="e">
        <f>VLOOKUP(D2902,'Lista de Produtos CLASSIFICAÇÃO'!$A$103:$B$144,2,FALSE)</f>
        <v>#N/A</v>
      </c>
      <c r="F2902" s="53"/>
      <c r="G2902" s="56" t="e">
        <f>VLOOKUP(C2902,clientes!$C$3:$D$60,2,FALSE)</f>
        <v>#N/A</v>
      </c>
    </row>
    <row r="2903" spans="5:7" x14ac:dyDescent="0.25">
      <c r="E2903" t="e">
        <f>VLOOKUP(D2903,'Lista de Produtos CLASSIFICAÇÃO'!$A$103:$B$144,2,FALSE)</f>
        <v>#N/A</v>
      </c>
      <c r="F2903" s="53"/>
      <c r="G2903" s="56" t="e">
        <f>VLOOKUP(C2903,clientes!$C$3:$D$60,2,FALSE)</f>
        <v>#N/A</v>
      </c>
    </row>
    <row r="2904" spans="5:7" x14ac:dyDescent="0.25">
      <c r="E2904" t="e">
        <f>VLOOKUP(D2904,'Lista de Produtos CLASSIFICAÇÃO'!$A$103:$B$144,2,FALSE)</f>
        <v>#N/A</v>
      </c>
      <c r="F2904" s="53"/>
      <c r="G2904" s="56" t="e">
        <f>VLOOKUP(C2904,clientes!$C$3:$D$60,2,FALSE)</f>
        <v>#N/A</v>
      </c>
    </row>
    <row r="2905" spans="5:7" x14ac:dyDescent="0.25">
      <c r="E2905" t="e">
        <f>VLOOKUP(D2905,'Lista de Produtos CLASSIFICAÇÃO'!$A$103:$B$144,2,FALSE)</f>
        <v>#N/A</v>
      </c>
      <c r="F2905" s="53"/>
      <c r="G2905" s="56" t="e">
        <f>VLOOKUP(C2905,clientes!$C$3:$D$60,2,FALSE)</f>
        <v>#N/A</v>
      </c>
    </row>
    <row r="2906" spans="5:7" x14ac:dyDescent="0.25">
      <c r="E2906" t="e">
        <f>VLOOKUP(D2906,'Lista de Produtos CLASSIFICAÇÃO'!$A$103:$B$144,2,FALSE)</f>
        <v>#N/A</v>
      </c>
      <c r="F2906" s="53"/>
      <c r="G2906" s="56" t="e">
        <f>VLOOKUP(C2906,clientes!$C$3:$D$60,2,FALSE)</f>
        <v>#N/A</v>
      </c>
    </row>
    <row r="2907" spans="5:7" x14ac:dyDescent="0.25">
      <c r="E2907" t="e">
        <f>VLOOKUP(D2907,'Lista de Produtos CLASSIFICAÇÃO'!$A$103:$B$144,2,FALSE)</f>
        <v>#N/A</v>
      </c>
      <c r="F2907" s="53"/>
      <c r="G2907" s="56" t="e">
        <f>VLOOKUP(C2907,clientes!$C$3:$D$60,2,FALSE)</f>
        <v>#N/A</v>
      </c>
    </row>
    <row r="2908" spans="5:7" x14ac:dyDescent="0.25">
      <c r="E2908" t="e">
        <f>VLOOKUP(D2908,'Lista de Produtos CLASSIFICAÇÃO'!$A$103:$B$144,2,FALSE)</f>
        <v>#N/A</v>
      </c>
      <c r="F2908" s="53"/>
      <c r="G2908" s="56" t="e">
        <f>VLOOKUP(C2908,clientes!$C$3:$D$60,2,FALSE)</f>
        <v>#N/A</v>
      </c>
    </row>
    <row r="2909" spans="5:7" x14ac:dyDescent="0.25">
      <c r="E2909" t="e">
        <f>VLOOKUP(D2909,'Lista de Produtos CLASSIFICAÇÃO'!$A$103:$B$144,2,FALSE)</f>
        <v>#N/A</v>
      </c>
      <c r="F2909" s="53"/>
      <c r="G2909" s="56" t="e">
        <f>VLOOKUP(C2909,clientes!$C$3:$D$60,2,FALSE)</f>
        <v>#N/A</v>
      </c>
    </row>
    <row r="2910" spans="5:7" x14ac:dyDescent="0.25">
      <c r="E2910" t="e">
        <f>VLOOKUP(D2910,'Lista de Produtos CLASSIFICAÇÃO'!$A$103:$B$144,2,FALSE)</f>
        <v>#N/A</v>
      </c>
      <c r="F2910" s="53"/>
      <c r="G2910" s="56" t="e">
        <f>VLOOKUP(C2910,clientes!$C$3:$D$60,2,FALSE)</f>
        <v>#N/A</v>
      </c>
    </row>
    <row r="2911" spans="5:7" x14ac:dyDescent="0.25">
      <c r="E2911" t="e">
        <f>VLOOKUP(D2911,'Lista de Produtos CLASSIFICAÇÃO'!$A$103:$B$144,2,FALSE)</f>
        <v>#N/A</v>
      </c>
      <c r="F2911" s="53"/>
      <c r="G2911" s="56" t="e">
        <f>VLOOKUP(C2911,clientes!$C$3:$D$60,2,FALSE)</f>
        <v>#N/A</v>
      </c>
    </row>
    <row r="2912" spans="5:7" x14ac:dyDescent="0.25">
      <c r="E2912" t="e">
        <f>VLOOKUP(D2912,'Lista de Produtos CLASSIFICAÇÃO'!$A$103:$B$144,2,FALSE)</f>
        <v>#N/A</v>
      </c>
      <c r="F2912" s="53"/>
      <c r="G2912" s="56" t="e">
        <f>VLOOKUP(C2912,clientes!$C$3:$D$60,2,FALSE)</f>
        <v>#N/A</v>
      </c>
    </row>
    <row r="2913" spans="5:7" x14ac:dyDescent="0.25">
      <c r="E2913" t="e">
        <f>VLOOKUP(D2913,'Lista de Produtos CLASSIFICAÇÃO'!$A$103:$B$144,2,FALSE)</f>
        <v>#N/A</v>
      </c>
      <c r="F2913" s="53"/>
      <c r="G2913" s="56" t="e">
        <f>VLOOKUP(C2913,clientes!$C$3:$D$60,2,FALSE)</f>
        <v>#N/A</v>
      </c>
    </row>
    <row r="2914" spans="5:7" x14ac:dyDescent="0.25">
      <c r="E2914" t="e">
        <f>VLOOKUP(D2914,'Lista de Produtos CLASSIFICAÇÃO'!$A$103:$B$144,2,FALSE)</f>
        <v>#N/A</v>
      </c>
      <c r="F2914" s="53"/>
      <c r="G2914" s="56" t="e">
        <f>VLOOKUP(C2914,clientes!$C$3:$D$60,2,FALSE)</f>
        <v>#N/A</v>
      </c>
    </row>
    <row r="2915" spans="5:7" x14ac:dyDescent="0.25">
      <c r="E2915" t="e">
        <f>VLOOKUP(D2915,'Lista de Produtos CLASSIFICAÇÃO'!$A$103:$B$144,2,FALSE)</f>
        <v>#N/A</v>
      </c>
      <c r="F2915" s="53"/>
      <c r="G2915" s="56" t="e">
        <f>VLOOKUP(C2915,clientes!$C$3:$D$60,2,FALSE)</f>
        <v>#N/A</v>
      </c>
    </row>
    <row r="2916" spans="5:7" x14ac:dyDescent="0.25">
      <c r="E2916" t="e">
        <f>VLOOKUP(D2916,'Lista de Produtos CLASSIFICAÇÃO'!$A$103:$B$144,2,FALSE)</f>
        <v>#N/A</v>
      </c>
      <c r="F2916" s="53"/>
      <c r="G2916" s="56" t="e">
        <f>VLOOKUP(C2916,clientes!$C$3:$D$60,2,FALSE)</f>
        <v>#N/A</v>
      </c>
    </row>
    <row r="2917" spans="5:7" x14ac:dyDescent="0.25">
      <c r="E2917" t="e">
        <f>VLOOKUP(D2917,'Lista de Produtos CLASSIFICAÇÃO'!$A$103:$B$144,2,FALSE)</f>
        <v>#N/A</v>
      </c>
      <c r="F2917" s="53"/>
      <c r="G2917" s="56" t="e">
        <f>VLOOKUP(C2917,clientes!$C$3:$D$60,2,FALSE)</f>
        <v>#N/A</v>
      </c>
    </row>
    <row r="2918" spans="5:7" x14ac:dyDescent="0.25">
      <c r="E2918" t="e">
        <f>VLOOKUP(D2918,'Lista de Produtos CLASSIFICAÇÃO'!$A$103:$B$144,2,FALSE)</f>
        <v>#N/A</v>
      </c>
      <c r="F2918" s="53"/>
      <c r="G2918" s="56" t="e">
        <f>VLOOKUP(C2918,clientes!$C$3:$D$60,2,FALSE)</f>
        <v>#N/A</v>
      </c>
    </row>
    <row r="2919" spans="5:7" x14ac:dyDescent="0.25">
      <c r="E2919" t="e">
        <f>VLOOKUP(D2919,'Lista de Produtos CLASSIFICAÇÃO'!$A$103:$B$144,2,FALSE)</f>
        <v>#N/A</v>
      </c>
      <c r="F2919" s="53"/>
      <c r="G2919" s="56" t="e">
        <f>VLOOKUP(C2919,clientes!$C$3:$D$60,2,FALSE)</f>
        <v>#N/A</v>
      </c>
    </row>
    <row r="2920" spans="5:7" x14ac:dyDescent="0.25">
      <c r="E2920" t="e">
        <f>VLOOKUP(D2920,'Lista de Produtos CLASSIFICAÇÃO'!$A$103:$B$144,2,FALSE)</f>
        <v>#N/A</v>
      </c>
      <c r="F2920" s="53"/>
      <c r="G2920" s="56" t="e">
        <f>VLOOKUP(C2920,clientes!$C$3:$D$60,2,FALSE)</f>
        <v>#N/A</v>
      </c>
    </row>
    <row r="2921" spans="5:7" x14ac:dyDescent="0.25">
      <c r="E2921" t="e">
        <f>VLOOKUP(D2921,'Lista de Produtos CLASSIFICAÇÃO'!$A$103:$B$144,2,FALSE)</f>
        <v>#N/A</v>
      </c>
      <c r="F2921" s="53"/>
      <c r="G2921" s="56" t="e">
        <f>VLOOKUP(C2921,clientes!$C$3:$D$60,2,FALSE)</f>
        <v>#N/A</v>
      </c>
    </row>
    <row r="2922" spans="5:7" x14ac:dyDescent="0.25">
      <c r="E2922" t="e">
        <f>VLOOKUP(D2922,'Lista de Produtos CLASSIFICAÇÃO'!$A$103:$B$144,2,FALSE)</f>
        <v>#N/A</v>
      </c>
      <c r="F2922" s="53"/>
      <c r="G2922" s="56" t="e">
        <f>VLOOKUP(C2922,clientes!$C$3:$D$60,2,FALSE)</f>
        <v>#N/A</v>
      </c>
    </row>
    <row r="2923" spans="5:7" x14ac:dyDescent="0.25">
      <c r="E2923" t="e">
        <f>VLOOKUP(D2923,'Lista de Produtos CLASSIFICAÇÃO'!$A$103:$B$144,2,FALSE)</f>
        <v>#N/A</v>
      </c>
      <c r="F2923" s="53"/>
      <c r="G2923" s="56" t="e">
        <f>VLOOKUP(C2923,clientes!$C$3:$D$60,2,FALSE)</f>
        <v>#N/A</v>
      </c>
    </row>
    <row r="2924" spans="5:7" x14ac:dyDescent="0.25">
      <c r="E2924" t="e">
        <f>VLOOKUP(D2924,'Lista de Produtos CLASSIFICAÇÃO'!$A$103:$B$144,2,FALSE)</f>
        <v>#N/A</v>
      </c>
      <c r="F2924" s="53"/>
      <c r="G2924" s="56" t="e">
        <f>VLOOKUP(C2924,clientes!$C$3:$D$60,2,FALSE)</f>
        <v>#N/A</v>
      </c>
    </row>
    <row r="2925" spans="5:7" x14ac:dyDescent="0.25">
      <c r="E2925" t="e">
        <f>VLOOKUP(D2925,'Lista de Produtos CLASSIFICAÇÃO'!$A$103:$B$144,2,FALSE)</f>
        <v>#N/A</v>
      </c>
      <c r="F2925" s="53"/>
      <c r="G2925" s="56" t="e">
        <f>VLOOKUP(C2925,clientes!$C$3:$D$60,2,FALSE)</f>
        <v>#N/A</v>
      </c>
    </row>
    <row r="2926" spans="5:7" x14ac:dyDescent="0.25">
      <c r="E2926" t="e">
        <f>VLOOKUP(D2926,'Lista de Produtos CLASSIFICAÇÃO'!$A$103:$B$144,2,FALSE)</f>
        <v>#N/A</v>
      </c>
      <c r="F2926" s="53"/>
      <c r="G2926" s="56" t="e">
        <f>VLOOKUP(C2926,clientes!$C$3:$D$60,2,FALSE)</f>
        <v>#N/A</v>
      </c>
    </row>
    <row r="2927" spans="5:7" x14ac:dyDescent="0.25">
      <c r="E2927" t="e">
        <f>VLOOKUP(D2927,'Lista de Produtos CLASSIFICAÇÃO'!$A$103:$B$144,2,FALSE)</f>
        <v>#N/A</v>
      </c>
      <c r="F2927" s="53"/>
      <c r="G2927" s="56" t="e">
        <f>VLOOKUP(C2927,clientes!$C$3:$D$60,2,FALSE)</f>
        <v>#N/A</v>
      </c>
    </row>
    <row r="2928" spans="5:7" x14ac:dyDescent="0.25">
      <c r="E2928" t="e">
        <f>VLOOKUP(D2928,'Lista de Produtos CLASSIFICAÇÃO'!$A$103:$B$144,2,FALSE)</f>
        <v>#N/A</v>
      </c>
      <c r="F2928" s="53"/>
      <c r="G2928" s="56" t="e">
        <f>VLOOKUP(C2928,clientes!$C$3:$D$60,2,FALSE)</f>
        <v>#N/A</v>
      </c>
    </row>
    <row r="2929" spans="5:7" x14ac:dyDescent="0.25">
      <c r="E2929" t="e">
        <f>VLOOKUP(D2929,'Lista de Produtos CLASSIFICAÇÃO'!$A$103:$B$144,2,FALSE)</f>
        <v>#N/A</v>
      </c>
      <c r="F2929" s="53"/>
      <c r="G2929" s="56" t="e">
        <f>VLOOKUP(C2929,clientes!$C$3:$D$60,2,FALSE)</f>
        <v>#N/A</v>
      </c>
    </row>
    <row r="2930" spans="5:7" x14ac:dyDescent="0.25">
      <c r="E2930" t="e">
        <f>VLOOKUP(D2930,'Lista de Produtos CLASSIFICAÇÃO'!$A$103:$B$144,2,FALSE)</f>
        <v>#N/A</v>
      </c>
      <c r="F2930" s="53"/>
      <c r="G2930" s="56" t="e">
        <f>VLOOKUP(C2930,clientes!$C$3:$D$60,2,FALSE)</f>
        <v>#N/A</v>
      </c>
    </row>
    <row r="2931" spans="5:7" x14ac:dyDescent="0.25">
      <c r="E2931" t="e">
        <f>VLOOKUP(D2931,'Lista de Produtos CLASSIFICAÇÃO'!$A$103:$B$144,2,FALSE)</f>
        <v>#N/A</v>
      </c>
      <c r="F2931" s="53"/>
      <c r="G2931" s="56" t="e">
        <f>VLOOKUP(C2931,clientes!$C$3:$D$60,2,FALSE)</f>
        <v>#N/A</v>
      </c>
    </row>
    <row r="2932" spans="5:7" x14ac:dyDescent="0.25">
      <c r="E2932" t="e">
        <f>VLOOKUP(D2932,'Lista de Produtos CLASSIFICAÇÃO'!$A$103:$B$144,2,FALSE)</f>
        <v>#N/A</v>
      </c>
      <c r="F2932" s="53"/>
      <c r="G2932" s="56" t="e">
        <f>VLOOKUP(C2932,clientes!$C$3:$D$60,2,FALSE)</f>
        <v>#N/A</v>
      </c>
    </row>
    <row r="2933" spans="5:7" x14ac:dyDescent="0.25">
      <c r="E2933" t="e">
        <f>VLOOKUP(D2933,'Lista de Produtos CLASSIFICAÇÃO'!$A$103:$B$144,2,FALSE)</f>
        <v>#N/A</v>
      </c>
      <c r="F2933" s="53"/>
      <c r="G2933" s="56" t="e">
        <f>VLOOKUP(C2933,clientes!$C$3:$D$60,2,FALSE)</f>
        <v>#N/A</v>
      </c>
    </row>
    <row r="2934" spans="5:7" x14ac:dyDescent="0.25">
      <c r="E2934" t="e">
        <f>VLOOKUP(D2934,'Lista de Produtos CLASSIFICAÇÃO'!$A$103:$B$144,2,FALSE)</f>
        <v>#N/A</v>
      </c>
      <c r="F2934" s="53"/>
      <c r="G2934" s="56" t="e">
        <f>VLOOKUP(C2934,clientes!$C$3:$D$60,2,FALSE)</f>
        <v>#N/A</v>
      </c>
    </row>
    <row r="2935" spans="5:7" x14ac:dyDescent="0.25">
      <c r="E2935" t="e">
        <f>VLOOKUP(D2935,'Lista de Produtos CLASSIFICAÇÃO'!$A$103:$B$144,2,FALSE)</f>
        <v>#N/A</v>
      </c>
      <c r="F2935" s="53"/>
      <c r="G2935" s="56" t="e">
        <f>VLOOKUP(C2935,clientes!$C$3:$D$60,2,FALSE)</f>
        <v>#N/A</v>
      </c>
    </row>
    <row r="2936" spans="5:7" x14ac:dyDescent="0.25">
      <c r="E2936" t="e">
        <f>VLOOKUP(D2936,'Lista de Produtos CLASSIFICAÇÃO'!$A$103:$B$144,2,FALSE)</f>
        <v>#N/A</v>
      </c>
      <c r="F2936" s="53"/>
      <c r="G2936" s="56" t="e">
        <f>VLOOKUP(C2936,clientes!$C$3:$D$60,2,FALSE)</f>
        <v>#N/A</v>
      </c>
    </row>
    <row r="2937" spans="5:7" x14ac:dyDescent="0.25">
      <c r="E2937" t="e">
        <f>VLOOKUP(D2937,'Lista de Produtos CLASSIFICAÇÃO'!$A$103:$B$144,2,FALSE)</f>
        <v>#N/A</v>
      </c>
      <c r="F2937" s="53"/>
      <c r="G2937" s="56" t="e">
        <f>VLOOKUP(C2937,clientes!$C$3:$D$60,2,FALSE)</f>
        <v>#N/A</v>
      </c>
    </row>
    <row r="2938" spans="5:7" x14ac:dyDescent="0.25">
      <c r="E2938" t="e">
        <f>VLOOKUP(D2938,'Lista de Produtos CLASSIFICAÇÃO'!$A$103:$B$144,2,FALSE)</f>
        <v>#N/A</v>
      </c>
      <c r="F2938" s="53"/>
      <c r="G2938" s="56" t="e">
        <f>VLOOKUP(C2938,clientes!$C$3:$D$60,2,FALSE)</f>
        <v>#N/A</v>
      </c>
    </row>
    <row r="2939" spans="5:7" x14ac:dyDescent="0.25">
      <c r="E2939" t="e">
        <f>VLOOKUP(D2939,'Lista de Produtos CLASSIFICAÇÃO'!$A$103:$B$144,2,FALSE)</f>
        <v>#N/A</v>
      </c>
      <c r="F2939" s="53"/>
      <c r="G2939" s="56" t="e">
        <f>VLOOKUP(C2939,clientes!$C$3:$D$60,2,FALSE)</f>
        <v>#N/A</v>
      </c>
    </row>
    <row r="2940" spans="5:7" x14ac:dyDescent="0.25">
      <c r="E2940" t="e">
        <f>VLOOKUP(D2940,'Lista de Produtos CLASSIFICAÇÃO'!$A$103:$B$144,2,FALSE)</f>
        <v>#N/A</v>
      </c>
      <c r="F2940" s="53"/>
      <c r="G2940" s="56" t="e">
        <f>VLOOKUP(C2940,clientes!$C$3:$D$60,2,FALSE)</f>
        <v>#N/A</v>
      </c>
    </row>
    <row r="2941" spans="5:7" x14ac:dyDescent="0.25">
      <c r="E2941" t="e">
        <f>VLOOKUP(D2941,'Lista de Produtos CLASSIFICAÇÃO'!$A$103:$B$144,2,FALSE)</f>
        <v>#N/A</v>
      </c>
      <c r="F2941" s="53"/>
      <c r="G2941" s="56" t="e">
        <f>VLOOKUP(C2941,clientes!$C$3:$D$60,2,FALSE)</f>
        <v>#N/A</v>
      </c>
    </row>
    <row r="2942" spans="5:7" x14ac:dyDescent="0.25">
      <c r="E2942" t="e">
        <f>VLOOKUP(D2942,'Lista de Produtos CLASSIFICAÇÃO'!$A$103:$B$144,2,FALSE)</f>
        <v>#N/A</v>
      </c>
      <c r="F2942" s="53"/>
      <c r="G2942" s="56" t="e">
        <f>VLOOKUP(C2942,clientes!$C$3:$D$60,2,FALSE)</f>
        <v>#N/A</v>
      </c>
    </row>
    <row r="2943" spans="5:7" x14ac:dyDescent="0.25">
      <c r="E2943" t="e">
        <f>VLOOKUP(D2943,'Lista de Produtos CLASSIFICAÇÃO'!$A$103:$B$144,2,FALSE)</f>
        <v>#N/A</v>
      </c>
      <c r="F2943" s="53"/>
      <c r="G2943" s="56" t="e">
        <f>VLOOKUP(C2943,clientes!$C$3:$D$60,2,FALSE)</f>
        <v>#N/A</v>
      </c>
    </row>
    <row r="2944" spans="5:7" x14ac:dyDescent="0.25">
      <c r="E2944" t="e">
        <f>VLOOKUP(D2944,'Lista de Produtos CLASSIFICAÇÃO'!$A$103:$B$144,2,FALSE)</f>
        <v>#N/A</v>
      </c>
      <c r="F2944" s="53"/>
      <c r="G2944" s="56" t="e">
        <f>VLOOKUP(C2944,clientes!$C$3:$D$60,2,FALSE)</f>
        <v>#N/A</v>
      </c>
    </row>
    <row r="2945" spans="5:7" x14ac:dyDescent="0.25">
      <c r="E2945" t="e">
        <f>VLOOKUP(D2945,'Lista de Produtos CLASSIFICAÇÃO'!$A$103:$B$144,2,FALSE)</f>
        <v>#N/A</v>
      </c>
      <c r="F2945" s="53"/>
      <c r="G2945" s="56" t="e">
        <f>VLOOKUP(C2945,clientes!$C$3:$D$60,2,FALSE)</f>
        <v>#N/A</v>
      </c>
    </row>
    <row r="2946" spans="5:7" x14ac:dyDescent="0.25">
      <c r="E2946" t="e">
        <f>VLOOKUP(D2946,'Lista de Produtos CLASSIFICAÇÃO'!$A$103:$B$144,2,FALSE)</f>
        <v>#N/A</v>
      </c>
      <c r="F2946" s="53"/>
      <c r="G2946" s="56" t="e">
        <f>VLOOKUP(C2946,clientes!$C$3:$D$60,2,FALSE)</f>
        <v>#N/A</v>
      </c>
    </row>
    <row r="2947" spans="5:7" x14ac:dyDescent="0.25">
      <c r="E2947" t="e">
        <f>VLOOKUP(D2947,'Lista de Produtos CLASSIFICAÇÃO'!$A$103:$B$144,2,FALSE)</f>
        <v>#N/A</v>
      </c>
      <c r="F2947" s="53"/>
      <c r="G2947" s="56" t="e">
        <f>VLOOKUP(C2947,clientes!$C$3:$D$60,2,FALSE)</f>
        <v>#N/A</v>
      </c>
    </row>
    <row r="2948" spans="5:7" x14ac:dyDescent="0.25">
      <c r="E2948" t="e">
        <f>VLOOKUP(D2948,'Lista de Produtos CLASSIFICAÇÃO'!$A$103:$B$144,2,FALSE)</f>
        <v>#N/A</v>
      </c>
      <c r="F2948" s="53"/>
      <c r="G2948" s="56" t="e">
        <f>VLOOKUP(C2948,clientes!$C$3:$D$60,2,FALSE)</f>
        <v>#N/A</v>
      </c>
    </row>
    <row r="2949" spans="5:7" x14ac:dyDescent="0.25">
      <c r="E2949" t="e">
        <f>VLOOKUP(D2949,'Lista de Produtos CLASSIFICAÇÃO'!$A$103:$B$144,2,FALSE)</f>
        <v>#N/A</v>
      </c>
      <c r="F2949" s="53"/>
      <c r="G2949" s="56" t="e">
        <f>VLOOKUP(C2949,clientes!$C$3:$D$60,2,FALSE)</f>
        <v>#N/A</v>
      </c>
    </row>
    <row r="2950" spans="5:7" x14ac:dyDescent="0.25">
      <c r="E2950" t="e">
        <f>VLOOKUP(D2950,'Lista de Produtos CLASSIFICAÇÃO'!$A$103:$B$144,2,FALSE)</f>
        <v>#N/A</v>
      </c>
      <c r="F2950" s="53"/>
      <c r="G2950" s="56" t="e">
        <f>VLOOKUP(C2950,clientes!$C$3:$D$60,2,FALSE)</f>
        <v>#N/A</v>
      </c>
    </row>
    <row r="2951" spans="5:7" x14ac:dyDescent="0.25">
      <c r="E2951" t="e">
        <f>VLOOKUP(D2951,'Lista de Produtos CLASSIFICAÇÃO'!$A$103:$B$144,2,FALSE)</f>
        <v>#N/A</v>
      </c>
      <c r="F2951" s="53"/>
      <c r="G2951" s="56" t="e">
        <f>VLOOKUP(C2951,clientes!$C$3:$D$60,2,FALSE)</f>
        <v>#N/A</v>
      </c>
    </row>
    <row r="2952" spans="5:7" x14ac:dyDescent="0.25">
      <c r="E2952" t="e">
        <f>VLOOKUP(D2952,'Lista de Produtos CLASSIFICAÇÃO'!$A$103:$B$144,2,FALSE)</f>
        <v>#N/A</v>
      </c>
      <c r="F2952" s="53"/>
      <c r="G2952" s="56" t="e">
        <f>VLOOKUP(C2952,clientes!$C$3:$D$60,2,FALSE)</f>
        <v>#N/A</v>
      </c>
    </row>
    <row r="2953" spans="5:7" x14ac:dyDescent="0.25">
      <c r="E2953" t="e">
        <f>VLOOKUP(D2953,'Lista de Produtos CLASSIFICAÇÃO'!$A$103:$B$144,2,FALSE)</f>
        <v>#N/A</v>
      </c>
      <c r="F2953" s="53"/>
      <c r="G2953" s="56" t="e">
        <f>VLOOKUP(C2953,clientes!$C$3:$D$60,2,FALSE)</f>
        <v>#N/A</v>
      </c>
    </row>
    <row r="2954" spans="5:7" x14ac:dyDescent="0.25">
      <c r="E2954" t="e">
        <f>VLOOKUP(D2954,'Lista de Produtos CLASSIFICAÇÃO'!$A$103:$B$144,2,FALSE)</f>
        <v>#N/A</v>
      </c>
      <c r="F2954" s="53"/>
      <c r="G2954" s="56" t="e">
        <f>VLOOKUP(C2954,clientes!$C$3:$D$60,2,FALSE)</f>
        <v>#N/A</v>
      </c>
    </row>
    <row r="2955" spans="5:7" x14ac:dyDescent="0.25">
      <c r="E2955" t="e">
        <f>VLOOKUP(D2955,'Lista de Produtos CLASSIFICAÇÃO'!$A$103:$B$144,2,FALSE)</f>
        <v>#N/A</v>
      </c>
      <c r="F2955" s="53"/>
      <c r="G2955" s="56" t="e">
        <f>VLOOKUP(C2955,clientes!$C$3:$D$60,2,FALSE)</f>
        <v>#N/A</v>
      </c>
    </row>
    <row r="2956" spans="5:7" x14ac:dyDescent="0.25">
      <c r="E2956" t="e">
        <f>VLOOKUP(D2956,'Lista de Produtos CLASSIFICAÇÃO'!$A$103:$B$144,2,FALSE)</f>
        <v>#N/A</v>
      </c>
      <c r="F2956" s="53"/>
      <c r="G2956" s="56" t="e">
        <f>VLOOKUP(C2956,clientes!$C$3:$D$60,2,FALSE)</f>
        <v>#N/A</v>
      </c>
    </row>
    <row r="2957" spans="5:7" x14ac:dyDescent="0.25">
      <c r="E2957" t="e">
        <f>VLOOKUP(D2957,'Lista de Produtos CLASSIFICAÇÃO'!$A$103:$B$144,2,FALSE)</f>
        <v>#N/A</v>
      </c>
      <c r="F2957" s="53"/>
      <c r="G2957" s="56" t="e">
        <f>VLOOKUP(C2957,clientes!$C$3:$D$60,2,FALSE)</f>
        <v>#N/A</v>
      </c>
    </row>
    <row r="2958" spans="5:7" x14ac:dyDescent="0.25">
      <c r="E2958" t="e">
        <f>VLOOKUP(D2958,'Lista de Produtos CLASSIFICAÇÃO'!$A$103:$B$144,2,FALSE)</f>
        <v>#N/A</v>
      </c>
      <c r="F2958" s="53"/>
      <c r="G2958" s="56" t="e">
        <f>VLOOKUP(C2958,clientes!$C$3:$D$60,2,FALSE)</f>
        <v>#N/A</v>
      </c>
    </row>
    <row r="2959" spans="5:7" x14ac:dyDescent="0.25">
      <c r="E2959" t="e">
        <f>VLOOKUP(D2959,'Lista de Produtos CLASSIFICAÇÃO'!$A$103:$B$144,2,FALSE)</f>
        <v>#N/A</v>
      </c>
      <c r="F2959" s="53"/>
      <c r="G2959" s="56" t="e">
        <f>VLOOKUP(C2959,clientes!$C$3:$D$60,2,FALSE)</f>
        <v>#N/A</v>
      </c>
    </row>
    <row r="2960" spans="5:7" x14ac:dyDescent="0.25">
      <c r="E2960" t="e">
        <f>VLOOKUP(D2960,'Lista de Produtos CLASSIFICAÇÃO'!$A$103:$B$144,2,FALSE)</f>
        <v>#N/A</v>
      </c>
      <c r="F2960" s="53"/>
      <c r="G2960" s="56" t="e">
        <f>VLOOKUP(C2960,clientes!$C$3:$D$60,2,FALSE)</f>
        <v>#N/A</v>
      </c>
    </row>
    <row r="2961" spans="5:7" x14ac:dyDescent="0.25">
      <c r="E2961" t="e">
        <f>VLOOKUP(D2961,'Lista de Produtos CLASSIFICAÇÃO'!$A$103:$B$144,2,FALSE)</f>
        <v>#N/A</v>
      </c>
      <c r="F2961" s="53"/>
      <c r="G2961" s="56" t="e">
        <f>VLOOKUP(C2961,clientes!$C$3:$D$60,2,FALSE)</f>
        <v>#N/A</v>
      </c>
    </row>
    <row r="2962" spans="5:7" x14ac:dyDescent="0.25">
      <c r="E2962" t="e">
        <f>VLOOKUP(D2962,'Lista de Produtos CLASSIFICAÇÃO'!$A$103:$B$144,2,FALSE)</f>
        <v>#N/A</v>
      </c>
      <c r="F2962" s="53"/>
      <c r="G2962" s="56" t="e">
        <f>VLOOKUP(C2962,clientes!$C$3:$D$60,2,FALSE)</f>
        <v>#N/A</v>
      </c>
    </row>
    <row r="2963" spans="5:7" x14ac:dyDescent="0.25">
      <c r="E2963" t="e">
        <f>VLOOKUP(D2963,'Lista de Produtos CLASSIFICAÇÃO'!$A$103:$B$144,2,FALSE)</f>
        <v>#N/A</v>
      </c>
      <c r="F2963" s="53"/>
      <c r="G2963" s="56" t="e">
        <f>VLOOKUP(C2963,clientes!$C$3:$D$60,2,FALSE)</f>
        <v>#N/A</v>
      </c>
    </row>
    <row r="2964" spans="5:7" x14ac:dyDescent="0.25">
      <c r="E2964" t="e">
        <f>VLOOKUP(D2964,'Lista de Produtos CLASSIFICAÇÃO'!$A$103:$B$144,2,FALSE)</f>
        <v>#N/A</v>
      </c>
      <c r="F2964" s="53"/>
      <c r="G2964" s="56" t="e">
        <f>VLOOKUP(C2964,clientes!$C$3:$D$60,2,FALSE)</f>
        <v>#N/A</v>
      </c>
    </row>
    <row r="2965" spans="5:7" x14ac:dyDescent="0.25">
      <c r="E2965" t="e">
        <f>VLOOKUP(D2965,'Lista de Produtos CLASSIFICAÇÃO'!$A$103:$B$144,2,FALSE)</f>
        <v>#N/A</v>
      </c>
      <c r="F2965" s="53"/>
      <c r="G2965" s="56" t="e">
        <f>VLOOKUP(C2965,clientes!$C$3:$D$60,2,FALSE)</f>
        <v>#N/A</v>
      </c>
    </row>
    <row r="2966" spans="5:7" x14ac:dyDescent="0.25">
      <c r="E2966" t="e">
        <f>VLOOKUP(D2966,'Lista de Produtos CLASSIFICAÇÃO'!$A$103:$B$144,2,FALSE)</f>
        <v>#N/A</v>
      </c>
      <c r="F2966" s="53"/>
      <c r="G2966" s="56" t="e">
        <f>VLOOKUP(C2966,clientes!$C$3:$D$60,2,FALSE)</f>
        <v>#N/A</v>
      </c>
    </row>
    <row r="2967" spans="5:7" x14ac:dyDescent="0.25">
      <c r="E2967" t="e">
        <f>VLOOKUP(D2967,'Lista de Produtos CLASSIFICAÇÃO'!$A$103:$B$144,2,FALSE)</f>
        <v>#N/A</v>
      </c>
      <c r="F2967" s="53"/>
      <c r="G2967" s="56" t="e">
        <f>VLOOKUP(C2967,clientes!$C$3:$D$60,2,FALSE)</f>
        <v>#N/A</v>
      </c>
    </row>
    <row r="2968" spans="5:7" x14ac:dyDescent="0.25">
      <c r="E2968" t="e">
        <f>VLOOKUP(D2968,'Lista de Produtos CLASSIFICAÇÃO'!$A$103:$B$144,2,FALSE)</f>
        <v>#N/A</v>
      </c>
      <c r="F2968" s="53"/>
      <c r="G2968" s="56" t="e">
        <f>VLOOKUP(C2968,clientes!$C$3:$D$60,2,FALSE)</f>
        <v>#N/A</v>
      </c>
    </row>
    <row r="2969" spans="5:7" x14ac:dyDescent="0.25">
      <c r="E2969" t="e">
        <f>VLOOKUP(D2969,'Lista de Produtos CLASSIFICAÇÃO'!$A$103:$B$144,2,FALSE)</f>
        <v>#N/A</v>
      </c>
      <c r="F2969" s="53"/>
      <c r="G2969" s="56" t="e">
        <f>VLOOKUP(C2969,clientes!$C$3:$D$60,2,FALSE)</f>
        <v>#N/A</v>
      </c>
    </row>
    <row r="2970" spans="5:7" x14ac:dyDescent="0.25">
      <c r="E2970" t="e">
        <f>VLOOKUP(D2970,'Lista de Produtos CLASSIFICAÇÃO'!$A$103:$B$144,2,FALSE)</f>
        <v>#N/A</v>
      </c>
      <c r="F2970" s="53"/>
      <c r="G2970" s="56" t="e">
        <f>VLOOKUP(C2970,clientes!$C$3:$D$60,2,FALSE)</f>
        <v>#N/A</v>
      </c>
    </row>
    <row r="2971" spans="5:7" x14ac:dyDescent="0.25">
      <c r="E2971" t="e">
        <f>VLOOKUP(D2971,'Lista de Produtos CLASSIFICAÇÃO'!$A$103:$B$144,2,FALSE)</f>
        <v>#N/A</v>
      </c>
      <c r="F2971" s="53"/>
      <c r="G2971" s="56" t="e">
        <f>VLOOKUP(C2971,clientes!$C$3:$D$60,2,FALSE)</f>
        <v>#N/A</v>
      </c>
    </row>
    <row r="2972" spans="5:7" x14ac:dyDescent="0.25">
      <c r="E2972" t="e">
        <f>VLOOKUP(D2972,'Lista de Produtos CLASSIFICAÇÃO'!$A$103:$B$144,2,FALSE)</f>
        <v>#N/A</v>
      </c>
      <c r="F2972" s="53"/>
      <c r="G2972" s="56" t="e">
        <f>VLOOKUP(C2972,clientes!$C$3:$D$60,2,FALSE)</f>
        <v>#N/A</v>
      </c>
    </row>
    <row r="2973" spans="5:7" x14ac:dyDescent="0.25">
      <c r="E2973" t="e">
        <f>VLOOKUP(D2973,'Lista de Produtos CLASSIFICAÇÃO'!$A$103:$B$144,2,FALSE)</f>
        <v>#N/A</v>
      </c>
      <c r="F2973" s="53"/>
      <c r="G2973" s="56" t="e">
        <f>VLOOKUP(C2973,clientes!$C$3:$D$60,2,FALSE)</f>
        <v>#N/A</v>
      </c>
    </row>
    <row r="2974" spans="5:7" x14ac:dyDescent="0.25">
      <c r="E2974" t="e">
        <f>VLOOKUP(D2974,'Lista de Produtos CLASSIFICAÇÃO'!$A$103:$B$144,2,FALSE)</f>
        <v>#N/A</v>
      </c>
      <c r="F2974" s="53"/>
      <c r="G2974" s="56" t="e">
        <f>VLOOKUP(C2974,clientes!$C$3:$D$60,2,FALSE)</f>
        <v>#N/A</v>
      </c>
    </row>
    <row r="2975" spans="5:7" x14ac:dyDescent="0.25">
      <c r="E2975" t="e">
        <f>VLOOKUP(D2975,'Lista de Produtos CLASSIFICAÇÃO'!$A$103:$B$144,2,FALSE)</f>
        <v>#N/A</v>
      </c>
      <c r="F2975" s="53"/>
      <c r="G2975" s="56" t="e">
        <f>VLOOKUP(C2975,clientes!$C$3:$D$60,2,FALSE)</f>
        <v>#N/A</v>
      </c>
    </row>
    <row r="2976" spans="5:7" x14ac:dyDescent="0.25">
      <c r="E2976" t="e">
        <f>VLOOKUP(D2976,'Lista de Produtos CLASSIFICAÇÃO'!$A$103:$B$144,2,FALSE)</f>
        <v>#N/A</v>
      </c>
      <c r="F2976" s="53"/>
      <c r="G2976" s="56" t="e">
        <f>VLOOKUP(C2976,clientes!$C$3:$D$60,2,FALSE)</f>
        <v>#N/A</v>
      </c>
    </row>
    <row r="2977" spans="5:7" x14ac:dyDescent="0.25">
      <c r="E2977" t="e">
        <f>VLOOKUP(D2977,'Lista de Produtos CLASSIFICAÇÃO'!$A$103:$B$144,2,FALSE)</f>
        <v>#N/A</v>
      </c>
      <c r="F2977" s="53"/>
      <c r="G2977" s="56" t="e">
        <f>VLOOKUP(C2977,clientes!$C$3:$D$60,2,FALSE)</f>
        <v>#N/A</v>
      </c>
    </row>
    <row r="2978" spans="5:7" x14ac:dyDescent="0.25">
      <c r="E2978" t="e">
        <f>VLOOKUP(D2978,'Lista de Produtos CLASSIFICAÇÃO'!$A$103:$B$144,2,FALSE)</f>
        <v>#N/A</v>
      </c>
      <c r="F2978" s="53"/>
      <c r="G2978" s="56" t="e">
        <f>VLOOKUP(C2978,clientes!$C$3:$D$60,2,FALSE)</f>
        <v>#N/A</v>
      </c>
    </row>
    <row r="2979" spans="5:7" x14ac:dyDescent="0.25">
      <c r="E2979" t="e">
        <f>VLOOKUP(D2979,'Lista de Produtos CLASSIFICAÇÃO'!$A$103:$B$144,2,FALSE)</f>
        <v>#N/A</v>
      </c>
      <c r="F2979" s="53"/>
      <c r="G2979" s="56" t="e">
        <f>VLOOKUP(C2979,clientes!$C$3:$D$60,2,FALSE)</f>
        <v>#N/A</v>
      </c>
    </row>
    <row r="2980" spans="5:7" x14ac:dyDescent="0.25">
      <c r="E2980" t="e">
        <f>VLOOKUP(D2980,'Lista de Produtos CLASSIFICAÇÃO'!$A$103:$B$144,2,FALSE)</f>
        <v>#N/A</v>
      </c>
      <c r="F2980" s="53"/>
      <c r="G2980" s="56" t="e">
        <f>VLOOKUP(C2980,clientes!$C$3:$D$60,2,FALSE)</f>
        <v>#N/A</v>
      </c>
    </row>
    <row r="2981" spans="5:7" x14ac:dyDescent="0.25">
      <c r="E2981" t="e">
        <f>VLOOKUP(D2981,'Lista de Produtos CLASSIFICAÇÃO'!$A$103:$B$144,2,FALSE)</f>
        <v>#N/A</v>
      </c>
      <c r="F2981" s="53"/>
      <c r="G2981" s="56" t="e">
        <f>VLOOKUP(C2981,clientes!$C$3:$D$60,2,FALSE)</f>
        <v>#N/A</v>
      </c>
    </row>
    <row r="2982" spans="5:7" x14ac:dyDescent="0.25">
      <c r="E2982" t="e">
        <f>VLOOKUP(D2982,'Lista de Produtos CLASSIFICAÇÃO'!$A$103:$B$144,2,FALSE)</f>
        <v>#N/A</v>
      </c>
      <c r="F2982" s="53"/>
      <c r="G2982" s="56" t="e">
        <f>VLOOKUP(C2982,clientes!$C$3:$D$60,2,FALSE)</f>
        <v>#N/A</v>
      </c>
    </row>
    <row r="2983" spans="5:7" x14ac:dyDescent="0.25">
      <c r="E2983" t="e">
        <f>VLOOKUP(D2983,'Lista de Produtos CLASSIFICAÇÃO'!$A$103:$B$144,2,FALSE)</f>
        <v>#N/A</v>
      </c>
      <c r="F2983" s="53"/>
      <c r="G2983" s="56" t="e">
        <f>VLOOKUP(C2983,clientes!$C$3:$D$60,2,FALSE)</f>
        <v>#N/A</v>
      </c>
    </row>
    <row r="2984" spans="5:7" x14ac:dyDescent="0.25">
      <c r="E2984" t="e">
        <f>VLOOKUP(D2984,'Lista de Produtos CLASSIFICAÇÃO'!$A$103:$B$144,2,FALSE)</f>
        <v>#N/A</v>
      </c>
      <c r="F2984" s="53"/>
      <c r="G2984" s="56" t="e">
        <f>VLOOKUP(C2984,clientes!$C$3:$D$60,2,FALSE)</f>
        <v>#N/A</v>
      </c>
    </row>
    <row r="2985" spans="5:7" x14ac:dyDescent="0.25">
      <c r="E2985" t="e">
        <f>VLOOKUP(D2985,'Lista de Produtos CLASSIFICAÇÃO'!$A$103:$B$144,2,FALSE)</f>
        <v>#N/A</v>
      </c>
      <c r="F2985" s="53"/>
      <c r="G2985" s="56" t="e">
        <f>VLOOKUP(C2985,clientes!$C$3:$D$60,2,FALSE)</f>
        <v>#N/A</v>
      </c>
    </row>
    <row r="2986" spans="5:7" x14ac:dyDescent="0.25">
      <c r="E2986" t="e">
        <f>VLOOKUP(D2986,'Lista de Produtos CLASSIFICAÇÃO'!$A$103:$B$144,2,FALSE)</f>
        <v>#N/A</v>
      </c>
      <c r="F2986" s="53"/>
      <c r="G2986" s="56" t="e">
        <f>VLOOKUP(C2986,clientes!$C$3:$D$60,2,FALSE)</f>
        <v>#N/A</v>
      </c>
    </row>
    <row r="2987" spans="5:7" x14ac:dyDescent="0.25">
      <c r="E2987" t="e">
        <f>VLOOKUP(D2987,'Lista de Produtos CLASSIFICAÇÃO'!$A$103:$B$144,2,FALSE)</f>
        <v>#N/A</v>
      </c>
      <c r="F2987" s="53"/>
      <c r="G2987" s="56" t="e">
        <f>VLOOKUP(C2987,clientes!$C$3:$D$60,2,FALSE)</f>
        <v>#N/A</v>
      </c>
    </row>
    <row r="2988" spans="5:7" x14ac:dyDescent="0.25">
      <c r="E2988" t="e">
        <f>VLOOKUP(D2988,'Lista de Produtos CLASSIFICAÇÃO'!$A$103:$B$144,2,FALSE)</f>
        <v>#N/A</v>
      </c>
      <c r="F2988" s="53"/>
      <c r="G2988" s="56" t="e">
        <f>VLOOKUP(C2988,clientes!$C$3:$D$60,2,FALSE)</f>
        <v>#N/A</v>
      </c>
    </row>
    <row r="2989" spans="5:7" x14ac:dyDescent="0.25">
      <c r="E2989" t="e">
        <f>VLOOKUP(D2989,'Lista de Produtos CLASSIFICAÇÃO'!$A$103:$B$144,2,FALSE)</f>
        <v>#N/A</v>
      </c>
      <c r="F2989" s="53"/>
      <c r="G2989" s="56" t="e">
        <f>VLOOKUP(C2989,clientes!$C$3:$D$60,2,FALSE)</f>
        <v>#N/A</v>
      </c>
    </row>
    <row r="2990" spans="5:7" x14ac:dyDescent="0.25">
      <c r="E2990" t="e">
        <f>VLOOKUP(D2990,'Lista de Produtos CLASSIFICAÇÃO'!$A$103:$B$144,2,FALSE)</f>
        <v>#N/A</v>
      </c>
      <c r="F2990" s="53"/>
      <c r="G2990" s="56" t="e">
        <f>VLOOKUP(C2990,clientes!$C$3:$D$60,2,FALSE)</f>
        <v>#N/A</v>
      </c>
    </row>
    <row r="2991" spans="5:7" x14ac:dyDescent="0.25">
      <c r="E2991" t="e">
        <f>VLOOKUP(D2991,'Lista de Produtos CLASSIFICAÇÃO'!$A$103:$B$144,2,FALSE)</f>
        <v>#N/A</v>
      </c>
      <c r="F2991" s="53"/>
      <c r="G2991" s="56" t="e">
        <f>VLOOKUP(C2991,clientes!$C$3:$D$60,2,FALSE)</f>
        <v>#N/A</v>
      </c>
    </row>
    <row r="2992" spans="5:7" x14ac:dyDescent="0.25">
      <c r="E2992" t="e">
        <f>VLOOKUP(D2992,'Lista de Produtos CLASSIFICAÇÃO'!$A$103:$B$144,2,FALSE)</f>
        <v>#N/A</v>
      </c>
      <c r="F2992" s="53"/>
      <c r="G2992" s="56" t="e">
        <f>VLOOKUP(C2992,clientes!$C$3:$D$60,2,FALSE)</f>
        <v>#N/A</v>
      </c>
    </row>
    <row r="2993" spans="5:7" x14ac:dyDescent="0.25">
      <c r="E2993" t="e">
        <f>VLOOKUP(D2993,'Lista de Produtos CLASSIFICAÇÃO'!$A$103:$B$144,2,FALSE)</f>
        <v>#N/A</v>
      </c>
      <c r="F2993" s="53"/>
      <c r="G2993" s="56" t="e">
        <f>VLOOKUP(C2993,clientes!$C$3:$D$60,2,FALSE)</f>
        <v>#N/A</v>
      </c>
    </row>
    <row r="2994" spans="5:7" x14ac:dyDescent="0.25">
      <c r="E2994" t="e">
        <f>VLOOKUP(D2994,'Lista de Produtos CLASSIFICAÇÃO'!$A$103:$B$144,2,FALSE)</f>
        <v>#N/A</v>
      </c>
      <c r="F2994" s="53"/>
      <c r="G2994" s="56" t="e">
        <f>VLOOKUP(C2994,clientes!$C$3:$D$60,2,FALSE)</f>
        <v>#N/A</v>
      </c>
    </row>
    <row r="2995" spans="5:7" x14ac:dyDescent="0.25">
      <c r="E2995" t="e">
        <f>VLOOKUP(D2995,'Lista de Produtos CLASSIFICAÇÃO'!$A$103:$B$144,2,FALSE)</f>
        <v>#N/A</v>
      </c>
      <c r="F2995" s="53"/>
      <c r="G2995" s="56" t="e">
        <f>VLOOKUP(C2995,clientes!$C$3:$D$60,2,FALSE)</f>
        <v>#N/A</v>
      </c>
    </row>
    <row r="2996" spans="5:7" x14ac:dyDescent="0.25">
      <c r="E2996" t="e">
        <f>VLOOKUP(D2996,'Lista de Produtos CLASSIFICAÇÃO'!$A$103:$B$144,2,FALSE)</f>
        <v>#N/A</v>
      </c>
      <c r="F2996" s="53"/>
      <c r="G2996" s="56" t="e">
        <f>VLOOKUP(C2996,clientes!$C$3:$D$60,2,FALSE)</f>
        <v>#N/A</v>
      </c>
    </row>
    <row r="2997" spans="5:7" x14ac:dyDescent="0.25">
      <c r="E2997" t="e">
        <f>VLOOKUP(D2997,'Lista de Produtos CLASSIFICAÇÃO'!$A$103:$B$144,2,FALSE)</f>
        <v>#N/A</v>
      </c>
      <c r="F2997" s="53"/>
      <c r="G2997" s="56" t="e">
        <f>VLOOKUP(C2997,clientes!$C$3:$D$60,2,FALSE)</f>
        <v>#N/A</v>
      </c>
    </row>
    <row r="2998" spans="5:7" x14ac:dyDescent="0.25">
      <c r="E2998" t="e">
        <f>VLOOKUP(D2998,'Lista de Produtos CLASSIFICAÇÃO'!$A$103:$B$144,2,FALSE)</f>
        <v>#N/A</v>
      </c>
      <c r="F2998" s="53"/>
      <c r="G2998" s="56" t="e">
        <f>VLOOKUP(C2998,clientes!$C$3:$D$60,2,FALSE)</f>
        <v>#N/A</v>
      </c>
    </row>
    <row r="2999" spans="5:7" x14ac:dyDescent="0.25">
      <c r="E2999" t="e">
        <f>VLOOKUP(D2999,'Lista de Produtos CLASSIFICAÇÃO'!$A$103:$B$144,2,FALSE)</f>
        <v>#N/A</v>
      </c>
      <c r="F2999" s="53"/>
      <c r="G2999" s="56" t="e">
        <f>VLOOKUP(C2999,clientes!$C$3:$D$60,2,FALSE)</f>
        <v>#N/A</v>
      </c>
    </row>
    <row r="3000" spans="5:7" x14ac:dyDescent="0.25">
      <c r="E3000" t="e">
        <f>VLOOKUP(D3000,'Lista de Produtos CLASSIFICAÇÃO'!$A$103:$B$144,2,FALSE)</f>
        <v>#N/A</v>
      </c>
      <c r="F3000" s="53"/>
      <c r="G3000" s="56" t="e">
        <f>VLOOKUP(C3000,clientes!$C$3:$D$60,2,FALSE)</f>
        <v>#N/A</v>
      </c>
    </row>
    <row r="3001" spans="5:7" x14ac:dyDescent="0.25">
      <c r="E3001" t="e">
        <f>VLOOKUP(D3001,'Lista de Produtos CLASSIFICAÇÃO'!$A$103:$B$144,2,FALSE)</f>
        <v>#N/A</v>
      </c>
      <c r="F3001" s="53"/>
      <c r="G3001" s="56" t="e">
        <f>VLOOKUP(C3001,clientes!$C$3:$D$60,2,FALSE)</f>
        <v>#N/A</v>
      </c>
    </row>
    <row r="3002" spans="5:7" x14ac:dyDescent="0.25">
      <c r="E3002" t="e">
        <f>VLOOKUP(D3002,'Lista de Produtos CLASSIFICAÇÃO'!$A$103:$B$144,2,FALSE)</f>
        <v>#N/A</v>
      </c>
      <c r="F3002" s="53"/>
      <c r="G3002" s="56" t="e">
        <f>VLOOKUP(C3002,clientes!$C$3:$D$60,2,FALSE)</f>
        <v>#N/A</v>
      </c>
    </row>
    <row r="3003" spans="5:7" x14ac:dyDescent="0.25">
      <c r="E3003" t="e">
        <f>VLOOKUP(D3003,'Lista de Produtos CLASSIFICAÇÃO'!$A$103:$B$144,2,FALSE)</f>
        <v>#N/A</v>
      </c>
      <c r="F3003" s="53"/>
      <c r="G3003" s="56" t="e">
        <f>VLOOKUP(C3003,clientes!$C$3:$D$60,2,FALSE)</f>
        <v>#N/A</v>
      </c>
    </row>
    <row r="3004" spans="5:7" x14ac:dyDescent="0.25">
      <c r="E3004" t="e">
        <f>VLOOKUP(D3004,'Lista de Produtos CLASSIFICAÇÃO'!$A$103:$B$144,2,FALSE)</f>
        <v>#N/A</v>
      </c>
      <c r="F3004" s="53"/>
      <c r="G3004" s="56" t="e">
        <f>VLOOKUP(C3004,clientes!$C$3:$D$60,2,FALSE)</f>
        <v>#N/A</v>
      </c>
    </row>
    <row r="3005" spans="5:7" x14ac:dyDescent="0.25">
      <c r="E3005" t="e">
        <f>VLOOKUP(D3005,'Lista de Produtos CLASSIFICAÇÃO'!$A$103:$B$144,2,FALSE)</f>
        <v>#N/A</v>
      </c>
      <c r="F3005" s="53"/>
      <c r="G3005" s="56" t="e">
        <f>VLOOKUP(C3005,clientes!$C$3:$D$60,2,FALSE)</f>
        <v>#N/A</v>
      </c>
    </row>
    <row r="3006" spans="5:7" x14ac:dyDescent="0.25">
      <c r="E3006" t="e">
        <f>VLOOKUP(D3006,'Lista de Produtos CLASSIFICAÇÃO'!$A$103:$B$144,2,FALSE)</f>
        <v>#N/A</v>
      </c>
      <c r="F3006" s="53"/>
      <c r="G3006" s="56" t="e">
        <f>VLOOKUP(C3006,clientes!$C$3:$D$60,2,FALSE)</f>
        <v>#N/A</v>
      </c>
    </row>
    <row r="3007" spans="5:7" x14ac:dyDescent="0.25">
      <c r="E3007" t="e">
        <f>VLOOKUP(D3007,'Lista de Produtos CLASSIFICAÇÃO'!$A$103:$B$144,2,FALSE)</f>
        <v>#N/A</v>
      </c>
      <c r="F3007" s="53"/>
      <c r="G3007" s="56" t="e">
        <f>VLOOKUP(C3007,clientes!$C$3:$D$60,2,FALSE)</f>
        <v>#N/A</v>
      </c>
    </row>
    <row r="3008" spans="5:7" x14ac:dyDescent="0.25">
      <c r="E3008" t="e">
        <f>VLOOKUP(D3008,'Lista de Produtos CLASSIFICAÇÃO'!$A$103:$B$144,2,FALSE)</f>
        <v>#N/A</v>
      </c>
      <c r="F3008" s="53"/>
      <c r="G3008" s="56" t="e">
        <f>VLOOKUP(C3008,clientes!$C$3:$D$60,2,FALSE)</f>
        <v>#N/A</v>
      </c>
    </row>
    <row r="3009" spans="5:7" x14ac:dyDescent="0.25">
      <c r="E3009" t="e">
        <f>VLOOKUP(D3009,'Lista de Produtos CLASSIFICAÇÃO'!$A$103:$B$144,2,FALSE)</f>
        <v>#N/A</v>
      </c>
      <c r="F3009" s="53"/>
      <c r="G3009" s="56" t="e">
        <f>VLOOKUP(C3009,clientes!$C$3:$D$60,2,FALSE)</f>
        <v>#N/A</v>
      </c>
    </row>
    <row r="3010" spans="5:7" x14ac:dyDescent="0.25">
      <c r="E3010" t="e">
        <f>VLOOKUP(D3010,'Lista de Produtos CLASSIFICAÇÃO'!$A$103:$B$144,2,FALSE)</f>
        <v>#N/A</v>
      </c>
      <c r="F3010" s="53"/>
      <c r="G3010" s="56" t="e">
        <f>VLOOKUP(C3010,clientes!$C$3:$D$60,2,FALSE)</f>
        <v>#N/A</v>
      </c>
    </row>
    <row r="3011" spans="5:7" x14ac:dyDescent="0.25">
      <c r="E3011" t="e">
        <f>VLOOKUP(D3011,'Lista de Produtos CLASSIFICAÇÃO'!$A$103:$B$144,2,FALSE)</f>
        <v>#N/A</v>
      </c>
      <c r="F3011" s="53"/>
      <c r="G3011" s="56" t="e">
        <f>VLOOKUP(C3011,clientes!$C$3:$D$60,2,FALSE)</f>
        <v>#N/A</v>
      </c>
    </row>
    <row r="3012" spans="5:7" x14ac:dyDescent="0.25">
      <c r="E3012" t="e">
        <f>VLOOKUP(D3012,'Lista de Produtos CLASSIFICAÇÃO'!$A$103:$B$144,2,FALSE)</f>
        <v>#N/A</v>
      </c>
      <c r="F3012" s="53"/>
      <c r="G3012" s="56" t="e">
        <f>VLOOKUP(C3012,clientes!$C$3:$D$60,2,FALSE)</f>
        <v>#N/A</v>
      </c>
    </row>
    <row r="3013" spans="5:7" x14ac:dyDescent="0.25">
      <c r="E3013" t="e">
        <f>VLOOKUP(D3013,'Lista de Produtos CLASSIFICAÇÃO'!$A$103:$B$144,2,FALSE)</f>
        <v>#N/A</v>
      </c>
      <c r="F3013" s="53"/>
      <c r="G3013" s="56" t="e">
        <f>VLOOKUP(C3013,clientes!$C$3:$D$60,2,FALSE)</f>
        <v>#N/A</v>
      </c>
    </row>
    <row r="3014" spans="5:7" x14ac:dyDescent="0.25">
      <c r="E3014" t="e">
        <f>VLOOKUP(D3014,'Lista de Produtos CLASSIFICAÇÃO'!$A$103:$B$144,2,FALSE)</f>
        <v>#N/A</v>
      </c>
      <c r="F3014" s="53"/>
      <c r="G3014" s="56" t="e">
        <f>VLOOKUP(C3014,clientes!$C$3:$D$60,2,FALSE)</f>
        <v>#N/A</v>
      </c>
    </row>
    <row r="3015" spans="5:7" x14ac:dyDescent="0.25">
      <c r="E3015" t="e">
        <f>VLOOKUP(D3015,'Lista de Produtos CLASSIFICAÇÃO'!$A$103:$B$144,2,FALSE)</f>
        <v>#N/A</v>
      </c>
      <c r="F3015" s="53"/>
      <c r="G3015" s="56" t="e">
        <f>VLOOKUP(C3015,clientes!$C$3:$D$60,2,FALSE)</f>
        <v>#N/A</v>
      </c>
    </row>
    <row r="3016" spans="5:7" x14ac:dyDescent="0.25">
      <c r="E3016" t="e">
        <f>VLOOKUP(D3016,'Lista de Produtos CLASSIFICAÇÃO'!$A$103:$B$144,2,FALSE)</f>
        <v>#N/A</v>
      </c>
      <c r="F3016" s="53"/>
      <c r="G3016" s="56" t="e">
        <f>VLOOKUP(C3016,clientes!$C$3:$D$60,2,FALSE)</f>
        <v>#N/A</v>
      </c>
    </row>
    <row r="3017" spans="5:7" x14ac:dyDescent="0.25">
      <c r="E3017" t="e">
        <f>VLOOKUP(D3017,'Lista de Produtos CLASSIFICAÇÃO'!$A$103:$B$144,2,FALSE)</f>
        <v>#N/A</v>
      </c>
      <c r="F3017" s="53"/>
      <c r="G3017" s="56" t="e">
        <f>VLOOKUP(C3017,clientes!$C$3:$D$60,2,FALSE)</f>
        <v>#N/A</v>
      </c>
    </row>
    <row r="3018" spans="5:7" x14ac:dyDescent="0.25">
      <c r="E3018" t="e">
        <f>VLOOKUP(D3018,'Lista de Produtos CLASSIFICAÇÃO'!$A$103:$B$144,2,FALSE)</f>
        <v>#N/A</v>
      </c>
      <c r="F3018" s="53"/>
      <c r="G3018" s="56" t="e">
        <f>VLOOKUP(C3018,clientes!$C$3:$D$60,2,FALSE)</f>
        <v>#N/A</v>
      </c>
    </row>
    <row r="3019" spans="5:7" x14ac:dyDescent="0.25">
      <c r="E3019" t="e">
        <f>VLOOKUP(D3019,'Lista de Produtos CLASSIFICAÇÃO'!$A$103:$B$144,2,FALSE)</f>
        <v>#N/A</v>
      </c>
      <c r="F3019" s="53"/>
      <c r="G3019" s="56" t="e">
        <f>VLOOKUP(C3019,clientes!$C$3:$D$60,2,FALSE)</f>
        <v>#N/A</v>
      </c>
    </row>
    <row r="3020" spans="5:7" x14ac:dyDescent="0.25">
      <c r="E3020" t="e">
        <f>VLOOKUP(D3020,'Lista de Produtos CLASSIFICAÇÃO'!$A$103:$B$144,2,FALSE)</f>
        <v>#N/A</v>
      </c>
      <c r="F3020" s="53"/>
      <c r="G3020" s="56" t="e">
        <f>VLOOKUP(C3020,clientes!$C$3:$D$60,2,FALSE)</f>
        <v>#N/A</v>
      </c>
    </row>
    <row r="3021" spans="5:7" x14ac:dyDescent="0.25">
      <c r="E3021" t="e">
        <f>VLOOKUP(D3021,'Lista de Produtos CLASSIFICAÇÃO'!$A$103:$B$144,2,FALSE)</f>
        <v>#N/A</v>
      </c>
      <c r="F3021" s="53"/>
      <c r="G3021" s="56" t="e">
        <f>VLOOKUP(C3021,clientes!$C$3:$D$60,2,FALSE)</f>
        <v>#N/A</v>
      </c>
    </row>
    <row r="3022" spans="5:7" x14ac:dyDescent="0.25">
      <c r="E3022" t="e">
        <f>VLOOKUP(D3022,'Lista de Produtos CLASSIFICAÇÃO'!$A$103:$B$144,2,FALSE)</f>
        <v>#N/A</v>
      </c>
      <c r="F3022" s="53"/>
      <c r="G3022" s="56" t="e">
        <f>VLOOKUP(C3022,clientes!$C$3:$D$60,2,FALSE)</f>
        <v>#N/A</v>
      </c>
    </row>
    <row r="3023" spans="5:7" x14ac:dyDescent="0.25">
      <c r="E3023" t="e">
        <f>VLOOKUP(D3023,'Lista de Produtos CLASSIFICAÇÃO'!$A$103:$B$144,2,FALSE)</f>
        <v>#N/A</v>
      </c>
      <c r="F3023" s="53"/>
      <c r="G3023" s="56" t="e">
        <f>VLOOKUP(C3023,clientes!$C$3:$D$60,2,FALSE)</f>
        <v>#N/A</v>
      </c>
    </row>
    <row r="3024" spans="5:7" x14ac:dyDescent="0.25">
      <c r="E3024" t="e">
        <f>VLOOKUP(D3024,'Lista de Produtos CLASSIFICAÇÃO'!$A$103:$B$144,2,FALSE)</f>
        <v>#N/A</v>
      </c>
      <c r="F3024" s="53"/>
      <c r="G3024" s="56" t="e">
        <f>VLOOKUP(C3024,clientes!$C$3:$D$60,2,FALSE)</f>
        <v>#N/A</v>
      </c>
    </row>
    <row r="3025" spans="5:7" x14ac:dyDescent="0.25">
      <c r="E3025" t="e">
        <f>VLOOKUP(D3025,'Lista de Produtos CLASSIFICAÇÃO'!$A$103:$B$144,2,FALSE)</f>
        <v>#N/A</v>
      </c>
      <c r="F3025" s="53"/>
      <c r="G3025" s="56" t="e">
        <f>VLOOKUP(C3025,clientes!$C$3:$D$60,2,FALSE)</f>
        <v>#N/A</v>
      </c>
    </row>
    <row r="3026" spans="5:7" x14ac:dyDescent="0.25">
      <c r="E3026" t="e">
        <f>VLOOKUP(D3026,'Lista de Produtos CLASSIFICAÇÃO'!$A$103:$B$144,2,FALSE)</f>
        <v>#N/A</v>
      </c>
      <c r="F3026" s="53"/>
      <c r="G3026" s="56" t="e">
        <f>VLOOKUP(C3026,clientes!$C$3:$D$60,2,FALSE)</f>
        <v>#N/A</v>
      </c>
    </row>
    <row r="3027" spans="5:7" x14ac:dyDescent="0.25">
      <c r="E3027" t="e">
        <f>VLOOKUP(D3027,'Lista de Produtos CLASSIFICAÇÃO'!$A$103:$B$144,2,FALSE)</f>
        <v>#N/A</v>
      </c>
      <c r="F3027" s="53"/>
      <c r="G3027" s="56" t="e">
        <f>VLOOKUP(C3027,clientes!$C$3:$D$60,2,FALSE)</f>
        <v>#N/A</v>
      </c>
    </row>
    <row r="3028" spans="5:7" x14ac:dyDescent="0.25">
      <c r="E3028" t="e">
        <f>VLOOKUP(D3028,'Lista de Produtos CLASSIFICAÇÃO'!$A$103:$B$144,2,FALSE)</f>
        <v>#N/A</v>
      </c>
      <c r="F3028" s="53"/>
      <c r="G3028" s="56" t="e">
        <f>VLOOKUP(C3028,clientes!$C$3:$D$60,2,FALSE)</f>
        <v>#N/A</v>
      </c>
    </row>
    <row r="3029" spans="5:7" x14ac:dyDescent="0.25">
      <c r="E3029" t="e">
        <f>VLOOKUP(D3029,'Lista de Produtos CLASSIFICAÇÃO'!$A$103:$B$144,2,FALSE)</f>
        <v>#N/A</v>
      </c>
      <c r="F3029" s="53"/>
      <c r="G3029" s="56" t="e">
        <f>VLOOKUP(C3029,clientes!$C$3:$D$60,2,FALSE)</f>
        <v>#N/A</v>
      </c>
    </row>
    <row r="3030" spans="5:7" x14ac:dyDescent="0.25">
      <c r="E3030" t="e">
        <f>VLOOKUP(D3030,'Lista de Produtos CLASSIFICAÇÃO'!$A$103:$B$144,2,FALSE)</f>
        <v>#N/A</v>
      </c>
      <c r="F3030" s="53"/>
      <c r="G3030" s="56" t="e">
        <f>VLOOKUP(C3030,clientes!$C$3:$D$60,2,FALSE)</f>
        <v>#N/A</v>
      </c>
    </row>
    <row r="3031" spans="5:7" x14ac:dyDescent="0.25">
      <c r="E3031" t="e">
        <f>VLOOKUP(D3031,'Lista de Produtos CLASSIFICAÇÃO'!$A$103:$B$144,2,FALSE)</f>
        <v>#N/A</v>
      </c>
      <c r="F3031" s="53"/>
      <c r="G3031" s="56" t="e">
        <f>VLOOKUP(C3031,clientes!$C$3:$D$60,2,FALSE)</f>
        <v>#N/A</v>
      </c>
    </row>
    <row r="3032" spans="5:7" x14ac:dyDescent="0.25">
      <c r="E3032" t="e">
        <f>VLOOKUP(D3032,'Lista de Produtos CLASSIFICAÇÃO'!$A$103:$B$144,2,FALSE)</f>
        <v>#N/A</v>
      </c>
      <c r="F3032" s="53"/>
      <c r="G3032" s="56" t="e">
        <f>VLOOKUP(C3032,clientes!$C$3:$D$60,2,FALSE)</f>
        <v>#N/A</v>
      </c>
    </row>
    <row r="3033" spans="5:7" x14ac:dyDescent="0.25">
      <c r="E3033" t="e">
        <f>VLOOKUP(D3033,'Lista de Produtos CLASSIFICAÇÃO'!$A$103:$B$144,2,FALSE)</f>
        <v>#N/A</v>
      </c>
      <c r="F3033" s="53"/>
      <c r="G3033" s="56" t="e">
        <f>VLOOKUP(C3033,clientes!$C$3:$D$60,2,FALSE)</f>
        <v>#N/A</v>
      </c>
    </row>
    <row r="3034" spans="5:7" x14ac:dyDescent="0.25">
      <c r="E3034" t="e">
        <f>VLOOKUP(D3034,'Lista de Produtos CLASSIFICAÇÃO'!$A$103:$B$144,2,FALSE)</f>
        <v>#N/A</v>
      </c>
      <c r="F3034" s="53"/>
      <c r="G3034" s="56" t="e">
        <f>VLOOKUP(C3034,clientes!$C$3:$D$60,2,FALSE)</f>
        <v>#N/A</v>
      </c>
    </row>
    <row r="3035" spans="5:7" x14ac:dyDescent="0.25">
      <c r="E3035" t="e">
        <f>VLOOKUP(D3035,'Lista de Produtos CLASSIFICAÇÃO'!$A$103:$B$144,2,FALSE)</f>
        <v>#N/A</v>
      </c>
      <c r="F3035" s="53"/>
      <c r="G3035" s="56" t="e">
        <f>VLOOKUP(C3035,clientes!$C$3:$D$60,2,FALSE)</f>
        <v>#N/A</v>
      </c>
    </row>
    <row r="3036" spans="5:7" x14ac:dyDescent="0.25">
      <c r="E3036" t="e">
        <f>VLOOKUP(D3036,'Lista de Produtos CLASSIFICAÇÃO'!$A$103:$B$144,2,FALSE)</f>
        <v>#N/A</v>
      </c>
      <c r="F3036" s="53"/>
      <c r="G3036" s="56" t="e">
        <f>VLOOKUP(C3036,clientes!$C$3:$D$60,2,FALSE)</f>
        <v>#N/A</v>
      </c>
    </row>
    <row r="3037" spans="5:7" x14ac:dyDescent="0.25">
      <c r="E3037" t="e">
        <f>VLOOKUP(D3037,'Lista de Produtos CLASSIFICAÇÃO'!$A$103:$B$144,2,FALSE)</f>
        <v>#N/A</v>
      </c>
      <c r="F3037" s="53"/>
      <c r="G3037" s="56" t="e">
        <f>VLOOKUP(C3037,clientes!$C$3:$D$60,2,FALSE)</f>
        <v>#N/A</v>
      </c>
    </row>
    <row r="3038" spans="5:7" x14ac:dyDescent="0.25">
      <c r="E3038" t="e">
        <f>VLOOKUP(D3038,'Lista de Produtos CLASSIFICAÇÃO'!$A$103:$B$144,2,FALSE)</f>
        <v>#N/A</v>
      </c>
      <c r="F3038" s="53"/>
      <c r="G3038" s="56" t="e">
        <f>VLOOKUP(C3038,clientes!$C$3:$D$60,2,FALSE)</f>
        <v>#N/A</v>
      </c>
    </row>
    <row r="3039" spans="5:7" x14ac:dyDescent="0.25">
      <c r="E3039" t="e">
        <f>VLOOKUP(D3039,'Lista de Produtos CLASSIFICAÇÃO'!$A$103:$B$144,2,FALSE)</f>
        <v>#N/A</v>
      </c>
      <c r="F3039" s="53"/>
      <c r="G3039" s="56" t="e">
        <f>VLOOKUP(C3039,clientes!$C$3:$D$60,2,FALSE)</f>
        <v>#N/A</v>
      </c>
    </row>
    <row r="3040" spans="5:7" x14ac:dyDescent="0.25">
      <c r="E3040" t="e">
        <f>VLOOKUP(D3040,'Lista de Produtos CLASSIFICAÇÃO'!$A$103:$B$144,2,FALSE)</f>
        <v>#N/A</v>
      </c>
      <c r="F3040" s="53"/>
      <c r="G3040" s="56" t="e">
        <f>VLOOKUP(C3040,clientes!$C$3:$D$60,2,FALSE)</f>
        <v>#N/A</v>
      </c>
    </row>
    <row r="3041" spans="5:7" x14ac:dyDescent="0.25">
      <c r="E3041" t="e">
        <f>VLOOKUP(D3041,'Lista de Produtos CLASSIFICAÇÃO'!$A$103:$B$144,2,FALSE)</f>
        <v>#N/A</v>
      </c>
      <c r="F3041" s="53"/>
      <c r="G3041" s="56" t="e">
        <f>VLOOKUP(C3041,clientes!$C$3:$D$60,2,FALSE)</f>
        <v>#N/A</v>
      </c>
    </row>
    <row r="3042" spans="5:7" x14ac:dyDescent="0.25">
      <c r="E3042" t="e">
        <f>VLOOKUP(D3042,'Lista de Produtos CLASSIFICAÇÃO'!$A$103:$B$144,2,FALSE)</f>
        <v>#N/A</v>
      </c>
      <c r="F3042" s="53"/>
      <c r="G3042" s="56" t="e">
        <f>VLOOKUP(C3042,clientes!$C$3:$D$60,2,FALSE)</f>
        <v>#N/A</v>
      </c>
    </row>
    <row r="3043" spans="5:7" x14ac:dyDescent="0.25">
      <c r="E3043" t="e">
        <f>VLOOKUP(D3043,'Lista de Produtos CLASSIFICAÇÃO'!$A$103:$B$144,2,FALSE)</f>
        <v>#N/A</v>
      </c>
      <c r="F3043" s="53"/>
      <c r="G3043" s="56" t="e">
        <f>VLOOKUP(C3043,clientes!$C$3:$D$60,2,FALSE)</f>
        <v>#N/A</v>
      </c>
    </row>
    <row r="3044" spans="5:7" x14ac:dyDescent="0.25">
      <c r="E3044" t="e">
        <f>VLOOKUP(D3044,'Lista de Produtos CLASSIFICAÇÃO'!$A$103:$B$144,2,FALSE)</f>
        <v>#N/A</v>
      </c>
      <c r="F3044" s="53"/>
      <c r="G3044" s="56" t="e">
        <f>VLOOKUP(C3044,clientes!$C$3:$D$60,2,FALSE)</f>
        <v>#N/A</v>
      </c>
    </row>
    <row r="3045" spans="5:7" x14ac:dyDescent="0.25">
      <c r="E3045" t="e">
        <f>VLOOKUP(D3045,'Lista de Produtos CLASSIFICAÇÃO'!$A$103:$B$144,2,FALSE)</f>
        <v>#N/A</v>
      </c>
      <c r="F3045" s="53"/>
      <c r="G3045" s="56" t="e">
        <f>VLOOKUP(C3045,clientes!$C$3:$D$60,2,FALSE)</f>
        <v>#N/A</v>
      </c>
    </row>
    <row r="3046" spans="5:7" x14ac:dyDescent="0.25">
      <c r="E3046" t="e">
        <f>VLOOKUP(D3046,'Lista de Produtos CLASSIFICAÇÃO'!$A$103:$B$144,2,FALSE)</f>
        <v>#N/A</v>
      </c>
      <c r="F3046" s="53"/>
      <c r="G3046" s="56" t="e">
        <f>VLOOKUP(C3046,clientes!$C$3:$D$60,2,FALSE)</f>
        <v>#N/A</v>
      </c>
    </row>
    <row r="3047" spans="5:7" x14ac:dyDescent="0.25">
      <c r="E3047" t="e">
        <f>VLOOKUP(D3047,'Lista de Produtos CLASSIFICAÇÃO'!$A$103:$B$144,2,FALSE)</f>
        <v>#N/A</v>
      </c>
      <c r="F3047" s="53"/>
      <c r="G3047" s="56" t="e">
        <f>VLOOKUP(C3047,clientes!$C$3:$D$60,2,FALSE)</f>
        <v>#N/A</v>
      </c>
    </row>
    <row r="3048" spans="5:7" x14ac:dyDescent="0.25">
      <c r="E3048" t="e">
        <f>VLOOKUP(D3048,'Lista de Produtos CLASSIFICAÇÃO'!$A$103:$B$144,2,FALSE)</f>
        <v>#N/A</v>
      </c>
      <c r="F3048" s="53"/>
      <c r="G3048" s="56" t="e">
        <f>VLOOKUP(C3048,clientes!$C$3:$D$60,2,FALSE)</f>
        <v>#N/A</v>
      </c>
    </row>
    <row r="3049" spans="5:7" x14ac:dyDescent="0.25">
      <c r="E3049" t="e">
        <f>VLOOKUP(D3049,'Lista de Produtos CLASSIFICAÇÃO'!$A$103:$B$144,2,FALSE)</f>
        <v>#N/A</v>
      </c>
      <c r="F3049" s="53"/>
      <c r="G3049" s="56" t="e">
        <f>VLOOKUP(C3049,clientes!$C$3:$D$60,2,FALSE)</f>
        <v>#N/A</v>
      </c>
    </row>
    <row r="3050" spans="5:7" x14ac:dyDescent="0.25">
      <c r="E3050" t="e">
        <f>VLOOKUP(D3050,'Lista de Produtos CLASSIFICAÇÃO'!$A$103:$B$144,2,FALSE)</f>
        <v>#N/A</v>
      </c>
      <c r="F3050" s="53"/>
      <c r="G3050" s="56" t="e">
        <f>VLOOKUP(C3050,clientes!$C$3:$D$60,2,FALSE)</f>
        <v>#N/A</v>
      </c>
    </row>
    <row r="3051" spans="5:7" x14ac:dyDescent="0.25">
      <c r="E3051" t="e">
        <f>VLOOKUP(D3051,'Lista de Produtos CLASSIFICAÇÃO'!$A$103:$B$144,2,FALSE)</f>
        <v>#N/A</v>
      </c>
      <c r="F3051" s="53"/>
      <c r="G3051" s="56" t="e">
        <f>VLOOKUP(C3051,clientes!$C$3:$D$60,2,FALSE)</f>
        <v>#N/A</v>
      </c>
    </row>
    <row r="3052" spans="5:7" x14ac:dyDescent="0.25">
      <c r="E3052" t="e">
        <f>VLOOKUP(D3052,'Lista de Produtos CLASSIFICAÇÃO'!$A$103:$B$144,2,FALSE)</f>
        <v>#N/A</v>
      </c>
      <c r="F3052" s="53"/>
      <c r="G3052" s="56" t="e">
        <f>VLOOKUP(C3052,clientes!$C$3:$D$60,2,FALSE)</f>
        <v>#N/A</v>
      </c>
    </row>
    <row r="3053" spans="5:7" x14ac:dyDescent="0.25">
      <c r="E3053" t="e">
        <f>VLOOKUP(D3053,'Lista de Produtos CLASSIFICAÇÃO'!$A$103:$B$144,2,FALSE)</f>
        <v>#N/A</v>
      </c>
      <c r="F3053" s="53"/>
      <c r="G3053" s="56" t="e">
        <f>VLOOKUP(C3053,clientes!$C$3:$D$60,2,FALSE)</f>
        <v>#N/A</v>
      </c>
    </row>
    <row r="3054" spans="5:7" x14ac:dyDescent="0.25">
      <c r="E3054" t="e">
        <f>VLOOKUP(D3054,'Lista de Produtos CLASSIFICAÇÃO'!$A$103:$B$144,2,FALSE)</f>
        <v>#N/A</v>
      </c>
      <c r="F3054" s="53"/>
      <c r="G3054" s="56" t="e">
        <f>VLOOKUP(C3054,clientes!$C$3:$D$60,2,FALSE)</f>
        <v>#N/A</v>
      </c>
    </row>
    <row r="3055" spans="5:7" x14ac:dyDescent="0.25">
      <c r="E3055" t="e">
        <f>VLOOKUP(D3055,'Lista de Produtos CLASSIFICAÇÃO'!$A$103:$B$144,2,FALSE)</f>
        <v>#N/A</v>
      </c>
      <c r="F3055" s="53"/>
      <c r="G3055" s="56" t="e">
        <f>VLOOKUP(C3055,clientes!$C$3:$D$60,2,FALSE)</f>
        <v>#N/A</v>
      </c>
    </row>
    <row r="3056" spans="5:7" x14ac:dyDescent="0.25">
      <c r="E3056" t="e">
        <f>VLOOKUP(D3056,'Lista de Produtos CLASSIFICAÇÃO'!$A$103:$B$144,2,FALSE)</f>
        <v>#N/A</v>
      </c>
      <c r="F3056" s="53"/>
      <c r="G3056" s="56" t="e">
        <f>VLOOKUP(C3056,clientes!$C$3:$D$60,2,FALSE)</f>
        <v>#N/A</v>
      </c>
    </row>
    <row r="3057" spans="5:7" x14ac:dyDescent="0.25">
      <c r="E3057" t="e">
        <f>VLOOKUP(D3057,'Lista de Produtos CLASSIFICAÇÃO'!$A$103:$B$144,2,FALSE)</f>
        <v>#N/A</v>
      </c>
      <c r="F3057" s="53"/>
      <c r="G3057" s="56" t="e">
        <f>VLOOKUP(C3057,clientes!$C$3:$D$60,2,FALSE)</f>
        <v>#N/A</v>
      </c>
    </row>
    <row r="3058" spans="5:7" x14ac:dyDescent="0.25">
      <c r="E3058" t="e">
        <f>VLOOKUP(D3058,'Lista de Produtos CLASSIFICAÇÃO'!$A$103:$B$144,2,FALSE)</f>
        <v>#N/A</v>
      </c>
      <c r="F3058" s="53"/>
      <c r="G3058" s="56" t="e">
        <f>VLOOKUP(C3058,clientes!$C$3:$D$60,2,FALSE)</f>
        <v>#N/A</v>
      </c>
    </row>
    <row r="3059" spans="5:7" x14ac:dyDescent="0.25">
      <c r="E3059" t="e">
        <f>VLOOKUP(D3059,'Lista de Produtos CLASSIFICAÇÃO'!$A$103:$B$144,2,FALSE)</f>
        <v>#N/A</v>
      </c>
      <c r="F3059" s="53"/>
      <c r="G3059" s="56" t="e">
        <f>VLOOKUP(C3059,clientes!$C$3:$D$60,2,FALSE)</f>
        <v>#N/A</v>
      </c>
    </row>
    <row r="3060" spans="5:7" x14ac:dyDescent="0.25">
      <c r="E3060" t="e">
        <f>VLOOKUP(D3060,'Lista de Produtos CLASSIFICAÇÃO'!$A$103:$B$144,2,FALSE)</f>
        <v>#N/A</v>
      </c>
      <c r="F3060" s="53"/>
      <c r="G3060" s="56" t="e">
        <f>VLOOKUP(C3060,clientes!$C$3:$D$60,2,FALSE)</f>
        <v>#N/A</v>
      </c>
    </row>
    <row r="3061" spans="5:7" x14ac:dyDescent="0.25">
      <c r="E3061" t="e">
        <f>VLOOKUP(D3061,'Lista de Produtos CLASSIFICAÇÃO'!$A$103:$B$144,2,FALSE)</f>
        <v>#N/A</v>
      </c>
      <c r="F3061" s="53"/>
      <c r="G3061" s="56" t="e">
        <f>VLOOKUP(C3061,clientes!$C$3:$D$60,2,FALSE)</f>
        <v>#N/A</v>
      </c>
    </row>
    <row r="3062" spans="5:7" x14ac:dyDescent="0.25">
      <c r="E3062" t="e">
        <f>VLOOKUP(D3062,'Lista de Produtos CLASSIFICAÇÃO'!$A$103:$B$144,2,FALSE)</f>
        <v>#N/A</v>
      </c>
      <c r="F3062" s="53"/>
      <c r="G3062" s="56" t="e">
        <f>VLOOKUP(C3062,clientes!$C$3:$D$60,2,FALSE)</f>
        <v>#N/A</v>
      </c>
    </row>
    <row r="3063" spans="5:7" x14ac:dyDescent="0.25">
      <c r="E3063" t="e">
        <f>VLOOKUP(D3063,'Lista de Produtos CLASSIFICAÇÃO'!$A$103:$B$144,2,FALSE)</f>
        <v>#N/A</v>
      </c>
      <c r="F3063" s="53"/>
      <c r="G3063" s="56" t="e">
        <f>VLOOKUP(C3063,clientes!$C$3:$D$60,2,FALSE)</f>
        <v>#N/A</v>
      </c>
    </row>
    <row r="3064" spans="5:7" x14ac:dyDescent="0.25">
      <c r="E3064" t="e">
        <f>VLOOKUP(D3064,'Lista de Produtos CLASSIFICAÇÃO'!$A$103:$B$144,2,FALSE)</f>
        <v>#N/A</v>
      </c>
      <c r="F3064" s="53"/>
      <c r="G3064" s="56" t="e">
        <f>VLOOKUP(C3064,clientes!$C$3:$D$60,2,FALSE)</f>
        <v>#N/A</v>
      </c>
    </row>
    <row r="3065" spans="5:7" x14ac:dyDescent="0.25">
      <c r="E3065" t="e">
        <f>VLOOKUP(D3065,'Lista de Produtos CLASSIFICAÇÃO'!$A$103:$B$144,2,FALSE)</f>
        <v>#N/A</v>
      </c>
      <c r="F3065" s="53"/>
      <c r="G3065" s="56" t="e">
        <f>VLOOKUP(C3065,clientes!$C$3:$D$60,2,FALSE)</f>
        <v>#N/A</v>
      </c>
    </row>
    <row r="3066" spans="5:7" x14ac:dyDescent="0.25">
      <c r="E3066" t="e">
        <f>VLOOKUP(D3066,'Lista de Produtos CLASSIFICAÇÃO'!$A$103:$B$144,2,FALSE)</f>
        <v>#N/A</v>
      </c>
      <c r="F3066" s="53"/>
      <c r="G3066" s="56" t="e">
        <f>VLOOKUP(C3066,clientes!$C$3:$D$60,2,FALSE)</f>
        <v>#N/A</v>
      </c>
    </row>
    <row r="3067" spans="5:7" x14ac:dyDescent="0.25">
      <c r="E3067" t="e">
        <f>VLOOKUP(D3067,'Lista de Produtos CLASSIFICAÇÃO'!$A$103:$B$144,2,FALSE)</f>
        <v>#N/A</v>
      </c>
      <c r="F3067" s="53"/>
      <c r="G3067" s="56" t="e">
        <f>VLOOKUP(C3067,clientes!$C$3:$D$60,2,FALSE)</f>
        <v>#N/A</v>
      </c>
    </row>
    <row r="3068" spans="5:7" x14ac:dyDescent="0.25">
      <c r="E3068" t="e">
        <f>VLOOKUP(D3068,'Lista de Produtos CLASSIFICAÇÃO'!$A$103:$B$144,2,FALSE)</f>
        <v>#N/A</v>
      </c>
      <c r="F3068" s="53"/>
      <c r="G3068" s="56" t="e">
        <f>VLOOKUP(C3068,clientes!$C$3:$D$60,2,FALSE)</f>
        <v>#N/A</v>
      </c>
    </row>
    <row r="3069" spans="5:7" x14ac:dyDescent="0.25">
      <c r="E3069" t="e">
        <f>VLOOKUP(D3069,'Lista de Produtos CLASSIFICAÇÃO'!$A$103:$B$144,2,FALSE)</f>
        <v>#N/A</v>
      </c>
      <c r="F3069" s="53"/>
      <c r="G3069" s="56" t="e">
        <f>VLOOKUP(C3069,clientes!$C$3:$D$60,2,FALSE)</f>
        <v>#N/A</v>
      </c>
    </row>
    <row r="3070" spans="5:7" x14ac:dyDescent="0.25">
      <c r="E3070" t="e">
        <f>VLOOKUP(D3070,'Lista de Produtos CLASSIFICAÇÃO'!$A$103:$B$144,2,FALSE)</f>
        <v>#N/A</v>
      </c>
      <c r="F3070" s="53"/>
      <c r="G3070" s="56" t="e">
        <f>VLOOKUP(C3070,clientes!$C$3:$D$60,2,FALSE)</f>
        <v>#N/A</v>
      </c>
    </row>
    <row r="3071" spans="5:7" x14ac:dyDescent="0.25">
      <c r="E3071" t="e">
        <f>VLOOKUP(D3071,'Lista de Produtos CLASSIFICAÇÃO'!$A$103:$B$144,2,FALSE)</f>
        <v>#N/A</v>
      </c>
      <c r="F3071" s="53"/>
      <c r="G3071" s="56" t="e">
        <f>VLOOKUP(C3071,clientes!$C$3:$D$60,2,FALSE)</f>
        <v>#N/A</v>
      </c>
    </row>
    <row r="3072" spans="5:7" x14ac:dyDescent="0.25">
      <c r="E3072" t="e">
        <f>VLOOKUP(D3072,'Lista de Produtos CLASSIFICAÇÃO'!$A$103:$B$144,2,FALSE)</f>
        <v>#N/A</v>
      </c>
      <c r="F3072" s="53"/>
      <c r="G3072" s="56" t="e">
        <f>VLOOKUP(C3072,clientes!$C$3:$D$60,2,FALSE)</f>
        <v>#N/A</v>
      </c>
    </row>
    <row r="3073" spans="5:7" x14ac:dyDescent="0.25">
      <c r="E3073" t="e">
        <f>VLOOKUP(D3073,'Lista de Produtos CLASSIFICAÇÃO'!$A$103:$B$144,2,FALSE)</f>
        <v>#N/A</v>
      </c>
      <c r="F3073" s="53"/>
      <c r="G3073" s="56" t="e">
        <f>VLOOKUP(C3073,clientes!$C$3:$D$60,2,FALSE)</f>
        <v>#N/A</v>
      </c>
    </row>
    <row r="3074" spans="5:7" x14ac:dyDescent="0.25">
      <c r="E3074" t="e">
        <f>VLOOKUP(D3074,'Lista de Produtos CLASSIFICAÇÃO'!$A$103:$B$144,2,FALSE)</f>
        <v>#N/A</v>
      </c>
      <c r="F3074" s="53"/>
      <c r="G3074" s="56" t="e">
        <f>VLOOKUP(C3074,clientes!$C$3:$D$60,2,FALSE)</f>
        <v>#N/A</v>
      </c>
    </row>
    <row r="3075" spans="5:7" x14ac:dyDescent="0.25">
      <c r="E3075" t="e">
        <f>VLOOKUP(D3075,'Lista de Produtos CLASSIFICAÇÃO'!$A$103:$B$144,2,FALSE)</f>
        <v>#N/A</v>
      </c>
      <c r="F3075" s="53"/>
      <c r="G3075" s="56" t="e">
        <f>VLOOKUP(C3075,clientes!$C$3:$D$60,2,FALSE)</f>
        <v>#N/A</v>
      </c>
    </row>
    <row r="3076" spans="5:7" x14ac:dyDescent="0.25">
      <c r="E3076" t="e">
        <f>VLOOKUP(D3076,'Lista de Produtos CLASSIFICAÇÃO'!$A$103:$B$144,2,FALSE)</f>
        <v>#N/A</v>
      </c>
      <c r="F3076" s="53"/>
      <c r="G3076" s="56" t="e">
        <f>VLOOKUP(C3076,clientes!$C$3:$D$60,2,FALSE)</f>
        <v>#N/A</v>
      </c>
    </row>
    <row r="3077" spans="5:7" x14ac:dyDescent="0.25">
      <c r="E3077" t="e">
        <f>VLOOKUP(D3077,'Lista de Produtos CLASSIFICAÇÃO'!$A$103:$B$144,2,FALSE)</f>
        <v>#N/A</v>
      </c>
      <c r="F3077" s="53"/>
      <c r="G3077" s="56" t="e">
        <f>VLOOKUP(C3077,clientes!$C$3:$D$60,2,FALSE)</f>
        <v>#N/A</v>
      </c>
    </row>
    <row r="3078" spans="5:7" x14ac:dyDescent="0.25">
      <c r="E3078" t="e">
        <f>VLOOKUP(D3078,'Lista de Produtos CLASSIFICAÇÃO'!$A$103:$B$144,2,FALSE)</f>
        <v>#N/A</v>
      </c>
      <c r="F3078" s="53"/>
      <c r="G3078" s="56" t="e">
        <f>VLOOKUP(C3078,clientes!$C$3:$D$60,2,FALSE)</f>
        <v>#N/A</v>
      </c>
    </row>
    <row r="3079" spans="5:7" x14ac:dyDescent="0.25">
      <c r="E3079" t="e">
        <f>VLOOKUP(D3079,'Lista de Produtos CLASSIFICAÇÃO'!$A$103:$B$144,2,FALSE)</f>
        <v>#N/A</v>
      </c>
      <c r="F3079" s="53"/>
      <c r="G3079" s="56" t="e">
        <f>VLOOKUP(C3079,clientes!$C$3:$D$60,2,FALSE)</f>
        <v>#N/A</v>
      </c>
    </row>
    <row r="3080" spans="5:7" x14ac:dyDescent="0.25">
      <c r="E3080" t="e">
        <f>VLOOKUP(D3080,'Lista de Produtos CLASSIFICAÇÃO'!$A$103:$B$144,2,FALSE)</f>
        <v>#N/A</v>
      </c>
      <c r="F3080" s="53"/>
      <c r="G3080" s="56" t="e">
        <f>VLOOKUP(C3080,clientes!$C$3:$D$60,2,FALSE)</f>
        <v>#N/A</v>
      </c>
    </row>
    <row r="3081" spans="5:7" x14ac:dyDescent="0.25">
      <c r="E3081" t="e">
        <f>VLOOKUP(D3081,'Lista de Produtos CLASSIFICAÇÃO'!$A$103:$B$144,2,FALSE)</f>
        <v>#N/A</v>
      </c>
      <c r="F3081" s="53"/>
      <c r="G3081" s="56" t="e">
        <f>VLOOKUP(C3081,clientes!$C$3:$D$60,2,FALSE)</f>
        <v>#N/A</v>
      </c>
    </row>
    <row r="3082" spans="5:7" x14ac:dyDescent="0.25">
      <c r="E3082" t="e">
        <f>VLOOKUP(D3082,'Lista de Produtos CLASSIFICAÇÃO'!$A$103:$B$144,2,FALSE)</f>
        <v>#N/A</v>
      </c>
      <c r="F3082" s="53"/>
      <c r="G3082" s="56" t="e">
        <f>VLOOKUP(C3082,clientes!$C$3:$D$60,2,FALSE)</f>
        <v>#N/A</v>
      </c>
    </row>
    <row r="3083" spans="5:7" x14ac:dyDescent="0.25">
      <c r="E3083" t="e">
        <f>VLOOKUP(D3083,'Lista de Produtos CLASSIFICAÇÃO'!$A$103:$B$144,2,FALSE)</f>
        <v>#N/A</v>
      </c>
      <c r="F3083" s="53"/>
      <c r="G3083" s="56" t="e">
        <f>VLOOKUP(C3083,clientes!$C$3:$D$60,2,FALSE)</f>
        <v>#N/A</v>
      </c>
    </row>
    <row r="3084" spans="5:7" x14ac:dyDescent="0.25">
      <c r="E3084" t="e">
        <f>VLOOKUP(D3084,'Lista de Produtos CLASSIFICAÇÃO'!$A$103:$B$144,2,FALSE)</f>
        <v>#N/A</v>
      </c>
      <c r="F3084" s="53"/>
      <c r="G3084" s="56" t="e">
        <f>VLOOKUP(C3084,clientes!$C$3:$D$60,2,FALSE)</f>
        <v>#N/A</v>
      </c>
    </row>
    <row r="3085" spans="5:7" x14ac:dyDescent="0.25">
      <c r="E3085" t="e">
        <f>VLOOKUP(D3085,'Lista de Produtos CLASSIFICAÇÃO'!$A$103:$B$144,2,FALSE)</f>
        <v>#N/A</v>
      </c>
      <c r="F3085" s="53"/>
      <c r="G3085" s="56" t="e">
        <f>VLOOKUP(C3085,clientes!$C$3:$D$60,2,FALSE)</f>
        <v>#N/A</v>
      </c>
    </row>
    <row r="3086" spans="5:7" x14ac:dyDescent="0.25">
      <c r="E3086" t="e">
        <f>VLOOKUP(D3086,'Lista de Produtos CLASSIFICAÇÃO'!$A$103:$B$144,2,FALSE)</f>
        <v>#N/A</v>
      </c>
      <c r="F3086" s="53"/>
      <c r="G3086" s="56" t="e">
        <f>VLOOKUP(C3086,clientes!$C$3:$D$60,2,FALSE)</f>
        <v>#N/A</v>
      </c>
    </row>
    <row r="3087" spans="5:7" x14ac:dyDescent="0.25">
      <c r="E3087" t="e">
        <f>VLOOKUP(D3087,'Lista de Produtos CLASSIFICAÇÃO'!$A$103:$B$144,2,FALSE)</f>
        <v>#N/A</v>
      </c>
      <c r="F3087" s="53"/>
      <c r="G3087" s="56" t="e">
        <f>VLOOKUP(C3087,clientes!$C$3:$D$60,2,FALSE)</f>
        <v>#N/A</v>
      </c>
    </row>
    <row r="3088" spans="5:7" x14ac:dyDescent="0.25">
      <c r="E3088" t="e">
        <f>VLOOKUP(D3088,'Lista de Produtos CLASSIFICAÇÃO'!$A$103:$B$144,2,FALSE)</f>
        <v>#N/A</v>
      </c>
      <c r="F3088" s="53"/>
      <c r="G3088" s="56" t="e">
        <f>VLOOKUP(C3088,clientes!$C$3:$D$60,2,FALSE)</f>
        <v>#N/A</v>
      </c>
    </row>
    <row r="3089" spans="5:7" x14ac:dyDescent="0.25">
      <c r="E3089" t="e">
        <f>VLOOKUP(D3089,'Lista de Produtos CLASSIFICAÇÃO'!$A$103:$B$144,2,FALSE)</f>
        <v>#N/A</v>
      </c>
      <c r="F3089" s="53"/>
      <c r="G3089" s="56" t="e">
        <f>VLOOKUP(C3089,clientes!$C$3:$D$60,2,FALSE)</f>
        <v>#N/A</v>
      </c>
    </row>
    <row r="3090" spans="5:7" x14ac:dyDescent="0.25">
      <c r="E3090" t="e">
        <f>VLOOKUP(D3090,'Lista de Produtos CLASSIFICAÇÃO'!$A$103:$B$144,2,FALSE)</f>
        <v>#N/A</v>
      </c>
      <c r="F3090" s="53"/>
      <c r="G3090" s="56" t="e">
        <f>VLOOKUP(C3090,clientes!$C$3:$D$60,2,FALSE)</f>
        <v>#N/A</v>
      </c>
    </row>
    <row r="3091" spans="5:7" x14ac:dyDescent="0.25">
      <c r="E3091" t="e">
        <f>VLOOKUP(D3091,'Lista de Produtos CLASSIFICAÇÃO'!$A$103:$B$144,2,FALSE)</f>
        <v>#N/A</v>
      </c>
      <c r="F3091" s="53"/>
      <c r="G3091" s="56" t="e">
        <f>VLOOKUP(C3091,clientes!$C$3:$D$60,2,FALSE)</f>
        <v>#N/A</v>
      </c>
    </row>
    <row r="3092" spans="5:7" x14ac:dyDescent="0.25">
      <c r="E3092" t="e">
        <f>VLOOKUP(D3092,'Lista de Produtos CLASSIFICAÇÃO'!$A$103:$B$144,2,FALSE)</f>
        <v>#N/A</v>
      </c>
      <c r="G3092" s="56" t="e">
        <f>VLOOKUP(C3092,clientes!$C$3:$D$60,2,FALSE)</f>
        <v>#N/A</v>
      </c>
    </row>
    <row r="3093" spans="5:7" x14ac:dyDescent="0.25">
      <c r="E3093" t="e">
        <f>VLOOKUP(D3093,'Lista de Produtos CLASSIFICAÇÃO'!$A$103:$B$144,2,FALSE)</f>
        <v>#N/A</v>
      </c>
      <c r="G3093" s="56" t="e">
        <f>VLOOKUP(C3093,clientes!$C$3:$D$60,2,FALSE)</f>
        <v>#N/A</v>
      </c>
    </row>
    <row r="3094" spans="5:7" x14ac:dyDescent="0.25">
      <c r="E3094" t="e">
        <f>VLOOKUP(D3094,'Lista de Produtos CLASSIFICAÇÃO'!$A$103:$B$144,2,FALSE)</f>
        <v>#N/A</v>
      </c>
      <c r="G3094" s="56" t="e">
        <f>VLOOKUP(C3094,clientes!$C$3:$D$60,2,FALSE)</f>
        <v>#N/A</v>
      </c>
    </row>
    <row r="3095" spans="5:7" x14ac:dyDescent="0.25">
      <c r="E3095" t="e">
        <f>VLOOKUP(D3095,'Lista de Produtos CLASSIFICAÇÃO'!$A$103:$B$144,2,FALSE)</f>
        <v>#N/A</v>
      </c>
      <c r="G3095" s="56" t="e">
        <f>VLOOKUP(C3095,clientes!$C$3:$D$60,2,FALSE)</f>
        <v>#N/A</v>
      </c>
    </row>
    <row r="3096" spans="5:7" x14ac:dyDescent="0.25">
      <c r="E3096" t="e">
        <f>VLOOKUP(D3096,'Lista de Produtos CLASSIFICAÇÃO'!$A$103:$B$144,2,FALSE)</f>
        <v>#N/A</v>
      </c>
      <c r="G3096" s="56" t="e">
        <f>VLOOKUP(C3096,clientes!$C$3:$D$60,2,FALSE)</f>
        <v>#N/A</v>
      </c>
    </row>
    <row r="3097" spans="5:7" x14ac:dyDescent="0.25">
      <c r="E3097" t="e">
        <f>VLOOKUP(D3097,'Lista de Produtos CLASSIFICAÇÃO'!$A$103:$B$144,2,FALSE)</f>
        <v>#N/A</v>
      </c>
      <c r="G3097" s="56" t="e">
        <f>VLOOKUP(C3097,clientes!$C$3:$D$60,2,FALSE)</f>
        <v>#N/A</v>
      </c>
    </row>
    <row r="3098" spans="5:7" x14ac:dyDescent="0.25">
      <c r="E3098" t="e">
        <f>VLOOKUP(D3098,'Lista de Produtos CLASSIFICAÇÃO'!$A$103:$B$144,2,FALSE)</f>
        <v>#N/A</v>
      </c>
      <c r="G3098" s="56" t="e">
        <f>VLOOKUP(C3098,clientes!$C$3:$D$60,2,FALSE)</f>
        <v>#N/A</v>
      </c>
    </row>
    <row r="3099" spans="5:7" x14ac:dyDescent="0.25">
      <c r="E3099" t="e">
        <f>VLOOKUP(D3099,'Lista de Produtos CLASSIFICAÇÃO'!$A$103:$B$144,2,FALSE)</f>
        <v>#N/A</v>
      </c>
      <c r="G3099" s="56" t="e">
        <f>VLOOKUP(C3099,clientes!$C$3:$D$60,2,FALSE)</f>
        <v>#N/A</v>
      </c>
    </row>
    <row r="3100" spans="5:7" x14ac:dyDescent="0.25">
      <c r="E3100" t="e">
        <f>VLOOKUP(D3100,'Lista de Produtos CLASSIFICAÇÃO'!$A$103:$B$144,2,FALSE)</f>
        <v>#N/A</v>
      </c>
      <c r="G3100" s="56" t="e">
        <f>VLOOKUP(C3100,clientes!$C$3:$D$60,2,FALSE)</f>
        <v>#N/A</v>
      </c>
    </row>
    <row r="3101" spans="5:7" x14ac:dyDescent="0.25">
      <c r="E3101" t="e">
        <f>VLOOKUP(D3101,'Lista de Produtos CLASSIFICAÇÃO'!$A$103:$B$144,2,FALSE)</f>
        <v>#N/A</v>
      </c>
      <c r="G3101" s="56" t="e">
        <f>VLOOKUP(C3101,clientes!$C$3:$D$60,2,FALSE)</f>
        <v>#N/A</v>
      </c>
    </row>
    <row r="3102" spans="5:7" x14ac:dyDescent="0.25">
      <c r="E3102" t="e">
        <f>VLOOKUP(D3102,'Lista de Produtos CLASSIFICAÇÃO'!$A$103:$B$144,2,FALSE)</f>
        <v>#N/A</v>
      </c>
      <c r="G3102" s="56" t="e">
        <f>VLOOKUP(C3102,clientes!$C$3:$D$60,2,FALSE)</f>
        <v>#N/A</v>
      </c>
    </row>
    <row r="3103" spans="5:7" x14ac:dyDescent="0.25">
      <c r="E3103" t="e">
        <f>VLOOKUP(D3103,'Lista de Produtos CLASSIFICAÇÃO'!$A$103:$B$144,2,FALSE)</f>
        <v>#N/A</v>
      </c>
      <c r="G3103" s="56" t="e">
        <f>VLOOKUP(C3103,clientes!$C$3:$D$60,2,FALSE)</f>
        <v>#N/A</v>
      </c>
    </row>
    <row r="3104" spans="5:7" x14ac:dyDescent="0.25">
      <c r="E3104" t="e">
        <f>VLOOKUP(D3104,'Lista de Produtos CLASSIFICAÇÃO'!$A$103:$B$144,2,FALSE)</f>
        <v>#N/A</v>
      </c>
      <c r="G3104" s="56" t="e">
        <f>VLOOKUP(C3104,clientes!$C$3:$D$60,2,FALSE)</f>
        <v>#N/A</v>
      </c>
    </row>
    <row r="3105" spans="5:7" x14ac:dyDescent="0.25">
      <c r="E3105" t="e">
        <f>VLOOKUP(D3105,'Lista de Produtos CLASSIFICAÇÃO'!$A$103:$B$144,2,FALSE)</f>
        <v>#N/A</v>
      </c>
      <c r="G3105" s="56" t="e">
        <f>VLOOKUP(C3105,clientes!$C$3:$D$60,2,FALSE)</f>
        <v>#N/A</v>
      </c>
    </row>
    <row r="3106" spans="5:7" x14ac:dyDescent="0.25">
      <c r="E3106" t="e">
        <f>VLOOKUP(D3106,'Lista de Produtos CLASSIFICAÇÃO'!$A$103:$B$144,2,FALSE)</f>
        <v>#N/A</v>
      </c>
      <c r="G3106" s="56" t="e">
        <f>VLOOKUP(C3106,clientes!$C$3:$D$60,2,FALSE)</f>
        <v>#N/A</v>
      </c>
    </row>
    <row r="3107" spans="5:7" x14ac:dyDescent="0.25">
      <c r="E3107" t="e">
        <f>VLOOKUP(D3107,'Lista de Produtos CLASSIFICAÇÃO'!$A$103:$B$144,2,FALSE)</f>
        <v>#N/A</v>
      </c>
      <c r="G3107" s="56" t="e">
        <f>VLOOKUP(C3107,clientes!$C$3:$D$60,2,FALSE)</f>
        <v>#N/A</v>
      </c>
    </row>
    <row r="3108" spans="5:7" x14ac:dyDescent="0.25">
      <c r="E3108" t="e">
        <f>VLOOKUP(D3108,'Lista de Produtos CLASSIFICAÇÃO'!$A$103:$B$144,2,FALSE)</f>
        <v>#N/A</v>
      </c>
      <c r="G3108" s="56" t="e">
        <f>VLOOKUP(C3108,clientes!$C$3:$D$60,2,FALSE)</f>
        <v>#N/A</v>
      </c>
    </row>
    <row r="3109" spans="5:7" x14ac:dyDescent="0.25">
      <c r="E3109" t="e">
        <f>VLOOKUP(D3109,'Lista de Produtos CLASSIFICAÇÃO'!$A$103:$B$144,2,FALSE)</f>
        <v>#N/A</v>
      </c>
      <c r="G3109" s="56" t="e">
        <f>VLOOKUP(C3109,clientes!$C$3:$D$60,2,FALSE)</f>
        <v>#N/A</v>
      </c>
    </row>
    <row r="3110" spans="5:7" x14ac:dyDescent="0.25">
      <c r="E3110" t="e">
        <f>VLOOKUP(D3110,'Lista de Produtos CLASSIFICAÇÃO'!$A$103:$B$144,2,FALSE)</f>
        <v>#N/A</v>
      </c>
      <c r="G3110" s="56" t="e">
        <f>VLOOKUP(C3110,clientes!$C$3:$D$60,2,FALSE)</f>
        <v>#N/A</v>
      </c>
    </row>
    <row r="3111" spans="5:7" x14ac:dyDescent="0.25">
      <c r="E3111" t="e">
        <f>VLOOKUP(D3111,'Lista de Produtos CLASSIFICAÇÃO'!$A$103:$B$144,2,FALSE)</f>
        <v>#N/A</v>
      </c>
      <c r="G3111" s="56" t="e">
        <f>VLOOKUP(C3111,clientes!$C$3:$D$60,2,FALSE)</f>
        <v>#N/A</v>
      </c>
    </row>
    <row r="3112" spans="5:7" x14ac:dyDescent="0.25">
      <c r="E3112" t="e">
        <f>VLOOKUP(D3112,'Lista de Produtos CLASSIFICAÇÃO'!$A$103:$B$144,2,FALSE)</f>
        <v>#N/A</v>
      </c>
      <c r="G3112" s="56" t="e">
        <f>VLOOKUP(C3112,clientes!$C$3:$D$60,2,FALSE)</f>
        <v>#N/A</v>
      </c>
    </row>
    <row r="3113" spans="5:7" x14ac:dyDescent="0.25">
      <c r="E3113" t="e">
        <f>VLOOKUP(D3113,'Lista de Produtos CLASSIFICAÇÃO'!$A$103:$B$144,2,FALSE)</f>
        <v>#N/A</v>
      </c>
      <c r="G3113" s="56" t="e">
        <f>VLOOKUP(C3113,clientes!$C$3:$D$60,2,FALSE)</f>
        <v>#N/A</v>
      </c>
    </row>
    <row r="3114" spans="5:7" x14ac:dyDescent="0.25">
      <c r="E3114" t="e">
        <f>VLOOKUP(D3114,'Lista de Produtos CLASSIFICAÇÃO'!$A$103:$B$144,2,FALSE)</f>
        <v>#N/A</v>
      </c>
      <c r="G3114" s="56" t="e">
        <f>VLOOKUP(C3114,clientes!$C$3:$D$60,2,FALSE)</f>
        <v>#N/A</v>
      </c>
    </row>
    <row r="3115" spans="5:7" x14ac:dyDescent="0.25">
      <c r="E3115" t="e">
        <f>VLOOKUP(D3115,'Lista de Produtos CLASSIFICAÇÃO'!$A$103:$B$144,2,FALSE)</f>
        <v>#N/A</v>
      </c>
      <c r="G3115" s="56" t="e">
        <f>VLOOKUP(C3115,clientes!$C$3:$D$60,2,FALSE)</f>
        <v>#N/A</v>
      </c>
    </row>
    <row r="3116" spans="5:7" x14ac:dyDescent="0.25">
      <c r="E3116" s="51"/>
    </row>
    <row r="3117" spans="5:7" x14ac:dyDescent="0.25">
      <c r="E3117" s="51"/>
    </row>
    <row r="3118" spans="5:7" x14ac:dyDescent="0.25">
      <c r="E3118" s="51"/>
    </row>
    <row r="3119" spans="5:7" x14ac:dyDescent="0.25">
      <c r="E3119" s="51"/>
    </row>
    <row r="3120" spans="5:7" x14ac:dyDescent="0.25">
      <c r="E3120" s="51"/>
    </row>
    <row r="3121" spans="5:5" x14ac:dyDescent="0.25">
      <c r="E3121" s="51"/>
    </row>
    <row r="3122" spans="5:5" x14ac:dyDescent="0.25">
      <c r="E3122" s="51"/>
    </row>
    <row r="3123" spans="5:5" x14ac:dyDescent="0.25">
      <c r="E3123" s="51"/>
    </row>
    <row r="3124" spans="5:5" x14ac:dyDescent="0.25">
      <c r="E3124" s="51"/>
    </row>
    <row r="3125" spans="5:5" x14ac:dyDescent="0.25">
      <c r="E3125" s="51"/>
    </row>
    <row r="3126" spans="5:5" x14ac:dyDescent="0.25">
      <c r="E3126" s="51"/>
    </row>
    <row r="3127" spans="5:5" x14ac:dyDescent="0.25">
      <c r="E3127" s="51"/>
    </row>
    <row r="3128" spans="5:5" x14ac:dyDescent="0.25">
      <c r="E3128" s="51"/>
    </row>
    <row r="3129" spans="5:5" x14ac:dyDescent="0.25">
      <c r="E3129" s="51"/>
    </row>
    <row r="3130" spans="5:5" x14ac:dyDescent="0.25">
      <c r="E3130" s="51"/>
    </row>
    <row r="3131" spans="5:5" x14ac:dyDescent="0.25">
      <c r="E3131" s="51"/>
    </row>
    <row r="3132" spans="5:5" x14ac:dyDescent="0.25">
      <c r="E3132" s="51"/>
    </row>
    <row r="3133" spans="5:5" x14ac:dyDescent="0.25">
      <c r="E3133" s="51"/>
    </row>
    <row r="3134" spans="5:5" x14ac:dyDescent="0.25">
      <c r="E3134" s="51"/>
    </row>
    <row r="3135" spans="5:5" x14ac:dyDescent="0.25">
      <c r="E3135" s="51"/>
    </row>
    <row r="3136" spans="5:5" x14ac:dyDescent="0.25">
      <c r="E3136" s="51"/>
    </row>
    <row r="3137" spans="5:5" x14ac:dyDescent="0.25">
      <c r="E3137" s="51"/>
    </row>
    <row r="3138" spans="5:5" x14ac:dyDescent="0.25">
      <c r="E3138" s="51"/>
    </row>
    <row r="3139" spans="5:5" x14ac:dyDescent="0.25">
      <c r="E3139" s="51"/>
    </row>
    <row r="3140" spans="5:5" x14ac:dyDescent="0.25">
      <c r="E3140" s="51"/>
    </row>
    <row r="3141" spans="5:5" x14ac:dyDescent="0.25">
      <c r="E3141" s="51"/>
    </row>
    <row r="3142" spans="5:5" x14ac:dyDescent="0.25">
      <c r="E3142" s="51"/>
    </row>
    <row r="3143" spans="5:5" x14ac:dyDescent="0.25">
      <c r="E3143" s="51"/>
    </row>
    <row r="3144" spans="5:5" x14ac:dyDescent="0.25">
      <c r="E3144" s="51"/>
    </row>
    <row r="3145" spans="5:5" x14ac:dyDescent="0.25">
      <c r="E3145" s="51"/>
    </row>
    <row r="3146" spans="5:5" x14ac:dyDescent="0.25">
      <c r="E3146" s="51"/>
    </row>
    <row r="3147" spans="5:5" x14ac:dyDescent="0.25">
      <c r="E3147" s="51"/>
    </row>
    <row r="3148" spans="5:5" x14ac:dyDescent="0.25">
      <c r="E3148" s="51"/>
    </row>
    <row r="3149" spans="5:5" x14ac:dyDescent="0.25">
      <c r="E3149" s="51"/>
    </row>
    <row r="3150" spans="5:5" x14ac:dyDescent="0.25">
      <c r="E3150" s="51"/>
    </row>
    <row r="3151" spans="5:5" x14ac:dyDescent="0.25">
      <c r="E3151" s="51"/>
    </row>
    <row r="3152" spans="5:5" x14ac:dyDescent="0.25">
      <c r="E3152" s="51"/>
    </row>
    <row r="3153" spans="5:5" x14ac:dyDescent="0.25">
      <c r="E3153" s="51"/>
    </row>
    <row r="3154" spans="5:5" x14ac:dyDescent="0.25">
      <c r="E3154" s="51"/>
    </row>
    <row r="3155" spans="5:5" x14ac:dyDescent="0.25">
      <c r="E3155" s="51"/>
    </row>
    <row r="3156" spans="5:5" x14ac:dyDescent="0.25">
      <c r="E3156" s="51"/>
    </row>
    <row r="3157" spans="5:5" x14ac:dyDescent="0.25">
      <c r="E3157" s="51"/>
    </row>
    <row r="3158" spans="5:5" x14ac:dyDescent="0.25">
      <c r="E3158" s="51"/>
    </row>
    <row r="3159" spans="5:5" x14ac:dyDescent="0.25">
      <c r="E3159" s="51"/>
    </row>
    <row r="3160" spans="5:5" x14ac:dyDescent="0.25">
      <c r="E3160" s="51"/>
    </row>
    <row r="3161" spans="5:5" x14ac:dyDescent="0.25">
      <c r="E3161" s="51"/>
    </row>
    <row r="3162" spans="5:5" x14ac:dyDescent="0.25">
      <c r="E3162" s="51"/>
    </row>
    <row r="3163" spans="5:5" x14ac:dyDescent="0.25">
      <c r="E3163" s="51"/>
    </row>
    <row r="3164" spans="5:5" x14ac:dyDescent="0.25">
      <c r="E3164" s="51"/>
    </row>
    <row r="3165" spans="5:5" x14ac:dyDescent="0.25">
      <c r="E3165" s="51"/>
    </row>
    <row r="3166" spans="5:5" x14ac:dyDescent="0.25">
      <c r="E3166" s="51"/>
    </row>
    <row r="3167" spans="5:5" x14ac:dyDescent="0.25">
      <c r="E3167" s="51"/>
    </row>
    <row r="3168" spans="5:5" x14ac:dyDescent="0.25">
      <c r="E3168" s="51"/>
    </row>
    <row r="3169" spans="5:5" x14ac:dyDescent="0.25">
      <c r="E3169" s="51"/>
    </row>
    <row r="3170" spans="5:5" x14ac:dyDescent="0.25">
      <c r="E3170" s="51"/>
    </row>
    <row r="3171" spans="5:5" x14ac:dyDescent="0.25">
      <c r="E3171" s="51"/>
    </row>
    <row r="3172" spans="5:5" x14ac:dyDescent="0.25">
      <c r="E3172" s="51"/>
    </row>
    <row r="3173" spans="5:5" x14ac:dyDescent="0.25">
      <c r="E3173" s="51"/>
    </row>
    <row r="3174" spans="5:5" x14ac:dyDescent="0.25">
      <c r="E3174" s="51"/>
    </row>
    <row r="3175" spans="5:5" x14ac:dyDescent="0.25">
      <c r="E3175" s="51"/>
    </row>
    <row r="3176" spans="5:5" x14ac:dyDescent="0.25">
      <c r="E3176" s="51"/>
    </row>
    <row r="3177" spans="5:5" x14ac:dyDescent="0.25">
      <c r="E3177" s="51"/>
    </row>
    <row r="3178" spans="5:5" x14ac:dyDescent="0.25">
      <c r="E3178" s="51"/>
    </row>
    <row r="3179" spans="5:5" x14ac:dyDescent="0.25">
      <c r="E3179" s="51"/>
    </row>
    <row r="3180" spans="5:5" x14ac:dyDescent="0.25">
      <c r="E3180" s="51"/>
    </row>
    <row r="3181" spans="5:5" x14ac:dyDescent="0.25">
      <c r="E3181" s="51"/>
    </row>
    <row r="3182" spans="5:5" x14ac:dyDescent="0.25">
      <c r="E3182" s="51"/>
    </row>
    <row r="3183" spans="5:5" x14ac:dyDescent="0.25">
      <c r="E3183" s="51"/>
    </row>
    <row r="3184" spans="5:5" x14ac:dyDescent="0.25">
      <c r="E3184" s="51"/>
    </row>
    <row r="3185" spans="5:5" x14ac:dyDescent="0.25">
      <c r="E3185" s="51"/>
    </row>
    <row r="3186" spans="5:5" x14ac:dyDescent="0.25">
      <c r="E3186" s="51"/>
    </row>
    <row r="3187" spans="5:5" x14ac:dyDescent="0.25">
      <c r="E3187" s="51"/>
    </row>
    <row r="3188" spans="5:5" x14ac:dyDescent="0.25">
      <c r="E3188" s="51"/>
    </row>
    <row r="3189" spans="5:5" x14ac:dyDescent="0.25">
      <c r="E3189" s="51"/>
    </row>
    <row r="3190" spans="5:5" x14ac:dyDescent="0.25">
      <c r="E3190" s="51"/>
    </row>
    <row r="3191" spans="5:5" x14ac:dyDescent="0.25">
      <c r="E3191" s="51"/>
    </row>
    <row r="3192" spans="5:5" x14ac:dyDescent="0.25">
      <c r="E3192" s="51"/>
    </row>
    <row r="3193" spans="5:5" x14ac:dyDescent="0.25">
      <c r="E3193" s="51"/>
    </row>
    <row r="3194" spans="5:5" x14ac:dyDescent="0.25">
      <c r="E3194" s="51"/>
    </row>
    <row r="3195" spans="5:5" x14ac:dyDescent="0.25">
      <c r="E3195" s="51"/>
    </row>
    <row r="3196" spans="5:5" x14ac:dyDescent="0.25">
      <c r="E3196" s="51"/>
    </row>
    <row r="3197" spans="5:5" x14ac:dyDescent="0.25">
      <c r="E3197" s="51"/>
    </row>
    <row r="3198" spans="5:5" x14ac:dyDescent="0.25">
      <c r="E3198" s="51"/>
    </row>
    <row r="3199" spans="5:5" x14ac:dyDescent="0.25">
      <c r="E3199" s="51"/>
    </row>
    <row r="3200" spans="5:5" x14ac:dyDescent="0.25">
      <c r="E3200" s="51"/>
    </row>
    <row r="3201" spans="5:5" x14ac:dyDescent="0.25">
      <c r="E3201" s="51"/>
    </row>
    <row r="3202" spans="5:5" x14ac:dyDescent="0.25">
      <c r="E3202" s="51"/>
    </row>
    <row r="3203" spans="5:5" x14ac:dyDescent="0.25">
      <c r="E3203" s="51"/>
    </row>
    <row r="3204" spans="5:5" x14ac:dyDescent="0.25">
      <c r="E3204" s="51"/>
    </row>
    <row r="3205" spans="5:5" x14ac:dyDescent="0.25">
      <c r="E3205" s="51"/>
    </row>
    <row r="3206" spans="5:5" x14ac:dyDescent="0.25">
      <c r="E3206" s="51"/>
    </row>
    <row r="3207" spans="5:5" x14ac:dyDescent="0.25">
      <c r="E3207" s="51"/>
    </row>
    <row r="3208" spans="5:5" x14ac:dyDescent="0.25">
      <c r="E3208" s="51"/>
    </row>
    <row r="3209" spans="5:5" x14ac:dyDescent="0.25">
      <c r="E3209" s="51"/>
    </row>
    <row r="3210" spans="5:5" x14ac:dyDescent="0.25">
      <c r="E3210" s="51"/>
    </row>
    <row r="3211" spans="5:5" x14ac:dyDescent="0.25">
      <c r="E3211" s="51"/>
    </row>
    <row r="3212" spans="5:5" x14ac:dyDescent="0.25">
      <c r="E3212" s="51"/>
    </row>
    <row r="3213" spans="5:5" x14ac:dyDescent="0.25">
      <c r="E3213" s="51"/>
    </row>
    <row r="3214" spans="5:5" x14ac:dyDescent="0.25">
      <c r="E3214" s="51"/>
    </row>
    <row r="3215" spans="5:5" x14ac:dyDescent="0.25">
      <c r="E3215" s="51"/>
    </row>
    <row r="3216" spans="5:5" x14ac:dyDescent="0.25">
      <c r="E3216" s="51"/>
    </row>
    <row r="3217" spans="5:5" x14ac:dyDescent="0.25">
      <c r="E3217" s="51"/>
    </row>
    <row r="3218" spans="5:5" x14ac:dyDescent="0.25">
      <c r="E3218" s="51"/>
    </row>
    <row r="3219" spans="5:5" x14ac:dyDescent="0.25">
      <c r="E3219" s="51"/>
    </row>
    <row r="3220" spans="5:5" x14ac:dyDescent="0.25">
      <c r="E3220" s="51"/>
    </row>
    <row r="3221" spans="5:5" x14ac:dyDescent="0.25">
      <c r="E3221" s="51"/>
    </row>
    <row r="3222" spans="5:5" x14ac:dyDescent="0.25">
      <c r="E3222" s="51"/>
    </row>
    <row r="3223" spans="5:5" x14ac:dyDescent="0.25">
      <c r="E3223" s="51"/>
    </row>
    <row r="3224" spans="5:5" x14ac:dyDescent="0.25">
      <c r="E3224" s="51"/>
    </row>
    <row r="3225" spans="5:5" x14ac:dyDescent="0.25">
      <c r="E3225" s="51"/>
    </row>
    <row r="3226" spans="5:5" x14ac:dyDescent="0.25">
      <c r="E3226" s="51"/>
    </row>
    <row r="3227" spans="5:5" x14ac:dyDescent="0.25">
      <c r="E3227" s="51"/>
    </row>
    <row r="3228" spans="5:5" x14ac:dyDescent="0.25">
      <c r="E3228" s="51"/>
    </row>
    <row r="3229" spans="5:5" x14ac:dyDescent="0.25">
      <c r="E3229" s="51"/>
    </row>
    <row r="3230" spans="5:5" x14ac:dyDescent="0.25">
      <c r="E3230" s="51"/>
    </row>
    <row r="3231" spans="5:5" x14ac:dyDescent="0.25">
      <c r="E3231" s="51"/>
    </row>
    <row r="3232" spans="5:5" x14ac:dyDescent="0.25">
      <c r="E3232" s="51"/>
    </row>
    <row r="3233" spans="5:5" x14ac:dyDescent="0.25">
      <c r="E3233" s="51"/>
    </row>
    <row r="3234" spans="5:5" x14ac:dyDescent="0.25">
      <c r="E3234" s="51"/>
    </row>
    <row r="3235" spans="5:5" x14ac:dyDescent="0.25">
      <c r="E3235" s="51"/>
    </row>
    <row r="3236" spans="5:5" x14ac:dyDescent="0.25">
      <c r="E3236" s="51"/>
    </row>
    <row r="3237" spans="5:5" x14ac:dyDescent="0.25">
      <c r="E3237" s="51"/>
    </row>
    <row r="3238" spans="5:5" x14ac:dyDescent="0.25">
      <c r="E3238" s="51"/>
    </row>
    <row r="3239" spans="5:5" x14ac:dyDescent="0.25">
      <c r="E3239" s="51"/>
    </row>
    <row r="3240" spans="5:5" x14ac:dyDescent="0.25">
      <c r="E3240" s="51"/>
    </row>
    <row r="3241" spans="5:5" x14ac:dyDescent="0.25">
      <c r="E3241" s="51"/>
    </row>
    <row r="3242" spans="5:5" x14ac:dyDescent="0.25">
      <c r="E3242" s="51"/>
    </row>
    <row r="3243" spans="5:5" x14ac:dyDescent="0.25">
      <c r="E3243" s="51"/>
    </row>
    <row r="3244" spans="5:5" x14ac:dyDescent="0.25">
      <c r="E3244" s="51"/>
    </row>
    <row r="3245" spans="5:5" x14ac:dyDescent="0.25">
      <c r="E3245" s="51"/>
    </row>
    <row r="3246" spans="5:5" x14ac:dyDescent="0.25">
      <c r="E3246" s="51"/>
    </row>
    <row r="3247" spans="5:5" x14ac:dyDescent="0.25">
      <c r="E3247" s="51"/>
    </row>
    <row r="3248" spans="5:5" x14ac:dyDescent="0.25">
      <c r="E3248" s="51"/>
    </row>
    <row r="3249" spans="5:5" x14ac:dyDescent="0.25">
      <c r="E3249" s="51"/>
    </row>
    <row r="3250" spans="5:5" x14ac:dyDescent="0.25">
      <c r="E3250" s="51"/>
    </row>
    <row r="3251" spans="5:5" x14ac:dyDescent="0.25">
      <c r="E3251" s="51"/>
    </row>
    <row r="3252" spans="5:5" x14ac:dyDescent="0.25">
      <c r="E3252" s="51"/>
    </row>
    <row r="3253" spans="5:5" x14ac:dyDescent="0.25">
      <c r="E3253" s="51"/>
    </row>
    <row r="3254" spans="5:5" x14ac:dyDescent="0.25">
      <c r="E3254" s="51"/>
    </row>
    <row r="3255" spans="5:5" x14ac:dyDescent="0.25">
      <c r="E3255" s="51"/>
    </row>
    <row r="3256" spans="5:5" x14ac:dyDescent="0.25">
      <c r="E3256" s="51"/>
    </row>
    <row r="3257" spans="5:5" x14ac:dyDescent="0.25">
      <c r="E3257" s="51"/>
    </row>
    <row r="3258" spans="5:5" x14ac:dyDescent="0.25">
      <c r="E3258" s="51"/>
    </row>
    <row r="3259" spans="5:5" x14ac:dyDescent="0.25">
      <c r="E3259" s="51"/>
    </row>
    <row r="3260" spans="5:5" x14ac:dyDescent="0.25">
      <c r="E3260" s="51"/>
    </row>
    <row r="3261" spans="5:5" x14ac:dyDescent="0.25">
      <c r="E3261" s="51"/>
    </row>
    <row r="3262" spans="5:5" x14ac:dyDescent="0.25">
      <c r="E3262" s="51"/>
    </row>
    <row r="3263" spans="5:5" x14ac:dyDescent="0.25">
      <c r="E3263" s="51"/>
    </row>
    <row r="3264" spans="5:5" x14ac:dyDescent="0.25">
      <c r="E3264" s="51"/>
    </row>
    <row r="3265" spans="5:5" x14ac:dyDescent="0.25">
      <c r="E3265" s="51"/>
    </row>
    <row r="3266" spans="5:5" x14ac:dyDescent="0.25">
      <c r="E3266" s="51"/>
    </row>
    <row r="3267" spans="5:5" x14ac:dyDescent="0.25">
      <c r="E3267" s="51"/>
    </row>
    <row r="3268" spans="5:5" x14ac:dyDescent="0.25">
      <c r="E3268" s="51"/>
    </row>
    <row r="3269" spans="5:5" x14ac:dyDescent="0.25">
      <c r="E3269" s="51"/>
    </row>
    <row r="3270" spans="5:5" x14ac:dyDescent="0.25">
      <c r="E3270" s="51"/>
    </row>
    <row r="3271" spans="5:5" x14ac:dyDescent="0.25">
      <c r="E3271" s="51"/>
    </row>
    <row r="3272" spans="5:5" x14ac:dyDescent="0.25">
      <c r="E3272" s="51"/>
    </row>
    <row r="3273" spans="5:5" x14ac:dyDescent="0.25">
      <c r="E3273" s="51"/>
    </row>
    <row r="3274" spans="5:5" x14ac:dyDescent="0.25">
      <c r="E3274" s="51"/>
    </row>
    <row r="3275" spans="5:5" x14ac:dyDescent="0.25">
      <c r="E3275" s="51"/>
    </row>
    <row r="3276" spans="5:5" x14ac:dyDescent="0.25">
      <c r="E3276" s="51"/>
    </row>
    <row r="3277" spans="5:5" x14ac:dyDescent="0.25">
      <c r="E3277" s="51"/>
    </row>
    <row r="3278" spans="5:5" x14ac:dyDescent="0.25">
      <c r="E3278" s="51"/>
    </row>
    <row r="3279" spans="5:5" x14ac:dyDescent="0.25">
      <c r="E3279" s="51"/>
    </row>
    <row r="3280" spans="5:5" x14ac:dyDescent="0.25">
      <c r="E3280" s="51"/>
    </row>
    <row r="3281" spans="5:5" x14ac:dyDescent="0.25">
      <c r="E3281" s="51"/>
    </row>
    <row r="3282" spans="5:5" x14ac:dyDescent="0.25">
      <c r="E3282" s="51"/>
    </row>
    <row r="3283" spans="5:5" x14ac:dyDescent="0.25">
      <c r="E3283" s="51"/>
    </row>
    <row r="3284" spans="5:5" x14ac:dyDescent="0.25">
      <c r="E3284" s="51"/>
    </row>
    <row r="3285" spans="5:5" x14ac:dyDescent="0.25">
      <c r="E3285" s="51"/>
    </row>
    <row r="3286" spans="5:5" x14ac:dyDescent="0.25">
      <c r="E3286" s="51"/>
    </row>
    <row r="3287" spans="5:5" x14ac:dyDescent="0.25">
      <c r="E3287" s="51"/>
    </row>
    <row r="3288" spans="5:5" x14ac:dyDescent="0.25">
      <c r="E3288" s="51"/>
    </row>
    <row r="3289" spans="5:5" x14ac:dyDescent="0.25">
      <c r="E3289" s="51"/>
    </row>
    <row r="3290" spans="5:5" x14ac:dyDescent="0.25">
      <c r="E3290" s="51"/>
    </row>
    <row r="3291" spans="5:5" x14ac:dyDescent="0.25">
      <c r="E3291" s="51"/>
    </row>
    <row r="3292" spans="5:5" x14ac:dyDescent="0.25">
      <c r="E3292" s="51"/>
    </row>
    <row r="3293" spans="5:5" x14ac:dyDescent="0.25">
      <c r="E3293" s="51"/>
    </row>
    <row r="3294" spans="5:5" x14ac:dyDescent="0.25">
      <c r="E3294" s="51"/>
    </row>
    <row r="3295" spans="5:5" x14ac:dyDescent="0.25">
      <c r="E3295" s="51"/>
    </row>
    <row r="3296" spans="5:5" x14ac:dyDescent="0.25">
      <c r="E3296" s="51"/>
    </row>
    <row r="3297" spans="5:5" x14ac:dyDescent="0.25">
      <c r="E3297" s="51"/>
    </row>
    <row r="3298" spans="5:5" x14ac:dyDescent="0.25">
      <c r="E3298" s="51"/>
    </row>
    <row r="3299" spans="5:5" x14ac:dyDescent="0.25">
      <c r="E3299" s="51"/>
    </row>
    <row r="3300" spans="5:5" x14ac:dyDescent="0.25">
      <c r="E3300" s="51"/>
    </row>
    <row r="3301" spans="5:5" x14ac:dyDescent="0.25">
      <c r="E3301" s="51"/>
    </row>
    <row r="3302" spans="5:5" x14ac:dyDescent="0.25">
      <c r="E3302" s="51"/>
    </row>
    <row r="3303" spans="5:5" x14ac:dyDescent="0.25">
      <c r="E3303" s="51"/>
    </row>
    <row r="3304" spans="5:5" x14ac:dyDescent="0.25">
      <c r="E3304" s="51"/>
    </row>
    <row r="3305" spans="5:5" x14ac:dyDescent="0.25">
      <c r="E3305" s="51"/>
    </row>
    <row r="3306" spans="5:5" x14ac:dyDescent="0.25">
      <c r="E3306" s="51"/>
    </row>
    <row r="3307" spans="5:5" x14ac:dyDescent="0.25">
      <c r="E3307" s="51"/>
    </row>
    <row r="3308" spans="5:5" x14ac:dyDescent="0.25">
      <c r="E3308" s="51"/>
    </row>
    <row r="3309" spans="5:5" x14ac:dyDescent="0.25">
      <c r="E3309" s="51"/>
    </row>
    <row r="3310" spans="5:5" x14ac:dyDescent="0.25">
      <c r="E3310" s="51"/>
    </row>
    <row r="3311" spans="5:5" x14ac:dyDescent="0.25">
      <c r="E3311" s="51"/>
    </row>
    <row r="3312" spans="5:5" x14ac:dyDescent="0.25">
      <c r="E3312" s="51"/>
    </row>
    <row r="3313" spans="5:5" x14ac:dyDescent="0.25">
      <c r="E3313" s="51"/>
    </row>
    <row r="3314" spans="5:5" x14ac:dyDescent="0.25">
      <c r="E3314" s="51"/>
    </row>
    <row r="3315" spans="5:5" x14ac:dyDescent="0.25">
      <c r="E3315" s="51"/>
    </row>
    <row r="3316" spans="5:5" x14ac:dyDescent="0.25">
      <c r="E3316" s="51"/>
    </row>
    <row r="3317" spans="5:5" x14ac:dyDescent="0.25">
      <c r="E3317" s="51"/>
    </row>
    <row r="3318" spans="5:5" x14ac:dyDescent="0.25">
      <c r="E3318" s="51"/>
    </row>
    <row r="3319" spans="5:5" x14ac:dyDescent="0.25">
      <c r="E3319" s="51"/>
    </row>
    <row r="3320" spans="5:5" x14ac:dyDescent="0.25">
      <c r="E3320" s="51"/>
    </row>
    <row r="3321" spans="5:5" x14ac:dyDescent="0.25">
      <c r="E3321" s="51"/>
    </row>
    <row r="3322" spans="5:5" x14ac:dyDescent="0.25">
      <c r="E3322" s="51"/>
    </row>
    <row r="3323" spans="5:5" x14ac:dyDescent="0.25">
      <c r="E3323" s="51"/>
    </row>
    <row r="3324" spans="5:5" x14ac:dyDescent="0.25">
      <c r="E3324" s="51"/>
    </row>
    <row r="3325" spans="5:5" x14ac:dyDescent="0.25">
      <c r="E3325" s="51"/>
    </row>
    <row r="3326" spans="5:5" x14ac:dyDescent="0.25">
      <c r="E3326" s="51"/>
    </row>
    <row r="3327" spans="5:5" x14ac:dyDescent="0.25">
      <c r="E3327" s="51"/>
    </row>
    <row r="3328" spans="5:5" x14ac:dyDescent="0.25">
      <c r="E3328" s="51"/>
    </row>
    <row r="3329" spans="5:5" x14ac:dyDescent="0.25">
      <c r="E3329" s="51"/>
    </row>
    <row r="3330" spans="5:5" x14ac:dyDescent="0.25">
      <c r="E3330" s="51"/>
    </row>
    <row r="3331" spans="5:5" x14ac:dyDescent="0.25">
      <c r="E3331" s="51"/>
    </row>
    <row r="3332" spans="5:5" x14ac:dyDescent="0.25">
      <c r="E3332" s="51"/>
    </row>
    <row r="3333" spans="5:5" x14ac:dyDescent="0.25">
      <c r="E3333" s="51"/>
    </row>
    <row r="3334" spans="5:5" x14ac:dyDescent="0.25">
      <c r="E3334" s="51"/>
    </row>
    <row r="3335" spans="5:5" x14ac:dyDescent="0.25">
      <c r="E3335" s="51"/>
    </row>
    <row r="3336" spans="5:5" x14ac:dyDescent="0.25">
      <c r="E3336" s="51"/>
    </row>
    <row r="3337" spans="5:5" x14ac:dyDescent="0.25">
      <c r="E3337" s="51"/>
    </row>
    <row r="3338" spans="5:5" x14ac:dyDescent="0.25">
      <c r="E3338" s="51"/>
    </row>
    <row r="3339" spans="5:5" x14ac:dyDescent="0.25">
      <c r="E3339" s="51"/>
    </row>
    <row r="3340" spans="5:5" x14ac:dyDescent="0.25">
      <c r="E3340" s="51"/>
    </row>
    <row r="3341" spans="5:5" x14ac:dyDescent="0.25">
      <c r="E3341" s="51"/>
    </row>
    <row r="3342" spans="5:5" x14ac:dyDescent="0.25">
      <c r="E3342" s="51"/>
    </row>
    <row r="3343" spans="5:5" x14ac:dyDescent="0.25">
      <c r="E3343" s="51"/>
    </row>
  </sheetData>
  <autoFilter ref="A1:G3115" xr:uid="{A8DC463C-5D6F-42BA-A1B4-AC70CDD6DB05}"/>
  <phoneticPr fontId="6" type="noConversion"/>
  <conditionalFormatting sqref="C2:C32">
    <cfRule type="expression" dxfId="21" priority="4">
      <formula>AND(ISLOGICAL($A2), $A2 = FALSE)</formula>
    </cfRule>
  </conditionalFormatting>
  <conditionalFormatting sqref="C34:C63">
    <cfRule type="expression" dxfId="20" priority="3">
      <formula>AND(ISLOGICAL($A34), $A34 = FALSE)</formula>
    </cfRule>
  </conditionalFormatting>
  <conditionalFormatting sqref="C65:C93 C95:C96">
    <cfRule type="expression" dxfId="19" priority="5">
      <formula>AND(ISLOGICAL($A65), $A65 = FALSE)</formula>
    </cfRule>
  </conditionalFormatting>
  <conditionalFormatting sqref="C386:C416">
    <cfRule type="expression" dxfId="18" priority="12">
      <formula>AND(ISLOGICAL($A386), $A386 = FALSE)</formula>
    </cfRule>
  </conditionalFormatting>
  <conditionalFormatting sqref="C454:C484">
    <cfRule type="expression" dxfId="17" priority="11">
      <formula>AND(ISLOGICAL($A454), $A454 = FALSE)</formula>
    </cfRule>
  </conditionalFormatting>
  <conditionalFormatting sqref="C522:C552">
    <cfRule type="expression" dxfId="16" priority="10">
      <formula>AND(ISLOGICAL($A522), $A522 = FALSE)</formula>
    </cfRule>
  </conditionalFormatting>
  <conditionalFormatting sqref="C590:C620">
    <cfRule type="expression" dxfId="15" priority="9">
      <formula>AND(ISLOGICAL($A590), $A590 = FALSE)</formula>
    </cfRule>
  </conditionalFormatting>
  <conditionalFormatting sqref="C658:C688">
    <cfRule type="expression" dxfId="14" priority="8">
      <formula>AND(ISLOGICAL($A658), $A658 = FALSE)</formula>
    </cfRule>
  </conditionalFormatting>
  <conditionalFormatting sqref="C726:C756">
    <cfRule type="expression" dxfId="13" priority="7">
      <formula>AND(ISLOGICAL($A726), $A726 = FALSE)</formula>
    </cfRule>
  </conditionalFormatting>
  <conditionalFormatting sqref="C760:C790">
    <cfRule type="expression" dxfId="12" priority="6">
      <formula>AND(ISLOGICAL($A760), $A760 = FALSE)</formula>
    </cfRule>
  </conditionalFormatting>
  <conditionalFormatting sqref="C794:C824">
    <cfRule type="expression" dxfId="11" priority="20">
      <formula>AND(ISLOGICAL($A794), $A794 = FALSE)</formula>
    </cfRule>
  </conditionalFormatting>
  <conditionalFormatting sqref="C827:C857">
    <cfRule type="expression" dxfId="10" priority="19">
      <formula>AND(ISLOGICAL($A827), $A827 = FALSE)</formula>
    </cfRule>
  </conditionalFormatting>
  <conditionalFormatting sqref="C860:C890">
    <cfRule type="expression" dxfId="9" priority="18">
      <formula>AND(ISLOGICAL($A860), $A860 = FALSE)</formula>
    </cfRule>
  </conditionalFormatting>
  <conditionalFormatting sqref="C926:C956">
    <cfRule type="expression" dxfId="8" priority="17">
      <formula>AND(ISLOGICAL($A926), $A926 = FALSE)</formula>
    </cfRule>
  </conditionalFormatting>
  <conditionalFormatting sqref="C992:C1022">
    <cfRule type="expression" dxfId="7" priority="16">
      <formula>AND(ISLOGICAL($A992), $A992 = FALSE)</formula>
    </cfRule>
  </conditionalFormatting>
  <conditionalFormatting sqref="C1058:C1088">
    <cfRule type="expression" dxfId="6" priority="15">
      <formula>AND(ISLOGICAL($A1058), $A1058 = FALSE)</formula>
    </cfRule>
  </conditionalFormatting>
  <conditionalFormatting sqref="C1124:C1154">
    <cfRule type="expression" dxfId="5" priority="14">
      <formula>AND(ISLOGICAL($A1124), $A1124 = FALSE)</formula>
    </cfRule>
  </conditionalFormatting>
  <conditionalFormatting sqref="C1157:C1187">
    <cfRule type="expression" dxfId="4" priority="13">
      <formula>AND(ISLOGICAL($A1157), $A1157 = FALSE)</formula>
    </cfRule>
  </conditionalFormatting>
  <conditionalFormatting sqref="C2102:C2130">
    <cfRule type="expression" dxfId="3" priority="2">
      <formula>AND(ISLOGICAL($A2102), $A2102 = FALSE)</formula>
    </cfRule>
  </conditionalFormatting>
  <conditionalFormatting sqref="G2:G2457 G2470:G3115">
    <cfRule type="expression" dxfId="2" priority="1">
      <formula>AND(ISLOGICAL($A2), $A2 = FALSE)</formula>
    </cfRule>
  </conditionalFormatting>
  <dataValidations count="1">
    <dataValidation type="custom" allowBlank="1" showInputMessage="1" showErrorMessage="1" sqref="F794:F826 B760:B793 F2:F33" xr:uid="{0C185067-16E1-4FF5-82E3-22202C0EDD98}">
      <formula1>OR($A2 = TRUE, B2 = 0)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A668-D3D6-4E42-8BE4-C34C2370270D}">
  <dimension ref="C2:D60"/>
  <sheetViews>
    <sheetView workbookViewId="0">
      <selection activeCell="D3" sqref="D3"/>
    </sheetView>
  </sheetViews>
  <sheetFormatPr defaultRowHeight="15" x14ac:dyDescent="0.25"/>
  <cols>
    <col min="3" max="3" width="24" bestFit="1" customWidth="1"/>
    <col min="4" max="4" width="34.140625" bestFit="1" customWidth="1"/>
  </cols>
  <sheetData>
    <row r="2" spans="3:4" x14ac:dyDescent="0.25">
      <c r="C2" s="65" t="s">
        <v>154</v>
      </c>
      <c r="D2" s="65" t="s">
        <v>246</v>
      </c>
    </row>
    <row r="3" spans="3:4" x14ac:dyDescent="0.25">
      <c r="C3" s="66" t="s">
        <v>175</v>
      </c>
      <c r="D3" s="66" t="s">
        <v>247</v>
      </c>
    </row>
    <row r="4" spans="3:4" x14ac:dyDescent="0.25">
      <c r="C4" s="67" t="s">
        <v>18</v>
      </c>
      <c r="D4" s="67" t="s">
        <v>17</v>
      </c>
    </row>
    <row r="5" spans="3:4" x14ac:dyDescent="0.25">
      <c r="C5" s="66" t="s">
        <v>155</v>
      </c>
      <c r="D5" s="66" t="s">
        <v>248</v>
      </c>
    </row>
    <row r="6" spans="3:4" x14ac:dyDescent="0.25">
      <c r="C6" s="67" t="s">
        <v>199</v>
      </c>
      <c r="D6" s="67" t="s">
        <v>248</v>
      </c>
    </row>
    <row r="7" spans="3:4" x14ac:dyDescent="0.25">
      <c r="C7" s="66" t="s">
        <v>157</v>
      </c>
      <c r="D7" s="66" t="s">
        <v>157</v>
      </c>
    </row>
    <row r="8" spans="3:4" x14ac:dyDescent="0.25">
      <c r="C8" s="67" t="s">
        <v>176</v>
      </c>
      <c r="D8" s="67" t="s">
        <v>249</v>
      </c>
    </row>
    <row r="9" spans="3:4" x14ac:dyDescent="0.25">
      <c r="C9" s="66" t="s">
        <v>188</v>
      </c>
      <c r="D9" s="66" t="s">
        <v>250</v>
      </c>
    </row>
    <row r="10" spans="3:4" x14ac:dyDescent="0.25">
      <c r="C10" s="67" t="s">
        <v>243</v>
      </c>
      <c r="D10" s="67" t="s">
        <v>251</v>
      </c>
    </row>
    <row r="11" spans="3:4" x14ac:dyDescent="0.25">
      <c r="C11" s="66" t="s">
        <v>182</v>
      </c>
      <c r="D11" s="66" t="s">
        <v>252</v>
      </c>
    </row>
    <row r="12" spans="3:4" x14ac:dyDescent="0.25">
      <c r="C12" s="67" t="s">
        <v>206</v>
      </c>
      <c r="D12" s="67" t="s">
        <v>206</v>
      </c>
    </row>
    <row r="13" spans="3:4" x14ac:dyDescent="0.25">
      <c r="C13" s="66" t="s">
        <v>164</v>
      </c>
      <c r="D13" s="66" t="s">
        <v>253</v>
      </c>
    </row>
    <row r="14" spans="3:4" x14ac:dyDescent="0.25">
      <c r="C14" s="67" t="s">
        <v>177</v>
      </c>
      <c r="D14" s="67" t="s">
        <v>254</v>
      </c>
    </row>
    <row r="15" spans="3:4" x14ac:dyDescent="0.25">
      <c r="C15" s="66" t="s">
        <v>165</v>
      </c>
      <c r="D15" s="66" t="s">
        <v>165</v>
      </c>
    </row>
    <row r="16" spans="3:4" x14ac:dyDescent="0.25">
      <c r="C16" s="67" t="s">
        <v>179</v>
      </c>
      <c r="D16" s="67" t="s">
        <v>179</v>
      </c>
    </row>
    <row r="17" spans="3:4" x14ac:dyDescent="0.25">
      <c r="C17" s="66" t="s">
        <v>239</v>
      </c>
      <c r="D17" s="66" t="s">
        <v>255</v>
      </c>
    </row>
    <row r="18" spans="3:4" x14ac:dyDescent="0.25">
      <c r="C18" s="67" t="s">
        <v>156</v>
      </c>
      <c r="D18" s="67" t="s">
        <v>256</v>
      </c>
    </row>
    <row r="19" spans="3:4" x14ac:dyDescent="0.25">
      <c r="C19" s="66" t="s">
        <v>166</v>
      </c>
      <c r="D19" s="66" t="s">
        <v>257</v>
      </c>
    </row>
    <row r="20" spans="3:4" x14ac:dyDescent="0.25">
      <c r="C20" s="67" t="s">
        <v>174</v>
      </c>
      <c r="D20" s="67" t="s">
        <v>258</v>
      </c>
    </row>
    <row r="21" spans="3:4" x14ac:dyDescent="0.25">
      <c r="C21" s="66" t="s">
        <v>185</v>
      </c>
      <c r="D21" s="66" t="s">
        <v>259</v>
      </c>
    </row>
    <row r="22" spans="3:4" x14ac:dyDescent="0.25">
      <c r="C22" s="67" t="s">
        <v>181</v>
      </c>
      <c r="D22" s="67" t="s">
        <v>260</v>
      </c>
    </row>
    <row r="23" spans="3:4" x14ac:dyDescent="0.25">
      <c r="C23" s="66" t="s">
        <v>204</v>
      </c>
      <c r="D23" s="66" t="s">
        <v>261</v>
      </c>
    </row>
    <row r="24" spans="3:4" x14ac:dyDescent="0.25">
      <c r="C24" s="67" t="s">
        <v>197</v>
      </c>
      <c r="D24" s="67" t="s">
        <v>197</v>
      </c>
    </row>
    <row r="25" spans="3:4" x14ac:dyDescent="0.25">
      <c r="C25" s="66" t="s">
        <v>236</v>
      </c>
      <c r="D25" s="66" t="s">
        <v>262</v>
      </c>
    </row>
    <row r="26" spans="3:4" x14ac:dyDescent="0.25">
      <c r="C26" s="67" t="s">
        <v>172</v>
      </c>
      <c r="D26" s="67" t="s">
        <v>263</v>
      </c>
    </row>
    <row r="27" spans="3:4" x14ac:dyDescent="0.25">
      <c r="C27" s="66" t="s">
        <v>237</v>
      </c>
      <c r="D27" s="66" t="s">
        <v>264</v>
      </c>
    </row>
    <row r="28" spans="3:4" x14ac:dyDescent="0.25">
      <c r="C28" s="67" t="s">
        <v>240</v>
      </c>
      <c r="D28" s="67" t="s">
        <v>240</v>
      </c>
    </row>
    <row r="29" spans="3:4" x14ac:dyDescent="0.25">
      <c r="C29" s="66" t="s">
        <v>191</v>
      </c>
      <c r="D29" s="66" t="s">
        <v>191</v>
      </c>
    </row>
    <row r="30" spans="3:4" x14ac:dyDescent="0.25">
      <c r="C30" s="67" t="s">
        <v>200</v>
      </c>
      <c r="D30" s="67" t="s">
        <v>265</v>
      </c>
    </row>
    <row r="31" spans="3:4" x14ac:dyDescent="0.25">
      <c r="C31" s="66" t="s">
        <v>203</v>
      </c>
      <c r="D31" s="66" t="s">
        <v>203</v>
      </c>
    </row>
    <row r="32" spans="3:4" x14ac:dyDescent="0.25">
      <c r="C32" s="67" t="s">
        <v>208</v>
      </c>
      <c r="D32" s="67" t="s">
        <v>266</v>
      </c>
    </row>
    <row r="33" spans="3:4" x14ac:dyDescent="0.25">
      <c r="C33" s="66" t="s">
        <v>189</v>
      </c>
      <c r="D33" s="66" t="s">
        <v>189</v>
      </c>
    </row>
    <row r="34" spans="3:4" x14ac:dyDescent="0.25">
      <c r="C34" s="67" t="s">
        <v>184</v>
      </c>
      <c r="D34" s="67" t="s">
        <v>267</v>
      </c>
    </row>
    <row r="35" spans="3:4" x14ac:dyDescent="0.25">
      <c r="C35" s="66" t="s">
        <v>192</v>
      </c>
      <c r="D35" s="66" t="s">
        <v>268</v>
      </c>
    </row>
    <row r="36" spans="3:4" x14ac:dyDescent="0.25">
      <c r="C36" s="67" t="s">
        <v>158</v>
      </c>
      <c r="D36" s="67" t="s">
        <v>269</v>
      </c>
    </row>
    <row r="37" spans="3:4" x14ac:dyDescent="0.25">
      <c r="C37" s="66" t="s">
        <v>162</v>
      </c>
      <c r="D37" s="66" t="s">
        <v>162</v>
      </c>
    </row>
    <row r="38" spans="3:4" x14ac:dyDescent="0.25">
      <c r="C38" s="67" t="s">
        <v>169</v>
      </c>
      <c r="D38" s="67" t="s">
        <v>270</v>
      </c>
    </row>
    <row r="39" spans="3:4" x14ac:dyDescent="0.25">
      <c r="C39" s="66" t="s">
        <v>170</v>
      </c>
      <c r="D39" s="66" t="s">
        <v>271</v>
      </c>
    </row>
    <row r="40" spans="3:4" x14ac:dyDescent="0.25">
      <c r="C40" s="67" t="s">
        <v>207</v>
      </c>
      <c r="D40" s="67" t="s">
        <v>272</v>
      </c>
    </row>
    <row r="41" spans="3:4" x14ac:dyDescent="0.25">
      <c r="C41" s="66" t="s">
        <v>178</v>
      </c>
      <c r="D41" s="66" t="s">
        <v>273</v>
      </c>
    </row>
    <row r="42" spans="3:4" x14ac:dyDescent="0.25">
      <c r="C42" s="67" t="s">
        <v>186</v>
      </c>
      <c r="D42" s="67" t="s">
        <v>274</v>
      </c>
    </row>
    <row r="43" spans="3:4" x14ac:dyDescent="0.25">
      <c r="C43" s="66" t="s">
        <v>167</v>
      </c>
      <c r="D43" s="66" t="s">
        <v>275</v>
      </c>
    </row>
    <row r="44" spans="3:4" x14ac:dyDescent="0.25">
      <c r="C44" s="67" t="s">
        <v>168</v>
      </c>
      <c r="D44" s="67" t="s">
        <v>276</v>
      </c>
    </row>
    <row r="45" spans="3:4" x14ac:dyDescent="0.25">
      <c r="C45" s="66" t="s">
        <v>238</v>
      </c>
      <c r="D45" s="66" t="s">
        <v>277</v>
      </c>
    </row>
    <row r="46" spans="3:4" x14ac:dyDescent="0.25">
      <c r="C46" s="67" t="s">
        <v>195</v>
      </c>
      <c r="D46" s="67" t="s">
        <v>278</v>
      </c>
    </row>
    <row r="47" spans="3:4" x14ac:dyDescent="0.25">
      <c r="C47" s="66" t="s">
        <v>159</v>
      </c>
      <c r="D47" s="66" t="s">
        <v>279</v>
      </c>
    </row>
    <row r="48" spans="3:4" x14ac:dyDescent="0.25">
      <c r="C48" s="67" t="s">
        <v>242</v>
      </c>
      <c r="D48" s="67" t="s">
        <v>280</v>
      </c>
    </row>
    <row r="49" spans="3:4" x14ac:dyDescent="0.25">
      <c r="C49" s="66" t="s">
        <v>241</v>
      </c>
      <c r="D49" s="66" t="s">
        <v>281</v>
      </c>
    </row>
    <row r="50" spans="3:4" x14ac:dyDescent="0.25">
      <c r="C50" s="67" t="s">
        <v>196</v>
      </c>
      <c r="D50" s="67" t="s">
        <v>196</v>
      </c>
    </row>
    <row r="51" spans="3:4" x14ac:dyDescent="0.25">
      <c r="C51" s="66" t="s">
        <v>161</v>
      </c>
      <c r="D51" s="66" t="s">
        <v>282</v>
      </c>
    </row>
    <row r="52" spans="3:4" x14ac:dyDescent="0.25">
      <c r="C52" s="67" t="s">
        <v>244</v>
      </c>
      <c r="D52" s="67" t="s">
        <v>283</v>
      </c>
    </row>
    <row r="53" spans="3:4" x14ac:dyDescent="0.25">
      <c r="C53" s="66" t="s">
        <v>198</v>
      </c>
      <c r="D53" s="66" t="s">
        <v>284</v>
      </c>
    </row>
    <row r="54" spans="3:4" x14ac:dyDescent="0.25">
      <c r="C54" s="67" t="s">
        <v>187</v>
      </c>
      <c r="D54" s="67" t="s">
        <v>285</v>
      </c>
    </row>
    <row r="55" spans="3:4" x14ac:dyDescent="0.25">
      <c r="C55" s="66" t="s">
        <v>201</v>
      </c>
      <c r="D55" s="66" t="s">
        <v>286</v>
      </c>
    </row>
    <row r="56" spans="3:4" x14ac:dyDescent="0.25">
      <c r="C56" s="67" t="s">
        <v>180</v>
      </c>
      <c r="D56" s="67" t="s">
        <v>287</v>
      </c>
    </row>
    <row r="57" spans="3:4" x14ac:dyDescent="0.25">
      <c r="C57" s="66" t="s">
        <v>163</v>
      </c>
      <c r="D57" s="66" t="s">
        <v>288</v>
      </c>
    </row>
    <row r="58" spans="3:4" x14ac:dyDescent="0.25">
      <c r="C58" s="67" t="s">
        <v>171</v>
      </c>
      <c r="D58" s="67" t="s">
        <v>289</v>
      </c>
    </row>
    <row r="59" spans="3:4" x14ac:dyDescent="0.25">
      <c r="C59" s="66" t="s">
        <v>160</v>
      </c>
      <c r="D59" s="66" t="s">
        <v>290</v>
      </c>
    </row>
    <row r="60" spans="3:4" x14ac:dyDescent="0.25">
      <c r="C60" s="67" t="s">
        <v>173</v>
      </c>
      <c r="D60" s="67" t="s">
        <v>291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BF13-2F0A-41F4-853F-132B3E518B89}">
  <sheetPr codeName="Planilha3"/>
  <dimension ref="A1:H2538"/>
  <sheetViews>
    <sheetView topLeftCell="A199" zoomScaleNormal="100" workbookViewId="0">
      <selection activeCell="G200" sqref="G200"/>
    </sheetView>
  </sheetViews>
  <sheetFormatPr defaultRowHeight="15" x14ac:dyDescent="0.25"/>
  <cols>
    <col min="2" max="2" width="12" customWidth="1"/>
    <col min="3" max="3" width="22.85546875" bestFit="1" customWidth="1"/>
    <col min="4" max="4" width="19" customWidth="1"/>
    <col min="5" max="5" width="22.7109375" customWidth="1"/>
    <col min="6" max="7" width="23.140625" customWidth="1"/>
    <col min="8" max="8" width="13.28515625" bestFit="1" customWidth="1"/>
  </cols>
  <sheetData>
    <row r="1" spans="1:7" x14ac:dyDescent="0.25">
      <c r="A1" s="24" t="s">
        <v>125</v>
      </c>
      <c r="B1" s="24" t="s">
        <v>126</v>
      </c>
      <c r="C1" s="24" t="s">
        <v>154</v>
      </c>
      <c r="D1" s="24" t="s">
        <v>104</v>
      </c>
      <c r="E1" s="29" t="s">
        <v>127</v>
      </c>
      <c r="F1" s="54" t="s">
        <v>209</v>
      </c>
      <c r="G1" s="68" t="s">
        <v>246</v>
      </c>
    </row>
    <row r="2" spans="1:7" x14ac:dyDescent="0.25">
      <c r="A2">
        <v>2021</v>
      </c>
      <c r="B2" t="s">
        <v>143</v>
      </c>
      <c r="C2" t="s">
        <v>155</v>
      </c>
      <c r="D2" t="s">
        <v>16</v>
      </c>
      <c r="E2" t="str">
        <f>VLOOKUP(D2,'[2]Lista de Produtos CLASSIFICAÇÃO'!$E$103:$F$114,2,FALSE)</f>
        <v>Outros</v>
      </c>
      <c r="F2">
        <v>3000</v>
      </c>
      <c r="G2" t="str">
        <f>VLOOKUP(Tabela1[[#This Row],[Cliente]],clientes!$C$3:$D$60,2,FALSE)</f>
        <v>ADISSEO</v>
      </c>
    </row>
    <row r="3" spans="1:7" x14ac:dyDescent="0.25">
      <c r="A3">
        <v>2021</v>
      </c>
      <c r="B3" t="s">
        <v>143</v>
      </c>
      <c r="C3" t="s">
        <v>155</v>
      </c>
      <c r="D3" t="s">
        <v>16</v>
      </c>
      <c r="E3" t="str">
        <f>VLOOKUP(D3,'[2]Lista de Produtos CLASSIFICAÇÃO'!$E$103:$F$114,2,FALSE)</f>
        <v>Outros</v>
      </c>
      <c r="G3" t="str">
        <f>VLOOKUP(Tabela1[[#This Row],[Cliente]],clientes!$C$3:$D$60,2,FALSE)</f>
        <v>ADISSEO</v>
      </c>
    </row>
    <row r="4" spans="1:7" x14ac:dyDescent="0.25">
      <c r="A4">
        <v>2021</v>
      </c>
      <c r="B4" t="s">
        <v>143</v>
      </c>
      <c r="C4" t="s">
        <v>199</v>
      </c>
      <c r="D4" t="s">
        <v>16</v>
      </c>
      <c r="E4" t="str">
        <f>VLOOKUP(D4,'[2]Lista de Produtos CLASSIFICAÇÃO'!$E$103:$F$114,2,FALSE)</f>
        <v>Outros</v>
      </c>
      <c r="F4">
        <v>150</v>
      </c>
      <c r="G4" t="str">
        <f>VLOOKUP(Tabela1[[#This Row],[Cliente]],clientes!$C$3:$D$60,2,FALSE)</f>
        <v>ADISSEO</v>
      </c>
    </row>
    <row r="5" spans="1:7" x14ac:dyDescent="0.25">
      <c r="A5">
        <v>2021</v>
      </c>
      <c r="B5" t="s">
        <v>143</v>
      </c>
      <c r="C5" t="s">
        <v>157</v>
      </c>
      <c r="D5" t="s">
        <v>49</v>
      </c>
      <c r="E5" t="e">
        <f>VLOOKUP(D5,'[2]Lista de Produtos CLASSIFICAÇÃO'!$E$103:$F$114,2,FALSE)</f>
        <v>#N/A</v>
      </c>
      <c r="F5">
        <v>350</v>
      </c>
      <c r="G5" t="str">
        <f>VLOOKUP(Tabela1[[#This Row],[Cliente]],clientes!$C$3:$D$60,2,FALSE)</f>
        <v>ADM</v>
      </c>
    </row>
    <row r="6" spans="1:7" x14ac:dyDescent="0.25">
      <c r="A6">
        <v>2021</v>
      </c>
      <c r="B6" t="s">
        <v>143</v>
      </c>
      <c r="C6" t="s">
        <v>158</v>
      </c>
      <c r="D6" t="s">
        <v>120</v>
      </c>
      <c r="E6" t="str">
        <f>VLOOKUP(D6,'[2]Lista de Produtos CLASSIFICAÇÃO'!$E$103:$F$114,2,FALSE)</f>
        <v>Derivados</v>
      </c>
      <c r="F6">
        <v>113295</v>
      </c>
      <c r="G6" t="str">
        <f>VLOOKUP(Tabela1[[#This Row],[Cliente]],clientes!$C$3:$D$60,2,FALSE)</f>
        <v>IPIRANGA</v>
      </c>
    </row>
    <row r="7" spans="1:7" x14ac:dyDescent="0.25">
      <c r="A7">
        <v>2021</v>
      </c>
      <c r="B7" t="s">
        <v>143</v>
      </c>
      <c r="C7" t="s">
        <v>206</v>
      </c>
      <c r="D7" t="s">
        <v>120</v>
      </c>
      <c r="E7" t="str">
        <f>VLOOKUP(D7,'[2]Lista de Produtos CLASSIFICAÇÃO'!$E$103:$F$114,2,FALSE)</f>
        <v>Derivados</v>
      </c>
      <c r="F7">
        <v>62582</v>
      </c>
      <c r="G7" t="str">
        <f>VLOOKUP(Tabela1[[#This Row],[Cliente]],clientes!$C$3:$D$60,2,FALSE)</f>
        <v>BR</v>
      </c>
    </row>
    <row r="8" spans="1:7" x14ac:dyDescent="0.25">
      <c r="A8">
        <v>2021</v>
      </c>
      <c r="B8" t="s">
        <v>143</v>
      </c>
      <c r="C8" t="s">
        <v>200</v>
      </c>
      <c r="D8" t="s">
        <v>120</v>
      </c>
      <c r="E8" t="str">
        <f>VLOOKUP(D8,'[2]Lista de Produtos CLASSIFICAÇÃO'!$E$103:$F$114,2,FALSE)</f>
        <v>Derivados</v>
      </c>
      <c r="F8">
        <v>18691</v>
      </c>
      <c r="G8" t="str">
        <f>VLOOKUP(Tabela1[[#This Row],[Cliente]],clientes!$C$3:$D$60,2,FALSE)</f>
        <v>GREENENERGY</v>
      </c>
    </row>
    <row r="9" spans="1:7" x14ac:dyDescent="0.25">
      <c r="A9">
        <v>2021</v>
      </c>
      <c r="B9" t="s">
        <v>143</v>
      </c>
      <c r="C9" t="s">
        <v>161</v>
      </c>
      <c r="D9" t="s">
        <v>120</v>
      </c>
      <c r="E9" t="str">
        <f>VLOOKUP(D9,'[2]Lista de Produtos CLASSIFICAÇÃO'!$E$103:$F$114,2,FALSE)</f>
        <v>Derivados</v>
      </c>
      <c r="F9">
        <v>40338</v>
      </c>
      <c r="G9" t="str">
        <f>VLOOKUP(Tabela1[[#This Row],[Cliente]],clientes!$C$3:$D$60,2,FALSE)</f>
        <v>SUL PLATA</v>
      </c>
    </row>
    <row r="10" spans="1:7" x14ac:dyDescent="0.25">
      <c r="A10">
        <v>2021</v>
      </c>
      <c r="B10" t="s">
        <v>143</v>
      </c>
      <c r="C10" t="s">
        <v>161</v>
      </c>
      <c r="D10" t="s">
        <v>120</v>
      </c>
      <c r="E10" t="str">
        <f>VLOOKUP(D10,'[2]Lista de Produtos CLASSIFICAÇÃO'!$E$103:$F$114,2,FALSE)</f>
        <v>Derivados</v>
      </c>
      <c r="G10" t="str">
        <f>VLOOKUP(Tabela1[[#This Row],[Cliente]],clientes!$C$3:$D$60,2,FALSE)</f>
        <v>SUL PLATA</v>
      </c>
    </row>
    <row r="11" spans="1:7" x14ac:dyDescent="0.25">
      <c r="A11">
        <v>2021</v>
      </c>
      <c r="B11" t="s">
        <v>143</v>
      </c>
      <c r="C11" t="s">
        <v>162</v>
      </c>
      <c r="D11" t="s">
        <v>115</v>
      </c>
      <c r="E11" t="str">
        <f>VLOOKUP(D11,'[2]Lista de Produtos CLASSIFICAÇÃO'!$E$103:$F$114,2,FALSE)</f>
        <v>Soda Caustica</v>
      </c>
      <c r="F11">
        <v>2300</v>
      </c>
      <c r="G11" t="str">
        <f>VLOOKUP(Tabela1[[#This Row],[Cliente]],clientes!$C$3:$D$60,2,FALSE)</f>
        <v>JBS</v>
      </c>
    </row>
    <row r="12" spans="1:7" x14ac:dyDescent="0.25">
      <c r="A12">
        <v>2021</v>
      </c>
      <c r="B12" t="s">
        <v>143</v>
      </c>
      <c r="C12" t="s">
        <v>163</v>
      </c>
      <c r="D12" t="s">
        <v>115</v>
      </c>
      <c r="E12" t="str">
        <f>VLOOKUP(D12,'[2]Lista de Produtos CLASSIFICAÇÃO'!$E$103:$F$114,2,FALSE)</f>
        <v>Soda Caustica</v>
      </c>
      <c r="F12">
        <v>3200</v>
      </c>
      <c r="G12" t="str">
        <f>VLOOKUP(Tabela1[[#This Row],[Cliente]],clientes!$C$3:$D$60,2,FALSE)</f>
        <v>TRICON ENERGY</v>
      </c>
    </row>
    <row r="13" spans="1:7" x14ac:dyDescent="0.25">
      <c r="A13">
        <v>2021</v>
      </c>
      <c r="B13" t="s">
        <v>143</v>
      </c>
      <c r="C13" t="s">
        <v>207</v>
      </c>
      <c r="D13" t="s">
        <v>16</v>
      </c>
      <c r="E13" t="str">
        <f>VLOOKUP(D13,'[2]Lista de Produtos CLASSIFICAÇÃO'!$E$103:$F$114,2,FALSE)</f>
        <v>Outros</v>
      </c>
      <c r="F13">
        <v>2000</v>
      </c>
      <c r="G13" t="str">
        <f>VLOOKUP(Tabela1[[#This Row],[Cliente]],clientes!$C$3:$D$60,2,FALSE)</f>
        <v>NOVUS</v>
      </c>
    </row>
    <row r="14" spans="1:7" x14ac:dyDescent="0.25">
      <c r="A14">
        <v>2021</v>
      </c>
      <c r="B14" t="s">
        <v>143</v>
      </c>
      <c r="C14" t="s">
        <v>165</v>
      </c>
      <c r="D14" t="s">
        <v>123</v>
      </c>
      <c r="E14" t="str">
        <f>VLOOKUP(D14,'[2]Lista de Produtos CLASSIFICAÇÃO'!$E$103:$F$114,2,FALSE)</f>
        <v>Aquecidos</v>
      </c>
      <c r="F14">
        <v>3000</v>
      </c>
      <c r="G14" t="str">
        <f>VLOOKUP(Tabela1[[#This Row],[Cliente]],clientes!$C$3:$D$60,2,FALSE)</f>
        <v>BRF</v>
      </c>
    </row>
    <row r="15" spans="1:7" x14ac:dyDescent="0.25">
      <c r="A15">
        <v>2021</v>
      </c>
      <c r="B15" t="s">
        <v>143</v>
      </c>
      <c r="C15" t="s">
        <v>162</v>
      </c>
      <c r="D15" t="s">
        <v>123</v>
      </c>
      <c r="E15" t="str">
        <f>VLOOKUP(D15,'[2]Lista de Produtos CLASSIFICAÇÃO'!$E$103:$F$114,2,FALSE)</f>
        <v>Aquecidos</v>
      </c>
      <c r="F15">
        <v>1300</v>
      </c>
      <c r="G15" t="str">
        <f>VLOOKUP(Tabela1[[#This Row],[Cliente]],clientes!$C$3:$D$60,2,FALSE)</f>
        <v>JBS</v>
      </c>
    </row>
    <row r="16" spans="1:7" x14ac:dyDescent="0.25">
      <c r="A16">
        <v>2021</v>
      </c>
      <c r="B16" t="s">
        <v>143</v>
      </c>
      <c r="C16" t="s">
        <v>166</v>
      </c>
      <c r="D16" t="s">
        <v>123</v>
      </c>
      <c r="E16" t="str">
        <f>VLOOKUP(D16,'[2]Lista de Produtos CLASSIFICAÇÃO'!$E$103:$F$114,2,FALSE)</f>
        <v>Aquecidos</v>
      </c>
      <c r="F16">
        <v>3500</v>
      </c>
      <c r="G16" t="str">
        <f>VLOOKUP(Tabela1[[#This Row],[Cliente]],clientes!$C$3:$D$60,2,FALSE)</f>
        <v>CARGILL</v>
      </c>
    </row>
    <row r="17" spans="1:7" x14ac:dyDescent="0.25">
      <c r="A17">
        <v>2021</v>
      </c>
      <c r="B17" t="s">
        <v>143</v>
      </c>
      <c r="C17" t="s">
        <v>167</v>
      </c>
      <c r="D17" t="s">
        <v>122</v>
      </c>
      <c r="E17" t="str">
        <f>VLOOKUP(D17,'[2]Lista de Produtos CLASSIFICAÇÃO'!$E$103:$F$114,2,FALSE)</f>
        <v>Óleo Vegetal</v>
      </c>
      <c r="F17">
        <v>11500</v>
      </c>
      <c r="G17" t="str">
        <f>VLOOKUP(Tabela1[[#This Row],[Cliente]],clientes!$C$3:$D$60,2,FALSE)</f>
        <v>POOL</v>
      </c>
    </row>
    <row r="18" spans="1:7" x14ac:dyDescent="0.25">
      <c r="A18">
        <v>2021</v>
      </c>
      <c r="B18" t="s">
        <v>143</v>
      </c>
      <c r="C18" t="s">
        <v>168</v>
      </c>
      <c r="D18" t="s">
        <v>122</v>
      </c>
      <c r="E18" t="str">
        <f>VLOOKUP(D18,'[2]Lista de Produtos CLASSIFICAÇÃO'!$E$103:$F$114,2,FALSE)</f>
        <v>Óleo Vegetal</v>
      </c>
      <c r="G18" t="str">
        <f>VLOOKUP(Tabela1[[#This Row],[Cliente]],clientes!$C$3:$D$60,2,FALSE)</f>
        <v>POOL EXCEDENTE</v>
      </c>
    </row>
    <row r="19" spans="1:7" x14ac:dyDescent="0.25">
      <c r="A19">
        <v>2021</v>
      </c>
      <c r="B19" t="s">
        <v>143</v>
      </c>
      <c r="C19" t="s">
        <v>169</v>
      </c>
      <c r="D19" t="s">
        <v>22</v>
      </c>
      <c r="E19" t="str">
        <f>VLOOKUP(D19,'[2]Lista de Produtos CLASSIFICAÇÃO'!$E$103:$F$114,2,FALSE)</f>
        <v>Metanol</v>
      </c>
      <c r="F19">
        <v>52000</v>
      </c>
      <c r="G19" t="str">
        <f>VLOOKUP(Tabela1[[#This Row],[Cliente]],clientes!$C$3:$D$60,2,FALSE)</f>
        <v>METHANEX</v>
      </c>
    </row>
    <row r="20" spans="1:7" x14ac:dyDescent="0.25">
      <c r="A20">
        <v>2021</v>
      </c>
      <c r="B20" t="s">
        <v>143</v>
      </c>
      <c r="C20" t="s">
        <v>170</v>
      </c>
      <c r="D20" t="s">
        <v>22</v>
      </c>
      <c r="E20" t="str">
        <f>VLOOKUP(D20,'[2]Lista de Produtos CLASSIFICAÇÃO'!$E$103:$F$114,2,FALSE)</f>
        <v>Metanol</v>
      </c>
      <c r="F20">
        <v>13000</v>
      </c>
      <c r="G20" t="str">
        <f>VLOOKUP(Tabela1[[#This Row],[Cliente]],clientes!$C$3:$D$60,2,FALSE)</f>
        <v>MITSUBISHI</v>
      </c>
    </row>
    <row r="21" spans="1:7" x14ac:dyDescent="0.25">
      <c r="A21">
        <v>2021</v>
      </c>
      <c r="B21" t="s">
        <v>143</v>
      </c>
      <c r="C21" t="s">
        <v>196</v>
      </c>
      <c r="D21" t="s">
        <v>22</v>
      </c>
      <c r="E21" t="str">
        <f>VLOOKUP(D21,'[2]Lista de Produtos CLASSIFICAÇÃO'!$E$103:$F$114,2,FALSE)</f>
        <v>Metanol</v>
      </c>
      <c r="F21">
        <v>20000</v>
      </c>
      <c r="G21" t="str">
        <f>VLOOKUP(Tabela1[[#This Row],[Cliente]],clientes!$C$3:$D$60,2,FALSE)</f>
        <v>SCC</v>
      </c>
    </row>
    <row r="22" spans="1:7" x14ac:dyDescent="0.25">
      <c r="A22">
        <v>2021</v>
      </c>
      <c r="B22" t="s">
        <v>143</v>
      </c>
      <c r="C22" t="s">
        <v>196</v>
      </c>
      <c r="D22" t="s">
        <v>22</v>
      </c>
      <c r="E22" t="str">
        <f>VLOOKUP(D22,'[2]Lista de Produtos CLASSIFICAÇÃO'!$E$103:$F$114,2,FALSE)</f>
        <v>Metanol</v>
      </c>
      <c r="G22" t="str">
        <f>VLOOKUP(Tabela1[[#This Row],[Cliente]],clientes!$C$3:$D$60,2,FALSE)</f>
        <v>SCC</v>
      </c>
    </row>
    <row r="23" spans="1:7" x14ac:dyDescent="0.25">
      <c r="A23">
        <v>2021</v>
      </c>
      <c r="B23" t="s">
        <v>143</v>
      </c>
      <c r="C23" t="s">
        <v>208</v>
      </c>
      <c r="D23" t="s">
        <v>202</v>
      </c>
      <c r="E23" t="e">
        <f>VLOOKUP(D23,'[2]Lista de Produtos CLASSIFICAÇÃO'!$E$103:$F$114,2,FALSE)</f>
        <v>#N/A</v>
      </c>
      <c r="G23" t="str">
        <f>VLOOKUP(Tabela1[[#This Row],[Cliente]],clientes!$C$3:$D$60,2,FALSE)</f>
        <v>HINOVE</v>
      </c>
    </row>
    <row r="24" spans="1:7" x14ac:dyDescent="0.25">
      <c r="A24">
        <v>2021</v>
      </c>
      <c r="B24" t="s">
        <v>143</v>
      </c>
      <c r="C24" t="s">
        <v>172</v>
      </c>
      <c r="D24" t="s">
        <v>124</v>
      </c>
      <c r="E24" t="str">
        <f>VLOOKUP(D24,'[2]Lista de Produtos CLASSIFICAÇÃO'!$E$103:$F$114,2,FALSE)</f>
        <v>Outros</v>
      </c>
      <c r="F24">
        <v>1200</v>
      </c>
      <c r="G24" t="str">
        <f>VLOOKUP(Tabela1[[#This Row],[Cliente]],clientes!$C$3:$D$60,2,FALSE)</f>
        <v>EVONIK</v>
      </c>
    </row>
    <row r="25" spans="1:7" x14ac:dyDescent="0.25">
      <c r="A25">
        <v>2021</v>
      </c>
      <c r="B25" t="s">
        <v>143</v>
      </c>
      <c r="C25" t="s">
        <v>173</v>
      </c>
      <c r="D25" t="s">
        <v>22</v>
      </c>
      <c r="E25" t="str">
        <f>VLOOKUP(D25,'[2]Lista de Produtos CLASSIFICAÇÃO'!$E$103:$F$114,2,FALSE)</f>
        <v>Metanol</v>
      </c>
      <c r="G25" t="str">
        <f>VLOOKUP(Tabela1[[#This Row],[Cliente]],clientes!$C$3:$D$60,2,FALSE)</f>
        <v>YPF SOCIEDAD ANONIMA</v>
      </c>
    </row>
    <row r="26" spans="1:7" x14ac:dyDescent="0.25">
      <c r="A26">
        <v>2021</v>
      </c>
      <c r="B26" t="s">
        <v>143</v>
      </c>
      <c r="C26" t="s">
        <v>203</v>
      </c>
      <c r="D26" t="s">
        <v>124</v>
      </c>
      <c r="E26" t="str">
        <f>VLOOKUP(D26,'[2]Lista de Produtos CLASSIFICAÇÃO'!$E$103:$F$114,2,FALSE)</f>
        <v>Outros</v>
      </c>
      <c r="G26" t="str">
        <f>VLOOKUP(Tabela1[[#This Row],[Cliente]],clientes!$C$3:$D$60,2,FALSE)</f>
        <v>GTM</v>
      </c>
    </row>
    <row r="27" spans="1:7" x14ac:dyDescent="0.25">
      <c r="A27">
        <v>2021</v>
      </c>
      <c r="B27" t="s">
        <v>143</v>
      </c>
      <c r="C27" t="s">
        <v>197</v>
      </c>
      <c r="D27" t="s">
        <v>85</v>
      </c>
      <c r="E27" t="e">
        <f>VLOOKUP(D27,'[2]Lista de Produtos CLASSIFICAÇÃO'!$E$103:$F$114,2,FALSE)</f>
        <v>#N/A</v>
      </c>
      <c r="F27">
        <v>400</v>
      </c>
      <c r="G27" t="str">
        <f>VLOOKUP(Tabela1[[#This Row],[Cliente]],clientes!$C$3:$D$60,2,FALSE)</f>
        <v>DRT</v>
      </c>
    </row>
    <row r="28" spans="1:7" x14ac:dyDescent="0.25">
      <c r="A28">
        <v>2021</v>
      </c>
      <c r="B28" t="s">
        <v>143</v>
      </c>
      <c r="C28" t="s">
        <v>198</v>
      </c>
      <c r="D28" t="s">
        <v>121</v>
      </c>
      <c r="E28" t="str">
        <f>VLOOKUP(D28,'[2]Lista de Produtos CLASSIFICAÇÃO'!$E$103:$F$114,2,FALSE)</f>
        <v>Biocombustíveis</v>
      </c>
      <c r="G28" t="str">
        <f>VLOOKUP(Tabela1[[#This Row],[Cliente]],clientes!$C$3:$D$60,2,FALSE)</f>
        <v>TEREOS / INPASA / GLENCORE</v>
      </c>
    </row>
    <row r="29" spans="1:7" x14ac:dyDescent="0.25">
      <c r="A29">
        <v>2021</v>
      </c>
      <c r="B29" t="s">
        <v>143</v>
      </c>
      <c r="C29" t="s">
        <v>174</v>
      </c>
      <c r="D29" t="s">
        <v>123</v>
      </c>
      <c r="E29" t="str">
        <f>VLOOKUP(D29,'[2]Lista de Produtos CLASSIFICAÇÃO'!$E$103:$F$114,2,FALSE)</f>
        <v>Aquecidos</v>
      </c>
      <c r="F29">
        <v>3000</v>
      </c>
      <c r="G29" t="str">
        <f>VLOOKUP(Tabela1[[#This Row],[Cliente]],clientes!$C$3:$D$60,2,FALSE)</f>
        <v>CELENA</v>
      </c>
    </row>
    <row r="30" spans="1:7" x14ac:dyDescent="0.25">
      <c r="A30">
        <v>2021</v>
      </c>
      <c r="B30" t="s">
        <v>143</v>
      </c>
      <c r="C30" t="s">
        <v>175</v>
      </c>
      <c r="D30" t="s">
        <v>123</v>
      </c>
      <c r="E30" t="str">
        <f>VLOOKUP(D30,'[2]Lista de Produtos CLASSIFICAÇÃO'!$E$103:$F$114,2,FALSE)</f>
        <v>Aquecidos</v>
      </c>
      <c r="F30">
        <v>2000</v>
      </c>
      <c r="G30" t="str">
        <f>VLOOKUP(Tabela1[[#This Row],[Cliente]],clientes!$C$3:$D$60,2,FALSE)</f>
        <v>AAK DO BRASIL</v>
      </c>
    </row>
    <row r="31" spans="1:7" x14ac:dyDescent="0.25">
      <c r="A31">
        <v>2021</v>
      </c>
      <c r="B31" t="s">
        <v>143</v>
      </c>
      <c r="C31" t="s">
        <v>166</v>
      </c>
      <c r="D31" t="s">
        <v>122</v>
      </c>
      <c r="E31" t="str">
        <f>VLOOKUP(D31,'[2]Lista de Produtos CLASSIFICAÇÃO'!$E$103:$F$114,2,FALSE)</f>
        <v>Óleo Vegetal</v>
      </c>
      <c r="F31">
        <v>5000</v>
      </c>
      <c r="G31" t="str">
        <f>VLOOKUP(Tabela1[[#This Row],[Cliente]],clientes!$C$3:$D$60,2,FALSE)</f>
        <v>CARGILL</v>
      </c>
    </row>
    <row r="32" spans="1:7" x14ac:dyDescent="0.25">
      <c r="A32">
        <v>2021</v>
      </c>
      <c r="B32" t="s">
        <v>143</v>
      </c>
      <c r="C32" t="s">
        <v>176</v>
      </c>
      <c r="D32" t="s">
        <v>123</v>
      </c>
      <c r="E32" t="str">
        <f>VLOOKUP(D32,'[2]Lista de Produtos CLASSIFICAÇÃO'!$E$103:$F$114,2,FALSE)</f>
        <v>Aquecidos</v>
      </c>
      <c r="F32">
        <v>3000</v>
      </c>
      <c r="G32" t="str">
        <f>VLOOKUP(Tabela1[[#This Row],[Cliente]],clientes!$C$3:$D$60,2,FALSE)</f>
        <v>AGROPALMA</v>
      </c>
    </row>
    <row r="33" spans="1:7" x14ac:dyDescent="0.25">
      <c r="A33">
        <v>2021</v>
      </c>
      <c r="B33" t="s">
        <v>143</v>
      </c>
      <c r="C33" t="s">
        <v>204</v>
      </c>
      <c r="D33" t="s">
        <v>59</v>
      </c>
      <c r="E33" t="e">
        <f>VLOOKUP(D33,'[2]Lista de Produtos CLASSIFICAÇÃO'!$E$103:$F$114,2,FALSE)</f>
        <v>#N/A</v>
      </c>
      <c r="F33">
        <v>17500</v>
      </c>
      <c r="G33" t="str">
        <f>VLOOKUP(Tabela1[[#This Row],[Cliente]],clientes!$C$3:$D$60,2,FALSE)</f>
        <v>COPAPE</v>
      </c>
    </row>
    <row r="34" spans="1:7" x14ac:dyDescent="0.25">
      <c r="A34">
        <v>2021</v>
      </c>
      <c r="B34" t="s">
        <v>132</v>
      </c>
      <c r="C34" t="s">
        <v>155</v>
      </c>
      <c r="D34" t="s">
        <v>16</v>
      </c>
      <c r="E34" t="str">
        <f>VLOOKUP(D34,'[2]Lista de Produtos CLASSIFICAÇÃO'!$E$103:$F$114,2,FALSE)</f>
        <v>Outros</v>
      </c>
      <c r="F34">
        <v>3000</v>
      </c>
      <c r="G34" t="str">
        <f>VLOOKUP(Tabela1[[#This Row],[Cliente]],clientes!$C$3:$D$60,2,FALSE)</f>
        <v>ADISSEO</v>
      </c>
    </row>
    <row r="35" spans="1:7" x14ac:dyDescent="0.25">
      <c r="A35">
        <v>2021</v>
      </c>
      <c r="B35" t="s">
        <v>132</v>
      </c>
      <c r="C35" t="s">
        <v>155</v>
      </c>
      <c r="D35" t="s">
        <v>16</v>
      </c>
      <c r="E35" t="str">
        <f>VLOOKUP(D35,'[2]Lista de Produtos CLASSIFICAÇÃO'!$E$103:$F$114,2,FALSE)</f>
        <v>Outros</v>
      </c>
      <c r="G35" t="str">
        <f>VLOOKUP(Tabela1[[#This Row],[Cliente]],clientes!$C$3:$D$60,2,FALSE)</f>
        <v>ADISSEO</v>
      </c>
    </row>
    <row r="36" spans="1:7" x14ac:dyDescent="0.25">
      <c r="A36">
        <v>2021</v>
      </c>
      <c r="B36" t="s">
        <v>132</v>
      </c>
      <c r="C36" t="s">
        <v>199</v>
      </c>
      <c r="D36" t="s">
        <v>16</v>
      </c>
      <c r="E36" t="str">
        <f>VLOOKUP(D36,'[2]Lista de Produtos CLASSIFICAÇÃO'!$E$103:$F$114,2,FALSE)</f>
        <v>Outros</v>
      </c>
      <c r="F36">
        <v>150</v>
      </c>
      <c r="G36" t="str">
        <f>VLOOKUP(Tabela1[[#This Row],[Cliente]],clientes!$C$3:$D$60,2,FALSE)</f>
        <v>ADISSEO</v>
      </c>
    </row>
    <row r="37" spans="1:7" x14ac:dyDescent="0.25">
      <c r="A37">
        <v>2021</v>
      </c>
      <c r="B37" t="s">
        <v>132</v>
      </c>
      <c r="C37" t="s">
        <v>157</v>
      </c>
      <c r="D37" t="s">
        <v>49</v>
      </c>
      <c r="E37" t="e">
        <f>VLOOKUP(D37,'[2]Lista de Produtos CLASSIFICAÇÃO'!$E$103:$F$114,2,FALSE)</f>
        <v>#N/A</v>
      </c>
      <c r="F37">
        <v>350</v>
      </c>
      <c r="G37" t="str">
        <f>VLOOKUP(Tabela1[[#This Row],[Cliente]],clientes!$C$3:$D$60,2,FALSE)</f>
        <v>ADM</v>
      </c>
    </row>
    <row r="38" spans="1:7" x14ac:dyDescent="0.25">
      <c r="A38">
        <v>2021</v>
      </c>
      <c r="B38" t="s">
        <v>132</v>
      </c>
      <c r="C38" t="s">
        <v>158</v>
      </c>
      <c r="D38" t="s">
        <v>120</v>
      </c>
      <c r="E38" t="str">
        <f>VLOOKUP(D38,'[2]Lista de Produtos CLASSIFICAÇÃO'!$E$103:$F$114,2,FALSE)</f>
        <v>Derivados</v>
      </c>
      <c r="F38">
        <v>113295</v>
      </c>
      <c r="G38" t="str">
        <f>VLOOKUP(Tabela1[[#This Row],[Cliente]],clientes!$C$3:$D$60,2,FALSE)</f>
        <v>IPIRANGA</v>
      </c>
    </row>
    <row r="39" spans="1:7" x14ac:dyDescent="0.25">
      <c r="A39">
        <v>2021</v>
      </c>
      <c r="B39" t="s">
        <v>132</v>
      </c>
      <c r="C39" t="s">
        <v>206</v>
      </c>
      <c r="D39" t="s">
        <v>120</v>
      </c>
      <c r="E39" t="str">
        <f>VLOOKUP(D39,'[2]Lista de Produtos CLASSIFICAÇÃO'!$E$103:$F$114,2,FALSE)</f>
        <v>Derivados</v>
      </c>
      <c r="F39">
        <v>53950</v>
      </c>
      <c r="G39" t="str">
        <f>VLOOKUP(Tabela1[[#This Row],[Cliente]],clientes!$C$3:$D$60,2,FALSE)</f>
        <v>BR</v>
      </c>
    </row>
    <row r="40" spans="1:7" x14ac:dyDescent="0.25">
      <c r="A40">
        <v>2021</v>
      </c>
      <c r="B40" t="s">
        <v>132</v>
      </c>
      <c r="C40" t="s">
        <v>200</v>
      </c>
      <c r="D40" t="s">
        <v>120</v>
      </c>
      <c r="E40" t="str">
        <f>VLOOKUP(D40,'[2]Lista de Produtos CLASSIFICAÇÃO'!$E$103:$F$114,2,FALSE)</f>
        <v>Derivados</v>
      </c>
      <c r="F40">
        <v>18691</v>
      </c>
      <c r="G40" t="str">
        <f>VLOOKUP(Tabela1[[#This Row],[Cliente]],clientes!$C$3:$D$60,2,FALSE)</f>
        <v>GREENENERGY</v>
      </c>
    </row>
    <row r="41" spans="1:7" x14ac:dyDescent="0.25">
      <c r="A41">
        <v>2021</v>
      </c>
      <c r="B41" t="s">
        <v>132</v>
      </c>
      <c r="C41" t="s">
        <v>161</v>
      </c>
      <c r="D41" t="s">
        <v>120</v>
      </c>
      <c r="E41" t="str">
        <f>VLOOKUP(D41,'[2]Lista de Produtos CLASSIFICAÇÃO'!$E$103:$F$114,2,FALSE)</f>
        <v>Derivados</v>
      </c>
      <c r="F41">
        <v>33615</v>
      </c>
      <c r="G41" t="str">
        <f>VLOOKUP(Tabela1[[#This Row],[Cliente]],clientes!$C$3:$D$60,2,FALSE)</f>
        <v>SUL PLATA</v>
      </c>
    </row>
    <row r="42" spans="1:7" x14ac:dyDescent="0.25">
      <c r="A42">
        <v>2021</v>
      </c>
      <c r="B42" t="s">
        <v>132</v>
      </c>
      <c r="C42" t="s">
        <v>161</v>
      </c>
      <c r="D42" t="s">
        <v>120</v>
      </c>
      <c r="E42" t="str">
        <f>VLOOKUP(D42,'[2]Lista de Produtos CLASSIFICAÇÃO'!$E$103:$F$114,2,FALSE)</f>
        <v>Derivados</v>
      </c>
      <c r="G42" t="str">
        <f>VLOOKUP(Tabela1[[#This Row],[Cliente]],clientes!$C$3:$D$60,2,FALSE)</f>
        <v>SUL PLATA</v>
      </c>
    </row>
    <row r="43" spans="1:7" x14ac:dyDescent="0.25">
      <c r="A43">
        <v>2021</v>
      </c>
      <c r="B43" t="s">
        <v>132</v>
      </c>
      <c r="C43" t="s">
        <v>162</v>
      </c>
      <c r="D43" t="s">
        <v>115</v>
      </c>
      <c r="E43" t="str">
        <f>VLOOKUP(D43,'[2]Lista de Produtos CLASSIFICAÇÃO'!$E$103:$F$114,2,FALSE)</f>
        <v>Soda Caustica</v>
      </c>
      <c r="F43">
        <v>2300</v>
      </c>
      <c r="G43" t="str">
        <f>VLOOKUP(Tabela1[[#This Row],[Cliente]],clientes!$C$3:$D$60,2,FALSE)</f>
        <v>JBS</v>
      </c>
    </row>
    <row r="44" spans="1:7" x14ac:dyDescent="0.25">
      <c r="A44">
        <v>2021</v>
      </c>
      <c r="B44" t="s">
        <v>132</v>
      </c>
      <c r="C44" t="s">
        <v>163</v>
      </c>
      <c r="D44" t="s">
        <v>115</v>
      </c>
      <c r="E44" t="str">
        <f>VLOOKUP(D44,'[2]Lista de Produtos CLASSIFICAÇÃO'!$E$103:$F$114,2,FALSE)</f>
        <v>Soda Caustica</v>
      </c>
      <c r="F44">
        <v>3200</v>
      </c>
      <c r="G44" t="str">
        <f>VLOOKUP(Tabela1[[#This Row],[Cliente]],clientes!$C$3:$D$60,2,FALSE)</f>
        <v>TRICON ENERGY</v>
      </c>
    </row>
    <row r="45" spans="1:7" x14ac:dyDescent="0.25">
      <c r="A45">
        <v>2021</v>
      </c>
      <c r="B45" t="s">
        <v>132</v>
      </c>
      <c r="C45" t="s">
        <v>207</v>
      </c>
      <c r="D45" t="s">
        <v>16</v>
      </c>
      <c r="E45" t="str">
        <f>VLOOKUP(D45,'[2]Lista de Produtos CLASSIFICAÇÃO'!$E$103:$F$114,2,FALSE)</f>
        <v>Outros</v>
      </c>
      <c r="G45" t="str">
        <f>VLOOKUP(Tabela1[[#This Row],[Cliente]],clientes!$C$3:$D$60,2,FALSE)</f>
        <v>NOVUS</v>
      </c>
    </row>
    <row r="46" spans="1:7" x14ac:dyDescent="0.25">
      <c r="A46">
        <v>2021</v>
      </c>
      <c r="B46" t="s">
        <v>132</v>
      </c>
      <c r="C46" t="s">
        <v>165</v>
      </c>
      <c r="D46" t="s">
        <v>123</v>
      </c>
      <c r="E46" t="str">
        <f>VLOOKUP(D46,'[2]Lista de Produtos CLASSIFICAÇÃO'!$E$103:$F$114,2,FALSE)</f>
        <v>Aquecidos</v>
      </c>
      <c r="F46">
        <v>3000</v>
      </c>
      <c r="G46" t="str">
        <f>VLOOKUP(Tabela1[[#This Row],[Cliente]],clientes!$C$3:$D$60,2,FALSE)</f>
        <v>BRF</v>
      </c>
    </row>
    <row r="47" spans="1:7" x14ac:dyDescent="0.25">
      <c r="A47">
        <v>2021</v>
      </c>
      <c r="B47" t="s">
        <v>132</v>
      </c>
      <c r="C47" t="s">
        <v>162</v>
      </c>
      <c r="D47" t="s">
        <v>123</v>
      </c>
      <c r="E47" t="str">
        <f>VLOOKUP(D47,'[2]Lista de Produtos CLASSIFICAÇÃO'!$E$103:$F$114,2,FALSE)</f>
        <v>Aquecidos</v>
      </c>
      <c r="F47">
        <v>1300</v>
      </c>
      <c r="G47" t="str">
        <f>VLOOKUP(Tabela1[[#This Row],[Cliente]],clientes!$C$3:$D$60,2,FALSE)</f>
        <v>JBS</v>
      </c>
    </row>
    <row r="48" spans="1:7" x14ac:dyDescent="0.25">
      <c r="A48">
        <v>2021</v>
      </c>
      <c r="B48" t="s">
        <v>132</v>
      </c>
      <c r="C48" t="s">
        <v>166</v>
      </c>
      <c r="D48" t="s">
        <v>123</v>
      </c>
      <c r="E48" t="str">
        <f>VLOOKUP(D48,'[2]Lista de Produtos CLASSIFICAÇÃO'!$E$103:$F$114,2,FALSE)</f>
        <v>Aquecidos</v>
      </c>
      <c r="F48">
        <v>3500</v>
      </c>
      <c r="G48" t="str">
        <f>VLOOKUP(Tabela1[[#This Row],[Cliente]],clientes!$C$3:$D$60,2,FALSE)</f>
        <v>CARGILL</v>
      </c>
    </row>
    <row r="49" spans="1:7" x14ac:dyDescent="0.25">
      <c r="A49">
        <v>2021</v>
      </c>
      <c r="B49" t="s">
        <v>132</v>
      </c>
      <c r="C49" t="s">
        <v>167</v>
      </c>
      <c r="D49" t="s">
        <v>122</v>
      </c>
      <c r="E49" t="str">
        <f>VLOOKUP(D49,'[2]Lista de Produtos CLASSIFICAÇÃO'!$E$103:$F$114,2,FALSE)</f>
        <v>Óleo Vegetal</v>
      </c>
      <c r="F49">
        <v>24710.556000000004</v>
      </c>
      <c r="G49" t="str">
        <f>VLOOKUP(Tabela1[[#This Row],[Cliente]],clientes!$C$3:$D$60,2,FALSE)</f>
        <v>POOL</v>
      </c>
    </row>
    <row r="50" spans="1:7" x14ac:dyDescent="0.25">
      <c r="A50">
        <v>2021</v>
      </c>
      <c r="B50" t="s">
        <v>132</v>
      </c>
      <c r="C50" t="s">
        <v>168</v>
      </c>
      <c r="D50" t="s">
        <v>122</v>
      </c>
      <c r="E50" t="str">
        <f>VLOOKUP(D50,'[2]Lista de Produtos CLASSIFICAÇÃO'!$E$103:$F$114,2,FALSE)</f>
        <v>Óleo Vegetal</v>
      </c>
      <c r="G50" t="str">
        <f>VLOOKUP(Tabela1[[#This Row],[Cliente]],clientes!$C$3:$D$60,2,FALSE)</f>
        <v>POOL EXCEDENTE</v>
      </c>
    </row>
    <row r="51" spans="1:7" x14ac:dyDescent="0.25">
      <c r="A51">
        <v>2021</v>
      </c>
      <c r="B51" t="s">
        <v>132</v>
      </c>
      <c r="C51" t="s">
        <v>169</v>
      </c>
      <c r="D51" t="s">
        <v>22</v>
      </c>
      <c r="E51" t="str">
        <f>VLOOKUP(D51,'[2]Lista de Produtos CLASSIFICAÇÃO'!$E$103:$F$114,2,FALSE)</f>
        <v>Metanol</v>
      </c>
      <c r="F51">
        <v>52000</v>
      </c>
      <c r="G51" t="str">
        <f>VLOOKUP(Tabela1[[#This Row],[Cliente]],clientes!$C$3:$D$60,2,FALSE)</f>
        <v>METHANEX</v>
      </c>
    </row>
    <row r="52" spans="1:7" x14ac:dyDescent="0.25">
      <c r="A52">
        <v>2021</v>
      </c>
      <c r="B52" t="s">
        <v>132</v>
      </c>
      <c r="C52" t="s">
        <v>170</v>
      </c>
      <c r="D52" t="s">
        <v>22</v>
      </c>
      <c r="E52" t="str">
        <f>VLOOKUP(D52,'[2]Lista de Produtos CLASSIFICAÇÃO'!$E$103:$F$114,2,FALSE)</f>
        <v>Metanol</v>
      </c>
      <c r="F52">
        <v>13000</v>
      </c>
      <c r="G52" t="str">
        <f>VLOOKUP(Tabela1[[#This Row],[Cliente]],clientes!$C$3:$D$60,2,FALSE)</f>
        <v>MITSUBISHI</v>
      </c>
    </row>
    <row r="53" spans="1:7" x14ac:dyDescent="0.25">
      <c r="A53">
        <v>2021</v>
      </c>
      <c r="B53" t="s">
        <v>132</v>
      </c>
      <c r="C53" t="s">
        <v>196</v>
      </c>
      <c r="D53" t="s">
        <v>22</v>
      </c>
      <c r="E53" t="str">
        <f>VLOOKUP(D53,'[2]Lista de Produtos CLASSIFICAÇÃO'!$E$103:$F$114,2,FALSE)</f>
        <v>Metanol</v>
      </c>
      <c r="F53">
        <v>20000</v>
      </c>
      <c r="G53" t="str">
        <f>VLOOKUP(Tabela1[[#This Row],[Cliente]],clientes!$C$3:$D$60,2,FALSE)</f>
        <v>SCC</v>
      </c>
    </row>
    <row r="54" spans="1:7" x14ac:dyDescent="0.25">
      <c r="A54">
        <v>2021</v>
      </c>
      <c r="B54" t="s">
        <v>132</v>
      </c>
      <c r="C54" t="s">
        <v>196</v>
      </c>
      <c r="D54" t="s">
        <v>22</v>
      </c>
      <c r="E54" t="str">
        <f>VLOOKUP(D54,'[2]Lista de Produtos CLASSIFICAÇÃO'!$E$103:$F$114,2,FALSE)</f>
        <v>Metanol</v>
      </c>
      <c r="G54" t="str">
        <f>VLOOKUP(Tabela1[[#This Row],[Cliente]],clientes!$C$3:$D$60,2,FALSE)</f>
        <v>SCC</v>
      </c>
    </row>
    <row r="55" spans="1:7" x14ac:dyDescent="0.25">
      <c r="A55">
        <v>2021</v>
      </c>
      <c r="B55" t="s">
        <v>132</v>
      </c>
      <c r="C55" t="s">
        <v>208</v>
      </c>
      <c r="D55" t="s">
        <v>202</v>
      </c>
      <c r="E55" t="e">
        <f>VLOOKUP(D55,'[2]Lista de Produtos CLASSIFICAÇÃO'!$E$103:$F$114,2,FALSE)</f>
        <v>#N/A</v>
      </c>
      <c r="G55" t="str">
        <f>VLOOKUP(Tabela1[[#This Row],[Cliente]],clientes!$C$3:$D$60,2,FALSE)</f>
        <v>HINOVE</v>
      </c>
    </row>
    <row r="56" spans="1:7" x14ac:dyDescent="0.25">
      <c r="A56">
        <v>2021</v>
      </c>
      <c r="B56" t="s">
        <v>132</v>
      </c>
      <c r="C56" t="s">
        <v>172</v>
      </c>
      <c r="D56" t="s">
        <v>124</v>
      </c>
      <c r="E56" t="str">
        <f>VLOOKUP(D56,'[2]Lista de Produtos CLASSIFICAÇÃO'!$E$103:$F$114,2,FALSE)</f>
        <v>Outros</v>
      </c>
      <c r="F56">
        <v>1200</v>
      </c>
      <c r="G56" t="str">
        <f>VLOOKUP(Tabela1[[#This Row],[Cliente]],clientes!$C$3:$D$60,2,FALSE)</f>
        <v>EVONIK</v>
      </c>
    </row>
    <row r="57" spans="1:7" x14ac:dyDescent="0.25">
      <c r="A57">
        <v>2021</v>
      </c>
      <c r="B57" t="s">
        <v>132</v>
      </c>
      <c r="C57" t="s">
        <v>173</v>
      </c>
      <c r="D57" t="s">
        <v>22</v>
      </c>
      <c r="E57" t="str">
        <f>VLOOKUP(D57,'[2]Lista de Produtos CLASSIFICAÇÃO'!$E$103:$F$114,2,FALSE)</f>
        <v>Metanol</v>
      </c>
      <c r="G57" t="str">
        <f>VLOOKUP(Tabela1[[#This Row],[Cliente]],clientes!$C$3:$D$60,2,FALSE)</f>
        <v>YPF SOCIEDAD ANONIMA</v>
      </c>
    </row>
    <row r="58" spans="1:7" x14ac:dyDescent="0.25">
      <c r="A58">
        <v>2021</v>
      </c>
      <c r="B58" t="s">
        <v>132</v>
      </c>
      <c r="C58" t="s">
        <v>203</v>
      </c>
      <c r="D58" t="s">
        <v>124</v>
      </c>
      <c r="E58" t="str">
        <f>VLOOKUP(D58,'[2]Lista de Produtos CLASSIFICAÇÃO'!$E$103:$F$114,2,FALSE)</f>
        <v>Outros</v>
      </c>
      <c r="F58">
        <v>1000</v>
      </c>
      <c r="G58" t="str">
        <f>VLOOKUP(Tabela1[[#This Row],[Cliente]],clientes!$C$3:$D$60,2,FALSE)</f>
        <v>GTM</v>
      </c>
    </row>
    <row r="59" spans="1:7" x14ac:dyDescent="0.25">
      <c r="A59">
        <v>2021</v>
      </c>
      <c r="B59" t="s">
        <v>132</v>
      </c>
      <c r="C59" t="s">
        <v>197</v>
      </c>
      <c r="D59" t="s">
        <v>85</v>
      </c>
      <c r="E59" t="e">
        <f>VLOOKUP(D59,'[2]Lista de Produtos CLASSIFICAÇÃO'!$E$103:$F$114,2,FALSE)</f>
        <v>#N/A</v>
      </c>
      <c r="F59">
        <v>400</v>
      </c>
      <c r="G59" t="str">
        <f>VLOOKUP(Tabela1[[#This Row],[Cliente]],clientes!$C$3:$D$60,2,FALSE)</f>
        <v>DRT</v>
      </c>
    </row>
    <row r="60" spans="1:7" x14ac:dyDescent="0.25">
      <c r="A60">
        <v>2021</v>
      </c>
      <c r="B60" t="s">
        <v>132</v>
      </c>
      <c r="C60" t="s">
        <v>198</v>
      </c>
      <c r="D60" t="s">
        <v>121</v>
      </c>
      <c r="E60" t="str">
        <f>VLOOKUP(D60,'[2]Lista de Produtos CLASSIFICAÇÃO'!$E$103:$F$114,2,FALSE)</f>
        <v>Biocombustíveis</v>
      </c>
      <c r="G60" t="str">
        <f>VLOOKUP(Tabela1[[#This Row],[Cliente]],clientes!$C$3:$D$60,2,FALSE)</f>
        <v>TEREOS / INPASA / GLENCORE</v>
      </c>
    </row>
    <row r="61" spans="1:7" x14ac:dyDescent="0.25">
      <c r="A61">
        <v>2021</v>
      </c>
      <c r="B61" t="s">
        <v>132</v>
      </c>
      <c r="C61" t="s">
        <v>174</v>
      </c>
      <c r="D61" t="s">
        <v>123</v>
      </c>
      <c r="E61" t="str">
        <f>VLOOKUP(D61,'[2]Lista de Produtos CLASSIFICAÇÃO'!$E$103:$F$114,2,FALSE)</f>
        <v>Aquecidos</v>
      </c>
      <c r="F61">
        <v>3000</v>
      </c>
      <c r="G61" t="str">
        <f>VLOOKUP(Tabela1[[#This Row],[Cliente]],clientes!$C$3:$D$60,2,FALSE)</f>
        <v>CELENA</v>
      </c>
    </row>
    <row r="62" spans="1:7" x14ac:dyDescent="0.25">
      <c r="A62">
        <v>2021</v>
      </c>
      <c r="B62" t="s">
        <v>132</v>
      </c>
      <c r="C62" t="s">
        <v>175</v>
      </c>
      <c r="D62" t="s">
        <v>123</v>
      </c>
      <c r="E62" t="str">
        <f>VLOOKUP(D62,'[2]Lista de Produtos CLASSIFICAÇÃO'!$E$103:$F$114,2,FALSE)</f>
        <v>Aquecidos</v>
      </c>
      <c r="F62">
        <v>2000</v>
      </c>
      <c r="G62" t="str">
        <f>VLOOKUP(Tabela1[[#This Row],[Cliente]],clientes!$C$3:$D$60,2,FALSE)</f>
        <v>AAK DO BRASIL</v>
      </c>
    </row>
    <row r="63" spans="1:7" x14ac:dyDescent="0.25">
      <c r="A63">
        <v>2021</v>
      </c>
      <c r="B63" t="s">
        <v>132</v>
      </c>
      <c r="C63" t="s">
        <v>166</v>
      </c>
      <c r="D63" t="s">
        <v>122</v>
      </c>
      <c r="E63" t="str">
        <f>VLOOKUP(D63,'[2]Lista de Produtos CLASSIFICAÇÃO'!$E$103:$F$114,2,FALSE)</f>
        <v>Óleo Vegetal</v>
      </c>
      <c r="G63" t="str">
        <f>VLOOKUP(Tabela1[[#This Row],[Cliente]],clientes!$C$3:$D$60,2,FALSE)</f>
        <v>CARGILL</v>
      </c>
    </row>
    <row r="64" spans="1:7" x14ac:dyDescent="0.25">
      <c r="A64">
        <v>2021</v>
      </c>
      <c r="B64" t="s">
        <v>132</v>
      </c>
      <c r="C64" t="s">
        <v>176</v>
      </c>
      <c r="D64" t="s">
        <v>123</v>
      </c>
      <c r="E64" t="str">
        <f>VLOOKUP(D64,'[2]Lista de Produtos CLASSIFICAÇÃO'!$E$103:$F$114,2,FALSE)</f>
        <v>Aquecidos</v>
      </c>
      <c r="F64">
        <v>3000</v>
      </c>
      <c r="G64" t="str">
        <f>VLOOKUP(Tabela1[[#This Row],[Cliente]],clientes!$C$3:$D$60,2,FALSE)</f>
        <v>AGROPALMA</v>
      </c>
    </row>
    <row r="65" spans="1:7" x14ac:dyDescent="0.25">
      <c r="A65">
        <v>2021</v>
      </c>
      <c r="B65" t="s">
        <v>132</v>
      </c>
      <c r="C65" t="s">
        <v>204</v>
      </c>
      <c r="D65" t="s">
        <v>59</v>
      </c>
      <c r="E65" t="e">
        <f>VLOOKUP(D65,'[2]Lista de Produtos CLASSIFICAÇÃO'!$E$103:$F$114,2,FALSE)</f>
        <v>#N/A</v>
      </c>
      <c r="F65">
        <v>17500</v>
      </c>
      <c r="G65" t="str">
        <f>VLOOKUP(Tabela1[[#This Row],[Cliente]],clientes!$C$3:$D$60,2,FALSE)</f>
        <v>COPAPE</v>
      </c>
    </row>
    <row r="66" spans="1:7" x14ac:dyDescent="0.25">
      <c r="A66">
        <v>2021</v>
      </c>
      <c r="B66" t="s">
        <v>133</v>
      </c>
      <c r="C66" s="58" t="s">
        <v>155</v>
      </c>
      <c r="D66" t="s">
        <v>16</v>
      </c>
      <c r="E66" t="str">
        <f>VLOOKUP(D66,'[2]Lista de Produtos CLASSIFICAÇÃO'!$E$103:$F$114,2,FALSE)</f>
        <v>Outros</v>
      </c>
      <c r="F66">
        <v>3000</v>
      </c>
      <c r="G66" t="str">
        <f>VLOOKUP(Tabela1[[#This Row],[Cliente]],clientes!$C$3:$D$60,2,FALSE)</f>
        <v>ADISSEO</v>
      </c>
    </row>
    <row r="67" spans="1:7" x14ac:dyDescent="0.25">
      <c r="A67">
        <v>2021</v>
      </c>
      <c r="B67" t="s">
        <v>133</v>
      </c>
      <c r="C67" s="58" t="s">
        <v>155</v>
      </c>
      <c r="D67" t="s">
        <v>16</v>
      </c>
      <c r="E67" t="str">
        <f>VLOOKUP(D67,'[2]Lista de Produtos CLASSIFICAÇÃO'!$E$103:$F$114,2,FALSE)</f>
        <v>Outros</v>
      </c>
      <c r="G67" t="str">
        <f>VLOOKUP(Tabela1[[#This Row],[Cliente]],clientes!$C$3:$D$60,2,FALSE)</f>
        <v>ADISSEO</v>
      </c>
    </row>
    <row r="68" spans="1:7" x14ac:dyDescent="0.25">
      <c r="A68">
        <v>2021</v>
      </c>
      <c r="B68" t="s">
        <v>133</v>
      </c>
      <c r="C68" s="58" t="s">
        <v>199</v>
      </c>
      <c r="D68" t="s">
        <v>16</v>
      </c>
      <c r="E68" t="str">
        <f>VLOOKUP(D68,'[2]Lista de Produtos CLASSIFICAÇÃO'!$E$103:$F$114,2,FALSE)</f>
        <v>Outros</v>
      </c>
      <c r="F68">
        <v>150</v>
      </c>
      <c r="G68" t="str">
        <f>VLOOKUP(Tabela1[[#This Row],[Cliente]],clientes!$C$3:$D$60,2,FALSE)</f>
        <v>ADISSEO</v>
      </c>
    </row>
    <row r="69" spans="1:7" x14ac:dyDescent="0.25">
      <c r="A69">
        <v>2021</v>
      </c>
      <c r="B69" t="s">
        <v>133</v>
      </c>
      <c r="C69" s="58" t="s">
        <v>157</v>
      </c>
      <c r="D69" t="s">
        <v>49</v>
      </c>
      <c r="E69" t="e">
        <f>VLOOKUP(D69,'[2]Lista de Produtos CLASSIFICAÇÃO'!$E$103:$F$114,2,FALSE)</f>
        <v>#N/A</v>
      </c>
      <c r="F69">
        <v>350</v>
      </c>
      <c r="G69" t="str">
        <f>VLOOKUP(Tabela1[[#This Row],[Cliente]],clientes!$C$3:$D$60,2,FALSE)</f>
        <v>ADM</v>
      </c>
    </row>
    <row r="70" spans="1:7" x14ac:dyDescent="0.25">
      <c r="A70">
        <v>2021</v>
      </c>
      <c r="B70" t="s">
        <v>133</v>
      </c>
      <c r="C70" s="58" t="s">
        <v>158</v>
      </c>
      <c r="D70" t="s">
        <v>120</v>
      </c>
      <c r="E70" t="str">
        <f>VLOOKUP(D70,'[2]Lista de Produtos CLASSIFICAÇÃO'!$E$103:$F$114,2,FALSE)</f>
        <v>Derivados</v>
      </c>
      <c r="F70">
        <v>113295</v>
      </c>
      <c r="G70" t="str">
        <f>VLOOKUP(Tabela1[[#This Row],[Cliente]],clientes!$C$3:$D$60,2,FALSE)</f>
        <v>IPIRANGA</v>
      </c>
    </row>
    <row r="71" spans="1:7" x14ac:dyDescent="0.25">
      <c r="A71">
        <v>2021</v>
      </c>
      <c r="B71" t="s">
        <v>133</v>
      </c>
      <c r="C71" s="58" t="s">
        <v>206</v>
      </c>
      <c r="D71" t="s">
        <v>120</v>
      </c>
      <c r="E71" t="str">
        <f>VLOOKUP(D71,'[2]Lista de Produtos CLASSIFICAÇÃO'!$E$103:$F$114,2,FALSE)</f>
        <v>Derivados</v>
      </c>
      <c r="F71">
        <v>53950</v>
      </c>
      <c r="G71" t="str">
        <f>VLOOKUP(Tabela1[[#This Row],[Cliente]],clientes!$C$3:$D$60,2,FALSE)</f>
        <v>BR</v>
      </c>
    </row>
    <row r="72" spans="1:7" x14ac:dyDescent="0.25">
      <c r="A72">
        <v>2021</v>
      </c>
      <c r="B72" t="s">
        <v>133</v>
      </c>
      <c r="C72" s="58" t="s">
        <v>200</v>
      </c>
      <c r="D72" t="s">
        <v>120</v>
      </c>
      <c r="E72" t="str">
        <f>VLOOKUP(D72,'[2]Lista de Produtos CLASSIFICAÇÃO'!$E$103:$F$114,2,FALSE)</f>
        <v>Derivados</v>
      </c>
      <c r="F72">
        <v>18691</v>
      </c>
      <c r="G72" t="str">
        <f>VLOOKUP(Tabela1[[#This Row],[Cliente]],clientes!$C$3:$D$60,2,FALSE)</f>
        <v>GREENENERGY</v>
      </c>
    </row>
    <row r="73" spans="1:7" x14ac:dyDescent="0.25">
      <c r="A73">
        <v>2021</v>
      </c>
      <c r="B73" t="s">
        <v>133</v>
      </c>
      <c r="C73" s="58" t="s">
        <v>161</v>
      </c>
      <c r="D73" t="s">
        <v>120</v>
      </c>
      <c r="E73" t="str">
        <f>VLOOKUP(D73,'[2]Lista de Produtos CLASSIFICAÇÃO'!$E$103:$F$114,2,FALSE)</f>
        <v>Derivados</v>
      </c>
      <c r="F73">
        <v>33615</v>
      </c>
      <c r="G73" t="str">
        <f>VLOOKUP(Tabela1[[#This Row],[Cliente]],clientes!$C$3:$D$60,2,FALSE)</f>
        <v>SUL PLATA</v>
      </c>
    </row>
    <row r="74" spans="1:7" x14ac:dyDescent="0.25">
      <c r="A74">
        <v>2021</v>
      </c>
      <c r="B74" t="s">
        <v>133</v>
      </c>
      <c r="C74" s="58" t="s">
        <v>161</v>
      </c>
      <c r="D74" t="s">
        <v>120</v>
      </c>
      <c r="E74" t="str">
        <f>VLOOKUP(D74,'[2]Lista de Produtos CLASSIFICAÇÃO'!$E$103:$F$114,2,FALSE)</f>
        <v>Derivados</v>
      </c>
      <c r="G74" t="str">
        <f>VLOOKUP(Tabela1[[#This Row],[Cliente]],clientes!$C$3:$D$60,2,FALSE)</f>
        <v>SUL PLATA</v>
      </c>
    </row>
    <row r="75" spans="1:7" x14ac:dyDescent="0.25">
      <c r="A75">
        <v>2021</v>
      </c>
      <c r="B75" t="s">
        <v>133</v>
      </c>
      <c r="C75" s="58" t="s">
        <v>162</v>
      </c>
      <c r="D75" t="s">
        <v>115</v>
      </c>
      <c r="E75" t="str">
        <f>VLOOKUP(D75,'[2]Lista de Produtos CLASSIFICAÇÃO'!$E$103:$F$114,2,FALSE)</f>
        <v>Soda Caustica</v>
      </c>
      <c r="F75">
        <v>2300</v>
      </c>
      <c r="G75" t="str">
        <f>VLOOKUP(Tabela1[[#This Row],[Cliente]],clientes!$C$3:$D$60,2,FALSE)</f>
        <v>JBS</v>
      </c>
    </row>
    <row r="76" spans="1:7" x14ac:dyDescent="0.25">
      <c r="A76">
        <v>2021</v>
      </c>
      <c r="B76" t="s">
        <v>133</v>
      </c>
      <c r="C76" s="58" t="s">
        <v>163</v>
      </c>
      <c r="D76" t="s">
        <v>115</v>
      </c>
      <c r="E76" t="str">
        <f>VLOOKUP(D76,'[2]Lista de Produtos CLASSIFICAÇÃO'!$E$103:$F$114,2,FALSE)</f>
        <v>Soda Caustica</v>
      </c>
      <c r="F76">
        <v>3200</v>
      </c>
      <c r="G76" t="str">
        <f>VLOOKUP(Tabela1[[#This Row],[Cliente]],clientes!$C$3:$D$60,2,FALSE)</f>
        <v>TRICON ENERGY</v>
      </c>
    </row>
    <row r="77" spans="1:7" x14ac:dyDescent="0.25">
      <c r="A77">
        <v>2021</v>
      </c>
      <c r="B77" t="s">
        <v>133</v>
      </c>
      <c r="C77" s="58" t="s">
        <v>207</v>
      </c>
      <c r="D77" t="s">
        <v>16</v>
      </c>
      <c r="E77" t="str">
        <f>VLOOKUP(D77,'[2]Lista de Produtos CLASSIFICAÇÃO'!$E$103:$F$114,2,FALSE)</f>
        <v>Outros</v>
      </c>
      <c r="G77" t="str">
        <f>VLOOKUP(Tabela1[[#This Row],[Cliente]],clientes!$C$3:$D$60,2,FALSE)</f>
        <v>NOVUS</v>
      </c>
    </row>
    <row r="78" spans="1:7" x14ac:dyDescent="0.25">
      <c r="A78">
        <v>2021</v>
      </c>
      <c r="B78" t="s">
        <v>133</v>
      </c>
      <c r="C78" s="58" t="s">
        <v>165</v>
      </c>
      <c r="D78" t="s">
        <v>123</v>
      </c>
      <c r="E78" t="str">
        <f>VLOOKUP(D78,'[2]Lista de Produtos CLASSIFICAÇÃO'!$E$103:$F$114,2,FALSE)</f>
        <v>Aquecidos</v>
      </c>
      <c r="F78">
        <v>3000</v>
      </c>
      <c r="G78" t="str">
        <f>VLOOKUP(Tabela1[[#This Row],[Cliente]],clientes!$C$3:$D$60,2,FALSE)</f>
        <v>BRF</v>
      </c>
    </row>
    <row r="79" spans="1:7" x14ac:dyDescent="0.25">
      <c r="A79">
        <v>2021</v>
      </c>
      <c r="B79" t="s">
        <v>133</v>
      </c>
      <c r="C79" s="58" t="s">
        <v>162</v>
      </c>
      <c r="D79" t="s">
        <v>123</v>
      </c>
      <c r="E79" t="str">
        <f>VLOOKUP(D79,'[2]Lista de Produtos CLASSIFICAÇÃO'!$E$103:$F$114,2,FALSE)</f>
        <v>Aquecidos</v>
      </c>
      <c r="F79">
        <v>1300</v>
      </c>
      <c r="G79" t="str">
        <f>VLOOKUP(Tabela1[[#This Row],[Cliente]],clientes!$C$3:$D$60,2,FALSE)</f>
        <v>JBS</v>
      </c>
    </row>
    <row r="80" spans="1:7" x14ac:dyDescent="0.25">
      <c r="A80">
        <v>2021</v>
      </c>
      <c r="B80" t="s">
        <v>133</v>
      </c>
      <c r="C80" s="58" t="s">
        <v>166</v>
      </c>
      <c r="D80" t="s">
        <v>123</v>
      </c>
      <c r="E80" t="str">
        <f>VLOOKUP(D80,'[2]Lista de Produtos CLASSIFICAÇÃO'!$E$103:$F$114,2,FALSE)</f>
        <v>Aquecidos</v>
      </c>
      <c r="F80">
        <v>3500</v>
      </c>
      <c r="G80" t="str">
        <f>VLOOKUP(Tabela1[[#This Row],[Cliente]],clientes!$C$3:$D$60,2,FALSE)</f>
        <v>CARGILL</v>
      </c>
    </row>
    <row r="81" spans="1:7" x14ac:dyDescent="0.25">
      <c r="A81">
        <v>2021</v>
      </c>
      <c r="B81" t="s">
        <v>133</v>
      </c>
      <c r="C81" s="58" t="s">
        <v>167</v>
      </c>
      <c r="D81" t="s">
        <v>122</v>
      </c>
      <c r="E81" t="str">
        <f>VLOOKUP(D81,'[2]Lista de Produtos CLASSIFICAÇÃO'!$E$103:$F$114,2,FALSE)</f>
        <v>Óleo Vegetal</v>
      </c>
      <c r="F81">
        <v>53583.192000000003</v>
      </c>
      <c r="G81" t="str">
        <f>VLOOKUP(Tabela1[[#This Row],[Cliente]],clientes!$C$3:$D$60,2,FALSE)</f>
        <v>POOL</v>
      </c>
    </row>
    <row r="82" spans="1:7" x14ac:dyDescent="0.25">
      <c r="A82">
        <v>2021</v>
      </c>
      <c r="B82" t="s">
        <v>133</v>
      </c>
      <c r="C82" s="58" t="s">
        <v>168</v>
      </c>
      <c r="D82" t="s">
        <v>122</v>
      </c>
      <c r="E82" t="str">
        <f>VLOOKUP(D82,'[2]Lista de Produtos CLASSIFICAÇÃO'!$E$103:$F$114,2,FALSE)</f>
        <v>Óleo Vegetal</v>
      </c>
      <c r="G82" t="str">
        <f>VLOOKUP(Tabela1[[#This Row],[Cliente]],clientes!$C$3:$D$60,2,FALSE)</f>
        <v>POOL EXCEDENTE</v>
      </c>
    </row>
    <row r="83" spans="1:7" x14ac:dyDescent="0.25">
      <c r="A83">
        <v>2021</v>
      </c>
      <c r="B83" t="s">
        <v>133</v>
      </c>
      <c r="C83" s="58" t="s">
        <v>169</v>
      </c>
      <c r="D83" t="s">
        <v>22</v>
      </c>
      <c r="E83" t="str">
        <f>VLOOKUP(D83,'[2]Lista de Produtos CLASSIFICAÇÃO'!$E$103:$F$114,2,FALSE)</f>
        <v>Metanol</v>
      </c>
      <c r="F83">
        <v>52000</v>
      </c>
      <c r="G83" t="str">
        <f>VLOOKUP(Tabela1[[#This Row],[Cliente]],clientes!$C$3:$D$60,2,FALSE)</f>
        <v>METHANEX</v>
      </c>
    </row>
    <row r="84" spans="1:7" x14ac:dyDescent="0.25">
      <c r="A84">
        <v>2021</v>
      </c>
      <c r="B84" t="s">
        <v>133</v>
      </c>
      <c r="C84" s="58" t="s">
        <v>170</v>
      </c>
      <c r="D84" t="s">
        <v>22</v>
      </c>
      <c r="E84" t="str">
        <f>VLOOKUP(D84,'[2]Lista de Produtos CLASSIFICAÇÃO'!$E$103:$F$114,2,FALSE)</f>
        <v>Metanol</v>
      </c>
      <c r="F84">
        <v>13000</v>
      </c>
      <c r="G84" t="str">
        <f>VLOOKUP(Tabela1[[#This Row],[Cliente]],clientes!$C$3:$D$60,2,FALSE)</f>
        <v>MITSUBISHI</v>
      </c>
    </row>
    <row r="85" spans="1:7" x14ac:dyDescent="0.25">
      <c r="A85">
        <v>2021</v>
      </c>
      <c r="B85" t="s">
        <v>133</v>
      </c>
      <c r="C85" s="58" t="s">
        <v>196</v>
      </c>
      <c r="D85" t="s">
        <v>22</v>
      </c>
      <c r="E85" t="str">
        <f>VLOOKUP(D85,'[2]Lista de Produtos CLASSIFICAÇÃO'!$E$103:$F$114,2,FALSE)</f>
        <v>Metanol</v>
      </c>
      <c r="F85">
        <v>20000</v>
      </c>
      <c r="G85" t="str">
        <f>VLOOKUP(Tabela1[[#This Row],[Cliente]],clientes!$C$3:$D$60,2,FALSE)</f>
        <v>SCC</v>
      </c>
    </row>
    <row r="86" spans="1:7" x14ac:dyDescent="0.25">
      <c r="A86">
        <v>2021</v>
      </c>
      <c r="B86" t="s">
        <v>133</v>
      </c>
      <c r="C86" s="58" t="s">
        <v>196</v>
      </c>
      <c r="D86" t="s">
        <v>22</v>
      </c>
      <c r="E86" t="str">
        <f>VLOOKUP(D86,'[2]Lista de Produtos CLASSIFICAÇÃO'!$E$103:$F$114,2,FALSE)</f>
        <v>Metanol</v>
      </c>
      <c r="G86" t="str">
        <f>VLOOKUP(Tabela1[[#This Row],[Cliente]],clientes!$C$3:$D$60,2,FALSE)</f>
        <v>SCC</v>
      </c>
    </row>
    <row r="87" spans="1:7" x14ac:dyDescent="0.25">
      <c r="A87">
        <v>2021</v>
      </c>
      <c r="B87" t="s">
        <v>133</v>
      </c>
      <c r="C87" s="58" t="s">
        <v>208</v>
      </c>
      <c r="D87" t="s">
        <v>202</v>
      </c>
      <c r="E87" t="e">
        <f>VLOOKUP(D87,'[2]Lista de Produtos CLASSIFICAÇÃO'!$E$103:$F$114,2,FALSE)</f>
        <v>#N/A</v>
      </c>
      <c r="F87">
        <v>5000</v>
      </c>
      <c r="G87" t="str">
        <f>VLOOKUP(Tabela1[[#This Row],[Cliente]],clientes!$C$3:$D$60,2,FALSE)</f>
        <v>HINOVE</v>
      </c>
    </row>
    <row r="88" spans="1:7" x14ac:dyDescent="0.25">
      <c r="A88">
        <v>2021</v>
      </c>
      <c r="B88" t="s">
        <v>133</v>
      </c>
      <c r="C88" s="58" t="s">
        <v>172</v>
      </c>
      <c r="D88" t="s">
        <v>124</v>
      </c>
      <c r="E88" t="str">
        <f>VLOOKUP(D88,'[2]Lista de Produtos CLASSIFICAÇÃO'!$E$103:$F$114,2,FALSE)</f>
        <v>Outros</v>
      </c>
      <c r="F88">
        <v>1200</v>
      </c>
      <c r="G88" t="str">
        <f>VLOOKUP(Tabela1[[#This Row],[Cliente]],clientes!$C$3:$D$60,2,FALSE)</f>
        <v>EVONIK</v>
      </c>
    </row>
    <row r="89" spans="1:7" x14ac:dyDescent="0.25">
      <c r="A89">
        <v>2021</v>
      </c>
      <c r="B89" t="s">
        <v>133</v>
      </c>
      <c r="C89" s="58" t="s">
        <v>173</v>
      </c>
      <c r="D89" t="s">
        <v>22</v>
      </c>
      <c r="E89" t="str">
        <f>VLOOKUP(D89,'[2]Lista de Produtos CLASSIFICAÇÃO'!$E$103:$F$114,2,FALSE)</f>
        <v>Metanol</v>
      </c>
      <c r="F89">
        <v>5000</v>
      </c>
      <c r="G89" t="str">
        <f>VLOOKUP(Tabela1[[#This Row],[Cliente]],clientes!$C$3:$D$60,2,FALSE)</f>
        <v>YPF SOCIEDAD ANONIMA</v>
      </c>
    </row>
    <row r="90" spans="1:7" x14ac:dyDescent="0.25">
      <c r="A90">
        <v>2021</v>
      </c>
      <c r="B90" t="s">
        <v>133</v>
      </c>
      <c r="C90" s="58" t="s">
        <v>203</v>
      </c>
      <c r="D90" t="s">
        <v>124</v>
      </c>
      <c r="E90" t="str">
        <f>VLOOKUP(D90,'[2]Lista de Produtos CLASSIFICAÇÃO'!$E$103:$F$114,2,FALSE)</f>
        <v>Outros</v>
      </c>
      <c r="G90" t="str">
        <f>VLOOKUP(Tabela1[[#This Row],[Cliente]],clientes!$C$3:$D$60,2,FALSE)</f>
        <v>GTM</v>
      </c>
    </row>
    <row r="91" spans="1:7" x14ac:dyDescent="0.25">
      <c r="A91">
        <v>2021</v>
      </c>
      <c r="B91" t="s">
        <v>133</v>
      </c>
      <c r="C91" s="58" t="s">
        <v>197</v>
      </c>
      <c r="D91" t="s">
        <v>85</v>
      </c>
      <c r="E91" t="e">
        <f>VLOOKUP(D91,'[2]Lista de Produtos CLASSIFICAÇÃO'!$E$103:$F$114,2,FALSE)</f>
        <v>#N/A</v>
      </c>
      <c r="F91">
        <v>400</v>
      </c>
      <c r="G91" t="str">
        <f>VLOOKUP(Tabela1[[#This Row],[Cliente]],clientes!$C$3:$D$60,2,FALSE)</f>
        <v>DRT</v>
      </c>
    </row>
    <row r="92" spans="1:7" x14ac:dyDescent="0.25">
      <c r="A92">
        <v>2021</v>
      </c>
      <c r="B92" t="s">
        <v>133</v>
      </c>
      <c r="C92" s="58" t="s">
        <v>198</v>
      </c>
      <c r="D92" t="s">
        <v>121</v>
      </c>
      <c r="E92" t="str">
        <f>VLOOKUP(D92,'[2]Lista de Produtos CLASSIFICAÇÃO'!$E$103:$F$114,2,FALSE)</f>
        <v>Biocombustíveis</v>
      </c>
      <c r="G92" t="str">
        <f>VLOOKUP(Tabela1[[#This Row],[Cliente]],clientes!$C$3:$D$60,2,FALSE)</f>
        <v>TEREOS / INPASA / GLENCORE</v>
      </c>
    </row>
    <row r="93" spans="1:7" x14ac:dyDescent="0.25">
      <c r="A93">
        <v>2021</v>
      </c>
      <c r="B93" t="s">
        <v>133</v>
      </c>
      <c r="C93" s="58" t="s">
        <v>174</v>
      </c>
      <c r="D93" t="s">
        <v>123</v>
      </c>
      <c r="E93" t="str">
        <f>VLOOKUP(D93,'[2]Lista de Produtos CLASSIFICAÇÃO'!$E$103:$F$114,2,FALSE)</f>
        <v>Aquecidos</v>
      </c>
      <c r="F93">
        <v>3000</v>
      </c>
      <c r="G93" t="str">
        <f>VLOOKUP(Tabela1[[#This Row],[Cliente]],clientes!$C$3:$D$60,2,FALSE)</f>
        <v>CELENA</v>
      </c>
    </row>
    <row r="94" spans="1:7" x14ac:dyDescent="0.25">
      <c r="A94">
        <v>2021</v>
      </c>
      <c r="B94" t="s">
        <v>133</v>
      </c>
      <c r="C94" s="58" t="s">
        <v>175</v>
      </c>
      <c r="D94" t="s">
        <v>123</v>
      </c>
      <c r="E94" t="str">
        <f>VLOOKUP(D94,'[2]Lista de Produtos CLASSIFICAÇÃO'!$E$103:$F$114,2,FALSE)</f>
        <v>Aquecidos</v>
      </c>
      <c r="F94">
        <v>2000</v>
      </c>
      <c r="G94" t="str">
        <f>VLOOKUP(Tabela1[[#This Row],[Cliente]],clientes!$C$3:$D$60,2,FALSE)</f>
        <v>AAK DO BRASIL</v>
      </c>
    </row>
    <row r="95" spans="1:7" x14ac:dyDescent="0.25">
      <c r="A95">
        <v>2021</v>
      </c>
      <c r="B95" t="s">
        <v>133</v>
      </c>
      <c r="C95" s="58" t="s">
        <v>166</v>
      </c>
      <c r="D95" t="s">
        <v>122</v>
      </c>
      <c r="E95" t="str">
        <f>VLOOKUP(D95,'[2]Lista de Produtos CLASSIFICAÇÃO'!$E$103:$F$114,2,FALSE)</f>
        <v>Óleo Vegetal</v>
      </c>
      <c r="F95">
        <v>5000</v>
      </c>
      <c r="G95" t="str">
        <f>VLOOKUP(Tabela1[[#This Row],[Cliente]],clientes!$C$3:$D$60,2,FALSE)</f>
        <v>CARGILL</v>
      </c>
    </row>
    <row r="96" spans="1:7" x14ac:dyDescent="0.25">
      <c r="A96">
        <v>2021</v>
      </c>
      <c r="B96" t="s">
        <v>133</v>
      </c>
      <c r="C96" s="58" t="s">
        <v>176</v>
      </c>
      <c r="D96" t="s">
        <v>123</v>
      </c>
      <c r="E96" t="str">
        <f>VLOOKUP(D96,'[2]Lista de Produtos CLASSIFICAÇÃO'!$E$103:$F$114,2,FALSE)</f>
        <v>Aquecidos</v>
      </c>
      <c r="F96">
        <v>3000</v>
      </c>
      <c r="G96" t="str">
        <f>VLOOKUP(Tabela1[[#This Row],[Cliente]],clientes!$C$3:$D$60,2,FALSE)</f>
        <v>AGROPALMA</v>
      </c>
    </row>
    <row r="97" spans="1:7" x14ac:dyDescent="0.25">
      <c r="A97">
        <v>2021</v>
      </c>
      <c r="B97" t="s">
        <v>133</v>
      </c>
      <c r="C97" s="58" t="s">
        <v>204</v>
      </c>
      <c r="D97" t="s">
        <v>59</v>
      </c>
      <c r="E97" t="e">
        <f>VLOOKUP(D97,'[2]Lista de Produtos CLASSIFICAÇÃO'!$E$103:$F$114,2,FALSE)</f>
        <v>#N/A</v>
      </c>
      <c r="F97">
        <v>17500</v>
      </c>
      <c r="G97" t="str">
        <f>VLOOKUP(Tabela1[[#This Row],[Cliente]],clientes!$C$3:$D$60,2,FALSE)</f>
        <v>COPAPE</v>
      </c>
    </row>
    <row r="98" spans="1:7" x14ac:dyDescent="0.25">
      <c r="A98">
        <v>2021</v>
      </c>
      <c r="B98" t="s">
        <v>134</v>
      </c>
      <c r="C98" t="s">
        <v>155</v>
      </c>
      <c r="D98" t="s">
        <v>16</v>
      </c>
      <c r="E98" t="str">
        <f>VLOOKUP(D98,'[2]Lista de Produtos CLASSIFICAÇÃO'!$E$103:$F$114,2,FALSE)</f>
        <v>Outros</v>
      </c>
      <c r="F98">
        <v>3000</v>
      </c>
      <c r="G98" t="str">
        <f>VLOOKUP(Tabela1[[#This Row],[Cliente]],clientes!$C$3:$D$60,2,FALSE)</f>
        <v>ADISSEO</v>
      </c>
    </row>
    <row r="99" spans="1:7" x14ac:dyDescent="0.25">
      <c r="A99">
        <v>2021</v>
      </c>
      <c r="B99" t="s">
        <v>134</v>
      </c>
      <c r="C99" t="s">
        <v>155</v>
      </c>
      <c r="D99" t="s">
        <v>16</v>
      </c>
      <c r="E99" t="str">
        <f>VLOOKUP(D99,'[2]Lista de Produtos CLASSIFICAÇÃO'!$E$103:$F$114,2,FALSE)</f>
        <v>Outros</v>
      </c>
      <c r="F99">
        <v>500</v>
      </c>
      <c r="G99" t="str">
        <f>VLOOKUP(Tabela1[[#This Row],[Cliente]],clientes!$C$3:$D$60,2,FALSE)</f>
        <v>ADISSEO</v>
      </c>
    </row>
    <row r="100" spans="1:7" x14ac:dyDescent="0.25">
      <c r="A100">
        <v>2021</v>
      </c>
      <c r="B100" t="s">
        <v>134</v>
      </c>
      <c r="C100" t="s">
        <v>199</v>
      </c>
      <c r="D100" t="s">
        <v>16</v>
      </c>
      <c r="E100" t="str">
        <f>VLOOKUP(D100,'[2]Lista de Produtos CLASSIFICAÇÃO'!$E$103:$F$114,2,FALSE)</f>
        <v>Outros</v>
      </c>
      <c r="F100">
        <v>150</v>
      </c>
      <c r="G100" t="str">
        <f>VLOOKUP(Tabela1[[#This Row],[Cliente]],clientes!$C$3:$D$60,2,FALSE)</f>
        <v>ADISSEO</v>
      </c>
    </row>
    <row r="101" spans="1:7" x14ac:dyDescent="0.25">
      <c r="A101">
        <v>2021</v>
      </c>
      <c r="B101" t="s">
        <v>134</v>
      </c>
      <c r="C101" t="s">
        <v>157</v>
      </c>
      <c r="D101" t="s">
        <v>49</v>
      </c>
      <c r="E101" t="e">
        <f>VLOOKUP(D101,'[2]Lista de Produtos CLASSIFICAÇÃO'!$E$103:$F$114,2,FALSE)</f>
        <v>#N/A</v>
      </c>
      <c r="F101">
        <v>350</v>
      </c>
      <c r="G101" t="str">
        <f>VLOOKUP(Tabela1[[#This Row],[Cliente]],clientes!$C$3:$D$60,2,FALSE)</f>
        <v>ADM</v>
      </c>
    </row>
    <row r="102" spans="1:7" x14ac:dyDescent="0.25">
      <c r="A102">
        <v>2021</v>
      </c>
      <c r="B102" t="s">
        <v>134</v>
      </c>
      <c r="C102" t="s">
        <v>158</v>
      </c>
      <c r="D102" t="s">
        <v>120</v>
      </c>
      <c r="E102" t="str">
        <f>VLOOKUP(D102,'[2]Lista de Produtos CLASSIFICAÇÃO'!$E$103:$F$114,2,FALSE)</f>
        <v>Derivados</v>
      </c>
      <c r="F102">
        <v>113295</v>
      </c>
      <c r="G102" t="str">
        <f>VLOOKUP(Tabela1[[#This Row],[Cliente]],clientes!$C$3:$D$60,2,FALSE)</f>
        <v>IPIRANGA</v>
      </c>
    </row>
    <row r="103" spans="1:7" x14ac:dyDescent="0.25">
      <c r="A103">
        <v>2021</v>
      </c>
      <c r="B103" t="s">
        <v>134</v>
      </c>
      <c r="C103" t="s">
        <v>206</v>
      </c>
      <c r="D103" t="s">
        <v>120</v>
      </c>
      <c r="E103" t="str">
        <f>VLOOKUP(D103,'[2]Lista de Produtos CLASSIFICAÇÃO'!$E$103:$F$114,2,FALSE)</f>
        <v>Derivados</v>
      </c>
      <c r="F103">
        <v>53950</v>
      </c>
      <c r="G103" t="str">
        <f>VLOOKUP(Tabela1[[#This Row],[Cliente]],clientes!$C$3:$D$60,2,FALSE)</f>
        <v>BR</v>
      </c>
    </row>
    <row r="104" spans="1:7" x14ac:dyDescent="0.25">
      <c r="A104">
        <v>2021</v>
      </c>
      <c r="B104" t="s">
        <v>134</v>
      </c>
      <c r="C104" t="s">
        <v>200</v>
      </c>
      <c r="D104" t="s">
        <v>120</v>
      </c>
      <c r="E104" t="str">
        <f>VLOOKUP(D104,'[2]Lista de Produtos CLASSIFICAÇÃO'!$E$103:$F$114,2,FALSE)</f>
        <v>Derivados</v>
      </c>
      <c r="F104">
        <v>18691</v>
      </c>
      <c r="G104" t="str">
        <f>VLOOKUP(Tabela1[[#This Row],[Cliente]],clientes!$C$3:$D$60,2,FALSE)</f>
        <v>GREENENERGY</v>
      </c>
    </row>
    <row r="105" spans="1:7" x14ac:dyDescent="0.25">
      <c r="A105">
        <v>2021</v>
      </c>
      <c r="B105" t="s">
        <v>134</v>
      </c>
      <c r="C105" t="s">
        <v>161</v>
      </c>
      <c r="D105" t="s">
        <v>120</v>
      </c>
      <c r="E105" t="str">
        <f>VLOOKUP(D105,'[2]Lista de Produtos CLASSIFICAÇÃO'!$E$103:$F$114,2,FALSE)</f>
        <v>Derivados</v>
      </c>
      <c r="F105">
        <v>33615</v>
      </c>
      <c r="G105" t="str">
        <f>VLOOKUP(Tabela1[[#This Row],[Cliente]],clientes!$C$3:$D$60,2,FALSE)</f>
        <v>SUL PLATA</v>
      </c>
    </row>
    <row r="106" spans="1:7" x14ac:dyDescent="0.25">
      <c r="A106">
        <v>2021</v>
      </c>
      <c r="B106" t="s">
        <v>134</v>
      </c>
      <c r="C106" t="s">
        <v>161</v>
      </c>
      <c r="D106" t="s">
        <v>120</v>
      </c>
      <c r="E106" t="str">
        <f>VLOOKUP(D106,'[2]Lista de Produtos CLASSIFICAÇÃO'!$E$103:$F$114,2,FALSE)</f>
        <v>Derivados</v>
      </c>
      <c r="G106" t="str">
        <f>VLOOKUP(Tabela1[[#This Row],[Cliente]],clientes!$C$3:$D$60,2,FALSE)</f>
        <v>SUL PLATA</v>
      </c>
    </row>
    <row r="107" spans="1:7" x14ac:dyDescent="0.25">
      <c r="A107">
        <v>2021</v>
      </c>
      <c r="B107" t="s">
        <v>134</v>
      </c>
      <c r="C107" t="s">
        <v>162</v>
      </c>
      <c r="D107" t="s">
        <v>115</v>
      </c>
      <c r="E107" t="str">
        <f>VLOOKUP(D107,'[2]Lista de Produtos CLASSIFICAÇÃO'!$E$103:$F$114,2,FALSE)</f>
        <v>Soda Caustica</v>
      </c>
      <c r="F107">
        <v>2300</v>
      </c>
      <c r="G107" t="str">
        <f>VLOOKUP(Tabela1[[#This Row],[Cliente]],clientes!$C$3:$D$60,2,FALSE)</f>
        <v>JBS</v>
      </c>
    </row>
    <row r="108" spans="1:7" x14ac:dyDescent="0.25">
      <c r="A108">
        <v>2021</v>
      </c>
      <c r="B108" t="s">
        <v>134</v>
      </c>
      <c r="C108" t="s">
        <v>163</v>
      </c>
      <c r="D108" t="s">
        <v>115</v>
      </c>
      <c r="E108" t="str">
        <f>VLOOKUP(D108,'[2]Lista de Produtos CLASSIFICAÇÃO'!$E$103:$F$114,2,FALSE)</f>
        <v>Soda Caustica</v>
      </c>
      <c r="F108">
        <v>3200</v>
      </c>
      <c r="G108" t="str">
        <f>VLOOKUP(Tabela1[[#This Row],[Cliente]],clientes!$C$3:$D$60,2,FALSE)</f>
        <v>TRICON ENERGY</v>
      </c>
    </row>
    <row r="109" spans="1:7" x14ac:dyDescent="0.25">
      <c r="A109">
        <v>2021</v>
      </c>
      <c r="B109" t="s">
        <v>134</v>
      </c>
      <c r="C109" t="s">
        <v>207</v>
      </c>
      <c r="D109" t="s">
        <v>16</v>
      </c>
      <c r="E109" t="str">
        <f>VLOOKUP(D109,'[2]Lista de Produtos CLASSIFICAÇÃO'!$E$103:$F$114,2,FALSE)</f>
        <v>Outros</v>
      </c>
      <c r="F109">
        <v>2000</v>
      </c>
      <c r="G109" t="str">
        <f>VLOOKUP(Tabela1[[#This Row],[Cliente]],clientes!$C$3:$D$60,2,FALSE)</f>
        <v>NOVUS</v>
      </c>
    </row>
    <row r="110" spans="1:7" x14ac:dyDescent="0.25">
      <c r="A110">
        <v>2021</v>
      </c>
      <c r="B110" t="s">
        <v>134</v>
      </c>
      <c r="C110" t="s">
        <v>165</v>
      </c>
      <c r="D110" t="s">
        <v>123</v>
      </c>
      <c r="E110" t="str">
        <f>VLOOKUP(D110,'[2]Lista de Produtos CLASSIFICAÇÃO'!$E$103:$F$114,2,FALSE)</f>
        <v>Aquecidos</v>
      </c>
      <c r="F110">
        <v>3000</v>
      </c>
      <c r="G110" t="str">
        <f>VLOOKUP(Tabela1[[#This Row],[Cliente]],clientes!$C$3:$D$60,2,FALSE)</f>
        <v>BRF</v>
      </c>
    </row>
    <row r="111" spans="1:7" x14ac:dyDescent="0.25">
      <c r="A111">
        <v>2021</v>
      </c>
      <c r="B111" t="s">
        <v>134</v>
      </c>
      <c r="C111" t="s">
        <v>162</v>
      </c>
      <c r="D111" t="s">
        <v>123</v>
      </c>
      <c r="E111" t="str">
        <f>VLOOKUP(D111,'[2]Lista de Produtos CLASSIFICAÇÃO'!$E$103:$F$114,2,FALSE)</f>
        <v>Aquecidos</v>
      </c>
      <c r="F111">
        <v>1300</v>
      </c>
      <c r="G111" t="str">
        <f>VLOOKUP(Tabela1[[#This Row],[Cliente]],clientes!$C$3:$D$60,2,FALSE)</f>
        <v>JBS</v>
      </c>
    </row>
    <row r="112" spans="1:7" x14ac:dyDescent="0.25">
      <c r="A112">
        <v>2021</v>
      </c>
      <c r="B112" t="s">
        <v>134</v>
      </c>
      <c r="C112" t="s">
        <v>166</v>
      </c>
      <c r="D112" t="s">
        <v>123</v>
      </c>
      <c r="E112" t="str">
        <f>VLOOKUP(D112,'[2]Lista de Produtos CLASSIFICAÇÃO'!$E$103:$F$114,2,FALSE)</f>
        <v>Aquecidos</v>
      </c>
      <c r="F112">
        <v>3500</v>
      </c>
      <c r="G112" t="str">
        <f>VLOOKUP(Tabela1[[#This Row],[Cliente]],clientes!$C$3:$D$60,2,FALSE)</f>
        <v>CARGILL</v>
      </c>
    </row>
    <row r="113" spans="1:7" x14ac:dyDescent="0.25">
      <c r="A113">
        <v>2021</v>
      </c>
      <c r="B113" t="s">
        <v>134</v>
      </c>
      <c r="C113" t="s">
        <v>167</v>
      </c>
      <c r="D113" t="s">
        <v>122</v>
      </c>
      <c r="E113" t="str">
        <f>VLOOKUP(D113,'[2]Lista de Produtos CLASSIFICAÇÃO'!$E$103:$F$114,2,FALSE)</f>
        <v>Óleo Vegetal</v>
      </c>
      <c r="F113">
        <v>108862.61099999999</v>
      </c>
      <c r="G113" t="str">
        <f>VLOOKUP(Tabela1[[#This Row],[Cliente]],clientes!$C$3:$D$60,2,FALSE)</f>
        <v>POOL</v>
      </c>
    </row>
    <row r="114" spans="1:7" x14ac:dyDescent="0.25">
      <c r="A114">
        <v>2021</v>
      </c>
      <c r="B114" t="s">
        <v>134</v>
      </c>
      <c r="C114" t="s">
        <v>168</v>
      </c>
      <c r="D114" t="s">
        <v>122</v>
      </c>
      <c r="E114" t="str">
        <f>VLOOKUP(D114,'[2]Lista de Produtos CLASSIFICAÇÃO'!$E$103:$F$114,2,FALSE)</f>
        <v>Óleo Vegetal</v>
      </c>
      <c r="G114" t="str">
        <f>VLOOKUP(Tabela1[[#This Row],[Cliente]],clientes!$C$3:$D$60,2,FALSE)</f>
        <v>POOL EXCEDENTE</v>
      </c>
    </row>
    <row r="115" spans="1:7" x14ac:dyDescent="0.25">
      <c r="A115">
        <v>2021</v>
      </c>
      <c r="B115" t="s">
        <v>134</v>
      </c>
      <c r="C115" t="s">
        <v>169</v>
      </c>
      <c r="D115" t="s">
        <v>22</v>
      </c>
      <c r="E115" t="str">
        <f>VLOOKUP(D115,'[2]Lista de Produtos CLASSIFICAÇÃO'!$E$103:$F$114,2,FALSE)</f>
        <v>Metanol</v>
      </c>
      <c r="F115">
        <v>52000</v>
      </c>
      <c r="G115" t="str">
        <f>VLOOKUP(Tabela1[[#This Row],[Cliente]],clientes!$C$3:$D$60,2,FALSE)</f>
        <v>METHANEX</v>
      </c>
    </row>
    <row r="116" spans="1:7" x14ac:dyDescent="0.25">
      <c r="A116">
        <v>2021</v>
      </c>
      <c r="B116" t="s">
        <v>134</v>
      </c>
      <c r="C116" t="s">
        <v>170</v>
      </c>
      <c r="D116" t="s">
        <v>22</v>
      </c>
      <c r="E116" t="str">
        <f>VLOOKUP(D116,'[2]Lista de Produtos CLASSIFICAÇÃO'!$E$103:$F$114,2,FALSE)</f>
        <v>Metanol</v>
      </c>
      <c r="F116">
        <v>13000</v>
      </c>
      <c r="G116" t="str">
        <f>VLOOKUP(Tabela1[[#This Row],[Cliente]],clientes!$C$3:$D$60,2,FALSE)</f>
        <v>MITSUBISHI</v>
      </c>
    </row>
    <row r="117" spans="1:7" x14ac:dyDescent="0.25">
      <c r="A117">
        <v>2021</v>
      </c>
      <c r="B117" t="s">
        <v>134</v>
      </c>
      <c r="C117" t="s">
        <v>196</v>
      </c>
      <c r="D117" t="s">
        <v>22</v>
      </c>
      <c r="E117" t="str">
        <f>VLOOKUP(D117,'[2]Lista de Produtos CLASSIFICAÇÃO'!$E$103:$F$114,2,FALSE)</f>
        <v>Metanol</v>
      </c>
      <c r="F117">
        <v>20000</v>
      </c>
      <c r="G117" t="str">
        <f>VLOOKUP(Tabela1[[#This Row],[Cliente]],clientes!$C$3:$D$60,2,FALSE)</f>
        <v>SCC</v>
      </c>
    </row>
    <row r="118" spans="1:7" x14ac:dyDescent="0.25">
      <c r="A118">
        <v>2021</v>
      </c>
      <c r="B118" t="s">
        <v>134</v>
      </c>
      <c r="C118" t="s">
        <v>196</v>
      </c>
      <c r="D118" t="s">
        <v>22</v>
      </c>
      <c r="E118" t="str">
        <f>VLOOKUP(D118,'[2]Lista de Produtos CLASSIFICAÇÃO'!$E$103:$F$114,2,FALSE)</f>
        <v>Metanol</v>
      </c>
      <c r="G118" t="str">
        <f>VLOOKUP(Tabela1[[#This Row],[Cliente]],clientes!$C$3:$D$60,2,FALSE)</f>
        <v>SCC</v>
      </c>
    </row>
    <row r="119" spans="1:7" x14ac:dyDescent="0.25">
      <c r="A119">
        <v>2021</v>
      </c>
      <c r="B119" t="s">
        <v>134</v>
      </c>
      <c r="C119" t="s">
        <v>208</v>
      </c>
      <c r="D119" t="s">
        <v>202</v>
      </c>
      <c r="E119" t="e">
        <f>VLOOKUP(D119,'[2]Lista de Produtos CLASSIFICAÇÃO'!$E$103:$F$114,2,FALSE)</f>
        <v>#N/A</v>
      </c>
      <c r="G119" t="str">
        <f>VLOOKUP(Tabela1[[#This Row],[Cliente]],clientes!$C$3:$D$60,2,FALSE)</f>
        <v>HINOVE</v>
      </c>
    </row>
    <row r="120" spans="1:7" x14ac:dyDescent="0.25">
      <c r="A120">
        <v>2021</v>
      </c>
      <c r="B120" t="s">
        <v>134</v>
      </c>
      <c r="C120" t="s">
        <v>172</v>
      </c>
      <c r="D120" t="s">
        <v>124</v>
      </c>
      <c r="E120" t="str">
        <f>VLOOKUP(D120,'[2]Lista de Produtos CLASSIFICAÇÃO'!$E$103:$F$114,2,FALSE)</f>
        <v>Outros</v>
      </c>
      <c r="F120">
        <v>1200</v>
      </c>
      <c r="G120" t="str">
        <f>VLOOKUP(Tabela1[[#This Row],[Cliente]],clientes!$C$3:$D$60,2,FALSE)</f>
        <v>EVONIK</v>
      </c>
    </row>
    <row r="121" spans="1:7" x14ac:dyDescent="0.25">
      <c r="A121">
        <v>2021</v>
      </c>
      <c r="B121" t="s">
        <v>134</v>
      </c>
      <c r="C121" t="s">
        <v>173</v>
      </c>
      <c r="D121" t="s">
        <v>22</v>
      </c>
      <c r="E121" t="str">
        <f>VLOOKUP(D121,'[2]Lista de Produtos CLASSIFICAÇÃO'!$E$103:$F$114,2,FALSE)</f>
        <v>Metanol</v>
      </c>
      <c r="G121" t="str">
        <f>VLOOKUP(Tabela1[[#This Row],[Cliente]],clientes!$C$3:$D$60,2,FALSE)</f>
        <v>YPF SOCIEDAD ANONIMA</v>
      </c>
    </row>
    <row r="122" spans="1:7" x14ac:dyDescent="0.25">
      <c r="A122">
        <v>2021</v>
      </c>
      <c r="B122" t="s">
        <v>134</v>
      </c>
      <c r="C122" t="s">
        <v>203</v>
      </c>
      <c r="D122" t="s">
        <v>124</v>
      </c>
      <c r="E122" t="str">
        <f>VLOOKUP(D122,'[2]Lista de Produtos CLASSIFICAÇÃO'!$E$103:$F$114,2,FALSE)</f>
        <v>Outros</v>
      </c>
      <c r="G122" t="str">
        <f>VLOOKUP(Tabela1[[#This Row],[Cliente]],clientes!$C$3:$D$60,2,FALSE)</f>
        <v>GTM</v>
      </c>
    </row>
    <row r="123" spans="1:7" x14ac:dyDescent="0.25">
      <c r="A123">
        <v>2021</v>
      </c>
      <c r="B123" t="s">
        <v>134</v>
      </c>
      <c r="C123" t="s">
        <v>197</v>
      </c>
      <c r="D123" t="s">
        <v>85</v>
      </c>
      <c r="E123" t="e">
        <f>VLOOKUP(D123,'[2]Lista de Produtos CLASSIFICAÇÃO'!$E$103:$F$114,2,FALSE)</f>
        <v>#N/A</v>
      </c>
      <c r="F123">
        <v>400</v>
      </c>
      <c r="G123" t="str">
        <f>VLOOKUP(Tabela1[[#This Row],[Cliente]],clientes!$C$3:$D$60,2,FALSE)</f>
        <v>DRT</v>
      </c>
    </row>
    <row r="124" spans="1:7" x14ac:dyDescent="0.25">
      <c r="A124">
        <v>2021</v>
      </c>
      <c r="B124" t="s">
        <v>134</v>
      </c>
      <c r="C124" t="s">
        <v>198</v>
      </c>
      <c r="D124" t="s">
        <v>121</v>
      </c>
      <c r="E124" t="str">
        <f>VLOOKUP(D124,'[2]Lista de Produtos CLASSIFICAÇÃO'!$E$103:$F$114,2,FALSE)</f>
        <v>Biocombustíveis</v>
      </c>
      <c r="G124" t="str">
        <f>VLOOKUP(Tabela1[[#This Row],[Cliente]],clientes!$C$3:$D$60,2,FALSE)</f>
        <v>TEREOS / INPASA / GLENCORE</v>
      </c>
    </row>
    <row r="125" spans="1:7" x14ac:dyDescent="0.25">
      <c r="A125">
        <v>2021</v>
      </c>
      <c r="B125" t="s">
        <v>134</v>
      </c>
      <c r="C125" t="s">
        <v>174</v>
      </c>
      <c r="D125" t="s">
        <v>123</v>
      </c>
      <c r="E125" t="str">
        <f>VLOOKUP(D125,'[2]Lista de Produtos CLASSIFICAÇÃO'!$E$103:$F$114,2,FALSE)</f>
        <v>Aquecidos</v>
      </c>
      <c r="F125">
        <v>3000</v>
      </c>
      <c r="G125" t="str">
        <f>VLOOKUP(Tabela1[[#This Row],[Cliente]],clientes!$C$3:$D$60,2,FALSE)</f>
        <v>CELENA</v>
      </c>
    </row>
    <row r="126" spans="1:7" x14ac:dyDescent="0.25">
      <c r="A126">
        <v>2021</v>
      </c>
      <c r="B126" t="s">
        <v>134</v>
      </c>
      <c r="C126" t="s">
        <v>175</v>
      </c>
      <c r="D126" t="s">
        <v>123</v>
      </c>
      <c r="E126" t="str">
        <f>VLOOKUP(D126,'[2]Lista de Produtos CLASSIFICAÇÃO'!$E$103:$F$114,2,FALSE)</f>
        <v>Aquecidos</v>
      </c>
      <c r="F126">
        <v>2000</v>
      </c>
      <c r="G126" t="str">
        <f>VLOOKUP(Tabela1[[#This Row],[Cliente]],clientes!$C$3:$D$60,2,FALSE)</f>
        <v>AAK DO BRASIL</v>
      </c>
    </row>
    <row r="127" spans="1:7" x14ac:dyDescent="0.25">
      <c r="A127">
        <v>2021</v>
      </c>
      <c r="B127" t="s">
        <v>134</v>
      </c>
      <c r="C127" t="s">
        <v>166</v>
      </c>
      <c r="D127" t="s">
        <v>122</v>
      </c>
      <c r="E127" t="str">
        <f>VLOOKUP(D127,'[2]Lista de Produtos CLASSIFICAÇÃO'!$E$103:$F$114,2,FALSE)</f>
        <v>Óleo Vegetal</v>
      </c>
      <c r="G127" t="str">
        <f>VLOOKUP(Tabela1[[#This Row],[Cliente]],clientes!$C$3:$D$60,2,FALSE)</f>
        <v>CARGILL</v>
      </c>
    </row>
    <row r="128" spans="1:7" x14ac:dyDescent="0.25">
      <c r="A128">
        <v>2021</v>
      </c>
      <c r="B128" t="s">
        <v>134</v>
      </c>
      <c r="C128" t="s">
        <v>176</v>
      </c>
      <c r="D128" t="s">
        <v>123</v>
      </c>
      <c r="E128" t="str">
        <f>VLOOKUP(D128,'[2]Lista de Produtos CLASSIFICAÇÃO'!$E$103:$F$114,2,FALSE)</f>
        <v>Aquecidos</v>
      </c>
      <c r="F128">
        <v>3000</v>
      </c>
      <c r="G128" t="str">
        <f>VLOOKUP(Tabela1[[#This Row],[Cliente]],clientes!$C$3:$D$60,2,FALSE)</f>
        <v>AGROPALMA</v>
      </c>
    </row>
    <row r="129" spans="1:7" x14ac:dyDescent="0.25">
      <c r="A129">
        <v>2021</v>
      </c>
      <c r="B129" t="s">
        <v>134</v>
      </c>
      <c r="C129" t="s">
        <v>204</v>
      </c>
      <c r="D129" t="s">
        <v>59</v>
      </c>
      <c r="E129" t="e">
        <f>VLOOKUP(D129,'[2]Lista de Produtos CLASSIFICAÇÃO'!$E$103:$F$114,2,FALSE)</f>
        <v>#N/A</v>
      </c>
      <c r="F129">
        <v>17500</v>
      </c>
      <c r="G129" t="str">
        <f>VLOOKUP(Tabela1[[#This Row],[Cliente]],clientes!$C$3:$D$60,2,FALSE)</f>
        <v>COPAPE</v>
      </c>
    </row>
    <row r="130" spans="1:7" x14ac:dyDescent="0.25">
      <c r="A130">
        <v>2021</v>
      </c>
      <c r="B130" t="s">
        <v>210</v>
      </c>
      <c r="C130" t="s">
        <v>155</v>
      </c>
      <c r="D130" t="s">
        <v>16</v>
      </c>
      <c r="E130" t="str">
        <f>VLOOKUP(D130,'[2]Lista de Produtos CLASSIFICAÇÃO'!$E$103:$F$114,2,FALSE)</f>
        <v>Outros</v>
      </c>
      <c r="F130">
        <v>3000</v>
      </c>
      <c r="G130" t="str">
        <f>VLOOKUP(Tabela1[[#This Row],[Cliente]],clientes!$C$3:$D$60,2,FALSE)</f>
        <v>ADISSEO</v>
      </c>
    </row>
    <row r="131" spans="1:7" x14ac:dyDescent="0.25">
      <c r="A131">
        <v>2021</v>
      </c>
      <c r="B131" t="s">
        <v>210</v>
      </c>
      <c r="C131" t="s">
        <v>155</v>
      </c>
      <c r="D131" t="s">
        <v>16</v>
      </c>
      <c r="E131" t="str">
        <f>VLOOKUP(D131,'[2]Lista de Produtos CLASSIFICAÇÃO'!$E$103:$F$114,2,FALSE)</f>
        <v>Outros</v>
      </c>
      <c r="F131">
        <v>500</v>
      </c>
      <c r="G131" t="str">
        <f>VLOOKUP(Tabela1[[#This Row],[Cliente]],clientes!$C$3:$D$60,2,FALSE)</f>
        <v>ADISSEO</v>
      </c>
    </row>
    <row r="132" spans="1:7" x14ac:dyDescent="0.25">
      <c r="A132">
        <v>2021</v>
      </c>
      <c r="B132" t="s">
        <v>210</v>
      </c>
      <c r="C132" t="s">
        <v>199</v>
      </c>
      <c r="D132" t="s">
        <v>16</v>
      </c>
      <c r="E132" t="str">
        <f>VLOOKUP(D132,'[2]Lista de Produtos CLASSIFICAÇÃO'!$E$103:$F$114,2,FALSE)</f>
        <v>Outros</v>
      </c>
      <c r="F132">
        <v>150</v>
      </c>
      <c r="G132" t="str">
        <f>VLOOKUP(Tabela1[[#This Row],[Cliente]],clientes!$C$3:$D$60,2,FALSE)</f>
        <v>ADISSEO</v>
      </c>
    </row>
    <row r="133" spans="1:7" x14ac:dyDescent="0.25">
      <c r="A133">
        <v>2021</v>
      </c>
      <c r="B133" t="s">
        <v>210</v>
      </c>
      <c r="C133" t="s">
        <v>157</v>
      </c>
      <c r="D133" t="s">
        <v>49</v>
      </c>
      <c r="E133" t="e">
        <f>VLOOKUP(D133,'[2]Lista de Produtos CLASSIFICAÇÃO'!$E$103:$F$114,2,FALSE)</f>
        <v>#N/A</v>
      </c>
      <c r="F133">
        <v>350</v>
      </c>
      <c r="G133" t="str">
        <f>VLOOKUP(Tabela1[[#This Row],[Cliente]],clientes!$C$3:$D$60,2,FALSE)</f>
        <v>ADM</v>
      </c>
    </row>
    <row r="134" spans="1:7" x14ac:dyDescent="0.25">
      <c r="A134">
        <v>2021</v>
      </c>
      <c r="B134" t="s">
        <v>210</v>
      </c>
      <c r="C134" t="s">
        <v>158</v>
      </c>
      <c r="D134" t="s">
        <v>120</v>
      </c>
      <c r="E134" t="str">
        <f>VLOOKUP(D134,'[2]Lista de Produtos CLASSIFICAÇÃO'!$E$103:$F$114,2,FALSE)</f>
        <v>Derivados</v>
      </c>
      <c r="F134">
        <v>113295</v>
      </c>
      <c r="G134" t="str">
        <f>VLOOKUP(Tabela1[[#This Row],[Cliente]],clientes!$C$3:$D$60,2,FALSE)</f>
        <v>IPIRANGA</v>
      </c>
    </row>
    <row r="135" spans="1:7" x14ac:dyDescent="0.25">
      <c r="A135">
        <v>2021</v>
      </c>
      <c r="B135" t="s">
        <v>210</v>
      </c>
      <c r="C135" t="s">
        <v>206</v>
      </c>
      <c r="D135" t="s">
        <v>120</v>
      </c>
      <c r="E135" t="str">
        <f>VLOOKUP(D135,'[2]Lista de Produtos CLASSIFICAÇÃO'!$E$103:$F$114,2,FALSE)</f>
        <v>Derivados</v>
      </c>
      <c r="F135">
        <v>53950</v>
      </c>
      <c r="G135" t="str">
        <f>VLOOKUP(Tabela1[[#This Row],[Cliente]],clientes!$C$3:$D$60,2,FALSE)</f>
        <v>BR</v>
      </c>
    </row>
    <row r="136" spans="1:7" x14ac:dyDescent="0.25">
      <c r="A136">
        <v>2021</v>
      </c>
      <c r="B136" t="s">
        <v>210</v>
      </c>
      <c r="C136" t="s">
        <v>200</v>
      </c>
      <c r="D136" t="s">
        <v>120</v>
      </c>
      <c r="E136" t="str">
        <f>VLOOKUP(D136,'[2]Lista de Produtos CLASSIFICAÇÃO'!$E$103:$F$114,2,FALSE)</f>
        <v>Derivados</v>
      </c>
      <c r="F136">
        <v>18691</v>
      </c>
      <c r="G136" t="str">
        <f>VLOOKUP(Tabela1[[#This Row],[Cliente]],clientes!$C$3:$D$60,2,FALSE)</f>
        <v>GREENENERGY</v>
      </c>
    </row>
    <row r="137" spans="1:7" x14ac:dyDescent="0.25">
      <c r="A137">
        <v>2021</v>
      </c>
      <c r="B137" t="s">
        <v>210</v>
      </c>
      <c r="C137" t="s">
        <v>161</v>
      </c>
      <c r="D137" t="s">
        <v>120</v>
      </c>
      <c r="E137" t="str">
        <f>VLOOKUP(D137,'[2]Lista de Produtos CLASSIFICAÇÃO'!$E$103:$F$114,2,FALSE)</f>
        <v>Derivados</v>
      </c>
      <c r="F137">
        <v>33615</v>
      </c>
      <c r="G137" t="str">
        <f>VLOOKUP(Tabela1[[#This Row],[Cliente]],clientes!$C$3:$D$60,2,FALSE)</f>
        <v>SUL PLATA</v>
      </c>
    </row>
    <row r="138" spans="1:7" x14ac:dyDescent="0.25">
      <c r="A138">
        <v>2021</v>
      </c>
      <c r="B138" t="s">
        <v>210</v>
      </c>
      <c r="C138" t="s">
        <v>161</v>
      </c>
      <c r="D138" t="s">
        <v>120</v>
      </c>
      <c r="E138" t="str">
        <f>VLOOKUP(D138,'[2]Lista de Produtos CLASSIFICAÇÃO'!$E$103:$F$114,2,FALSE)</f>
        <v>Derivados</v>
      </c>
      <c r="G138" t="str">
        <f>VLOOKUP(Tabela1[[#This Row],[Cliente]],clientes!$C$3:$D$60,2,FALSE)</f>
        <v>SUL PLATA</v>
      </c>
    </row>
    <row r="139" spans="1:7" x14ac:dyDescent="0.25">
      <c r="A139">
        <v>2021</v>
      </c>
      <c r="B139" t="s">
        <v>210</v>
      </c>
      <c r="C139" t="s">
        <v>162</v>
      </c>
      <c r="D139" t="s">
        <v>115</v>
      </c>
      <c r="E139" t="str">
        <f>VLOOKUP(D139,'[2]Lista de Produtos CLASSIFICAÇÃO'!$E$103:$F$114,2,FALSE)</f>
        <v>Soda Caustica</v>
      </c>
      <c r="F139">
        <v>2300</v>
      </c>
      <c r="G139" t="str">
        <f>VLOOKUP(Tabela1[[#This Row],[Cliente]],clientes!$C$3:$D$60,2,FALSE)</f>
        <v>JBS</v>
      </c>
    </row>
    <row r="140" spans="1:7" x14ac:dyDescent="0.25">
      <c r="A140">
        <v>2021</v>
      </c>
      <c r="B140" t="s">
        <v>210</v>
      </c>
      <c r="C140" t="s">
        <v>163</v>
      </c>
      <c r="D140" t="s">
        <v>115</v>
      </c>
      <c r="E140" t="str">
        <f>VLOOKUP(D140,'[2]Lista de Produtos CLASSIFICAÇÃO'!$E$103:$F$114,2,FALSE)</f>
        <v>Soda Caustica</v>
      </c>
      <c r="F140">
        <v>3200</v>
      </c>
      <c r="G140" t="str">
        <f>VLOOKUP(Tabela1[[#This Row],[Cliente]],clientes!$C$3:$D$60,2,FALSE)</f>
        <v>TRICON ENERGY</v>
      </c>
    </row>
    <row r="141" spans="1:7" x14ac:dyDescent="0.25">
      <c r="A141">
        <v>2021</v>
      </c>
      <c r="B141" t="s">
        <v>210</v>
      </c>
      <c r="C141" t="s">
        <v>207</v>
      </c>
      <c r="D141" t="s">
        <v>16</v>
      </c>
      <c r="E141" t="str">
        <f>VLOOKUP(D141,'[2]Lista de Produtos CLASSIFICAÇÃO'!$E$103:$F$114,2,FALSE)</f>
        <v>Outros</v>
      </c>
      <c r="G141" t="str">
        <f>VLOOKUP(Tabela1[[#This Row],[Cliente]],clientes!$C$3:$D$60,2,FALSE)</f>
        <v>NOVUS</v>
      </c>
    </row>
    <row r="142" spans="1:7" x14ac:dyDescent="0.25">
      <c r="A142">
        <v>2021</v>
      </c>
      <c r="B142" t="s">
        <v>210</v>
      </c>
      <c r="C142" t="s">
        <v>165</v>
      </c>
      <c r="D142" t="s">
        <v>123</v>
      </c>
      <c r="E142" t="str">
        <f>VLOOKUP(D142,'[2]Lista de Produtos CLASSIFICAÇÃO'!$E$103:$F$114,2,FALSE)</f>
        <v>Aquecidos</v>
      </c>
      <c r="F142">
        <v>3000</v>
      </c>
      <c r="G142" t="str">
        <f>VLOOKUP(Tabela1[[#This Row],[Cliente]],clientes!$C$3:$D$60,2,FALSE)</f>
        <v>BRF</v>
      </c>
    </row>
    <row r="143" spans="1:7" x14ac:dyDescent="0.25">
      <c r="A143">
        <v>2021</v>
      </c>
      <c r="B143" t="s">
        <v>210</v>
      </c>
      <c r="C143" t="s">
        <v>162</v>
      </c>
      <c r="D143" t="s">
        <v>123</v>
      </c>
      <c r="E143" t="str">
        <f>VLOOKUP(D143,'[2]Lista de Produtos CLASSIFICAÇÃO'!$E$103:$F$114,2,FALSE)</f>
        <v>Aquecidos</v>
      </c>
      <c r="F143">
        <v>1300</v>
      </c>
      <c r="G143" t="str">
        <f>VLOOKUP(Tabela1[[#This Row],[Cliente]],clientes!$C$3:$D$60,2,FALSE)</f>
        <v>JBS</v>
      </c>
    </row>
    <row r="144" spans="1:7" x14ac:dyDescent="0.25">
      <c r="A144">
        <v>2021</v>
      </c>
      <c r="B144" t="s">
        <v>210</v>
      </c>
      <c r="C144" t="s">
        <v>166</v>
      </c>
      <c r="D144" t="s">
        <v>123</v>
      </c>
      <c r="E144" t="str">
        <f>VLOOKUP(D144,'[2]Lista de Produtos CLASSIFICAÇÃO'!$E$103:$F$114,2,FALSE)</f>
        <v>Aquecidos</v>
      </c>
      <c r="F144">
        <v>3500</v>
      </c>
      <c r="G144" t="str">
        <f>VLOOKUP(Tabela1[[#This Row],[Cliente]],clientes!$C$3:$D$60,2,FALSE)</f>
        <v>CARGILL</v>
      </c>
    </row>
    <row r="145" spans="1:7" x14ac:dyDescent="0.25">
      <c r="A145">
        <v>2021</v>
      </c>
      <c r="B145" t="s">
        <v>210</v>
      </c>
      <c r="C145" t="s">
        <v>167</v>
      </c>
      <c r="D145" t="s">
        <v>122</v>
      </c>
      <c r="E145" t="str">
        <f>VLOOKUP(D145,'[2]Lista de Produtos CLASSIFICAÇÃO'!$E$103:$F$114,2,FALSE)</f>
        <v>Óleo Vegetal</v>
      </c>
      <c r="F145">
        <v>75319.296000000002</v>
      </c>
      <c r="G145" t="str">
        <f>VLOOKUP(Tabela1[[#This Row],[Cliente]],clientes!$C$3:$D$60,2,FALSE)</f>
        <v>POOL</v>
      </c>
    </row>
    <row r="146" spans="1:7" x14ac:dyDescent="0.25">
      <c r="A146">
        <v>2021</v>
      </c>
      <c r="B146" t="s">
        <v>210</v>
      </c>
      <c r="C146" t="s">
        <v>168</v>
      </c>
      <c r="D146" t="s">
        <v>122</v>
      </c>
      <c r="E146" t="str">
        <f>VLOOKUP(D146,'[2]Lista de Produtos CLASSIFICAÇÃO'!$E$103:$F$114,2,FALSE)</f>
        <v>Óleo Vegetal</v>
      </c>
      <c r="G146" t="str">
        <f>VLOOKUP(Tabela1[[#This Row],[Cliente]],clientes!$C$3:$D$60,2,FALSE)</f>
        <v>POOL EXCEDENTE</v>
      </c>
    </row>
    <row r="147" spans="1:7" x14ac:dyDescent="0.25">
      <c r="A147">
        <v>2021</v>
      </c>
      <c r="B147" t="s">
        <v>210</v>
      </c>
      <c r="C147" t="s">
        <v>169</v>
      </c>
      <c r="D147" t="s">
        <v>22</v>
      </c>
      <c r="E147" t="str">
        <f>VLOOKUP(D147,'[2]Lista de Produtos CLASSIFICAÇÃO'!$E$103:$F$114,2,FALSE)</f>
        <v>Metanol</v>
      </c>
      <c r="F147">
        <v>52000</v>
      </c>
      <c r="G147" t="str">
        <f>VLOOKUP(Tabela1[[#This Row],[Cliente]],clientes!$C$3:$D$60,2,FALSE)</f>
        <v>METHANEX</v>
      </c>
    </row>
    <row r="148" spans="1:7" x14ac:dyDescent="0.25">
      <c r="A148">
        <v>2021</v>
      </c>
      <c r="B148" t="s">
        <v>210</v>
      </c>
      <c r="C148" t="s">
        <v>170</v>
      </c>
      <c r="D148" t="s">
        <v>22</v>
      </c>
      <c r="E148" t="str">
        <f>VLOOKUP(D148,'[2]Lista de Produtos CLASSIFICAÇÃO'!$E$103:$F$114,2,FALSE)</f>
        <v>Metanol</v>
      </c>
      <c r="F148">
        <v>13000</v>
      </c>
      <c r="G148" t="str">
        <f>VLOOKUP(Tabela1[[#This Row],[Cliente]],clientes!$C$3:$D$60,2,FALSE)</f>
        <v>MITSUBISHI</v>
      </c>
    </row>
    <row r="149" spans="1:7" x14ac:dyDescent="0.25">
      <c r="A149">
        <v>2021</v>
      </c>
      <c r="B149" t="s">
        <v>210</v>
      </c>
      <c r="C149" t="s">
        <v>196</v>
      </c>
      <c r="D149" t="s">
        <v>22</v>
      </c>
      <c r="E149" t="str">
        <f>VLOOKUP(D149,'[2]Lista de Produtos CLASSIFICAÇÃO'!$E$103:$F$114,2,FALSE)</f>
        <v>Metanol</v>
      </c>
      <c r="F149">
        <v>20000</v>
      </c>
      <c r="G149" t="str">
        <f>VLOOKUP(Tabela1[[#This Row],[Cliente]],clientes!$C$3:$D$60,2,FALSE)</f>
        <v>SCC</v>
      </c>
    </row>
    <row r="150" spans="1:7" x14ac:dyDescent="0.25">
      <c r="A150">
        <v>2021</v>
      </c>
      <c r="B150" t="s">
        <v>210</v>
      </c>
      <c r="C150" t="s">
        <v>196</v>
      </c>
      <c r="D150" t="s">
        <v>22</v>
      </c>
      <c r="E150" t="str">
        <f>VLOOKUP(D150,'[2]Lista de Produtos CLASSIFICAÇÃO'!$E$103:$F$114,2,FALSE)</f>
        <v>Metanol</v>
      </c>
      <c r="G150" t="str">
        <f>VLOOKUP(Tabela1[[#This Row],[Cliente]],clientes!$C$3:$D$60,2,FALSE)</f>
        <v>SCC</v>
      </c>
    </row>
    <row r="151" spans="1:7" x14ac:dyDescent="0.25">
      <c r="A151">
        <v>2021</v>
      </c>
      <c r="B151" t="s">
        <v>210</v>
      </c>
      <c r="C151" t="s">
        <v>208</v>
      </c>
      <c r="D151" t="s">
        <v>202</v>
      </c>
      <c r="E151" t="e">
        <f>VLOOKUP(D151,'[2]Lista de Produtos CLASSIFICAÇÃO'!$E$103:$F$114,2,FALSE)</f>
        <v>#N/A</v>
      </c>
      <c r="G151" t="str">
        <f>VLOOKUP(Tabela1[[#This Row],[Cliente]],clientes!$C$3:$D$60,2,FALSE)</f>
        <v>HINOVE</v>
      </c>
    </row>
    <row r="152" spans="1:7" x14ac:dyDescent="0.25">
      <c r="A152">
        <v>2021</v>
      </c>
      <c r="B152" t="s">
        <v>210</v>
      </c>
      <c r="C152" t="s">
        <v>172</v>
      </c>
      <c r="D152" t="s">
        <v>124</v>
      </c>
      <c r="E152" t="str">
        <f>VLOOKUP(D152,'[2]Lista de Produtos CLASSIFICAÇÃO'!$E$103:$F$114,2,FALSE)</f>
        <v>Outros</v>
      </c>
      <c r="F152">
        <v>1200</v>
      </c>
      <c r="G152" t="str">
        <f>VLOOKUP(Tabela1[[#This Row],[Cliente]],clientes!$C$3:$D$60,2,FALSE)</f>
        <v>EVONIK</v>
      </c>
    </row>
    <row r="153" spans="1:7" x14ac:dyDescent="0.25">
      <c r="A153">
        <v>2021</v>
      </c>
      <c r="B153" t="s">
        <v>210</v>
      </c>
      <c r="C153" t="s">
        <v>173</v>
      </c>
      <c r="D153" t="s">
        <v>22</v>
      </c>
      <c r="E153" t="str">
        <f>VLOOKUP(D153,'[2]Lista de Produtos CLASSIFICAÇÃO'!$E$103:$F$114,2,FALSE)</f>
        <v>Metanol</v>
      </c>
      <c r="G153" t="str">
        <f>VLOOKUP(Tabela1[[#This Row],[Cliente]],clientes!$C$3:$D$60,2,FALSE)</f>
        <v>YPF SOCIEDAD ANONIMA</v>
      </c>
    </row>
    <row r="154" spans="1:7" x14ac:dyDescent="0.25">
      <c r="A154">
        <v>2021</v>
      </c>
      <c r="B154" t="s">
        <v>210</v>
      </c>
      <c r="C154" t="s">
        <v>203</v>
      </c>
      <c r="D154" t="s">
        <v>124</v>
      </c>
      <c r="E154" t="str">
        <f>VLOOKUP(D154,'[2]Lista de Produtos CLASSIFICAÇÃO'!$E$103:$F$114,2,FALSE)</f>
        <v>Outros</v>
      </c>
      <c r="F154">
        <v>1000</v>
      </c>
      <c r="G154" t="str">
        <f>VLOOKUP(Tabela1[[#This Row],[Cliente]],clientes!$C$3:$D$60,2,FALSE)</f>
        <v>GTM</v>
      </c>
    </row>
    <row r="155" spans="1:7" x14ac:dyDescent="0.25">
      <c r="A155">
        <v>2021</v>
      </c>
      <c r="B155" t="s">
        <v>210</v>
      </c>
      <c r="C155" t="s">
        <v>197</v>
      </c>
      <c r="D155" t="s">
        <v>85</v>
      </c>
      <c r="E155" t="e">
        <f>VLOOKUP(D155,'[2]Lista de Produtos CLASSIFICAÇÃO'!$E$103:$F$114,2,FALSE)</f>
        <v>#N/A</v>
      </c>
      <c r="F155">
        <v>400</v>
      </c>
      <c r="G155" t="str">
        <f>VLOOKUP(Tabela1[[#This Row],[Cliente]],clientes!$C$3:$D$60,2,FALSE)</f>
        <v>DRT</v>
      </c>
    </row>
    <row r="156" spans="1:7" x14ac:dyDescent="0.25">
      <c r="A156">
        <v>2021</v>
      </c>
      <c r="B156" t="s">
        <v>210</v>
      </c>
      <c r="C156" t="s">
        <v>198</v>
      </c>
      <c r="D156" t="s">
        <v>121</v>
      </c>
      <c r="E156" t="str">
        <f>VLOOKUP(D156,'[2]Lista de Produtos CLASSIFICAÇÃO'!$E$103:$F$114,2,FALSE)</f>
        <v>Biocombustíveis</v>
      </c>
      <c r="G156" t="str">
        <f>VLOOKUP(Tabela1[[#This Row],[Cliente]],clientes!$C$3:$D$60,2,FALSE)</f>
        <v>TEREOS / INPASA / GLENCORE</v>
      </c>
    </row>
    <row r="157" spans="1:7" x14ac:dyDescent="0.25">
      <c r="A157">
        <v>2021</v>
      </c>
      <c r="B157" t="s">
        <v>210</v>
      </c>
      <c r="C157" t="s">
        <v>174</v>
      </c>
      <c r="D157" t="s">
        <v>123</v>
      </c>
      <c r="E157" t="str">
        <f>VLOOKUP(D157,'[2]Lista de Produtos CLASSIFICAÇÃO'!$E$103:$F$114,2,FALSE)</f>
        <v>Aquecidos</v>
      </c>
      <c r="F157">
        <v>3000</v>
      </c>
      <c r="G157" t="str">
        <f>VLOOKUP(Tabela1[[#This Row],[Cliente]],clientes!$C$3:$D$60,2,FALSE)</f>
        <v>CELENA</v>
      </c>
    </row>
    <row r="158" spans="1:7" x14ac:dyDescent="0.25">
      <c r="A158">
        <v>2021</v>
      </c>
      <c r="B158" t="s">
        <v>210</v>
      </c>
      <c r="C158" t="s">
        <v>175</v>
      </c>
      <c r="D158" t="s">
        <v>123</v>
      </c>
      <c r="E158" t="str">
        <f>VLOOKUP(D158,'[2]Lista de Produtos CLASSIFICAÇÃO'!$E$103:$F$114,2,FALSE)</f>
        <v>Aquecidos</v>
      </c>
      <c r="F158">
        <v>2000</v>
      </c>
      <c r="G158" t="str">
        <f>VLOOKUP(Tabela1[[#This Row],[Cliente]],clientes!$C$3:$D$60,2,FALSE)</f>
        <v>AAK DO BRASIL</v>
      </c>
    </row>
    <row r="159" spans="1:7" x14ac:dyDescent="0.25">
      <c r="A159">
        <v>2021</v>
      </c>
      <c r="B159" t="s">
        <v>210</v>
      </c>
      <c r="C159" t="s">
        <v>166</v>
      </c>
      <c r="D159" t="s">
        <v>122</v>
      </c>
      <c r="E159" t="str">
        <f>VLOOKUP(D159,'[2]Lista de Produtos CLASSIFICAÇÃO'!$E$103:$F$114,2,FALSE)</f>
        <v>Óleo Vegetal</v>
      </c>
      <c r="F159">
        <v>5000</v>
      </c>
      <c r="G159" t="str">
        <f>VLOOKUP(Tabela1[[#This Row],[Cliente]],clientes!$C$3:$D$60,2,FALSE)</f>
        <v>CARGILL</v>
      </c>
    </row>
    <row r="160" spans="1:7" x14ac:dyDescent="0.25">
      <c r="A160">
        <v>2021</v>
      </c>
      <c r="B160" t="s">
        <v>210</v>
      </c>
      <c r="C160" t="s">
        <v>176</v>
      </c>
      <c r="D160" t="s">
        <v>123</v>
      </c>
      <c r="E160" t="str">
        <f>VLOOKUP(D160,'[2]Lista de Produtos CLASSIFICAÇÃO'!$E$103:$F$114,2,FALSE)</f>
        <v>Aquecidos</v>
      </c>
      <c r="F160">
        <v>3000</v>
      </c>
      <c r="G160" t="str">
        <f>VLOOKUP(Tabela1[[#This Row],[Cliente]],clientes!$C$3:$D$60,2,FALSE)</f>
        <v>AGROPALMA</v>
      </c>
    </row>
    <row r="161" spans="1:7" x14ac:dyDescent="0.25">
      <c r="A161">
        <v>2021</v>
      </c>
      <c r="B161" t="s">
        <v>210</v>
      </c>
      <c r="C161" t="s">
        <v>204</v>
      </c>
      <c r="D161" t="s">
        <v>59</v>
      </c>
      <c r="E161" t="e">
        <f>VLOOKUP(D161,'[2]Lista de Produtos CLASSIFICAÇÃO'!$E$103:$F$114,2,FALSE)</f>
        <v>#N/A</v>
      </c>
      <c r="F161">
        <v>17500</v>
      </c>
      <c r="G161" t="str">
        <f>VLOOKUP(Tabela1[[#This Row],[Cliente]],clientes!$C$3:$D$60,2,FALSE)</f>
        <v>COPAPE</v>
      </c>
    </row>
    <row r="162" spans="1:7" x14ac:dyDescent="0.25">
      <c r="A162">
        <v>2021</v>
      </c>
      <c r="B162" t="s">
        <v>136</v>
      </c>
      <c r="C162" t="s">
        <v>155</v>
      </c>
      <c r="D162" t="s">
        <v>16</v>
      </c>
      <c r="E162" t="str">
        <f>VLOOKUP(D162,'[2]Lista de Produtos CLASSIFICAÇÃO'!$E$103:$F$114,2,FALSE)</f>
        <v>Outros</v>
      </c>
      <c r="F162">
        <v>3000</v>
      </c>
      <c r="G162" t="str">
        <f>VLOOKUP(Tabela1[[#This Row],[Cliente]],clientes!$C$3:$D$60,2,FALSE)</f>
        <v>ADISSEO</v>
      </c>
    </row>
    <row r="163" spans="1:7" x14ac:dyDescent="0.25">
      <c r="A163">
        <v>2021</v>
      </c>
      <c r="B163" t="s">
        <v>136</v>
      </c>
      <c r="C163" t="s">
        <v>155</v>
      </c>
      <c r="D163" t="s">
        <v>16</v>
      </c>
      <c r="E163" t="str">
        <f>VLOOKUP(D163,'[2]Lista de Produtos CLASSIFICAÇÃO'!$E$103:$F$114,2,FALSE)</f>
        <v>Outros</v>
      </c>
      <c r="F163">
        <v>500</v>
      </c>
      <c r="G163" t="str">
        <f>VLOOKUP(Tabela1[[#This Row],[Cliente]],clientes!$C$3:$D$60,2,FALSE)</f>
        <v>ADISSEO</v>
      </c>
    </row>
    <row r="164" spans="1:7" x14ac:dyDescent="0.25">
      <c r="A164">
        <v>2021</v>
      </c>
      <c r="B164" t="s">
        <v>136</v>
      </c>
      <c r="C164" t="s">
        <v>199</v>
      </c>
      <c r="D164" t="s">
        <v>16</v>
      </c>
      <c r="E164" t="str">
        <f>VLOOKUP(D164,'[2]Lista de Produtos CLASSIFICAÇÃO'!$E$103:$F$114,2,FALSE)</f>
        <v>Outros</v>
      </c>
      <c r="F164">
        <v>150</v>
      </c>
      <c r="G164" t="str">
        <f>VLOOKUP(Tabela1[[#This Row],[Cliente]],clientes!$C$3:$D$60,2,FALSE)</f>
        <v>ADISSEO</v>
      </c>
    </row>
    <row r="165" spans="1:7" x14ac:dyDescent="0.25">
      <c r="A165">
        <v>2021</v>
      </c>
      <c r="B165" t="s">
        <v>136</v>
      </c>
      <c r="C165" t="s">
        <v>157</v>
      </c>
      <c r="D165" t="s">
        <v>49</v>
      </c>
      <c r="E165" t="e">
        <f>VLOOKUP(D165,'[2]Lista de Produtos CLASSIFICAÇÃO'!$E$103:$F$114,2,FALSE)</f>
        <v>#N/A</v>
      </c>
      <c r="F165">
        <v>350</v>
      </c>
      <c r="G165" t="str">
        <f>VLOOKUP(Tabela1[[#This Row],[Cliente]],clientes!$C$3:$D$60,2,FALSE)</f>
        <v>ADM</v>
      </c>
    </row>
    <row r="166" spans="1:7" x14ac:dyDescent="0.25">
      <c r="A166">
        <v>2021</v>
      </c>
      <c r="B166" t="s">
        <v>136</v>
      </c>
      <c r="C166" t="s">
        <v>158</v>
      </c>
      <c r="D166" t="s">
        <v>120</v>
      </c>
      <c r="E166" t="str">
        <f>VLOOKUP(D166,'[2]Lista de Produtos CLASSIFICAÇÃO'!$E$103:$F$114,2,FALSE)</f>
        <v>Derivados</v>
      </c>
      <c r="F166">
        <v>113295</v>
      </c>
      <c r="G166" t="str">
        <f>VLOOKUP(Tabela1[[#This Row],[Cliente]],clientes!$C$3:$D$60,2,FALSE)</f>
        <v>IPIRANGA</v>
      </c>
    </row>
    <row r="167" spans="1:7" x14ac:dyDescent="0.25">
      <c r="A167">
        <v>2021</v>
      </c>
      <c r="B167" t="s">
        <v>136</v>
      </c>
      <c r="C167" t="s">
        <v>206</v>
      </c>
      <c r="D167" t="s">
        <v>120</v>
      </c>
      <c r="E167" t="str">
        <f>VLOOKUP(D167,'[2]Lista de Produtos CLASSIFICAÇÃO'!$E$103:$F$114,2,FALSE)</f>
        <v>Derivados</v>
      </c>
      <c r="F167">
        <v>53950</v>
      </c>
      <c r="G167" t="str">
        <f>VLOOKUP(Tabela1[[#This Row],[Cliente]],clientes!$C$3:$D$60,2,FALSE)</f>
        <v>BR</v>
      </c>
    </row>
    <row r="168" spans="1:7" x14ac:dyDescent="0.25">
      <c r="A168">
        <v>2021</v>
      </c>
      <c r="B168" t="s">
        <v>136</v>
      </c>
      <c r="C168" t="s">
        <v>200</v>
      </c>
      <c r="D168" t="s">
        <v>120</v>
      </c>
      <c r="E168" t="str">
        <f>VLOOKUP(D168,'[2]Lista de Produtos CLASSIFICAÇÃO'!$E$103:$F$114,2,FALSE)</f>
        <v>Derivados</v>
      </c>
      <c r="F168">
        <v>18691</v>
      </c>
      <c r="G168" t="str">
        <f>VLOOKUP(Tabela1[[#This Row],[Cliente]],clientes!$C$3:$D$60,2,FALSE)</f>
        <v>GREENENERGY</v>
      </c>
    </row>
    <row r="169" spans="1:7" x14ac:dyDescent="0.25">
      <c r="A169">
        <v>2021</v>
      </c>
      <c r="B169" t="s">
        <v>136</v>
      </c>
      <c r="C169" t="s">
        <v>161</v>
      </c>
      <c r="D169" t="s">
        <v>120</v>
      </c>
      <c r="E169" t="str">
        <f>VLOOKUP(D169,'[2]Lista de Produtos CLASSIFICAÇÃO'!$E$103:$F$114,2,FALSE)</f>
        <v>Derivados</v>
      </c>
      <c r="F169">
        <v>33615</v>
      </c>
      <c r="G169" t="str">
        <f>VLOOKUP(Tabela1[[#This Row],[Cliente]],clientes!$C$3:$D$60,2,FALSE)</f>
        <v>SUL PLATA</v>
      </c>
    </row>
    <row r="170" spans="1:7" x14ac:dyDescent="0.25">
      <c r="A170">
        <v>2021</v>
      </c>
      <c r="B170" t="s">
        <v>136</v>
      </c>
      <c r="C170" t="s">
        <v>161</v>
      </c>
      <c r="D170" t="s">
        <v>120</v>
      </c>
      <c r="E170" t="str">
        <f>VLOOKUP(D170,'[2]Lista de Produtos CLASSIFICAÇÃO'!$E$103:$F$114,2,FALSE)</f>
        <v>Derivados</v>
      </c>
      <c r="G170" t="str">
        <f>VLOOKUP(Tabela1[[#This Row],[Cliente]],clientes!$C$3:$D$60,2,FALSE)</f>
        <v>SUL PLATA</v>
      </c>
    </row>
    <row r="171" spans="1:7" x14ac:dyDescent="0.25">
      <c r="A171">
        <v>2021</v>
      </c>
      <c r="B171" t="s">
        <v>136</v>
      </c>
      <c r="C171" t="s">
        <v>162</v>
      </c>
      <c r="D171" t="s">
        <v>115</v>
      </c>
      <c r="E171" t="str">
        <f>VLOOKUP(D171,'[2]Lista de Produtos CLASSIFICAÇÃO'!$E$103:$F$114,2,FALSE)</f>
        <v>Soda Caustica</v>
      </c>
      <c r="F171">
        <v>2300</v>
      </c>
      <c r="G171" t="str">
        <f>VLOOKUP(Tabela1[[#This Row],[Cliente]],clientes!$C$3:$D$60,2,FALSE)</f>
        <v>JBS</v>
      </c>
    </row>
    <row r="172" spans="1:7" x14ac:dyDescent="0.25">
      <c r="A172">
        <v>2021</v>
      </c>
      <c r="B172" t="s">
        <v>136</v>
      </c>
      <c r="C172" t="s">
        <v>163</v>
      </c>
      <c r="D172" t="s">
        <v>115</v>
      </c>
      <c r="E172" t="str">
        <f>VLOOKUP(D172,'[2]Lista de Produtos CLASSIFICAÇÃO'!$E$103:$F$114,2,FALSE)</f>
        <v>Soda Caustica</v>
      </c>
      <c r="F172">
        <v>3200</v>
      </c>
      <c r="G172" t="str">
        <f>VLOOKUP(Tabela1[[#This Row],[Cliente]],clientes!$C$3:$D$60,2,FALSE)</f>
        <v>TRICON ENERGY</v>
      </c>
    </row>
    <row r="173" spans="1:7" x14ac:dyDescent="0.25">
      <c r="A173">
        <v>2021</v>
      </c>
      <c r="B173" t="s">
        <v>136</v>
      </c>
      <c r="C173" t="s">
        <v>207</v>
      </c>
      <c r="D173" t="s">
        <v>16</v>
      </c>
      <c r="E173" t="str">
        <f>VLOOKUP(D173,'[2]Lista de Produtos CLASSIFICAÇÃO'!$E$103:$F$114,2,FALSE)</f>
        <v>Outros</v>
      </c>
      <c r="G173" t="str">
        <f>VLOOKUP(Tabela1[[#This Row],[Cliente]],clientes!$C$3:$D$60,2,FALSE)</f>
        <v>NOVUS</v>
      </c>
    </row>
    <row r="174" spans="1:7" x14ac:dyDescent="0.25">
      <c r="A174">
        <v>2021</v>
      </c>
      <c r="B174" t="s">
        <v>136</v>
      </c>
      <c r="C174" t="s">
        <v>165</v>
      </c>
      <c r="D174" t="s">
        <v>123</v>
      </c>
      <c r="E174" t="str">
        <f>VLOOKUP(D174,'[2]Lista de Produtos CLASSIFICAÇÃO'!$E$103:$F$114,2,FALSE)</f>
        <v>Aquecidos</v>
      </c>
      <c r="F174">
        <v>3000</v>
      </c>
      <c r="G174" t="str">
        <f>VLOOKUP(Tabela1[[#This Row],[Cliente]],clientes!$C$3:$D$60,2,FALSE)</f>
        <v>BRF</v>
      </c>
    </row>
    <row r="175" spans="1:7" x14ac:dyDescent="0.25">
      <c r="A175">
        <v>2021</v>
      </c>
      <c r="B175" t="s">
        <v>136</v>
      </c>
      <c r="C175" t="s">
        <v>162</v>
      </c>
      <c r="D175" t="s">
        <v>123</v>
      </c>
      <c r="E175" t="str">
        <f>VLOOKUP(D175,'[2]Lista de Produtos CLASSIFICAÇÃO'!$E$103:$F$114,2,FALSE)</f>
        <v>Aquecidos</v>
      </c>
      <c r="F175">
        <v>1300</v>
      </c>
      <c r="G175" t="str">
        <f>VLOOKUP(Tabela1[[#This Row],[Cliente]],clientes!$C$3:$D$60,2,FALSE)</f>
        <v>JBS</v>
      </c>
    </row>
    <row r="176" spans="1:7" x14ac:dyDescent="0.25">
      <c r="A176">
        <v>2021</v>
      </c>
      <c r="B176" t="s">
        <v>136</v>
      </c>
      <c r="C176" t="s">
        <v>166</v>
      </c>
      <c r="D176" t="s">
        <v>123</v>
      </c>
      <c r="E176" t="str">
        <f>VLOOKUP(D176,'[2]Lista de Produtos CLASSIFICAÇÃO'!$E$103:$F$114,2,FALSE)</f>
        <v>Aquecidos</v>
      </c>
      <c r="F176">
        <v>3500</v>
      </c>
      <c r="G176" t="str">
        <f>VLOOKUP(Tabela1[[#This Row],[Cliente]],clientes!$C$3:$D$60,2,FALSE)</f>
        <v>CARGILL</v>
      </c>
    </row>
    <row r="177" spans="1:7" x14ac:dyDescent="0.25">
      <c r="A177">
        <v>2021</v>
      </c>
      <c r="B177" t="s">
        <v>136</v>
      </c>
      <c r="C177" t="s">
        <v>167</v>
      </c>
      <c r="D177" t="s">
        <v>122</v>
      </c>
      <c r="E177" t="str">
        <f>VLOOKUP(D177,'[2]Lista de Produtos CLASSIFICAÇÃO'!$E$103:$F$114,2,FALSE)</f>
        <v>Óleo Vegetal</v>
      </c>
      <c r="F177">
        <v>123585.10788000003</v>
      </c>
      <c r="G177" t="str">
        <f>VLOOKUP(Tabela1[[#This Row],[Cliente]],clientes!$C$3:$D$60,2,FALSE)</f>
        <v>POOL</v>
      </c>
    </row>
    <row r="178" spans="1:7" x14ac:dyDescent="0.25">
      <c r="A178">
        <v>2021</v>
      </c>
      <c r="B178" t="s">
        <v>136</v>
      </c>
      <c r="C178" t="s">
        <v>168</v>
      </c>
      <c r="D178" t="s">
        <v>122</v>
      </c>
      <c r="E178" t="str">
        <f>VLOOKUP(D178,'[2]Lista de Produtos CLASSIFICAÇÃO'!$E$103:$F$114,2,FALSE)</f>
        <v>Óleo Vegetal</v>
      </c>
      <c r="G178" t="str">
        <f>VLOOKUP(Tabela1[[#This Row],[Cliente]],clientes!$C$3:$D$60,2,FALSE)</f>
        <v>POOL EXCEDENTE</v>
      </c>
    </row>
    <row r="179" spans="1:7" x14ac:dyDescent="0.25">
      <c r="A179">
        <v>2021</v>
      </c>
      <c r="B179" t="s">
        <v>136</v>
      </c>
      <c r="C179" t="s">
        <v>169</v>
      </c>
      <c r="D179" t="s">
        <v>22</v>
      </c>
      <c r="E179" t="str">
        <f>VLOOKUP(D179,'[2]Lista de Produtos CLASSIFICAÇÃO'!$E$103:$F$114,2,FALSE)</f>
        <v>Metanol</v>
      </c>
      <c r="F179">
        <v>52000</v>
      </c>
      <c r="G179" t="str">
        <f>VLOOKUP(Tabela1[[#This Row],[Cliente]],clientes!$C$3:$D$60,2,FALSE)</f>
        <v>METHANEX</v>
      </c>
    </row>
    <row r="180" spans="1:7" x14ac:dyDescent="0.25">
      <c r="A180">
        <v>2021</v>
      </c>
      <c r="B180" t="s">
        <v>136</v>
      </c>
      <c r="C180" t="s">
        <v>170</v>
      </c>
      <c r="D180" t="s">
        <v>22</v>
      </c>
      <c r="E180" t="str">
        <f>VLOOKUP(D180,'[2]Lista de Produtos CLASSIFICAÇÃO'!$E$103:$F$114,2,FALSE)</f>
        <v>Metanol</v>
      </c>
      <c r="F180">
        <v>13000</v>
      </c>
      <c r="G180" t="str">
        <f>VLOOKUP(Tabela1[[#This Row],[Cliente]],clientes!$C$3:$D$60,2,FALSE)</f>
        <v>MITSUBISHI</v>
      </c>
    </row>
    <row r="181" spans="1:7" x14ac:dyDescent="0.25">
      <c r="A181">
        <v>2021</v>
      </c>
      <c r="B181" t="s">
        <v>136</v>
      </c>
      <c r="C181" t="s">
        <v>196</v>
      </c>
      <c r="D181" t="s">
        <v>22</v>
      </c>
      <c r="E181" t="str">
        <f>VLOOKUP(D181,'[2]Lista de Produtos CLASSIFICAÇÃO'!$E$103:$F$114,2,FALSE)</f>
        <v>Metanol</v>
      </c>
      <c r="F181">
        <v>20000</v>
      </c>
      <c r="G181" t="str">
        <f>VLOOKUP(Tabela1[[#This Row],[Cliente]],clientes!$C$3:$D$60,2,FALSE)</f>
        <v>SCC</v>
      </c>
    </row>
    <row r="182" spans="1:7" x14ac:dyDescent="0.25">
      <c r="A182">
        <v>2021</v>
      </c>
      <c r="B182" t="s">
        <v>136</v>
      </c>
      <c r="C182" t="s">
        <v>196</v>
      </c>
      <c r="D182" t="s">
        <v>22</v>
      </c>
      <c r="E182" t="str">
        <f>VLOOKUP(D182,'[2]Lista de Produtos CLASSIFICAÇÃO'!$E$103:$F$114,2,FALSE)</f>
        <v>Metanol</v>
      </c>
      <c r="F182">
        <v>1200</v>
      </c>
      <c r="G182" t="str">
        <f>VLOOKUP(Tabela1[[#This Row],[Cliente]],clientes!$C$3:$D$60,2,FALSE)</f>
        <v>SCC</v>
      </c>
    </row>
    <row r="183" spans="1:7" x14ac:dyDescent="0.25">
      <c r="A183">
        <v>2021</v>
      </c>
      <c r="B183" t="s">
        <v>136</v>
      </c>
      <c r="C183" t="s">
        <v>208</v>
      </c>
      <c r="D183" t="s">
        <v>202</v>
      </c>
      <c r="E183" t="e">
        <f>VLOOKUP(D183,'[2]Lista de Produtos CLASSIFICAÇÃO'!$E$103:$F$114,2,FALSE)</f>
        <v>#N/A</v>
      </c>
      <c r="F183">
        <v>5000</v>
      </c>
      <c r="G183" t="str">
        <f>VLOOKUP(Tabela1[[#This Row],[Cliente]],clientes!$C$3:$D$60,2,FALSE)</f>
        <v>HINOVE</v>
      </c>
    </row>
    <row r="184" spans="1:7" x14ac:dyDescent="0.25">
      <c r="A184">
        <v>2021</v>
      </c>
      <c r="B184" t="s">
        <v>136</v>
      </c>
      <c r="C184" t="s">
        <v>172</v>
      </c>
      <c r="D184" t="s">
        <v>124</v>
      </c>
      <c r="E184" t="str">
        <f>VLOOKUP(D184,'[2]Lista de Produtos CLASSIFICAÇÃO'!$E$103:$F$114,2,FALSE)</f>
        <v>Outros</v>
      </c>
      <c r="F184">
        <v>1200</v>
      </c>
      <c r="G184" t="str">
        <f>VLOOKUP(Tabela1[[#This Row],[Cliente]],clientes!$C$3:$D$60,2,FALSE)</f>
        <v>EVONIK</v>
      </c>
    </row>
    <row r="185" spans="1:7" x14ac:dyDescent="0.25">
      <c r="A185">
        <v>2021</v>
      </c>
      <c r="B185" t="s">
        <v>136</v>
      </c>
      <c r="C185" t="s">
        <v>173</v>
      </c>
      <c r="D185" t="s">
        <v>22</v>
      </c>
      <c r="E185" t="str">
        <f>VLOOKUP(D185,'[2]Lista de Produtos CLASSIFICAÇÃO'!$E$103:$F$114,2,FALSE)</f>
        <v>Metanol</v>
      </c>
      <c r="F185">
        <v>5000</v>
      </c>
      <c r="G185" t="str">
        <f>VLOOKUP(Tabela1[[#This Row],[Cliente]],clientes!$C$3:$D$60,2,FALSE)</f>
        <v>YPF SOCIEDAD ANONIMA</v>
      </c>
    </row>
    <row r="186" spans="1:7" x14ac:dyDescent="0.25">
      <c r="A186">
        <v>2021</v>
      </c>
      <c r="B186" t="s">
        <v>136</v>
      </c>
      <c r="C186" t="s">
        <v>203</v>
      </c>
      <c r="D186" t="s">
        <v>124</v>
      </c>
      <c r="E186" t="str">
        <f>VLOOKUP(D186,'[2]Lista de Produtos CLASSIFICAÇÃO'!$E$103:$F$114,2,FALSE)</f>
        <v>Outros</v>
      </c>
      <c r="G186" t="str">
        <f>VLOOKUP(Tabela1[[#This Row],[Cliente]],clientes!$C$3:$D$60,2,FALSE)</f>
        <v>GTM</v>
      </c>
    </row>
    <row r="187" spans="1:7" x14ac:dyDescent="0.25">
      <c r="A187">
        <v>2021</v>
      </c>
      <c r="B187" t="s">
        <v>136</v>
      </c>
      <c r="C187" t="s">
        <v>197</v>
      </c>
      <c r="D187" t="s">
        <v>85</v>
      </c>
      <c r="E187" t="e">
        <f>VLOOKUP(D187,'[2]Lista de Produtos CLASSIFICAÇÃO'!$E$103:$F$114,2,FALSE)</f>
        <v>#N/A</v>
      </c>
      <c r="F187">
        <v>400</v>
      </c>
      <c r="G187" t="str">
        <f>VLOOKUP(Tabela1[[#This Row],[Cliente]],clientes!$C$3:$D$60,2,FALSE)</f>
        <v>DRT</v>
      </c>
    </row>
    <row r="188" spans="1:7" x14ac:dyDescent="0.25">
      <c r="A188">
        <v>2021</v>
      </c>
      <c r="B188" t="s">
        <v>136</v>
      </c>
      <c r="C188" t="s">
        <v>198</v>
      </c>
      <c r="D188" t="s">
        <v>121</v>
      </c>
      <c r="E188" t="str">
        <f>VLOOKUP(D188,'[2]Lista de Produtos CLASSIFICAÇÃO'!$E$103:$F$114,2,FALSE)</f>
        <v>Biocombustíveis</v>
      </c>
      <c r="G188" t="str">
        <f>VLOOKUP(Tabela1[[#This Row],[Cliente]],clientes!$C$3:$D$60,2,FALSE)</f>
        <v>TEREOS / INPASA / GLENCORE</v>
      </c>
    </row>
    <row r="189" spans="1:7" x14ac:dyDescent="0.25">
      <c r="A189">
        <v>2021</v>
      </c>
      <c r="B189" t="s">
        <v>136</v>
      </c>
      <c r="C189" t="s">
        <v>174</v>
      </c>
      <c r="D189" t="s">
        <v>123</v>
      </c>
      <c r="E189" t="str">
        <f>VLOOKUP(D189,'[2]Lista de Produtos CLASSIFICAÇÃO'!$E$103:$F$114,2,FALSE)</f>
        <v>Aquecidos</v>
      </c>
      <c r="F189">
        <v>3000</v>
      </c>
      <c r="G189" t="str">
        <f>VLOOKUP(Tabela1[[#This Row],[Cliente]],clientes!$C$3:$D$60,2,FALSE)</f>
        <v>CELENA</v>
      </c>
    </row>
    <row r="190" spans="1:7" x14ac:dyDescent="0.25">
      <c r="A190">
        <v>2021</v>
      </c>
      <c r="B190" t="s">
        <v>136</v>
      </c>
      <c r="C190" t="s">
        <v>175</v>
      </c>
      <c r="D190" t="s">
        <v>123</v>
      </c>
      <c r="E190" t="str">
        <f>VLOOKUP(D190,'[2]Lista de Produtos CLASSIFICAÇÃO'!$E$103:$F$114,2,FALSE)</f>
        <v>Aquecidos</v>
      </c>
      <c r="F190">
        <v>2000</v>
      </c>
      <c r="G190" t="str">
        <f>VLOOKUP(Tabela1[[#This Row],[Cliente]],clientes!$C$3:$D$60,2,FALSE)</f>
        <v>AAK DO BRASIL</v>
      </c>
    </row>
    <row r="191" spans="1:7" x14ac:dyDescent="0.25">
      <c r="A191">
        <v>2021</v>
      </c>
      <c r="B191" t="s">
        <v>136</v>
      </c>
      <c r="C191" t="s">
        <v>166</v>
      </c>
      <c r="D191" t="s">
        <v>122</v>
      </c>
      <c r="E191" t="str">
        <f>VLOOKUP(D191,'[2]Lista de Produtos CLASSIFICAÇÃO'!$E$103:$F$114,2,FALSE)</f>
        <v>Óleo Vegetal</v>
      </c>
      <c r="G191" t="str">
        <f>VLOOKUP(Tabela1[[#This Row],[Cliente]],clientes!$C$3:$D$60,2,FALSE)</f>
        <v>CARGILL</v>
      </c>
    </row>
    <row r="192" spans="1:7" x14ac:dyDescent="0.25">
      <c r="A192">
        <v>2021</v>
      </c>
      <c r="B192" t="s">
        <v>136</v>
      </c>
      <c r="C192" t="s">
        <v>176</v>
      </c>
      <c r="D192" t="s">
        <v>123</v>
      </c>
      <c r="E192" t="str">
        <f>VLOOKUP(D192,'[2]Lista de Produtos CLASSIFICAÇÃO'!$E$103:$F$114,2,FALSE)</f>
        <v>Aquecidos</v>
      </c>
      <c r="F192">
        <v>3000</v>
      </c>
      <c r="G192" t="str">
        <f>VLOOKUP(Tabela1[[#This Row],[Cliente]],clientes!$C$3:$D$60,2,FALSE)</f>
        <v>AGROPALMA</v>
      </c>
    </row>
    <row r="193" spans="1:7" x14ac:dyDescent="0.25">
      <c r="A193">
        <v>2021</v>
      </c>
      <c r="B193" t="s">
        <v>136</v>
      </c>
      <c r="C193" t="s">
        <v>204</v>
      </c>
      <c r="D193" t="s">
        <v>59</v>
      </c>
      <c r="E193" t="e">
        <f>VLOOKUP(D193,'[2]Lista de Produtos CLASSIFICAÇÃO'!$E$103:$F$114,2,FALSE)</f>
        <v>#N/A</v>
      </c>
      <c r="F193">
        <v>17500</v>
      </c>
      <c r="G193" t="str">
        <f>VLOOKUP(Tabela1[[#This Row],[Cliente]],clientes!$C$3:$D$60,2,FALSE)</f>
        <v>COPAPE</v>
      </c>
    </row>
    <row r="194" spans="1:7" x14ac:dyDescent="0.25">
      <c r="A194">
        <v>2021</v>
      </c>
      <c r="B194" t="s">
        <v>137</v>
      </c>
      <c r="C194" s="58" t="s">
        <v>155</v>
      </c>
      <c r="D194" t="s">
        <v>16</v>
      </c>
      <c r="E194" t="str">
        <f>VLOOKUP(D194,'[2]Lista de Produtos CLASSIFICAÇÃO'!$E$103:$F$114,2,FALSE)</f>
        <v>Outros</v>
      </c>
      <c r="F194">
        <v>3000</v>
      </c>
      <c r="G194" t="str">
        <f>VLOOKUP(Tabela1[[#This Row],[Cliente]],clientes!$C$3:$D$60,2,FALSE)</f>
        <v>ADISSEO</v>
      </c>
    </row>
    <row r="195" spans="1:7" x14ac:dyDescent="0.25">
      <c r="A195">
        <v>2021</v>
      </c>
      <c r="B195" t="s">
        <v>137</v>
      </c>
      <c r="C195" s="58" t="s">
        <v>155</v>
      </c>
      <c r="D195" t="s">
        <v>16</v>
      </c>
      <c r="E195" t="str">
        <f>VLOOKUP(D195,'[2]Lista de Produtos CLASSIFICAÇÃO'!$E$103:$F$114,2,FALSE)</f>
        <v>Outros</v>
      </c>
      <c r="F195">
        <v>500</v>
      </c>
      <c r="G195" t="str">
        <f>VLOOKUP(Tabela1[[#This Row],[Cliente]],clientes!$C$3:$D$60,2,FALSE)</f>
        <v>ADISSEO</v>
      </c>
    </row>
    <row r="196" spans="1:7" x14ac:dyDescent="0.25">
      <c r="A196">
        <v>2021</v>
      </c>
      <c r="B196" t="s">
        <v>137</v>
      </c>
      <c r="C196" s="58" t="s">
        <v>199</v>
      </c>
      <c r="D196" t="s">
        <v>16</v>
      </c>
      <c r="E196" t="str">
        <f>VLOOKUP(D196,'[2]Lista de Produtos CLASSIFICAÇÃO'!$E$103:$F$114,2,FALSE)</f>
        <v>Outros</v>
      </c>
      <c r="F196">
        <v>150</v>
      </c>
      <c r="G196" t="str">
        <f>VLOOKUP(Tabela1[[#This Row],[Cliente]],clientes!$C$3:$D$60,2,FALSE)</f>
        <v>ADISSEO</v>
      </c>
    </row>
    <row r="197" spans="1:7" x14ac:dyDescent="0.25">
      <c r="A197">
        <v>2021</v>
      </c>
      <c r="B197" t="s">
        <v>137</v>
      </c>
      <c r="C197" s="58" t="s">
        <v>157</v>
      </c>
      <c r="D197" t="s">
        <v>49</v>
      </c>
      <c r="E197" t="e">
        <f>VLOOKUP(D197,'[2]Lista de Produtos CLASSIFICAÇÃO'!$E$103:$F$114,2,FALSE)</f>
        <v>#N/A</v>
      </c>
      <c r="F197">
        <v>350</v>
      </c>
      <c r="G197" t="str">
        <f>VLOOKUP(Tabela1[[#This Row],[Cliente]],clientes!$C$3:$D$60,2,FALSE)</f>
        <v>ADM</v>
      </c>
    </row>
    <row r="198" spans="1:7" x14ac:dyDescent="0.25">
      <c r="A198">
        <v>2021</v>
      </c>
      <c r="B198" t="s">
        <v>137</v>
      </c>
      <c r="C198" s="58" t="s">
        <v>158</v>
      </c>
      <c r="D198" t="s">
        <v>120</v>
      </c>
      <c r="E198" t="str">
        <f>VLOOKUP(D198,'[2]Lista de Produtos CLASSIFICAÇÃO'!$E$103:$F$114,2,FALSE)</f>
        <v>Derivados</v>
      </c>
      <c r="F198">
        <v>113295</v>
      </c>
      <c r="G198" t="str">
        <f>VLOOKUP(Tabela1[[#This Row],[Cliente]],clientes!$C$3:$D$60,2,FALSE)</f>
        <v>IPIRANGA</v>
      </c>
    </row>
    <row r="199" spans="1:7" x14ac:dyDescent="0.25">
      <c r="A199">
        <v>2021</v>
      </c>
      <c r="B199" t="s">
        <v>137</v>
      </c>
      <c r="C199" s="58" t="s">
        <v>206</v>
      </c>
      <c r="D199" t="s">
        <v>120</v>
      </c>
      <c r="E199" t="str">
        <f>VLOOKUP(D199,'[2]Lista de Produtos CLASSIFICAÇÃO'!$E$103:$F$114,2,FALSE)</f>
        <v>Derivados</v>
      </c>
      <c r="F199">
        <v>53950</v>
      </c>
      <c r="G199" t="str">
        <f>VLOOKUP(Tabela1[[#This Row],[Cliente]],clientes!$C$3:$D$60,2,FALSE)</f>
        <v>BR</v>
      </c>
    </row>
    <row r="200" spans="1:7" x14ac:dyDescent="0.25">
      <c r="A200">
        <v>2021</v>
      </c>
      <c r="B200" t="s">
        <v>137</v>
      </c>
      <c r="C200" s="58" t="s">
        <v>200</v>
      </c>
      <c r="D200" t="s">
        <v>120</v>
      </c>
      <c r="E200" t="str">
        <f>VLOOKUP(D200,'[2]Lista de Produtos CLASSIFICAÇÃO'!$E$103:$F$114,2,FALSE)</f>
        <v>Derivados</v>
      </c>
      <c r="F200">
        <v>18691</v>
      </c>
      <c r="G200" t="str">
        <f>VLOOKUP(Tabela1[[#This Row],[Cliente]],clientes!$C$3:$D$60,2,FALSE)</f>
        <v>GREENENERGY</v>
      </c>
    </row>
    <row r="201" spans="1:7" x14ac:dyDescent="0.25">
      <c r="A201">
        <v>2021</v>
      </c>
      <c r="B201" t="s">
        <v>137</v>
      </c>
      <c r="C201" s="58" t="s">
        <v>161</v>
      </c>
      <c r="D201" t="s">
        <v>120</v>
      </c>
      <c r="E201" t="str">
        <f>VLOOKUP(D201,'[2]Lista de Produtos CLASSIFICAÇÃO'!$E$103:$F$114,2,FALSE)</f>
        <v>Derivados</v>
      </c>
      <c r="G201" t="str">
        <f>VLOOKUP(Tabela1[[#This Row],[Cliente]],clientes!$C$3:$D$60,2,FALSE)</f>
        <v>SUL PLATA</v>
      </c>
    </row>
    <row r="202" spans="1:7" x14ac:dyDescent="0.25">
      <c r="A202">
        <v>2021</v>
      </c>
      <c r="B202" t="s">
        <v>137</v>
      </c>
      <c r="C202" s="58" t="s">
        <v>161</v>
      </c>
      <c r="D202" t="s">
        <v>120</v>
      </c>
      <c r="E202" t="str">
        <f>VLOOKUP(D202,'[2]Lista de Produtos CLASSIFICAÇÃO'!$E$103:$F$114,2,FALSE)</f>
        <v>Derivados</v>
      </c>
      <c r="F202">
        <v>20169</v>
      </c>
      <c r="G202" t="str">
        <f>VLOOKUP(Tabela1[[#This Row],[Cliente]],clientes!$C$3:$D$60,2,FALSE)</f>
        <v>SUL PLATA</v>
      </c>
    </row>
    <row r="203" spans="1:7" x14ac:dyDescent="0.25">
      <c r="A203">
        <v>2021</v>
      </c>
      <c r="B203" t="s">
        <v>137</v>
      </c>
      <c r="C203" s="58" t="s">
        <v>162</v>
      </c>
      <c r="D203" t="s">
        <v>115</v>
      </c>
      <c r="E203" t="str">
        <f>VLOOKUP(D203,'[2]Lista de Produtos CLASSIFICAÇÃO'!$E$103:$F$114,2,FALSE)</f>
        <v>Soda Caustica</v>
      </c>
      <c r="F203">
        <v>2300</v>
      </c>
      <c r="G203" t="str">
        <f>VLOOKUP(Tabela1[[#This Row],[Cliente]],clientes!$C$3:$D$60,2,FALSE)</f>
        <v>JBS</v>
      </c>
    </row>
    <row r="204" spans="1:7" x14ac:dyDescent="0.25">
      <c r="A204">
        <v>2021</v>
      </c>
      <c r="B204" t="s">
        <v>137</v>
      </c>
      <c r="C204" s="58" t="s">
        <v>163</v>
      </c>
      <c r="D204" t="s">
        <v>115</v>
      </c>
      <c r="E204" t="str">
        <f>VLOOKUP(D204,'[2]Lista de Produtos CLASSIFICAÇÃO'!$E$103:$F$114,2,FALSE)</f>
        <v>Soda Caustica</v>
      </c>
      <c r="F204">
        <v>3200</v>
      </c>
      <c r="G204" t="str">
        <f>VLOOKUP(Tabela1[[#This Row],[Cliente]],clientes!$C$3:$D$60,2,FALSE)</f>
        <v>TRICON ENERGY</v>
      </c>
    </row>
    <row r="205" spans="1:7" x14ac:dyDescent="0.25">
      <c r="A205">
        <v>2021</v>
      </c>
      <c r="B205" t="s">
        <v>137</v>
      </c>
      <c r="C205" s="58" t="s">
        <v>207</v>
      </c>
      <c r="D205" t="s">
        <v>16</v>
      </c>
      <c r="E205" t="str">
        <f>VLOOKUP(D205,'[2]Lista de Produtos CLASSIFICAÇÃO'!$E$103:$F$114,2,FALSE)</f>
        <v>Outros</v>
      </c>
      <c r="F205">
        <v>2000</v>
      </c>
      <c r="G205" t="str">
        <f>VLOOKUP(Tabela1[[#This Row],[Cliente]],clientes!$C$3:$D$60,2,FALSE)</f>
        <v>NOVUS</v>
      </c>
    </row>
    <row r="206" spans="1:7" x14ac:dyDescent="0.25">
      <c r="A206">
        <v>2021</v>
      </c>
      <c r="B206" t="s">
        <v>137</v>
      </c>
      <c r="C206" s="58" t="s">
        <v>165</v>
      </c>
      <c r="D206" t="s">
        <v>123</v>
      </c>
      <c r="E206" t="str">
        <f>VLOOKUP(D206,'[2]Lista de Produtos CLASSIFICAÇÃO'!$E$103:$F$114,2,FALSE)</f>
        <v>Aquecidos</v>
      </c>
      <c r="F206">
        <v>3000</v>
      </c>
      <c r="G206" t="str">
        <f>VLOOKUP(Tabela1[[#This Row],[Cliente]],clientes!$C$3:$D$60,2,FALSE)</f>
        <v>BRF</v>
      </c>
    </row>
    <row r="207" spans="1:7" x14ac:dyDescent="0.25">
      <c r="A207">
        <v>2021</v>
      </c>
      <c r="B207" t="s">
        <v>137</v>
      </c>
      <c r="C207" s="58" t="s">
        <v>162</v>
      </c>
      <c r="D207" t="s">
        <v>123</v>
      </c>
      <c r="E207" t="str">
        <f>VLOOKUP(D207,'[2]Lista de Produtos CLASSIFICAÇÃO'!$E$103:$F$114,2,FALSE)</f>
        <v>Aquecidos</v>
      </c>
      <c r="F207">
        <v>1300</v>
      </c>
      <c r="G207" t="str">
        <f>VLOOKUP(Tabela1[[#This Row],[Cliente]],clientes!$C$3:$D$60,2,FALSE)</f>
        <v>JBS</v>
      </c>
    </row>
    <row r="208" spans="1:7" x14ac:dyDescent="0.25">
      <c r="A208">
        <v>2021</v>
      </c>
      <c r="B208" t="s">
        <v>137</v>
      </c>
      <c r="C208" s="58" t="s">
        <v>166</v>
      </c>
      <c r="D208" t="s">
        <v>123</v>
      </c>
      <c r="E208" t="str">
        <f>VLOOKUP(D208,'[2]Lista de Produtos CLASSIFICAÇÃO'!$E$103:$F$114,2,FALSE)</f>
        <v>Aquecidos</v>
      </c>
      <c r="F208">
        <v>3500</v>
      </c>
      <c r="G208" t="str">
        <f>VLOOKUP(Tabela1[[#This Row],[Cliente]],clientes!$C$3:$D$60,2,FALSE)</f>
        <v>CARGILL</v>
      </c>
    </row>
    <row r="209" spans="1:7" x14ac:dyDescent="0.25">
      <c r="A209">
        <v>2021</v>
      </c>
      <c r="B209" t="s">
        <v>137</v>
      </c>
      <c r="C209" s="58" t="s">
        <v>167</v>
      </c>
      <c r="D209" t="s">
        <v>122</v>
      </c>
      <c r="E209" t="str">
        <f>VLOOKUP(D209,'[2]Lista de Produtos CLASSIFICAÇÃO'!$E$103:$F$114,2,FALSE)</f>
        <v>Óleo Vegetal</v>
      </c>
      <c r="F209">
        <v>178466.73159899999</v>
      </c>
      <c r="G209" t="str">
        <f>VLOOKUP(Tabela1[[#This Row],[Cliente]],clientes!$C$3:$D$60,2,FALSE)</f>
        <v>POOL</v>
      </c>
    </row>
    <row r="210" spans="1:7" x14ac:dyDescent="0.25">
      <c r="A210">
        <v>2021</v>
      </c>
      <c r="B210" t="s">
        <v>137</v>
      </c>
      <c r="C210" s="58" t="s">
        <v>168</v>
      </c>
      <c r="D210" t="s">
        <v>122</v>
      </c>
      <c r="E210" t="str">
        <f>VLOOKUP(D210,'[2]Lista de Produtos CLASSIFICAÇÃO'!$E$103:$F$114,2,FALSE)</f>
        <v>Óleo Vegetal</v>
      </c>
      <c r="G210" t="str">
        <f>VLOOKUP(Tabela1[[#This Row],[Cliente]],clientes!$C$3:$D$60,2,FALSE)</f>
        <v>POOL EXCEDENTE</v>
      </c>
    </row>
    <row r="211" spans="1:7" x14ac:dyDescent="0.25">
      <c r="A211">
        <v>2021</v>
      </c>
      <c r="B211" t="s">
        <v>137</v>
      </c>
      <c r="C211" s="58" t="s">
        <v>169</v>
      </c>
      <c r="D211" t="s">
        <v>22</v>
      </c>
      <c r="E211" t="str">
        <f>VLOOKUP(D211,'[2]Lista de Produtos CLASSIFICAÇÃO'!$E$103:$F$114,2,FALSE)</f>
        <v>Metanol</v>
      </c>
      <c r="F211">
        <v>52000</v>
      </c>
      <c r="G211" t="str">
        <f>VLOOKUP(Tabela1[[#This Row],[Cliente]],clientes!$C$3:$D$60,2,FALSE)</f>
        <v>METHANEX</v>
      </c>
    </row>
    <row r="212" spans="1:7" x14ac:dyDescent="0.25">
      <c r="A212">
        <v>2021</v>
      </c>
      <c r="B212" t="s">
        <v>137</v>
      </c>
      <c r="C212" s="58" t="s">
        <v>170</v>
      </c>
      <c r="D212" t="s">
        <v>22</v>
      </c>
      <c r="E212" t="str">
        <f>VLOOKUP(D212,'[2]Lista de Produtos CLASSIFICAÇÃO'!$E$103:$F$114,2,FALSE)</f>
        <v>Metanol</v>
      </c>
      <c r="F212">
        <v>13000</v>
      </c>
      <c r="G212" t="str">
        <f>VLOOKUP(Tabela1[[#This Row],[Cliente]],clientes!$C$3:$D$60,2,FALSE)</f>
        <v>MITSUBISHI</v>
      </c>
    </row>
    <row r="213" spans="1:7" x14ac:dyDescent="0.25">
      <c r="A213">
        <v>2021</v>
      </c>
      <c r="B213" t="s">
        <v>137</v>
      </c>
      <c r="C213" s="58" t="s">
        <v>196</v>
      </c>
      <c r="D213" t="s">
        <v>22</v>
      </c>
      <c r="E213" t="str">
        <f>VLOOKUP(D213,'[2]Lista de Produtos CLASSIFICAÇÃO'!$E$103:$F$114,2,FALSE)</f>
        <v>Metanol</v>
      </c>
      <c r="F213">
        <v>20000</v>
      </c>
      <c r="G213" t="str">
        <f>VLOOKUP(Tabela1[[#This Row],[Cliente]],clientes!$C$3:$D$60,2,FALSE)</f>
        <v>SCC</v>
      </c>
    </row>
    <row r="214" spans="1:7" x14ac:dyDescent="0.25">
      <c r="A214">
        <v>2021</v>
      </c>
      <c r="B214" t="s">
        <v>137</v>
      </c>
      <c r="C214" s="58" t="s">
        <v>196</v>
      </c>
      <c r="D214" t="s">
        <v>22</v>
      </c>
      <c r="E214" t="str">
        <f>VLOOKUP(D214,'[2]Lista de Produtos CLASSIFICAÇÃO'!$E$103:$F$114,2,FALSE)</f>
        <v>Metanol</v>
      </c>
      <c r="F214">
        <v>1200</v>
      </c>
      <c r="G214" t="str">
        <f>VLOOKUP(Tabela1[[#This Row],[Cliente]],clientes!$C$3:$D$60,2,FALSE)</f>
        <v>SCC</v>
      </c>
    </row>
    <row r="215" spans="1:7" x14ac:dyDescent="0.25">
      <c r="A215">
        <v>2021</v>
      </c>
      <c r="B215" t="s">
        <v>137</v>
      </c>
      <c r="C215" s="58" t="s">
        <v>208</v>
      </c>
      <c r="D215" t="s">
        <v>202</v>
      </c>
      <c r="E215" t="e">
        <f>VLOOKUP(D215,'[2]Lista de Produtos CLASSIFICAÇÃO'!$E$103:$F$114,2,FALSE)</f>
        <v>#N/A</v>
      </c>
      <c r="G215" t="str">
        <f>VLOOKUP(Tabela1[[#This Row],[Cliente]],clientes!$C$3:$D$60,2,FALSE)</f>
        <v>HINOVE</v>
      </c>
    </row>
    <row r="216" spans="1:7" x14ac:dyDescent="0.25">
      <c r="A216">
        <v>2021</v>
      </c>
      <c r="B216" t="s">
        <v>137</v>
      </c>
      <c r="C216" s="58" t="s">
        <v>172</v>
      </c>
      <c r="D216" t="s">
        <v>124</v>
      </c>
      <c r="E216" t="str">
        <f>VLOOKUP(D216,'[2]Lista de Produtos CLASSIFICAÇÃO'!$E$103:$F$114,2,FALSE)</f>
        <v>Outros</v>
      </c>
      <c r="F216">
        <v>1200</v>
      </c>
      <c r="G216" t="str">
        <f>VLOOKUP(Tabela1[[#This Row],[Cliente]],clientes!$C$3:$D$60,2,FALSE)</f>
        <v>EVONIK</v>
      </c>
    </row>
    <row r="217" spans="1:7" x14ac:dyDescent="0.25">
      <c r="A217">
        <v>2021</v>
      </c>
      <c r="B217" t="s">
        <v>137</v>
      </c>
      <c r="C217" s="58" t="s">
        <v>173</v>
      </c>
      <c r="D217" t="s">
        <v>22</v>
      </c>
      <c r="E217" t="str">
        <f>VLOOKUP(D217,'[2]Lista de Produtos CLASSIFICAÇÃO'!$E$103:$F$114,2,FALSE)</f>
        <v>Metanol</v>
      </c>
      <c r="G217" t="str">
        <f>VLOOKUP(Tabela1[[#This Row],[Cliente]],clientes!$C$3:$D$60,2,FALSE)</f>
        <v>YPF SOCIEDAD ANONIMA</v>
      </c>
    </row>
    <row r="218" spans="1:7" x14ac:dyDescent="0.25">
      <c r="A218">
        <v>2021</v>
      </c>
      <c r="B218" t="s">
        <v>137</v>
      </c>
      <c r="C218" s="58" t="s">
        <v>203</v>
      </c>
      <c r="D218" t="s">
        <v>124</v>
      </c>
      <c r="E218" t="str">
        <f>VLOOKUP(D218,'[2]Lista de Produtos CLASSIFICAÇÃO'!$E$103:$F$114,2,FALSE)</f>
        <v>Outros</v>
      </c>
      <c r="G218" t="str">
        <f>VLOOKUP(Tabela1[[#This Row],[Cliente]],clientes!$C$3:$D$60,2,FALSE)</f>
        <v>GTM</v>
      </c>
    </row>
    <row r="219" spans="1:7" x14ac:dyDescent="0.25">
      <c r="A219">
        <v>2021</v>
      </c>
      <c r="B219" t="s">
        <v>137</v>
      </c>
      <c r="C219" s="58" t="s">
        <v>197</v>
      </c>
      <c r="D219" t="s">
        <v>85</v>
      </c>
      <c r="E219" t="e">
        <f>VLOOKUP(D219,'[2]Lista de Produtos CLASSIFICAÇÃO'!$E$103:$F$114,2,FALSE)</f>
        <v>#N/A</v>
      </c>
      <c r="F219">
        <v>400</v>
      </c>
      <c r="G219" t="str">
        <f>VLOOKUP(Tabela1[[#This Row],[Cliente]],clientes!$C$3:$D$60,2,FALSE)</f>
        <v>DRT</v>
      </c>
    </row>
    <row r="220" spans="1:7" x14ac:dyDescent="0.25">
      <c r="A220">
        <v>2021</v>
      </c>
      <c r="B220" t="s">
        <v>137</v>
      </c>
      <c r="C220" s="58" t="s">
        <v>198</v>
      </c>
      <c r="D220" t="s">
        <v>121</v>
      </c>
      <c r="E220" t="str">
        <f>VLOOKUP(D220,'[2]Lista de Produtos CLASSIFICAÇÃO'!$E$103:$F$114,2,FALSE)</f>
        <v>Biocombustíveis</v>
      </c>
      <c r="G220" t="str">
        <f>VLOOKUP(Tabela1[[#This Row],[Cliente]],clientes!$C$3:$D$60,2,FALSE)</f>
        <v>TEREOS / INPASA / GLENCORE</v>
      </c>
    </row>
    <row r="221" spans="1:7" x14ac:dyDescent="0.25">
      <c r="A221">
        <v>2021</v>
      </c>
      <c r="B221" t="s">
        <v>137</v>
      </c>
      <c r="C221" s="58" t="s">
        <v>174</v>
      </c>
      <c r="D221" t="s">
        <v>123</v>
      </c>
      <c r="E221" t="str">
        <f>VLOOKUP(D221,'[2]Lista de Produtos CLASSIFICAÇÃO'!$E$103:$F$114,2,FALSE)</f>
        <v>Aquecidos</v>
      </c>
      <c r="F221">
        <v>3000</v>
      </c>
      <c r="G221" t="str">
        <f>VLOOKUP(Tabela1[[#This Row],[Cliente]],clientes!$C$3:$D$60,2,FALSE)</f>
        <v>CELENA</v>
      </c>
    </row>
    <row r="222" spans="1:7" x14ac:dyDescent="0.25">
      <c r="A222">
        <v>2021</v>
      </c>
      <c r="B222" t="s">
        <v>137</v>
      </c>
      <c r="C222" s="58" t="s">
        <v>175</v>
      </c>
      <c r="D222" t="s">
        <v>123</v>
      </c>
      <c r="E222" t="str">
        <f>VLOOKUP(D222,'[2]Lista de Produtos CLASSIFICAÇÃO'!$E$103:$F$114,2,FALSE)</f>
        <v>Aquecidos</v>
      </c>
      <c r="F222">
        <v>2000</v>
      </c>
      <c r="G222" t="str">
        <f>VLOOKUP(Tabela1[[#This Row],[Cliente]],clientes!$C$3:$D$60,2,FALSE)</f>
        <v>AAK DO BRASIL</v>
      </c>
    </row>
    <row r="223" spans="1:7" x14ac:dyDescent="0.25">
      <c r="A223">
        <v>2021</v>
      </c>
      <c r="B223" t="s">
        <v>137</v>
      </c>
      <c r="C223" s="58" t="s">
        <v>166</v>
      </c>
      <c r="D223" t="s">
        <v>122</v>
      </c>
      <c r="E223" t="str">
        <f>VLOOKUP(D223,'[2]Lista de Produtos CLASSIFICAÇÃO'!$E$103:$F$114,2,FALSE)</f>
        <v>Óleo Vegetal</v>
      </c>
      <c r="F223">
        <v>5000</v>
      </c>
      <c r="G223" t="str">
        <f>VLOOKUP(Tabela1[[#This Row],[Cliente]],clientes!$C$3:$D$60,2,FALSE)</f>
        <v>CARGILL</v>
      </c>
    </row>
    <row r="224" spans="1:7" x14ac:dyDescent="0.25">
      <c r="A224">
        <v>2021</v>
      </c>
      <c r="B224" t="s">
        <v>137</v>
      </c>
      <c r="C224" s="58" t="s">
        <v>176</v>
      </c>
      <c r="D224" t="s">
        <v>123</v>
      </c>
      <c r="E224" t="str">
        <f>VLOOKUP(D224,'[2]Lista de Produtos CLASSIFICAÇÃO'!$E$103:$F$114,2,FALSE)</f>
        <v>Aquecidos</v>
      </c>
      <c r="F224">
        <v>3000</v>
      </c>
      <c r="G224" t="str">
        <f>VLOOKUP(Tabela1[[#This Row],[Cliente]],clientes!$C$3:$D$60,2,FALSE)</f>
        <v>AGROPALMA</v>
      </c>
    </row>
    <row r="225" spans="1:7" x14ac:dyDescent="0.25">
      <c r="A225">
        <v>2021</v>
      </c>
      <c r="B225" t="s">
        <v>137</v>
      </c>
      <c r="C225" s="58" t="s">
        <v>204</v>
      </c>
      <c r="D225" t="s">
        <v>59</v>
      </c>
      <c r="E225" t="e">
        <f>VLOOKUP(D225,'[2]Lista de Produtos CLASSIFICAÇÃO'!$E$103:$F$114,2,FALSE)</f>
        <v>#N/A</v>
      </c>
      <c r="F225">
        <v>17500</v>
      </c>
      <c r="G225" t="str">
        <f>VLOOKUP(Tabela1[[#This Row],[Cliente]],clientes!$C$3:$D$60,2,FALSE)</f>
        <v>COPAPE</v>
      </c>
    </row>
    <row r="226" spans="1:7" x14ac:dyDescent="0.25">
      <c r="A226">
        <v>2021</v>
      </c>
      <c r="B226" t="s">
        <v>138</v>
      </c>
      <c r="C226" t="s">
        <v>155</v>
      </c>
      <c r="D226" t="s">
        <v>16</v>
      </c>
      <c r="E226" t="str">
        <f>VLOOKUP(D226,'[2]Lista de Produtos CLASSIFICAÇÃO'!$E$103:$F$114,2,FALSE)</f>
        <v>Outros</v>
      </c>
      <c r="F226">
        <v>3000</v>
      </c>
      <c r="G226" t="str">
        <f>VLOOKUP(Tabela1[[#This Row],[Cliente]],clientes!$C$3:$D$60,2,FALSE)</f>
        <v>ADISSEO</v>
      </c>
    </row>
    <row r="227" spans="1:7" x14ac:dyDescent="0.25">
      <c r="A227">
        <v>2021</v>
      </c>
      <c r="B227" t="s">
        <v>138</v>
      </c>
      <c r="C227" t="s">
        <v>155</v>
      </c>
      <c r="D227" t="s">
        <v>16</v>
      </c>
      <c r="E227" t="str">
        <f>VLOOKUP(D227,'[2]Lista de Produtos CLASSIFICAÇÃO'!$E$103:$F$114,2,FALSE)</f>
        <v>Outros</v>
      </c>
      <c r="F227">
        <v>500</v>
      </c>
      <c r="G227" t="str">
        <f>VLOOKUP(Tabela1[[#This Row],[Cliente]],clientes!$C$3:$D$60,2,FALSE)</f>
        <v>ADISSEO</v>
      </c>
    </row>
    <row r="228" spans="1:7" x14ac:dyDescent="0.25">
      <c r="A228">
        <v>2021</v>
      </c>
      <c r="B228" t="s">
        <v>138</v>
      </c>
      <c r="C228" t="s">
        <v>199</v>
      </c>
      <c r="D228" t="s">
        <v>16</v>
      </c>
      <c r="E228" t="str">
        <f>VLOOKUP(D228,'[2]Lista de Produtos CLASSIFICAÇÃO'!$E$103:$F$114,2,FALSE)</f>
        <v>Outros</v>
      </c>
      <c r="F228">
        <v>150</v>
      </c>
      <c r="G228" t="str">
        <f>VLOOKUP(Tabela1[[#This Row],[Cliente]],clientes!$C$3:$D$60,2,FALSE)</f>
        <v>ADISSEO</v>
      </c>
    </row>
    <row r="229" spans="1:7" x14ac:dyDescent="0.25">
      <c r="A229">
        <v>2021</v>
      </c>
      <c r="B229" t="s">
        <v>138</v>
      </c>
      <c r="C229" t="s">
        <v>157</v>
      </c>
      <c r="D229" t="s">
        <v>49</v>
      </c>
      <c r="E229" t="e">
        <f>VLOOKUP(D229,'[2]Lista de Produtos CLASSIFICAÇÃO'!$E$103:$F$114,2,FALSE)</f>
        <v>#N/A</v>
      </c>
      <c r="F229">
        <v>350</v>
      </c>
      <c r="G229" t="str">
        <f>VLOOKUP(Tabela1[[#This Row],[Cliente]],clientes!$C$3:$D$60,2,FALSE)</f>
        <v>ADM</v>
      </c>
    </row>
    <row r="230" spans="1:7" x14ac:dyDescent="0.25">
      <c r="A230">
        <v>2021</v>
      </c>
      <c r="B230" t="s">
        <v>138</v>
      </c>
      <c r="C230" t="s">
        <v>158</v>
      </c>
      <c r="D230" t="s">
        <v>120</v>
      </c>
      <c r="E230" t="str">
        <f>VLOOKUP(D230,'[2]Lista de Produtos CLASSIFICAÇÃO'!$E$103:$F$114,2,FALSE)</f>
        <v>Derivados</v>
      </c>
      <c r="F230">
        <v>113295</v>
      </c>
      <c r="G230" t="str">
        <f>VLOOKUP(Tabela1[[#This Row],[Cliente]],clientes!$C$3:$D$60,2,FALSE)</f>
        <v>IPIRANGA</v>
      </c>
    </row>
    <row r="231" spans="1:7" x14ac:dyDescent="0.25">
      <c r="A231">
        <v>2021</v>
      </c>
      <c r="B231" t="s">
        <v>138</v>
      </c>
      <c r="C231" t="s">
        <v>206</v>
      </c>
      <c r="D231" t="s">
        <v>120</v>
      </c>
      <c r="E231" t="str">
        <f>VLOOKUP(D231,'[2]Lista de Produtos CLASSIFICAÇÃO'!$E$103:$F$114,2,FALSE)</f>
        <v>Derivados</v>
      </c>
      <c r="F231">
        <v>53950</v>
      </c>
      <c r="G231" t="str">
        <f>VLOOKUP(Tabela1[[#This Row],[Cliente]],clientes!$C$3:$D$60,2,FALSE)</f>
        <v>BR</v>
      </c>
    </row>
    <row r="232" spans="1:7" x14ac:dyDescent="0.25">
      <c r="A232">
        <v>2021</v>
      </c>
      <c r="B232" t="s">
        <v>138</v>
      </c>
      <c r="C232" t="s">
        <v>200</v>
      </c>
      <c r="D232" t="s">
        <v>120</v>
      </c>
      <c r="E232" t="str">
        <f>VLOOKUP(D232,'[2]Lista de Produtos CLASSIFICAÇÃO'!$E$103:$F$114,2,FALSE)</f>
        <v>Derivados</v>
      </c>
      <c r="F232">
        <v>18691</v>
      </c>
      <c r="G232" t="str">
        <f>VLOOKUP(Tabela1[[#This Row],[Cliente]],clientes!$C$3:$D$60,2,FALSE)</f>
        <v>GREENENERGY</v>
      </c>
    </row>
    <row r="233" spans="1:7" x14ac:dyDescent="0.25">
      <c r="A233">
        <v>2021</v>
      </c>
      <c r="B233" t="s">
        <v>138</v>
      </c>
      <c r="C233" t="s">
        <v>161</v>
      </c>
      <c r="D233" t="s">
        <v>120</v>
      </c>
      <c r="E233" t="str">
        <f>VLOOKUP(D233,'[2]Lista de Produtos CLASSIFICAÇÃO'!$E$103:$F$114,2,FALSE)</f>
        <v>Derivados</v>
      </c>
      <c r="G233" t="str">
        <f>VLOOKUP(Tabela1[[#This Row],[Cliente]],clientes!$C$3:$D$60,2,FALSE)</f>
        <v>SUL PLATA</v>
      </c>
    </row>
    <row r="234" spans="1:7" x14ac:dyDescent="0.25">
      <c r="A234">
        <v>2021</v>
      </c>
      <c r="B234" t="s">
        <v>138</v>
      </c>
      <c r="C234" t="s">
        <v>161</v>
      </c>
      <c r="D234" t="s">
        <v>120</v>
      </c>
      <c r="E234" t="str">
        <f>VLOOKUP(D234,'[2]Lista de Produtos CLASSIFICAÇÃO'!$E$103:$F$114,2,FALSE)</f>
        <v>Derivados</v>
      </c>
      <c r="F234">
        <v>20169</v>
      </c>
      <c r="G234" t="str">
        <f>VLOOKUP(Tabela1[[#This Row],[Cliente]],clientes!$C$3:$D$60,2,FALSE)</f>
        <v>SUL PLATA</v>
      </c>
    </row>
    <row r="235" spans="1:7" x14ac:dyDescent="0.25">
      <c r="A235">
        <v>2021</v>
      </c>
      <c r="B235" t="s">
        <v>138</v>
      </c>
      <c r="C235" t="s">
        <v>162</v>
      </c>
      <c r="D235" t="s">
        <v>115</v>
      </c>
      <c r="E235" t="str">
        <f>VLOOKUP(D235,'[2]Lista de Produtos CLASSIFICAÇÃO'!$E$103:$F$114,2,FALSE)</f>
        <v>Soda Caustica</v>
      </c>
      <c r="F235">
        <v>2300</v>
      </c>
      <c r="G235" t="str">
        <f>VLOOKUP(Tabela1[[#This Row],[Cliente]],clientes!$C$3:$D$60,2,FALSE)</f>
        <v>JBS</v>
      </c>
    </row>
    <row r="236" spans="1:7" x14ac:dyDescent="0.25">
      <c r="A236">
        <v>2021</v>
      </c>
      <c r="B236" t="s">
        <v>138</v>
      </c>
      <c r="C236" t="s">
        <v>163</v>
      </c>
      <c r="D236" t="s">
        <v>115</v>
      </c>
      <c r="E236" t="str">
        <f>VLOOKUP(D236,'[2]Lista de Produtos CLASSIFICAÇÃO'!$E$103:$F$114,2,FALSE)</f>
        <v>Soda Caustica</v>
      </c>
      <c r="F236">
        <v>3200</v>
      </c>
      <c r="G236" t="str">
        <f>VLOOKUP(Tabela1[[#This Row],[Cliente]],clientes!$C$3:$D$60,2,FALSE)</f>
        <v>TRICON ENERGY</v>
      </c>
    </row>
    <row r="237" spans="1:7" x14ac:dyDescent="0.25">
      <c r="A237">
        <v>2021</v>
      </c>
      <c r="B237" t="s">
        <v>138</v>
      </c>
      <c r="C237" t="s">
        <v>207</v>
      </c>
      <c r="D237" t="s">
        <v>16</v>
      </c>
      <c r="E237" t="str">
        <f>VLOOKUP(D237,'[2]Lista de Produtos CLASSIFICAÇÃO'!$E$103:$F$114,2,FALSE)</f>
        <v>Outros</v>
      </c>
      <c r="G237" t="str">
        <f>VLOOKUP(Tabela1[[#This Row],[Cliente]],clientes!$C$3:$D$60,2,FALSE)</f>
        <v>NOVUS</v>
      </c>
    </row>
    <row r="238" spans="1:7" x14ac:dyDescent="0.25">
      <c r="A238">
        <v>2021</v>
      </c>
      <c r="B238" t="s">
        <v>138</v>
      </c>
      <c r="C238" t="s">
        <v>165</v>
      </c>
      <c r="D238" t="s">
        <v>123</v>
      </c>
      <c r="E238" t="str">
        <f>VLOOKUP(D238,'[2]Lista de Produtos CLASSIFICAÇÃO'!$E$103:$F$114,2,FALSE)</f>
        <v>Aquecidos</v>
      </c>
      <c r="F238">
        <v>3000</v>
      </c>
      <c r="G238" t="str">
        <f>VLOOKUP(Tabela1[[#This Row],[Cliente]],clientes!$C$3:$D$60,2,FALSE)</f>
        <v>BRF</v>
      </c>
    </row>
    <row r="239" spans="1:7" x14ac:dyDescent="0.25">
      <c r="A239">
        <v>2021</v>
      </c>
      <c r="B239" t="s">
        <v>138</v>
      </c>
      <c r="C239" t="s">
        <v>162</v>
      </c>
      <c r="D239" t="s">
        <v>123</v>
      </c>
      <c r="E239" t="str">
        <f>VLOOKUP(D239,'[2]Lista de Produtos CLASSIFICAÇÃO'!$E$103:$F$114,2,FALSE)</f>
        <v>Aquecidos</v>
      </c>
      <c r="F239">
        <v>1300</v>
      </c>
      <c r="G239" t="str">
        <f>VLOOKUP(Tabela1[[#This Row],[Cliente]],clientes!$C$3:$D$60,2,FALSE)</f>
        <v>JBS</v>
      </c>
    </row>
    <row r="240" spans="1:7" x14ac:dyDescent="0.25">
      <c r="A240">
        <v>2021</v>
      </c>
      <c r="B240" t="s">
        <v>138</v>
      </c>
      <c r="C240" t="s">
        <v>166</v>
      </c>
      <c r="D240" t="s">
        <v>123</v>
      </c>
      <c r="E240" t="str">
        <f>VLOOKUP(D240,'[2]Lista de Produtos CLASSIFICAÇÃO'!$E$103:$F$114,2,FALSE)</f>
        <v>Aquecidos</v>
      </c>
      <c r="F240">
        <v>3500</v>
      </c>
      <c r="G240" t="str">
        <f>VLOOKUP(Tabela1[[#This Row],[Cliente]],clientes!$C$3:$D$60,2,FALSE)</f>
        <v>CARGILL</v>
      </c>
    </row>
    <row r="241" spans="1:7" x14ac:dyDescent="0.25">
      <c r="A241">
        <v>2021</v>
      </c>
      <c r="B241" t="s">
        <v>138</v>
      </c>
      <c r="C241" t="s">
        <v>167</v>
      </c>
      <c r="D241" t="s">
        <v>122</v>
      </c>
      <c r="E241" t="str">
        <f>VLOOKUP(D241,'[2]Lista de Produtos CLASSIFICAÇÃO'!$E$103:$F$114,2,FALSE)</f>
        <v>Óleo Vegetal</v>
      </c>
      <c r="F241">
        <v>43193.053526999996</v>
      </c>
      <c r="G241" t="str">
        <f>VLOOKUP(Tabela1[[#This Row],[Cliente]],clientes!$C$3:$D$60,2,FALSE)</f>
        <v>POOL</v>
      </c>
    </row>
    <row r="242" spans="1:7" x14ac:dyDescent="0.25">
      <c r="A242">
        <v>2021</v>
      </c>
      <c r="B242" t="s">
        <v>138</v>
      </c>
      <c r="C242" t="s">
        <v>168</v>
      </c>
      <c r="D242" t="s">
        <v>122</v>
      </c>
      <c r="E242" t="str">
        <f>VLOOKUP(D242,'[2]Lista de Produtos CLASSIFICAÇÃO'!$E$103:$F$114,2,FALSE)</f>
        <v>Óleo Vegetal</v>
      </c>
      <c r="G242" t="str">
        <f>VLOOKUP(Tabela1[[#This Row],[Cliente]],clientes!$C$3:$D$60,2,FALSE)</f>
        <v>POOL EXCEDENTE</v>
      </c>
    </row>
    <row r="243" spans="1:7" x14ac:dyDescent="0.25">
      <c r="A243">
        <v>2021</v>
      </c>
      <c r="B243" t="s">
        <v>138</v>
      </c>
      <c r="C243" t="s">
        <v>169</v>
      </c>
      <c r="D243" t="s">
        <v>22</v>
      </c>
      <c r="E243" t="str">
        <f>VLOOKUP(D243,'[2]Lista de Produtos CLASSIFICAÇÃO'!$E$103:$F$114,2,FALSE)</f>
        <v>Metanol</v>
      </c>
      <c r="F243">
        <v>52000</v>
      </c>
      <c r="G243" t="str">
        <f>VLOOKUP(Tabela1[[#This Row],[Cliente]],clientes!$C$3:$D$60,2,FALSE)</f>
        <v>METHANEX</v>
      </c>
    </row>
    <row r="244" spans="1:7" x14ac:dyDescent="0.25">
      <c r="A244">
        <v>2021</v>
      </c>
      <c r="B244" t="s">
        <v>138</v>
      </c>
      <c r="C244" t="s">
        <v>170</v>
      </c>
      <c r="D244" t="s">
        <v>22</v>
      </c>
      <c r="E244" t="str">
        <f>VLOOKUP(D244,'[2]Lista de Produtos CLASSIFICAÇÃO'!$E$103:$F$114,2,FALSE)</f>
        <v>Metanol</v>
      </c>
      <c r="F244">
        <v>13000</v>
      </c>
      <c r="G244" t="str">
        <f>VLOOKUP(Tabela1[[#This Row],[Cliente]],clientes!$C$3:$D$60,2,FALSE)</f>
        <v>MITSUBISHI</v>
      </c>
    </row>
    <row r="245" spans="1:7" x14ac:dyDescent="0.25">
      <c r="A245">
        <v>2021</v>
      </c>
      <c r="B245" t="s">
        <v>138</v>
      </c>
      <c r="C245" t="s">
        <v>196</v>
      </c>
      <c r="D245" t="s">
        <v>22</v>
      </c>
      <c r="E245" t="str">
        <f>VLOOKUP(D245,'[2]Lista de Produtos CLASSIFICAÇÃO'!$E$103:$F$114,2,FALSE)</f>
        <v>Metanol</v>
      </c>
      <c r="F245">
        <v>20000</v>
      </c>
      <c r="G245" t="str">
        <f>VLOOKUP(Tabela1[[#This Row],[Cliente]],clientes!$C$3:$D$60,2,FALSE)</f>
        <v>SCC</v>
      </c>
    </row>
    <row r="246" spans="1:7" x14ac:dyDescent="0.25">
      <c r="A246">
        <v>2021</v>
      </c>
      <c r="B246" t="s">
        <v>138</v>
      </c>
      <c r="C246" t="s">
        <v>196</v>
      </c>
      <c r="D246" t="s">
        <v>22</v>
      </c>
      <c r="E246" t="str">
        <f>VLOOKUP(D246,'[2]Lista de Produtos CLASSIFICAÇÃO'!$E$103:$F$114,2,FALSE)</f>
        <v>Metanol</v>
      </c>
      <c r="F246">
        <v>1200</v>
      </c>
      <c r="G246" t="str">
        <f>VLOOKUP(Tabela1[[#This Row],[Cliente]],clientes!$C$3:$D$60,2,FALSE)</f>
        <v>SCC</v>
      </c>
    </row>
    <row r="247" spans="1:7" x14ac:dyDescent="0.25">
      <c r="A247">
        <v>2021</v>
      </c>
      <c r="B247" t="s">
        <v>138</v>
      </c>
      <c r="C247" t="s">
        <v>208</v>
      </c>
      <c r="D247" t="s">
        <v>202</v>
      </c>
      <c r="E247" t="e">
        <f>VLOOKUP(D247,'[2]Lista de Produtos CLASSIFICAÇÃO'!$E$103:$F$114,2,FALSE)</f>
        <v>#N/A</v>
      </c>
      <c r="G247" t="str">
        <f>VLOOKUP(Tabela1[[#This Row],[Cliente]],clientes!$C$3:$D$60,2,FALSE)</f>
        <v>HINOVE</v>
      </c>
    </row>
    <row r="248" spans="1:7" x14ac:dyDescent="0.25">
      <c r="A248">
        <v>2021</v>
      </c>
      <c r="B248" t="s">
        <v>138</v>
      </c>
      <c r="C248" t="s">
        <v>172</v>
      </c>
      <c r="D248" t="s">
        <v>124</v>
      </c>
      <c r="E248" t="str">
        <f>VLOOKUP(D248,'[2]Lista de Produtos CLASSIFICAÇÃO'!$E$103:$F$114,2,FALSE)</f>
        <v>Outros</v>
      </c>
      <c r="F248">
        <v>1200</v>
      </c>
      <c r="G248" t="str">
        <f>VLOOKUP(Tabela1[[#This Row],[Cliente]],clientes!$C$3:$D$60,2,FALSE)</f>
        <v>EVONIK</v>
      </c>
    </row>
    <row r="249" spans="1:7" x14ac:dyDescent="0.25">
      <c r="A249">
        <v>2021</v>
      </c>
      <c r="B249" t="s">
        <v>138</v>
      </c>
      <c r="C249" t="s">
        <v>173</v>
      </c>
      <c r="D249" t="s">
        <v>22</v>
      </c>
      <c r="E249" t="str">
        <f>VLOOKUP(D249,'[2]Lista de Produtos CLASSIFICAÇÃO'!$E$103:$F$114,2,FALSE)</f>
        <v>Metanol</v>
      </c>
      <c r="G249" t="str">
        <f>VLOOKUP(Tabela1[[#This Row],[Cliente]],clientes!$C$3:$D$60,2,FALSE)</f>
        <v>YPF SOCIEDAD ANONIMA</v>
      </c>
    </row>
    <row r="250" spans="1:7" x14ac:dyDescent="0.25">
      <c r="A250">
        <v>2021</v>
      </c>
      <c r="B250" t="s">
        <v>138</v>
      </c>
      <c r="C250" t="s">
        <v>203</v>
      </c>
      <c r="D250" t="s">
        <v>124</v>
      </c>
      <c r="E250" t="str">
        <f>VLOOKUP(D250,'[2]Lista de Produtos CLASSIFICAÇÃO'!$E$103:$F$114,2,FALSE)</f>
        <v>Outros</v>
      </c>
      <c r="G250" t="str">
        <f>VLOOKUP(Tabela1[[#This Row],[Cliente]],clientes!$C$3:$D$60,2,FALSE)</f>
        <v>GTM</v>
      </c>
    </row>
    <row r="251" spans="1:7" x14ac:dyDescent="0.25">
      <c r="A251">
        <v>2021</v>
      </c>
      <c r="B251" t="s">
        <v>138</v>
      </c>
      <c r="C251" t="s">
        <v>197</v>
      </c>
      <c r="D251" t="s">
        <v>85</v>
      </c>
      <c r="E251" t="e">
        <f>VLOOKUP(D251,'[2]Lista de Produtos CLASSIFICAÇÃO'!$E$103:$F$114,2,FALSE)</f>
        <v>#N/A</v>
      </c>
      <c r="F251">
        <v>400</v>
      </c>
      <c r="G251" t="str">
        <f>VLOOKUP(Tabela1[[#This Row],[Cliente]],clientes!$C$3:$D$60,2,FALSE)</f>
        <v>DRT</v>
      </c>
    </row>
    <row r="252" spans="1:7" x14ac:dyDescent="0.25">
      <c r="A252">
        <v>2021</v>
      </c>
      <c r="B252" t="s">
        <v>138</v>
      </c>
      <c r="C252" t="s">
        <v>198</v>
      </c>
      <c r="D252" t="s">
        <v>121</v>
      </c>
      <c r="E252" t="str">
        <f>VLOOKUP(D252,'[2]Lista de Produtos CLASSIFICAÇÃO'!$E$103:$F$114,2,FALSE)</f>
        <v>Biocombustíveis</v>
      </c>
      <c r="F252">
        <v>8000</v>
      </c>
      <c r="G252" t="str">
        <f>VLOOKUP(Tabela1[[#This Row],[Cliente]],clientes!$C$3:$D$60,2,FALSE)</f>
        <v>TEREOS / INPASA / GLENCORE</v>
      </c>
    </row>
    <row r="253" spans="1:7" x14ac:dyDescent="0.25">
      <c r="A253">
        <v>2021</v>
      </c>
      <c r="B253" t="s">
        <v>138</v>
      </c>
      <c r="C253" t="s">
        <v>174</v>
      </c>
      <c r="D253" t="s">
        <v>123</v>
      </c>
      <c r="E253" t="str">
        <f>VLOOKUP(D253,'[2]Lista de Produtos CLASSIFICAÇÃO'!$E$103:$F$114,2,FALSE)</f>
        <v>Aquecidos</v>
      </c>
      <c r="F253">
        <v>3000</v>
      </c>
      <c r="G253" t="str">
        <f>VLOOKUP(Tabela1[[#This Row],[Cliente]],clientes!$C$3:$D$60,2,FALSE)</f>
        <v>CELENA</v>
      </c>
    </row>
    <row r="254" spans="1:7" x14ac:dyDescent="0.25">
      <c r="A254">
        <v>2021</v>
      </c>
      <c r="B254" t="s">
        <v>138</v>
      </c>
      <c r="C254" t="s">
        <v>175</v>
      </c>
      <c r="D254" t="s">
        <v>123</v>
      </c>
      <c r="E254" t="str">
        <f>VLOOKUP(D254,'[2]Lista de Produtos CLASSIFICAÇÃO'!$E$103:$F$114,2,FALSE)</f>
        <v>Aquecidos</v>
      </c>
      <c r="F254">
        <v>2000</v>
      </c>
      <c r="G254" t="str">
        <f>VLOOKUP(Tabela1[[#This Row],[Cliente]],clientes!$C$3:$D$60,2,FALSE)</f>
        <v>AAK DO BRASIL</v>
      </c>
    </row>
    <row r="255" spans="1:7" x14ac:dyDescent="0.25">
      <c r="A255">
        <v>2021</v>
      </c>
      <c r="B255" t="s">
        <v>138</v>
      </c>
      <c r="C255" t="s">
        <v>166</v>
      </c>
      <c r="D255" t="s">
        <v>122</v>
      </c>
      <c r="E255" t="str">
        <f>VLOOKUP(D255,'[2]Lista de Produtos CLASSIFICAÇÃO'!$E$103:$F$114,2,FALSE)</f>
        <v>Óleo Vegetal</v>
      </c>
      <c r="G255" t="str">
        <f>VLOOKUP(Tabela1[[#This Row],[Cliente]],clientes!$C$3:$D$60,2,FALSE)</f>
        <v>CARGILL</v>
      </c>
    </row>
    <row r="256" spans="1:7" x14ac:dyDescent="0.25">
      <c r="A256">
        <v>2021</v>
      </c>
      <c r="B256" t="s">
        <v>138</v>
      </c>
      <c r="C256" t="s">
        <v>176</v>
      </c>
      <c r="D256" t="s">
        <v>123</v>
      </c>
      <c r="E256" t="str">
        <f>VLOOKUP(D256,'[2]Lista de Produtos CLASSIFICAÇÃO'!$E$103:$F$114,2,FALSE)</f>
        <v>Aquecidos</v>
      </c>
      <c r="F256">
        <v>3000</v>
      </c>
      <c r="G256" t="str">
        <f>VLOOKUP(Tabela1[[#This Row],[Cliente]],clientes!$C$3:$D$60,2,FALSE)</f>
        <v>AGROPALMA</v>
      </c>
    </row>
    <row r="257" spans="1:7" x14ac:dyDescent="0.25">
      <c r="A257">
        <v>2021</v>
      </c>
      <c r="B257" t="s">
        <v>138</v>
      </c>
      <c r="C257" t="s">
        <v>204</v>
      </c>
      <c r="D257" t="s">
        <v>59</v>
      </c>
      <c r="E257" t="e">
        <f>VLOOKUP(D257,'[2]Lista de Produtos CLASSIFICAÇÃO'!$E$103:$F$114,2,FALSE)</f>
        <v>#N/A</v>
      </c>
      <c r="F257">
        <v>17500</v>
      </c>
      <c r="G257" t="str">
        <f>VLOOKUP(Tabela1[[#This Row],[Cliente]],clientes!$C$3:$D$60,2,FALSE)</f>
        <v>COPAPE</v>
      </c>
    </row>
    <row r="258" spans="1:7" x14ac:dyDescent="0.25">
      <c r="A258">
        <v>2021</v>
      </c>
      <c r="B258" t="s">
        <v>139</v>
      </c>
      <c r="C258" t="s">
        <v>155</v>
      </c>
      <c r="D258" t="s">
        <v>16</v>
      </c>
      <c r="E258" t="str">
        <f>VLOOKUP(D258,'[2]Lista de Produtos CLASSIFICAÇÃO'!$E$103:$F$114,2,FALSE)</f>
        <v>Outros</v>
      </c>
      <c r="F258">
        <v>3000</v>
      </c>
      <c r="G258" t="str">
        <f>VLOOKUP(Tabela1[[#This Row],[Cliente]],clientes!$C$3:$D$60,2,FALSE)</f>
        <v>ADISSEO</v>
      </c>
    </row>
    <row r="259" spans="1:7" x14ac:dyDescent="0.25">
      <c r="A259">
        <v>2021</v>
      </c>
      <c r="B259" t="s">
        <v>139</v>
      </c>
      <c r="C259" t="s">
        <v>155</v>
      </c>
      <c r="D259" t="s">
        <v>16</v>
      </c>
      <c r="E259" t="str">
        <f>VLOOKUP(D259,'[2]Lista de Produtos CLASSIFICAÇÃO'!$E$103:$F$114,2,FALSE)</f>
        <v>Outros</v>
      </c>
      <c r="F259">
        <v>500</v>
      </c>
      <c r="G259" t="str">
        <f>VLOOKUP(Tabela1[[#This Row],[Cliente]],clientes!$C$3:$D$60,2,FALSE)</f>
        <v>ADISSEO</v>
      </c>
    </row>
    <row r="260" spans="1:7" x14ac:dyDescent="0.25">
      <c r="A260">
        <v>2021</v>
      </c>
      <c r="B260" t="s">
        <v>139</v>
      </c>
      <c r="C260" t="s">
        <v>199</v>
      </c>
      <c r="D260" t="s">
        <v>16</v>
      </c>
      <c r="E260" t="str">
        <f>VLOOKUP(D260,'[2]Lista de Produtos CLASSIFICAÇÃO'!$E$103:$F$114,2,FALSE)</f>
        <v>Outros</v>
      </c>
      <c r="F260">
        <v>150</v>
      </c>
      <c r="G260" t="str">
        <f>VLOOKUP(Tabela1[[#This Row],[Cliente]],clientes!$C$3:$D$60,2,FALSE)</f>
        <v>ADISSEO</v>
      </c>
    </row>
    <row r="261" spans="1:7" x14ac:dyDescent="0.25">
      <c r="A261">
        <v>2021</v>
      </c>
      <c r="B261" t="s">
        <v>139</v>
      </c>
      <c r="C261" t="s">
        <v>157</v>
      </c>
      <c r="D261" t="s">
        <v>49</v>
      </c>
      <c r="E261" t="e">
        <f>VLOOKUP(D261,'[2]Lista de Produtos CLASSIFICAÇÃO'!$E$103:$F$114,2,FALSE)</f>
        <v>#N/A</v>
      </c>
      <c r="F261">
        <v>350</v>
      </c>
      <c r="G261" t="str">
        <f>VLOOKUP(Tabela1[[#This Row],[Cliente]],clientes!$C$3:$D$60,2,FALSE)</f>
        <v>ADM</v>
      </c>
    </row>
    <row r="262" spans="1:7" x14ac:dyDescent="0.25">
      <c r="A262">
        <v>2021</v>
      </c>
      <c r="B262" t="s">
        <v>139</v>
      </c>
      <c r="C262" t="s">
        <v>158</v>
      </c>
      <c r="D262" t="s">
        <v>120</v>
      </c>
      <c r="E262" t="str">
        <f>VLOOKUP(D262,'[2]Lista de Produtos CLASSIFICAÇÃO'!$E$103:$F$114,2,FALSE)</f>
        <v>Derivados</v>
      </c>
      <c r="F262">
        <v>113295</v>
      </c>
      <c r="G262" t="str">
        <f>VLOOKUP(Tabela1[[#This Row],[Cliente]],clientes!$C$3:$D$60,2,FALSE)</f>
        <v>IPIRANGA</v>
      </c>
    </row>
    <row r="263" spans="1:7" x14ac:dyDescent="0.25">
      <c r="A263">
        <v>2021</v>
      </c>
      <c r="B263" t="s">
        <v>139</v>
      </c>
      <c r="C263" t="s">
        <v>206</v>
      </c>
      <c r="D263" t="s">
        <v>120</v>
      </c>
      <c r="E263" t="str">
        <f>VLOOKUP(D263,'[2]Lista de Produtos CLASSIFICAÇÃO'!$E$103:$F$114,2,FALSE)</f>
        <v>Derivados</v>
      </c>
      <c r="F263">
        <v>53950</v>
      </c>
      <c r="G263" t="str">
        <f>VLOOKUP(Tabela1[[#This Row],[Cliente]],clientes!$C$3:$D$60,2,FALSE)</f>
        <v>BR</v>
      </c>
    </row>
    <row r="264" spans="1:7" x14ac:dyDescent="0.25">
      <c r="A264">
        <v>2021</v>
      </c>
      <c r="B264" t="s">
        <v>139</v>
      </c>
      <c r="C264" t="s">
        <v>200</v>
      </c>
      <c r="D264" t="s">
        <v>120</v>
      </c>
      <c r="E264" t="str">
        <f>VLOOKUP(D264,'[2]Lista de Produtos CLASSIFICAÇÃO'!$E$103:$F$114,2,FALSE)</f>
        <v>Derivados</v>
      </c>
      <c r="F264">
        <v>18691</v>
      </c>
      <c r="G264" t="str">
        <f>VLOOKUP(Tabela1[[#This Row],[Cliente]],clientes!$C$3:$D$60,2,FALSE)</f>
        <v>GREENENERGY</v>
      </c>
    </row>
    <row r="265" spans="1:7" x14ac:dyDescent="0.25">
      <c r="A265">
        <v>2021</v>
      </c>
      <c r="B265" t="s">
        <v>139</v>
      </c>
      <c r="C265" t="s">
        <v>161</v>
      </c>
      <c r="D265" t="s">
        <v>120</v>
      </c>
      <c r="E265" t="str">
        <f>VLOOKUP(D265,'[2]Lista de Produtos CLASSIFICAÇÃO'!$E$103:$F$114,2,FALSE)</f>
        <v>Derivados</v>
      </c>
      <c r="G265" t="str">
        <f>VLOOKUP(Tabela1[[#This Row],[Cliente]],clientes!$C$3:$D$60,2,FALSE)</f>
        <v>SUL PLATA</v>
      </c>
    </row>
    <row r="266" spans="1:7" x14ac:dyDescent="0.25">
      <c r="A266">
        <v>2021</v>
      </c>
      <c r="B266" t="s">
        <v>139</v>
      </c>
      <c r="C266" t="s">
        <v>161</v>
      </c>
      <c r="D266" t="s">
        <v>120</v>
      </c>
      <c r="E266" t="str">
        <f>VLOOKUP(D266,'[2]Lista de Produtos CLASSIFICAÇÃO'!$E$103:$F$114,2,FALSE)</f>
        <v>Derivados</v>
      </c>
      <c r="F266">
        <v>20169</v>
      </c>
      <c r="G266" t="str">
        <f>VLOOKUP(Tabela1[[#This Row],[Cliente]],clientes!$C$3:$D$60,2,FALSE)</f>
        <v>SUL PLATA</v>
      </c>
    </row>
    <row r="267" spans="1:7" x14ac:dyDescent="0.25">
      <c r="A267">
        <v>2021</v>
      </c>
      <c r="B267" t="s">
        <v>139</v>
      </c>
      <c r="C267" t="s">
        <v>162</v>
      </c>
      <c r="D267" t="s">
        <v>115</v>
      </c>
      <c r="E267" t="str">
        <f>VLOOKUP(D267,'[2]Lista de Produtos CLASSIFICAÇÃO'!$E$103:$F$114,2,FALSE)</f>
        <v>Soda Caustica</v>
      </c>
      <c r="F267">
        <v>2300</v>
      </c>
      <c r="G267" t="str">
        <f>VLOOKUP(Tabela1[[#This Row],[Cliente]],clientes!$C$3:$D$60,2,FALSE)</f>
        <v>JBS</v>
      </c>
    </row>
    <row r="268" spans="1:7" x14ac:dyDescent="0.25">
      <c r="A268">
        <v>2021</v>
      </c>
      <c r="B268" t="s">
        <v>139</v>
      </c>
      <c r="C268" t="s">
        <v>163</v>
      </c>
      <c r="D268" t="s">
        <v>115</v>
      </c>
      <c r="E268" t="str">
        <f>VLOOKUP(D268,'[2]Lista de Produtos CLASSIFICAÇÃO'!$E$103:$F$114,2,FALSE)</f>
        <v>Soda Caustica</v>
      </c>
      <c r="F268">
        <v>3200</v>
      </c>
      <c r="G268" t="str">
        <f>VLOOKUP(Tabela1[[#This Row],[Cliente]],clientes!$C$3:$D$60,2,FALSE)</f>
        <v>TRICON ENERGY</v>
      </c>
    </row>
    <row r="269" spans="1:7" x14ac:dyDescent="0.25">
      <c r="A269">
        <v>2021</v>
      </c>
      <c r="B269" t="s">
        <v>139</v>
      </c>
      <c r="C269" t="s">
        <v>207</v>
      </c>
      <c r="D269" t="s">
        <v>16</v>
      </c>
      <c r="E269" t="str">
        <f>VLOOKUP(D269,'[2]Lista de Produtos CLASSIFICAÇÃO'!$E$103:$F$114,2,FALSE)</f>
        <v>Outros</v>
      </c>
      <c r="G269" t="str">
        <f>VLOOKUP(Tabela1[[#This Row],[Cliente]],clientes!$C$3:$D$60,2,FALSE)</f>
        <v>NOVUS</v>
      </c>
    </row>
    <row r="270" spans="1:7" x14ac:dyDescent="0.25">
      <c r="A270">
        <v>2021</v>
      </c>
      <c r="B270" t="s">
        <v>139</v>
      </c>
      <c r="C270" t="s">
        <v>165</v>
      </c>
      <c r="D270" t="s">
        <v>123</v>
      </c>
      <c r="E270" t="str">
        <f>VLOOKUP(D270,'[2]Lista de Produtos CLASSIFICAÇÃO'!$E$103:$F$114,2,FALSE)</f>
        <v>Aquecidos</v>
      </c>
      <c r="F270">
        <v>3000</v>
      </c>
      <c r="G270" t="str">
        <f>VLOOKUP(Tabela1[[#This Row],[Cliente]],clientes!$C$3:$D$60,2,FALSE)</f>
        <v>BRF</v>
      </c>
    </row>
    <row r="271" spans="1:7" x14ac:dyDescent="0.25">
      <c r="A271">
        <v>2021</v>
      </c>
      <c r="B271" t="s">
        <v>139</v>
      </c>
      <c r="C271" t="s">
        <v>162</v>
      </c>
      <c r="D271" t="s">
        <v>123</v>
      </c>
      <c r="E271" t="str">
        <f>VLOOKUP(D271,'[2]Lista de Produtos CLASSIFICAÇÃO'!$E$103:$F$114,2,FALSE)</f>
        <v>Aquecidos</v>
      </c>
      <c r="F271">
        <v>1300</v>
      </c>
      <c r="G271" t="str">
        <f>VLOOKUP(Tabela1[[#This Row],[Cliente]],clientes!$C$3:$D$60,2,FALSE)</f>
        <v>JBS</v>
      </c>
    </row>
    <row r="272" spans="1:7" x14ac:dyDescent="0.25">
      <c r="A272">
        <v>2021</v>
      </c>
      <c r="B272" t="s">
        <v>139</v>
      </c>
      <c r="C272" t="s">
        <v>166</v>
      </c>
      <c r="D272" t="s">
        <v>123</v>
      </c>
      <c r="E272" t="str">
        <f>VLOOKUP(D272,'[2]Lista de Produtos CLASSIFICAÇÃO'!$E$103:$F$114,2,FALSE)</f>
        <v>Aquecidos</v>
      </c>
      <c r="F272">
        <v>3500</v>
      </c>
      <c r="G272" t="str">
        <f>VLOOKUP(Tabela1[[#This Row],[Cliente]],clientes!$C$3:$D$60,2,FALSE)</f>
        <v>CARGILL</v>
      </c>
    </row>
    <row r="273" spans="1:7" x14ac:dyDescent="0.25">
      <c r="A273">
        <v>2021</v>
      </c>
      <c r="B273" t="s">
        <v>139</v>
      </c>
      <c r="C273" t="s">
        <v>167</v>
      </c>
      <c r="D273" t="s">
        <v>122</v>
      </c>
      <c r="E273" t="str">
        <f>VLOOKUP(D273,'[2]Lista de Produtos CLASSIFICAÇÃO'!$E$103:$F$114,2,FALSE)</f>
        <v>Óleo Vegetal</v>
      </c>
      <c r="F273">
        <v>51055.320420000004</v>
      </c>
      <c r="G273" t="str">
        <f>VLOOKUP(Tabela1[[#This Row],[Cliente]],clientes!$C$3:$D$60,2,FALSE)</f>
        <v>POOL</v>
      </c>
    </row>
    <row r="274" spans="1:7" x14ac:dyDescent="0.25">
      <c r="A274">
        <v>2021</v>
      </c>
      <c r="B274" t="s">
        <v>139</v>
      </c>
      <c r="C274" t="s">
        <v>168</v>
      </c>
      <c r="D274" t="s">
        <v>122</v>
      </c>
      <c r="E274" t="str">
        <f>VLOOKUP(D274,'[2]Lista de Produtos CLASSIFICAÇÃO'!$E$103:$F$114,2,FALSE)</f>
        <v>Óleo Vegetal</v>
      </c>
      <c r="G274" t="str">
        <f>VLOOKUP(Tabela1[[#This Row],[Cliente]],clientes!$C$3:$D$60,2,FALSE)</f>
        <v>POOL EXCEDENTE</v>
      </c>
    </row>
    <row r="275" spans="1:7" x14ac:dyDescent="0.25">
      <c r="A275">
        <v>2021</v>
      </c>
      <c r="B275" t="s">
        <v>139</v>
      </c>
      <c r="C275" t="s">
        <v>169</v>
      </c>
      <c r="D275" t="s">
        <v>22</v>
      </c>
      <c r="E275" t="str">
        <f>VLOOKUP(D275,'[2]Lista de Produtos CLASSIFICAÇÃO'!$E$103:$F$114,2,FALSE)</f>
        <v>Metanol</v>
      </c>
      <c r="F275">
        <v>52000</v>
      </c>
      <c r="G275" t="str">
        <f>VLOOKUP(Tabela1[[#This Row],[Cliente]],clientes!$C$3:$D$60,2,FALSE)</f>
        <v>METHANEX</v>
      </c>
    </row>
    <row r="276" spans="1:7" x14ac:dyDescent="0.25">
      <c r="A276">
        <v>2021</v>
      </c>
      <c r="B276" t="s">
        <v>139</v>
      </c>
      <c r="C276" t="s">
        <v>170</v>
      </c>
      <c r="D276" t="s">
        <v>22</v>
      </c>
      <c r="E276" t="str">
        <f>VLOOKUP(D276,'[2]Lista de Produtos CLASSIFICAÇÃO'!$E$103:$F$114,2,FALSE)</f>
        <v>Metanol</v>
      </c>
      <c r="F276">
        <v>13000</v>
      </c>
      <c r="G276" t="str">
        <f>VLOOKUP(Tabela1[[#This Row],[Cliente]],clientes!$C$3:$D$60,2,FALSE)</f>
        <v>MITSUBISHI</v>
      </c>
    </row>
    <row r="277" spans="1:7" x14ac:dyDescent="0.25">
      <c r="A277">
        <v>2021</v>
      </c>
      <c r="B277" t="s">
        <v>139</v>
      </c>
      <c r="C277" t="s">
        <v>196</v>
      </c>
      <c r="D277" t="s">
        <v>22</v>
      </c>
      <c r="E277" t="str">
        <f>VLOOKUP(D277,'[2]Lista de Produtos CLASSIFICAÇÃO'!$E$103:$F$114,2,FALSE)</f>
        <v>Metanol</v>
      </c>
      <c r="F277">
        <v>20000</v>
      </c>
      <c r="G277" t="str">
        <f>VLOOKUP(Tabela1[[#This Row],[Cliente]],clientes!$C$3:$D$60,2,FALSE)</f>
        <v>SCC</v>
      </c>
    </row>
    <row r="278" spans="1:7" x14ac:dyDescent="0.25">
      <c r="A278">
        <v>2021</v>
      </c>
      <c r="B278" t="s">
        <v>139</v>
      </c>
      <c r="C278" t="s">
        <v>196</v>
      </c>
      <c r="D278" t="s">
        <v>22</v>
      </c>
      <c r="E278" t="str">
        <f>VLOOKUP(D278,'[2]Lista de Produtos CLASSIFICAÇÃO'!$E$103:$F$114,2,FALSE)</f>
        <v>Metanol</v>
      </c>
      <c r="F278">
        <v>1200</v>
      </c>
      <c r="G278" t="str">
        <f>VLOOKUP(Tabela1[[#This Row],[Cliente]],clientes!$C$3:$D$60,2,FALSE)</f>
        <v>SCC</v>
      </c>
    </row>
    <row r="279" spans="1:7" x14ac:dyDescent="0.25">
      <c r="A279">
        <v>2021</v>
      </c>
      <c r="B279" t="s">
        <v>139</v>
      </c>
      <c r="C279" t="s">
        <v>208</v>
      </c>
      <c r="D279" t="s">
        <v>202</v>
      </c>
      <c r="E279" t="e">
        <f>VLOOKUP(D279,'[2]Lista de Produtos CLASSIFICAÇÃO'!$E$103:$F$114,2,FALSE)</f>
        <v>#N/A</v>
      </c>
      <c r="F279">
        <v>5000</v>
      </c>
      <c r="G279" t="str">
        <f>VLOOKUP(Tabela1[[#This Row],[Cliente]],clientes!$C$3:$D$60,2,FALSE)</f>
        <v>HINOVE</v>
      </c>
    </row>
    <row r="280" spans="1:7" x14ac:dyDescent="0.25">
      <c r="A280">
        <v>2021</v>
      </c>
      <c r="B280" t="s">
        <v>139</v>
      </c>
      <c r="C280" t="s">
        <v>172</v>
      </c>
      <c r="D280" t="s">
        <v>124</v>
      </c>
      <c r="E280" t="str">
        <f>VLOOKUP(D280,'[2]Lista de Produtos CLASSIFICAÇÃO'!$E$103:$F$114,2,FALSE)</f>
        <v>Outros</v>
      </c>
      <c r="F280">
        <v>1200</v>
      </c>
      <c r="G280" t="str">
        <f>VLOOKUP(Tabela1[[#This Row],[Cliente]],clientes!$C$3:$D$60,2,FALSE)</f>
        <v>EVONIK</v>
      </c>
    </row>
    <row r="281" spans="1:7" x14ac:dyDescent="0.25">
      <c r="A281">
        <v>2021</v>
      </c>
      <c r="B281" t="s">
        <v>139</v>
      </c>
      <c r="C281" t="s">
        <v>173</v>
      </c>
      <c r="D281" t="s">
        <v>22</v>
      </c>
      <c r="E281" t="str">
        <f>VLOOKUP(D281,'[2]Lista de Produtos CLASSIFICAÇÃO'!$E$103:$F$114,2,FALSE)</f>
        <v>Metanol</v>
      </c>
      <c r="F281">
        <v>5000</v>
      </c>
      <c r="G281" t="str">
        <f>VLOOKUP(Tabela1[[#This Row],[Cliente]],clientes!$C$3:$D$60,2,FALSE)</f>
        <v>YPF SOCIEDAD ANONIMA</v>
      </c>
    </row>
    <row r="282" spans="1:7" x14ac:dyDescent="0.25">
      <c r="A282">
        <v>2021</v>
      </c>
      <c r="B282" t="s">
        <v>139</v>
      </c>
      <c r="C282" t="s">
        <v>203</v>
      </c>
      <c r="D282" t="s">
        <v>124</v>
      </c>
      <c r="E282" t="str">
        <f>VLOOKUP(D282,'[2]Lista de Produtos CLASSIFICAÇÃO'!$E$103:$F$114,2,FALSE)</f>
        <v>Outros</v>
      </c>
      <c r="F282">
        <v>1000</v>
      </c>
      <c r="G282" t="str">
        <f>VLOOKUP(Tabela1[[#This Row],[Cliente]],clientes!$C$3:$D$60,2,FALSE)</f>
        <v>GTM</v>
      </c>
    </row>
    <row r="283" spans="1:7" x14ac:dyDescent="0.25">
      <c r="A283">
        <v>2021</v>
      </c>
      <c r="B283" t="s">
        <v>139</v>
      </c>
      <c r="C283" t="s">
        <v>197</v>
      </c>
      <c r="D283" t="s">
        <v>85</v>
      </c>
      <c r="E283" t="e">
        <f>VLOOKUP(D283,'[2]Lista de Produtos CLASSIFICAÇÃO'!$E$103:$F$114,2,FALSE)</f>
        <v>#N/A</v>
      </c>
      <c r="F283">
        <v>400</v>
      </c>
      <c r="G283" t="str">
        <f>VLOOKUP(Tabela1[[#This Row],[Cliente]],clientes!$C$3:$D$60,2,FALSE)</f>
        <v>DRT</v>
      </c>
    </row>
    <row r="284" spans="1:7" x14ac:dyDescent="0.25">
      <c r="A284">
        <v>2021</v>
      </c>
      <c r="B284" t="s">
        <v>139</v>
      </c>
      <c r="C284" t="s">
        <v>198</v>
      </c>
      <c r="D284" t="s">
        <v>121</v>
      </c>
      <c r="E284" t="str">
        <f>VLOOKUP(D284,'[2]Lista de Produtos CLASSIFICAÇÃO'!$E$103:$F$114,2,FALSE)</f>
        <v>Biocombustíveis</v>
      </c>
      <c r="F284">
        <v>8000</v>
      </c>
      <c r="G284" t="str">
        <f>VLOOKUP(Tabela1[[#This Row],[Cliente]],clientes!$C$3:$D$60,2,FALSE)</f>
        <v>TEREOS / INPASA / GLENCORE</v>
      </c>
    </row>
    <row r="285" spans="1:7" x14ac:dyDescent="0.25">
      <c r="A285">
        <v>2021</v>
      </c>
      <c r="B285" t="s">
        <v>139</v>
      </c>
      <c r="C285" t="s">
        <v>174</v>
      </c>
      <c r="D285" t="s">
        <v>123</v>
      </c>
      <c r="E285" t="str">
        <f>VLOOKUP(D285,'[2]Lista de Produtos CLASSIFICAÇÃO'!$E$103:$F$114,2,FALSE)</f>
        <v>Aquecidos</v>
      </c>
      <c r="F285">
        <v>3000</v>
      </c>
      <c r="G285" t="str">
        <f>VLOOKUP(Tabela1[[#This Row],[Cliente]],clientes!$C$3:$D$60,2,FALSE)</f>
        <v>CELENA</v>
      </c>
    </row>
    <row r="286" spans="1:7" x14ac:dyDescent="0.25">
      <c r="A286">
        <v>2021</v>
      </c>
      <c r="B286" t="s">
        <v>139</v>
      </c>
      <c r="C286" t="s">
        <v>175</v>
      </c>
      <c r="D286" t="s">
        <v>123</v>
      </c>
      <c r="E286" t="str">
        <f>VLOOKUP(D286,'[2]Lista de Produtos CLASSIFICAÇÃO'!$E$103:$F$114,2,FALSE)</f>
        <v>Aquecidos</v>
      </c>
      <c r="F286">
        <v>2000</v>
      </c>
      <c r="G286" t="str">
        <f>VLOOKUP(Tabela1[[#This Row],[Cliente]],clientes!$C$3:$D$60,2,FALSE)</f>
        <v>AAK DO BRASIL</v>
      </c>
    </row>
    <row r="287" spans="1:7" x14ac:dyDescent="0.25">
      <c r="A287">
        <v>2021</v>
      </c>
      <c r="B287" t="s">
        <v>139</v>
      </c>
      <c r="C287" t="s">
        <v>166</v>
      </c>
      <c r="D287" t="s">
        <v>122</v>
      </c>
      <c r="E287" t="str">
        <f>VLOOKUP(D287,'[2]Lista de Produtos CLASSIFICAÇÃO'!$E$103:$F$114,2,FALSE)</f>
        <v>Óleo Vegetal</v>
      </c>
      <c r="F287">
        <v>5000</v>
      </c>
      <c r="G287" t="str">
        <f>VLOOKUP(Tabela1[[#This Row],[Cliente]],clientes!$C$3:$D$60,2,FALSE)</f>
        <v>CARGILL</v>
      </c>
    </row>
    <row r="288" spans="1:7" x14ac:dyDescent="0.25">
      <c r="A288">
        <v>2021</v>
      </c>
      <c r="B288" t="s">
        <v>139</v>
      </c>
      <c r="C288" t="s">
        <v>176</v>
      </c>
      <c r="D288" t="s">
        <v>123</v>
      </c>
      <c r="E288" t="str">
        <f>VLOOKUP(D288,'[2]Lista de Produtos CLASSIFICAÇÃO'!$E$103:$F$114,2,FALSE)</f>
        <v>Aquecidos</v>
      </c>
      <c r="F288">
        <v>3000</v>
      </c>
      <c r="G288" t="str">
        <f>VLOOKUP(Tabela1[[#This Row],[Cliente]],clientes!$C$3:$D$60,2,FALSE)</f>
        <v>AGROPALMA</v>
      </c>
    </row>
    <row r="289" spans="1:7" x14ac:dyDescent="0.25">
      <c r="A289">
        <v>2021</v>
      </c>
      <c r="B289" t="s">
        <v>139</v>
      </c>
      <c r="C289" t="s">
        <v>204</v>
      </c>
      <c r="D289" t="s">
        <v>59</v>
      </c>
      <c r="E289" t="e">
        <f>VLOOKUP(D289,'[2]Lista de Produtos CLASSIFICAÇÃO'!$E$103:$F$114,2,FALSE)</f>
        <v>#N/A</v>
      </c>
      <c r="F289">
        <v>17500</v>
      </c>
      <c r="G289" t="str">
        <f>VLOOKUP(Tabela1[[#This Row],[Cliente]],clientes!$C$3:$D$60,2,FALSE)</f>
        <v>COPAPE</v>
      </c>
    </row>
    <row r="290" spans="1:7" x14ac:dyDescent="0.25">
      <c r="A290">
        <v>2021</v>
      </c>
      <c r="B290" t="s">
        <v>140</v>
      </c>
      <c r="C290" t="s">
        <v>155</v>
      </c>
      <c r="D290" t="s">
        <v>16</v>
      </c>
      <c r="E290" t="str">
        <f>VLOOKUP(D290,'[2]Lista de Produtos CLASSIFICAÇÃO'!$E$103:$F$114,2,FALSE)</f>
        <v>Outros</v>
      </c>
      <c r="F290">
        <v>3000</v>
      </c>
      <c r="G290" t="str">
        <f>VLOOKUP(Tabela1[[#This Row],[Cliente]],clientes!$C$3:$D$60,2,FALSE)</f>
        <v>ADISSEO</v>
      </c>
    </row>
    <row r="291" spans="1:7" x14ac:dyDescent="0.25">
      <c r="A291">
        <v>2021</v>
      </c>
      <c r="B291" t="s">
        <v>140</v>
      </c>
      <c r="C291" t="s">
        <v>155</v>
      </c>
      <c r="D291" t="s">
        <v>16</v>
      </c>
      <c r="E291" t="str">
        <f>VLOOKUP(D291,'[2]Lista de Produtos CLASSIFICAÇÃO'!$E$103:$F$114,2,FALSE)</f>
        <v>Outros</v>
      </c>
      <c r="F291">
        <v>500</v>
      </c>
      <c r="G291" t="str">
        <f>VLOOKUP(Tabela1[[#This Row],[Cliente]],clientes!$C$3:$D$60,2,FALSE)</f>
        <v>ADISSEO</v>
      </c>
    </row>
    <row r="292" spans="1:7" x14ac:dyDescent="0.25">
      <c r="A292">
        <v>2021</v>
      </c>
      <c r="B292" t="s">
        <v>140</v>
      </c>
      <c r="C292" t="s">
        <v>199</v>
      </c>
      <c r="D292" t="s">
        <v>16</v>
      </c>
      <c r="E292" t="str">
        <f>VLOOKUP(D292,'[2]Lista de Produtos CLASSIFICAÇÃO'!$E$103:$F$114,2,FALSE)</f>
        <v>Outros</v>
      </c>
      <c r="F292">
        <v>150</v>
      </c>
      <c r="G292" t="str">
        <f>VLOOKUP(Tabela1[[#This Row],[Cliente]],clientes!$C$3:$D$60,2,FALSE)</f>
        <v>ADISSEO</v>
      </c>
    </row>
    <row r="293" spans="1:7" x14ac:dyDescent="0.25">
      <c r="A293">
        <v>2021</v>
      </c>
      <c r="B293" t="s">
        <v>140</v>
      </c>
      <c r="C293" t="s">
        <v>157</v>
      </c>
      <c r="D293" t="s">
        <v>49</v>
      </c>
      <c r="E293" t="e">
        <f>VLOOKUP(D293,'[2]Lista de Produtos CLASSIFICAÇÃO'!$E$103:$F$114,2,FALSE)</f>
        <v>#N/A</v>
      </c>
      <c r="F293">
        <v>350</v>
      </c>
      <c r="G293" t="str">
        <f>VLOOKUP(Tabela1[[#This Row],[Cliente]],clientes!$C$3:$D$60,2,FALSE)</f>
        <v>ADM</v>
      </c>
    </row>
    <row r="294" spans="1:7" x14ac:dyDescent="0.25">
      <c r="A294">
        <v>2021</v>
      </c>
      <c r="B294" t="s">
        <v>140</v>
      </c>
      <c r="C294" t="s">
        <v>158</v>
      </c>
      <c r="D294" t="s">
        <v>120</v>
      </c>
      <c r="E294" t="str">
        <f>VLOOKUP(D294,'[2]Lista de Produtos CLASSIFICAÇÃO'!$E$103:$F$114,2,FALSE)</f>
        <v>Derivados</v>
      </c>
      <c r="F294">
        <v>113295</v>
      </c>
      <c r="G294" t="str">
        <f>VLOOKUP(Tabela1[[#This Row],[Cliente]],clientes!$C$3:$D$60,2,FALSE)</f>
        <v>IPIRANGA</v>
      </c>
    </row>
    <row r="295" spans="1:7" x14ac:dyDescent="0.25">
      <c r="A295">
        <v>2021</v>
      </c>
      <c r="B295" t="s">
        <v>140</v>
      </c>
      <c r="C295" t="s">
        <v>206</v>
      </c>
      <c r="D295" t="s">
        <v>120</v>
      </c>
      <c r="E295" t="str">
        <f>VLOOKUP(D295,'[2]Lista de Produtos CLASSIFICAÇÃO'!$E$103:$F$114,2,FALSE)</f>
        <v>Derivados</v>
      </c>
      <c r="F295">
        <v>53950</v>
      </c>
      <c r="G295" t="str">
        <f>VLOOKUP(Tabela1[[#This Row],[Cliente]],clientes!$C$3:$D$60,2,FALSE)</f>
        <v>BR</v>
      </c>
    </row>
    <row r="296" spans="1:7" x14ac:dyDescent="0.25">
      <c r="A296">
        <v>2021</v>
      </c>
      <c r="B296" t="s">
        <v>140</v>
      </c>
      <c r="C296" t="s">
        <v>200</v>
      </c>
      <c r="D296" t="s">
        <v>120</v>
      </c>
      <c r="E296" t="str">
        <f>VLOOKUP(D296,'[2]Lista de Produtos CLASSIFICAÇÃO'!$E$103:$F$114,2,FALSE)</f>
        <v>Derivados</v>
      </c>
      <c r="F296">
        <v>18691</v>
      </c>
      <c r="G296" t="str">
        <f>VLOOKUP(Tabela1[[#This Row],[Cliente]],clientes!$C$3:$D$60,2,FALSE)</f>
        <v>GREENENERGY</v>
      </c>
    </row>
    <row r="297" spans="1:7" x14ac:dyDescent="0.25">
      <c r="A297">
        <v>2021</v>
      </c>
      <c r="B297" t="s">
        <v>140</v>
      </c>
      <c r="C297" t="s">
        <v>161</v>
      </c>
      <c r="D297" t="s">
        <v>120</v>
      </c>
      <c r="E297" t="str">
        <f>VLOOKUP(D297,'[2]Lista de Produtos CLASSIFICAÇÃO'!$E$103:$F$114,2,FALSE)</f>
        <v>Derivados</v>
      </c>
      <c r="G297" t="str">
        <f>VLOOKUP(Tabela1[[#This Row],[Cliente]],clientes!$C$3:$D$60,2,FALSE)</f>
        <v>SUL PLATA</v>
      </c>
    </row>
    <row r="298" spans="1:7" x14ac:dyDescent="0.25">
      <c r="A298">
        <v>2021</v>
      </c>
      <c r="B298" t="s">
        <v>140</v>
      </c>
      <c r="C298" t="s">
        <v>161</v>
      </c>
      <c r="D298" t="s">
        <v>120</v>
      </c>
      <c r="E298" t="str">
        <f>VLOOKUP(D298,'[2]Lista de Produtos CLASSIFICAÇÃO'!$E$103:$F$114,2,FALSE)</f>
        <v>Derivados</v>
      </c>
      <c r="F298">
        <v>20169</v>
      </c>
      <c r="G298" t="str">
        <f>VLOOKUP(Tabela1[[#This Row],[Cliente]],clientes!$C$3:$D$60,2,FALSE)</f>
        <v>SUL PLATA</v>
      </c>
    </row>
    <row r="299" spans="1:7" x14ac:dyDescent="0.25">
      <c r="A299">
        <v>2021</v>
      </c>
      <c r="B299" t="s">
        <v>140</v>
      </c>
      <c r="C299" t="s">
        <v>162</v>
      </c>
      <c r="D299" t="s">
        <v>115</v>
      </c>
      <c r="E299" t="str">
        <f>VLOOKUP(D299,'[2]Lista de Produtos CLASSIFICAÇÃO'!$E$103:$F$114,2,FALSE)</f>
        <v>Soda Caustica</v>
      </c>
      <c r="F299">
        <v>2300</v>
      </c>
      <c r="G299" t="str">
        <f>VLOOKUP(Tabela1[[#This Row],[Cliente]],clientes!$C$3:$D$60,2,FALSE)</f>
        <v>JBS</v>
      </c>
    </row>
    <row r="300" spans="1:7" x14ac:dyDescent="0.25">
      <c r="A300">
        <v>2021</v>
      </c>
      <c r="B300" t="s">
        <v>140</v>
      </c>
      <c r="C300" t="s">
        <v>163</v>
      </c>
      <c r="D300" t="s">
        <v>115</v>
      </c>
      <c r="E300" t="str">
        <f>VLOOKUP(D300,'[2]Lista de Produtos CLASSIFICAÇÃO'!$E$103:$F$114,2,FALSE)</f>
        <v>Soda Caustica</v>
      </c>
      <c r="F300">
        <v>3200</v>
      </c>
      <c r="G300" t="str">
        <f>VLOOKUP(Tabela1[[#This Row],[Cliente]],clientes!$C$3:$D$60,2,FALSE)</f>
        <v>TRICON ENERGY</v>
      </c>
    </row>
    <row r="301" spans="1:7" x14ac:dyDescent="0.25">
      <c r="A301">
        <v>2021</v>
      </c>
      <c r="B301" t="s">
        <v>140</v>
      </c>
      <c r="C301" t="s">
        <v>207</v>
      </c>
      <c r="D301" t="s">
        <v>16</v>
      </c>
      <c r="E301" t="str">
        <f>VLOOKUP(D301,'[2]Lista de Produtos CLASSIFICAÇÃO'!$E$103:$F$114,2,FALSE)</f>
        <v>Outros</v>
      </c>
      <c r="F301">
        <v>2000</v>
      </c>
      <c r="G301" t="str">
        <f>VLOOKUP(Tabela1[[#This Row],[Cliente]],clientes!$C$3:$D$60,2,FALSE)</f>
        <v>NOVUS</v>
      </c>
    </row>
    <row r="302" spans="1:7" x14ac:dyDescent="0.25">
      <c r="A302">
        <v>2021</v>
      </c>
      <c r="B302" t="s">
        <v>140</v>
      </c>
      <c r="C302" t="s">
        <v>165</v>
      </c>
      <c r="D302" t="s">
        <v>123</v>
      </c>
      <c r="E302" t="str">
        <f>VLOOKUP(D302,'[2]Lista de Produtos CLASSIFICAÇÃO'!$E$103:$F$114,2,FALSE)</f>
        <v>Aquecidos</v>
      </c>
      <c r="F302">
        <v>3000</v>
      </c>
      <c r="G302" t="str">
        <f>VLOOKUP(Tabela1[[#This Row],[Cliente]],clientes!$C$3:$D$60,2,FALSE)</f>
        <v>BRF</v>
      </c>
    </row>
    <row r="303" spans="1:7" x14ac:dyDescent="0.25">
      <c r="A303">
        <v>2021</v>
      </c>
      <c r="B303" t="s">
        <v>140</v>
      </c>
      <c r="C303" t="s">
        <v>162</v>
      </c>
      <c r="D303" t="s">
        <v>123</v>
      </c>
      <c r="E303" t="str">
        <f>VLOOKUP(D303,'[2]Lista de Produtos CLASSIFICAÇÃO'!$E$103:$F$114,2,FALSE)</f>
        <v>Aquecidos</v>
      </c>
      <c r="F303">
        <v>1300</v>
      </c>
      <c r="G303" t="str">
        <f>VLOOKUP(Tabela1[[#This Row],[Cliente]],clientes!$C$3:$D$60,2,FALSE)</f>
        <v>JBS</v>
      </c>
    </row>
    <row r="304" spans="1:7" x14ac:dyDescent="0.25">
      <c r="A304">
        <v>2021</v>
      </c>
      <c r="B304" t="s">
        <v>140</v>
      </c>
      <c r="C304" t="s">
        <v>166</v>
      </c>
      <c r="D304" t="s">
        <v>123</v>
      </c>
      <c r="E304" t="str">
        <f>VLOOKUP(D304,'[2]Lista de Produtos CLASSIFICAÇÃO'!$E$103:$F$114,2,FALSE)</f>
        <v>Aquecidos</v>
      </c>
      <c r="F304">
        <v>3500</v>
      </c>
      <c r="G304" t="str">
        <f>VLOOKUP(Tabela1[[#This Row],[Cliente]],clientes!$C$3:$D$60,2,FALSE)</f>
        <v>CARGILL</v>
      </c>
    </row>
    <row r="305" spans="1:7" x14ac:dyDescent="0.25">
      <c r="A305">
        <v>2021</v>
      </c>
      <c r="B305" t="s">
        <v>140</v>
      </c>
      <c r="C305" t="s">
        <v>167</v>
      </c>
      <c r="D305" t="s">
        <v>122</v>
      </c>
      <c r="E305" t="str">
        <f>VLOOKUP(D305,'[2]Lista de Produtos CLASSIFICAÇÃO'!$E$103:$F$114,2,FALSE)</f>
        <v>Óleo Vegetal</v>
      </c>
      <c r="F305">
        <v>20191.47</v>
      </c>
      <c r="G305" t="str">
        <f>VLOOKUP(Tabela1[[#This Row],[Cliente]],clientes!$C$3:$D$60,2,FALSE)</f>
        <v>POOL</v>
      </c>
    </row>
    <row r="306" spans="1:7" x14ac:dyDescent="0.25">
      <c r="A306">
        <v>2021</v>
      </c>
      <c r="B306" t="s">
        <v>140</v>
      </c>
      <c r="C306" t="s">
        <v>168</v>
      </c>
      <c r="D306" t="s">
        <v>122</v>
      </c>
      <c r="E306" t="str">
        <f>VLOOKUP(D306,'[2]Lista de Produtos CLASSIFICAÇÃO'!$E$103:$F$114,2,FALSE)</f>
        <v>Óleo Vegetal</v>
      </c>
      <c r="G306" t="str">
        <f>VLOOKUP(Tabela1[[#This Row],[Cliente]],clientes!$C$3:$D$60,2,FALSE)</f>
        <v>POOL EXCEDENTE</v>
      </c>
    </row>
    <row r="307" spans="1:7" x14ac:dyDescent="0.25">
      <c r="A307">
        <v>2021</v>
      </c>
      <c r="B307" t="s">
        <v>140</v>
      </c>
      <c r="C307" t="s">
        <v>169</v>
      </c>
      <c r="D307" t="s">
        <v>22</v>
      </c>
      <c r="E307" t="str">
        <f>VLOOKUP(D307,'[2]Lista de Produtos CLASSIFICAÇÃO'!$E$103:$F$114,2,FALSE)</f>
        <v>Metanol</v>
      </c>
      <c r="F307">
        <v>52000</v>
      </c>
      <c r="G307" t="str">
        <f>VLOOKUP(Tabela1[[#This Row],[Cliente]],clientes!$C$3:$D$60,2,FALSE)</f>
        <v>METHANEX</v>
      </c>
    </row>
    <row r="308" spans="1:7" x14ac:dyDescent="0.25">
      <c r="A308">
        <v>2021</v>
      </c>
      <c r="B308" t="s">
        <v>140</v>
      </c>
      <c r="C308" t="s">
        <v>170</v>
      </c>
      <c r="D308" t="s">
        <v>22</v>
      </c>
      <c r="E308" t="str">
        <f>VLOOKUP(D308,'[2]Lista de Produtos CLASSIFICAÇÃO'!$E$103:$F$114,2,FALSE)</f>
        <v>Metanol</v>
      </c>
      <c r="F308">
        <v>13000</v>
      </c>
      <c r="G308" t="str">
        <f>VLOOKUP(Tabela1[[#This Row],[Cliente]],clientes!$C$3:$D$60,2,FALSE)</f>
        <v>MITSUBISHI</v>
      </c>
    </row>
    <row r="309" spans="1:7" x14ac:dyDescent="0.25">
      <c r="A309">
        <v>2021</v>
      </c>
      <c r="B309" t="s">
        <v>140</v>
      </c>
      <c r="C309" t="s">
        <v>196</v>
      </c>
      <c r="D309" t="s">
        <v>22</v>
      </c>
      <c r="E309" t="str">
        <f>VLOOKUP(D309,'[2]Lista de Produtos CLASSIFICAÇÃO'!$E$103:$F$114,2,FALSE)</f>
        <v>Metanol</v>
      </c>
      <c r="F309">
        <v>20000</v>
      </c>
      <c r="G309" t="str">
        <f>VLOOKUP(Tabela1[[#This Row],[Cliente]],clientes!$C$3:$D$60,2,FALSE)</f>
        <v>SCC</v>
      </c>
    </row>
    <row r="310" spans="1:7" x14ac:dyDescent="0.25">
      <c r="A310">
        <v>2021</v>
      </c>
      <c r="B310" t="s">
        <v>140</v>
      </c>
      <c r="C310" t="s">
        <v>196</v>
      </c>
      <c r="D310" t="s">
        <v>22</v>
      </c>
      <c r="E310" t="str">
        <f>VLOOKUP(D310,'[2]Lista de Produtos CLASSIFICAÇÃO'!$E$103:$F$114,2,FALSE)</f>
        <v>Metanol</v>
      </c>
      <c r="F310">
        <v>1200</v>
      </c>
      <c r="G310" t="str">
        <f>VLOOKUP(Tabela1[[#This Row],[Cliente]],clientes!$C$3:$D$60,2,FALSE)</f>
        <v>SCC</v>
      </c>
    </row>
    <row r="311" spans="1:7" x14ac:dyDescent="0.25">
      <c r="A311">
        <v>2021</v>
      </c>
      <c r="B311" t="s">
        <v>140</v>
      </c>
      <c r="C311" t="s">
        <v>208</v>
      </c>
      <c r="D311" t="s">
        <v>202</v>
      </c>
      <c r="E311" t="e">
        <f>VLOOKUP(D311,'[2]Lista de Produtos CLASSIFICAÇÃO'!$E$103:$F$114,2,FALSE)</f>
        <v>#N/A</v>
      </c>
      <c r="G311" t="str">
        <f>VLOOKUP(Tabela1[[#This Row],[Cliente]],clientes!$C$3:$D$60,2,FALSE)</f>
        <v>HINOVE</v>
      </c>
    </row>
    <row r="312" spans="1:7" x14ac:dyDescent="0.25">
      <c r="A312">
        <v>2021</v>
      </c>
      <c r="B312" t="s">
        <v>140</v>
      </c>
      <c r="C312" t="s">
        <v>172</v>
      </c>
      <c r="D312" t="s">
        <v>124</v>
      </c>
      <c r="E312" t="str">
        <f>VLOOKUP(D312,'[2]Lista de Produtos CLASSIFICAÇÃO'!$E$103:$F$114,2,FALSE)</f>
        <v>Outros</v>
      </c>
      <c r="F312">
        <v>1200</v>
      </c>
      <c r="G312" t="str">
        <f>VLOOKUP(Tabela1[[#This Row],[Cliente]],clientes!$C$3:$D$60,2,FALSE)</f>
        <v>EVONIK</v>
      </c>
    </row>
    <row r="313" spans="1:7" x14ac:dyDescent="0.25">
      <c r="A313">
        <v>2021</v>
      </c>
      <c r="B313" t="s">
        <v>140</v>
      </c>
      <c r="C313" t="s">
        <v>173</v>
      </c>
      <c r="D313" t="s">
        <v>22</v>
      </c>
      <c r="E313" t="str">
        <f>VLOOKUP(D313,'[2]Lista de Produtos CLASSIFICAÇÃO'!$E$103:$F$114,2,FALSE)</f>
        <v>Metanol</v>
      </c>
      <c r="G313" t="str">
        <f>VLOOKUP(Tabela1[[#This Row],[Cliente]],clientes!$C$3:$D$60,2,FALSE)</f>
        <v>YPF SOCIEDAD ANONIMA</v>
      </c>
    </row>
    <row r="314" spans="1:7" x14ac:dyDescent="0.25">
      <c r="A314">
        <v>2021</v>
      </c>
      <c r="B314" t="s">
        <v>140</v>
      </c>
      <c r="C314" t="s">
        <v>203</v>
      </c>
      <c r="D314" t="s">
        <v>124</v>
      </c>
      <c r="E314" t="str">
        <f>VLOOKUP(D314,'[2]Lista de Produtos CLASSIFICAÇÃO'!$E$103:$F$114,2,FALSE)</f>
        <v>Outros</v>
      </c>
      <c r="G314" t="str">
        <f>VLOOKUP(Tabela1[[#This Row],[Cliente]],clientes!$C$3:$D$60,2,FALSE)</f>
        <v>GTM</v>
      </c>
    </row>
    <row r="315" spans="1:7" x14ac:dyDescent="0.25">
      <c r="A315">
        <v>2021</v>
      </c>
      <c r="B315" t="s">
        <v>140</v>
      </c>
      <c r="C315" t="s">
        <v>197</v>
      </c>
      <c r="D315" t="s">
        <v>85</v>
      </c>
      <c r="E315" t="e">
        <f>VLOOKUP(D315,'[2]Lista de Produtos CLASSIFICAÇÃO'!$E$103:$F$114,2,FALSE)</f>
        <v>#N/A</v>
      </c>
      <c r="F315">
        <v>400</v>
      </c>
      <c r="G315" t="str">
        <f>VLOOKUP(Tabela1[[#This Row],[Cliente]],clientes!$C$3:$D$60,2,FALSE)</f>
        <v>DRT</v>
      </c>
    </row>
    <row r="316" spans="1:7" x14ac:dyDescent="0.25">
      <c r="A316">
        <v>2021</v>
      </c>
      <c r="B316" t="s">
        <v>140</v>
      </c>
      <c r="C316" t="s">
        <v>198</v>
      </c>
      <c r="D316" t="s">
        <v>121</v>
      </c>
      <c r="E316" t="str">
        <f>VLOOKUP(D316,'[2]Lista de Produtos CLASSIFICAÇÃO'!$E$103:$F$114,2,FALSE)</f>
        <v>Biocombustíveis</v>
      </c>
      <c r="F316">
        <v>8000</v>
      </c>
      <c r="G316" t="str">
        <f>VLOOKUP(Tabela1[[#This Row],[Cliente]],clientes!$C$3:$D$60,2,FALSE)</f>
        <v>TEREOS / INPASA / GLENCORE</v>
      </c>
    </row>
    <row r="317" spans="1:7" x14ac:dyDescent="0.25">
      <c r="A317">
        <v>2021</v>
      </c>
      <c r="B317" t="s">
        <v>140</v>
      </c>
      <c r="C317" t="s">
        <v>174</v>
      </c>
      <c r="D317" t="s">
        <v>123</v>
      </c>
      <c r="E317" t="str">
        <f>VLOOKUP(D317,'[2]Lista de Produtos CLASSIFICAÇÃO'!$E$103:$F$114,2,FALSE)</f>
        <v>Aquecidos</v>
      </c>
      <c r="F317">
        <v>3000</v>
      </c>
      <c r="G317" t="str">
        <f>VLOOKUP(Tabela1[[#This Row],[Cliente]],clientes!$C$3:$D$60,2,FALSE)</f>
        <v>CELENA</v>
      </c>
    </row>
    <row r="318" spans="1:7" x14ac:dyDescent="0.25">
      <c r="A318">
        <v>2021</v>
      </c>
      <c r="B318" t="s">
        <v>140</v>
      </c>
      <c r="C318" t="s">
        <v>175</v>
      </c>
      <c r="D318" t="s">
        <v>123</v>
      </c>
      <c r="E318" t="str">
        <f>VLOOKUP(D318,'[2]Lista de Produtos CLASSIFICAÇÃO'!$E$103:$F$114,2,FALSE)</f>
        <v>Aquecidos</v>
      </c>
      <c r="F318">
        <v>2000</v>
      </c>
      <c r="G318" t="str">
        <f>VLOOKUP(Tabela1[[#This Row],[Cliente]],clientes!$C$3:$D$60,2,FALSE)</f>
        <v>AAK DO BRASIL</v>
      </c>
    </row>
    <row r="319" spans="1:7" x14ac:dyDescent="0.25">
      <c r="A319">
        <v>2021</v>
      </c>
      <c r="B319" t="s">
        <v>140</v>
      </c>
      <c r="C319" t="s">
        <v>166</v>
      </c>
      <c r="D319" t="s">
        <v>122</v>
      </c>
      <c r="E319" t="str">
        <f>VLOOKUP(D319,'[2]Lista de Produtos CLASSIFICAÇÃO'!$E$103:$F$114,2,FALSE)</f>
        <v>Óleo Vegetal</v>
      </c>
      <c r="G319" t="str">
        <f>VLOOKUP(Tabela1[[#This Row],[Cliente]],clientes!$C$3:$D$60,2,FALSE)</f>
        <v>CARGILL</v>
      </c>
    </row>
    <row r="320" spans="1:7" x14ac:dyDescent="0.25">
      <c r="A320">
        <v>2021</v>
      </c>
      <c r="B320" t="s">
        <v>140</v>
      </c>
      <c r="C320" t="s">
        <v>176</v>
      </c>
      <c r="D320" t="s">
        <v>123</v>
      </c>
      <c r="E320" t="str">
        <f>VLOOKUP(D320,'[2]Lista de Produtos CLASSIFICAÇÃO'!$E$103:$F$114,2,FALSE)</f>
        <v>Aquecidos</v>
      </c>
      <c r="F320">
        <v>3000</v>
      </c>
      <c r="G320" t="str">
        <f>VLOOKUP(Tabela1[[#This Row],[Cliente]],clientes!$C$3:$D$60,2,FALSE)</f>
        <v>AGROPALMA</v>
      </c>
    </row>
    <row r="321" spans="1:7" x14ac:dyDescent="0.25">
      <c r="A321">
        <v>2021</v>
      </c>
      <c r="B321" t="s">
        <v>140</v>
      </c>
      <c r="C321" t="s">
        <v>204</v>
      </c>
      <c r="D321" t="s">
        <v>59</v>
      </c>
      <c r="E321" t="e">
        <f>VLOOKUP(D321,'[2]Lista de Produtos CLASSIFICAÇÃO'!$E$103:$F$114,2,FALSE)</f>
        <v>#N/A</v>
      </c>
      <c r="F321">
        <v>17500</v>
      </c>
      <c r="G321" t="str">
        <f>VLOOKUP(Tabela1[[#This Row],[Cliente]],clientes!$C$3:$D$60,2,FALSE)</f>
        <v>COPAPE</v>
      </c>
    </row>
    <row r="322" spans="1:7" x14ac:dyDescent="0.25">
      <c r="A322">
        <v>2021</v>
      </c>
      <c r="B322" t="s">
        <v>141</v>
      </c>
      <c r="C322" t="s">
        <v>155</v>
      </c>
      <c r="D322" t="s">
        <v>16</v>
      </c>
      <c r="E322" t="str">
        <f>VLOOKUP(D322,'[2]Lista de Produtos CLASSIFICAÇÃO'!$E$103:$F$114,2,FALSE)</f>
        <v>Outros</v>
      </c>
      <c r="F322">
        <v>3000</v>
      </c>
      <c r="G322" t="str">
        <f>VLOOKUP(Tabela1[[#This Row],[Cliente]],clientes!$C$3:$D$60,2,FALSE)</f>
        <v>ADISSEO</v>
      </c>
    </row>
    <row r="323" spans="1:7" x14ac:dyDescent="0.25">
      <c r="A323">
        <v>2021</v>
      </c>
      <c r="B323" t="s">
        <v>141</v>
      </c>
      <c r="C323" t="s">
        <v>155</v>
      </c>
      <c r="D323" t="s">
        <v>16</v>
      </c>
      <c r="E323" t="str">
        <f>VLOOKUP(D323,'[2]Lista de Produtos CLASSIFICAÇÃO'!$E$103:$F$114,2,FALSE)</f>
        <v>Outros</v>
      </c>
      <c r="F323">
        <v>500</v>
      </c>
      <c r="G323" t="str">
        <f>VLOOKUP(Tabela1[[#This Row],[Cliente]],clientes!$C$3:$D$60,2,FALSE)</f>
        <v>ADISSEO</v>
      </c>
    </row>
    <row r="324" spans="1:7" x14ac:dyDescent="0.25">
      <c r="A324">
        <v>2021</v>
      </c>
      <c r="B324" t="s">
        <v>141</v>
      </c>
      <c r="C324" t="s">
        <v>199</v>
      </c>
      <c r="D324" t="s">
        <v>16</v>
      </c>
      <c r="E324" t="str">
        <f>VLOOKUP(D324,'[2]Lista de Produtos CLASSIFICAÇÃO'!$E$103:$F$114,2,FALSE)</f>
        <v>Outros</v>
      </c>
      <c r="F324">
        <v>150</v>
      </c>
      <c r="G324" t="str">
        <f>VLOOKUP(Tabela1[[#This Row],[Cliente]],clientes!$C$3:$D$60,2,FALSE)</f>
        <v>ADISSEO</v>
      </c>
    </row>
    <row r="325" spans="1:7" x14ac:dyDescent="0.25">
      <c r="A325">
        <v>2021</v>
      </c>
      <c r="B325" t="s">
        <v>141</v>
      </c>
      <c r="C325" t="s">
        <v>157</v>
      </c>
      <c r="D325" t="s">
        <v>49</v>
      </c>
      <c r="E325" t="e">
        <f>VLOOKUP(D325,'[2]Lista de Produtos CLASSIFICAÇÃO'!$E$103:$F$114,2,FALSE)</f>
        <v>#N/A</v>
      </c>
      <c r="F325">
        <v>350</v>
      </c>
      <c r="G325" t="str">
        <f>VLOOKUP(Tabela1[[#This Row],[Cliente]],clientes!$C$3:$D$60,2,FALSE)</f>
        <v>ADM</v>
      </c>
    </row>
    <row r="326" spans="1:7" x14ac:dyDescent="0.25">
      <c r="A326">
        <v>2021</v>
      </c>
      <c r="B326" t="s">
        <v>141</v>
      </c>
      <c r="C326" t="s">
        <v>158</v>
      </c>
      <c r="D326" t="s">
        <v>120</v>
      </c>
      <c r="E326" t="str">
        <f>VLOOKUP(D326,'[2]Lista de Produtos CLASSIFICAÇÃO'!$E$103:$F$114,2,FALSE)</f>
        <v>Derivados</v>
      </c>
      <c r="F326">
        <v>113295</v>
      </c>
      <c r="G326" t="str">
        <f>VLOOKUP(Tabela1[[#This Row],[Cliente]],clientes!$C$3:$D$60,2,FALSE)</f>
        <v>IPIRANGA</v>
      </c>
    </row>
    <row r="327" spans="1:7" x14ac:dyDescent="0.25">
      <c r="A327">
        <v>2021</v>
      </c>
      <c r="B327" t="s">
        <v>141</v>
      </c>
      <c r="C327" t="s">
        <v>206</v>
      </c>
      <c r="D327" t="s">
        <v>120</v>
      </c>
      <c r="E327" t="str">
        <f>VLOOKUP(D327,'[2]Lista de Produtos CLASSIFICAÇÃO'!$E$103:$F$114,2,FALSE)</f>
        <v>Derivados</v>
      </c>
      <c r="F327">
        <v>53950</v>
      </c>
      <c r="G327" t="str">
        <f>VLOOKUP(Tabela1[[#This Row],[Cliente]],clientes!$C$3:$D$60,2,FALSE)</f>
        <v>BR</v>
      </c>
    </row>
    <row r="328" spans="1:7" x14ac:dyDescent="0.25">
      <c r="A328">
        <v>2021</v>
      </c>
      <c r="B328" t="s">
        <v>141</v>
      </c>
      <c r="C328" t="s">
        <v>200</v>
      </c>
      <c r="D328" t="s">
        <v>120</v>
      </c>
      <c r="E328" t="str">
        <f>VLOOKUP(D328,'[2]Lista de Produtos CLASSIFICAÇÃO'!$E$103:$F$114,2,FALSE)</f>
        <v>Derivados</v>
      </c>
      <c r="F328">
        <v>18691</v>
      </c>
      <c r="G328" t="str">
        <f>VLOOKUP(Tabela1[[#This Row],[Cliente]],clientes!$C$3:$D$60,2,FALSE)</f>
        <v>GREENENERGY</v>
      </c>
    </row>
    <row r="329" spans="1:7" x14ac:dyDescent="0.25">
      <c r="A329">
        <v>2021</v>
      </c>
      <c r="B329" t="s">
        <v>141</v>
      </c>
      <c r="C329" t="s">
        <v>161</v>
      </c>
      <c r="D329" t="s">
        <v>120</v>
      </c>
      <c r="E329" t="str">
        <f>VLOOKUP(D329,'[2]Lista de Produtos CLASSIFICAÇÃO'!$E$103:$F$114,2,FALSE)</f>
        <v>Derivados</v>
      </c>
      <c r="G329" t="str">
        <f>VLOOKUP(Tabela1[[#This Row],[Cliente]],clientes!$C$3:$D$60,2,FALSE)</f>
        <v>SUL PLATA</v>
      </c>
    </row>
    <row r="330" spans="1:7" x14ac:dyDescent="0.25">
      <c r="A330">
        <v>2021</v>
      </c>
      <c r="B330" t="s">
        <v>141</v>
      </c>
      <c r="C330" t="s">
        <v>161</v>
      </c>
      <c r="D330" t="s">
        <v>120</v>
      </c>
      <c r="E330" t="str">
        <f>VLOOKUP(D330,'[2]Lista de Produtos CLASSIFICAÇÃO'!$E$103:$F$114,2,FALSE)</f>
        <v>Derivados</v>
      </c>
      <c r="F330">
        <v>20169</v>
      </c>
      <c r="G330" t="str">
        <f>VLOOKUP(Tabela1[[#This Row],[Cliente]],clientes!$C$3:$D$60,2,FALSE)</f>
        <v>SUL PLATA</v>
      </c>
    </row>
    <row r="331" spans="1:7" x14ac:dyDescent="0.25">
      <c r="A331">
        <v>2021</v>
      </c>
      <c r="B331" t="s">
        <v>141</v>
      </c>
      <c r="C331" t="s">
        <v>162</v>
      </c>
      <c r="D331" t="s">
        <v>115</v>
      </c>
      <c r="E331" t="str">
        <f>VLOOKUP(D331,'[2]Lista de Produtos CLASSIFICAÇÃO'!$E$103:$F$114,2,FALSE)</f>
        <v>Soda Caustica</v>
      </c>
      <c r="F331">
        <v>2300</v>
      </c>
      <c r="G331" t="str">
        <f>VLOOKUP(Tabela1[[#This Row],[Cliente]],clientes!$C$3:$D$60,2,FALSE)</f>
        <v>JBS</v>
      </c>
    </row>
    <row r="332" spans="1:7" x14ac:dyDescent="0.25">
      <c r="A332">
        <v>2021</v>
      </c>
      <c r="B332" t="s">
        <v>141</v>
      </c>
      <c r="C332" t="s">
        <v>163</v>
      </c>
      <c r="D332" t="s">
        <v>115</v>
      </c>
      <c r="E332" t="str">
        <f>VLOOKUP(D332,'[2]Lista de Produtos CLASSIFICAÇÃO'!$E$103:$F$114,2,FALSE)</f>
        <v>Soda Caustica</v>
      </c>
      <c r="F332">
        <v>3200</v>
      </c>
      <c r="G332" t="str">
        <f>VLOOKUP(Tabela1[[#This Row],[Cliente]],clientes!$C$3:$D$60,2,FALSE)</f>
        <v>TRICON ENERGY</v>
      </c>
    </row>
    <row r="333" spans="1:7" x14ac:dyDescent="0.25">
      <c r="A333">
        <v>2021</v>
      </c>
      <c r="B333" t="s">
        <v>141</v>
      </c>
      <c r="C333" t="s">
        <v>207</v>
      </c>
      <c r="D333" t="s">
        <v>16</v>
      </c>
      <c r="E333" t="str">
        <f>VLOOKUP(D333,'[2]Lista de Produtos CLASSIFICAÇÃO'!$E$103:$F$114,2,FALSE)</f>
        <v>Outros</v>
      </c>
      <c r="G333" t="str">
        <f>VLOOKUP(Tabela1[[#This Row],[Cliente]],clientes!$C$3:$D$60,2,FALSE)</f>
        <v>NOVUS</v>
      </c>
    </row>
    <row r="334" spans="1:7" x14ac:dyDescent="0.25">
      <c r="A334">
        <v>2021</v>
      </c>
      <c r="B334" t="s">
        <v>141</v>
      </c>
      <c r="C334" t="s">
        <v>165</v>
      </c>
      <c r="D334" t="s">
        <v>123</v>
      </c>
      <c r="E334" t="str">
        <f>VLOOKUP(D334,'[2]Lista de Produtos CLASSIFICAÇÃO'!$E$103:$F$114,2,FALSE)</f>
        <v>Aquecidos</v>
      </c>
      <c r="F334">
        <v>3000</v>
      </c>
      <c r="G334" t="str">
        <f>VLOOKUP(Tabela1[[#This Row],[Cliente]],clientes!$C$3:$D$60,2,FALSE)</f>
        <v>BRF</v>
      </c>
    </row>
    <row r="335" spans="1:7" x14ac:dyDescent="0.25">
      <c r="A335">
        <v>2021</v>
      </c>
      <c r="B335" t="s">
        <v>141</v>
      </c>
      <c r="C335" t="s">
        <v>162</v>
      </c>
      <c r="D335" t="s">
        <v>123</v>
      </c>
      <c r="E335" t="str">
        <f>VLOOKUP(D335,'[2]Lista de Produtos CLASSIFICAÇÃO'!$E$103:$F$114,2,FALSE)</f>
        <v>Aquecidos</v>
      </c>
      <c r="F335">
        <v>1300</v>
      </c>
      <c r="G335" t="str">
        <f>VLOOKUP(Tabela1[[#This Row],[Cliente]],clientes!$C$3:$D$60,2,FALSE)</f>
        <v>JBS</v>
      </c>
    </row>
    <row r="336" spans="1:7" x14ac:dyDescent="0.25">
      <c r="A336">
        <v>2021</v>
      </c>
      <c r="B336" t="s">
        <v>141</v>
      </c>
      <c r="C336" t="s">
        <v>166</v>
      </c>
      <c r="D336" t="s">
        <v>123</v>
      </c>
      <c r="E336" t="str">
        <f>VLOOKUP(D336,'[2]Lista de Produtos CLASSIFICAÇÃO'!$E$103:$F$114,2,FALSE)</f>
        <v>Aquecidos</v>
      </c>
      <c r="F336">
        <v>3500</v>
      </c>
      <c r="G336" t="str">
        <f>VLOOKUP(Tabela1[[#This Row],[Cliente]],clientes!$C$3:$D$60,2,FALSE)</f>
        <v>CARGILL</v>
      </c>
    </row>
    <row r="337" spans="1:7" x14ac:dyDescent="0.25">
      <c r="A337">
        <v>2021</v>
      </c>
      <c r="B337" t="s">
        <v>141</v>
      </c>
      <c r="C337" t="s">
        <v>167</v>
      </c>
      <c r="D337" t="s">
        <v>122</v>
      </c>
      <c r="E337" t="str">
        <f>VLOOKUP(D337,'[2]Lista de Produtos CLASSIFICAÇÃO'!$E$103:$F$114,2,FALSE)</f>
        <v>Óleo Vegetal</v>
      </c>
      <c r="F337">
        <v>11500</v>
      </c>
      <c r="G337" t="str">
        <f>VLOOKUP(Tabela1[[#This Row],[Cliente]],clientes!$C$3:$D$60,2,FALSE)</f>
        <v>POOL</v>
      </c>
    </row>
    <row r="338" spans="1:7" x14ac:dyDescent="0.25">
      <c r="A338">
        <v>2021</v>
      </c>
      <c r="B338" t="s">
        <v>141</v>
      </c>
      <c r="C338" t="s">
        <v>168</v>
      </c>
      <c r="D338" t="s">
        <v>122</v>
      </c>
      <c r="E338" t="str">
        <f>VLOOKUP(D338,'[2]Lista de Produtos CLASSIFICAÇÃO'!$E$103:$F$114,2,FALSE)</f>
        <v>Óleo Vegetal</v>
      </c>
      <c r="G338" t="str">
        <f>VLOOKUP(Tabela1[[#This Row],[Cliente]],clientes!$C$3:$D$60,2,FALSE)</f>
        <v>POOL EXCEDENTE</v>
      </c>
    </row>
    <row r="339" spans="1:7" x14ac:dyDescent="0.25">
      <c r="A339">
        <v>2021</v>
      </c>
      <c r="B339" t="s">
        <v>141</v>
      </c>
      <c r="C339" t="s">
        <v>169</v>
      </c>
      <c r="D339" t="s">
        <v>22</v>
      </c>
      <c r="E339" t="str">
        <f>VLOOKUP(D339,'[2]Lista de Produtos CLASSIFICAÇÃO'!$E$103:$F$114,2,FALSE)</f>
        <v>Metanol</v>
      </c>
      <c r="F339">
        <v>52000</v>
      </c>
      <c r="G339" t="str">
        <f>VLOOKUP(Tabela1[[#This Row],[Cliente]],clientes!$C$3:$D$60,2,FALSE)</f>
        <v>METHANEX</v>
      </c>
    </row>
    <row r="340" spans="1:7" x14ac:dyDescent="0.25">
      <c r="A340">
        <v>2021</v>
      </c>
      <c r="B340" t="s">
        <v>141</v>
      </c>
      <c r="C340" t="s">
        <v>170</v>
      </c>
      <c r="D340" t="s">
        <v>22</v>
      </c>
      <c r="E340" t="str">
        <f>VLOOKUP(D340,'[2]Lista de Produtos CLASSIFICAÇÃO'!$E$103:$F$114,2,FALSE)</f>
        <v>Metanol</v>
      </c>
      <c r="F340">
        <v>13000</v>
      </c>
      <c r="G340" t="str">
        <f>VLOOKUP(Tabela1[[#This Row],[Cliente]],clientes!$C$3:$D$60,2,FALSE)</f>
        <v>MITSUBISHI</v>
      </c>
    </row>
    <row r="341" spans="1:7" x14ac:dyDescent="0.25">
      <c r="A341">
        <v>2021</v>
      </c>
      <c r="B341" t="s">
        <v>141</v>
      </c>
      <c r="C341" t="s">
        <v>196</v>
      </c>
      <c r="D341" t="s">
        <v>22</v>
      </c>
      <c r="E341" t="str">
        <f>VLOOKUP(D341,'[2]Lista de Produtos CLASSIFICAÇÃO'!$E$103:$F$114,2,FALSE)</f>
        <v>Metanol</v>
      </c>
      <c r="F341">
        <v>20000</v>
      </c>
      <c r="G341" t="str">
        <f>VLOOKUP(Tabela1[[#This Row],[Cliente]],clientes!$C$3:$D$60,2,FALSE)</f>
        <v>SCC</v>
      </c>
    </row>
    <row r="342" spans="1:7" x14ac:dyDescent="0.25">
      <c r="A342">
        <v>2021</v>
      </c>
      <c r="B342" t="s">
        <v>141</v>
      </c>
      <c r="C342" t="s">
        <v>196</v>
      </c>
      <c r="D342" t="s">
        <v>22</v>
      </c>
      <c r="E342" t="str">
        <f>VLOOKUP(D342,'[2]Lista de Produtos CLASSIFICAÇÃO'!$E$103:$F$114,2,FALSE)</f>
        <v>Metanol</v>
      </c>
      <c r="F342">
        <v>1200</v>
      </c>
      <c r="G342" t="str">
        <f>VLOOKUP(Tabela1[[#This Row],[Cliente]],clientes!$C$3:$D$60,2,FALSE)</f>
        <v>SCC</v>
      </c>
    </row>
    <row r="343" spans="1:7" x14ac:dyDescent="0.25">
      <c r="A343">
        <v>2021</v>
      </c>
      <c r="B343" t="s">
        <v>141</v>
      </c>
      <c r="C343" t="s">
        <v>208</v>
      </c>
      <c r="D343" t="s">
        <v>202</v>
      </c>
      <c r="E343" t="e">
        <f>VLOOKUP(D343,'[2]Lista de Produtos CLASSIFICAÇÃO'!$E$103:$F$114,2,FALSE)</f>
        <v>#N/A</v>
      </c>
      <c r="G343" t="str">
        <f>VLOOKUP(Tabela1[[#This Row],[Cliente]],clientes!$C$3:$D$60,2,FALSE)</f>
        <v>HINOVE</v>
      </c>
    </row>
    <row r="344" spans="1:7" x14ac:dyDescent="0.25">
      <c r="A344">
        <v>2021</v>
      </c>
      <c r="B344" t="s">
        <v>141</v>
      </c>
      <c r="C344" t="s">
        <v>172</v>
      </c>
      <c r="D344" t="s">
        <v>124</v>
      </c>
      <c r="E344" t="str">
        <f>VLOOKUP(D344,'[2]Lista de Produtos CLASSIFICAÇÃO'!$E$103:$F$114,2,FALSE)</f>
        <v>Outros</v>
      </c>
      <c r="F344">
        <v>1200</v>
      </c>
      <c r="G344" t="str">
        <f>VLOOKUP(Tabela1[[#This Row],[Cliente]],clientes!$C$3:$D$60,2,FALSE)</f>
        <v>EVONIK</v>
      </c>
    </row>
    <row r="345" spans="1:7" x14ac:dyDescent="0.25">
      <c r="A345">
        <v>2021</v>
      </c>
      <c r="B345" t="s">
        <v>141</v>
      </c>
      <c r="C345" t="s">
        <v>173</v>
      </c>
      <c r="D345" t="s">
        <v>22</v>
      </c>
      <c r="E345" t="str">
        <f>VLOOKUP(D345,'[2]Lista de Produtos CLASSIFICAÇÃO'!$E$103:$F$114,2,FALSE)</f>
        <v>Metanol</v>
      </c>
      <c r="G345" t="str">
        <f>VLOOKUP(Tabela1[[#This Row],[Cliente]],clientes!$C$3:$D$60,2,FALSE)</f>
        <v>YPF SOCIEDAD ANONIMA</v>
      </c>
    </row>
    <row r="346" spans="1:7" x14ac:dyDescent="0.25">
      <c r="A346">
        <v>2021</v>
      </c>
      <c r="B346" t="s">
        <v>141</v>
      </c>
      <c r="C346" t="s">
        <v>203</v>
      </c>
      <c r="D346" t="s">
        <v>124</v>
      </c>
      <c r="E346" t="str">
        <f>VLOOKUP(D346,'[2]Lista de Produtos CLASSIFICAÇÃO'!$E$103:$F$114,2,FALSE)</f>
        <v>Outros</v>
      </c>
      <c r="G346" t="str">
        <f>VLOOKUP(Tabela1[[#This Row],[Cliente]],clientes!$C$3:$D$60,2,FALSE)</f>
        <v>GTM</v>
      </c>
    </row>
    <row r="347" spans="1:7" x14ac:dyDescent="0.25">
      <c r="A347">
        <v>2021</v>
      </c>
      <c r="B347" t="s">
        <v>141</v>
      </c>
      <c r="C347" t="s">
        <v>197</v>
      </c>
      <c r="D347" t="s">
        <v>85</v>
      </c>
      <c r="E347" t="e">
        <f>VLOOKUP(D347,'[2]Lista de Produtos CLASSIFICAÇÃO'!$E$103:$F$114,2,FALSE)</f>
        <v>#N/A</v>
      </c>
      <c r="F347">
        <v>400</v>
      </c>
      <c r="G347" t="str">
        <f>VLOOKUP(Tabela1[[#This Row],[Cliente]],clientes!$C$3:$D$60,2,FALSE)</f>
        <v>DRT</v>
      </c>
    </row>
    <row r="348" spans="1:7" x14ac:dyDescent="0.25">
      <c r="A348">
        <v>2021</v>
      </c>
      <c r="B348" t="s">
        <v>141</v>
      </c>
      <c r="C348" t="s">
        <v>198</v>
      </c>
      <c r="D348" t="s">
        <v>121</v>
      </c>
      <c r="E348" t="str">
        <f>VLOOKUP(D348,'[2]Lista de Produtos CLASSIFICAÇÃO'!$E$103:$F$114,2,FALSE)</f>
        <v>Biocombustíveis</v>
      </c>
      <c r="G348" t="str">
        <f>VLOOKUP(Tabela1[[#This Row],[Cliente]],clientes!$C$3:$D$60,2,FALSE)</f>
        <v>TEREOS / INPASA / GLENCORE</v>
      </c>
    </row>
    <row r="349" spans="1:7" x14ac:dyDescent="0.25">
      <c r="A349">
        <v>2021</v>
      </c>
      <c r="B349" t="s">
        <v>141</v>
      </c>
      <c r="C349" t="s">
        <v>174</v>
      </c>
      <c r="D349" t="s">
        <v>123</v>
      </c>
      <c r="E349" t="str">
        <f>VLOOKUP(D349,'[2]Lista de Produtos CLASSIFICAÇÃO'!$E$103:$F$114,2,FALSE)</f>
        <v>Aquecidos</v>
      </c>
      <c r="F349">
        <v>3000</v>
      </c>
      <c r="G349" t="str">
        <f>VLOOKUP(Tabela1[[#This Row],[Cliente]],clientes!$C$3:$D$60,2,FALSE)</f>
        <v>CELENA</v>
      </c>
    </row>
    <row r="350" spans="1:7" x14ac:dyDescent="0.25">
      <c r="A350">
        <v>2021</v>
      </c>
      <c r="B350" t="s">
        <v>141</v>
      </c>
      <c r="C350" t="s">
        <v>175</v>
      </c>
      <c r="D350" t="s">
        <v>123</v>
      </c>
      <c r="E350" t="str">
        <f>VLOOKUP(D350,'[2]Lista de Produtos CLASSIFICAÇÃO'!$E$103:$F$114,2,FALSE)</f>
        <v>Aquecidos</v>
      </c>
      <c r="F350">
        <v>2000</v>
      </c>
      <c r="G350" t="str">
        <f>VLOOKUP(Tabela1[[#This Row],[Cliente]],clientes!$C$3:$D$60,2,FALSE)</f>
        <v>AAK DO BRASIL</v>
      </c>
    </row>
    <row r="351" spans="1:7" x14ac:dyDescent="0.25">
      <c r="A351">
        <v>2021</v>
      </c>
      <c r="B351" t="s">
        <v>141</v>
      </c>
      <c r="C351" t="s">
        <v>166</v>
      </c>
      <c r="D351" t="s">
        <v>122</v>
      </c>
      <c r="E351" t="str">
        <f>VLOOKUP(D351,'[2]Lista de Produtos CLASSIFICAÇÃO'!$E$103:$F$114,2,FALSE)</f>
        <v>Óleo Vegetal</v>
      </c>
      <c r="F351">
        <v>5000</v>
      </c>
      <c r="G351" t="str">
        <f>VLOOKUP(Tabela1[[#This Row],[Cliente]],clientes!$C$3:$D$60,2,FALSE)</f>
        <v>CARGILL</v>
      </c>
    </row>
    <row r="352" spans="1:7" x14ac:dyDescent="0.25">
      <c r="A352">
        <v>2021</v>
      </c>
      <c r="B352" t="s">
        <v>141</v>
      </c>
      <c r="C352" t="s">
        <v>176</v>
      </c>
      <c r="D352" t="s">
        <v>123</v>
      </c>
      <c r="E352" t="str">
        <f>VLOOKUP(D352,'[2]Lista de Produtos CLASSIFICAÇÃO'!$E$103:$F$114,2,FALSE)</f>
        <v>Aquecidos</v>
      </c>
      <c r="F352">
        <v>3000</v>
      </c>
      <c r="G352" t="str">
        <f>VLOOKUP(Tabela1[[#This Row],[Cliente]],clientes!$C$3:$D$60,2,FALSE)</f>
        <v>AGROPALMA</v>
      </c>
    </row>
    <row r="353" spans="1:7" x14ac:dyDescent="0.25">
      <c r="A353">
        <v>2021</v>
      </c>
      <c r="B353" t="s">
        <v>141</v>
      </c>
      <c r="C353" t="s">
        <v>204</v>
      </c>
      <c r="D353" t="s">
        <v>59</v>
      </c>
      <c r="E353" t="e">
        <f>VLOOKUP(D353,'[2]Lista de Produtos CLASSIFICAÇÃO'!$E$103:$F$114,2,FALSE)</f>
        <v>#N/A</v>
      </c>
      <c r="F353">
        <v>17500</v>
      </c>
      <c r="G353" t="str">
        <f>VLOOKUP(Tabela1[[#This Row],[Cliente]],clientes!$C$3:$D$60,2,FALSE)</f>
        <v>COPAPE</v>
      </c>
    </row>
    <row r="354" spans="1:7" x14ac:dyDescent="0.25">
      <c r="A354">
        <v>2021</v>
      </c>
      <c r="B354" t="s">
        <v>142</v>
      </c>
      <c r="C354" t="s">
        <v>155</v>
      </c>
      <c r="D354" t="s">
        <v>16</v>
      </c>
      <c r="E354" t="str">
        <f>VLOOKUP(D354,'[2]Lista de Produtos CLASSIFICAÇÃO'!$E$103:$F$114,2,FALSE)</f>
        <v>Outros</v>
      </c>
      <c r="F354">
        <v>3000</v>
      </c>
      <c r="G354" t="str">
        <f>VLOOKUP(Tabela1[[#This Row],[Cliente]],clientes!$C$3:$D$60,2,FALSE)</f>
        <v>ADISSEO</v>
      </c>
    </row>
    <row r="355" spans="1:7" x14ac:dyDescent="0.25">
      <c r="A355">
        <v>2021</v>
      </c>
      <c r="B355" t="s">
        <v>142</v>
      </c>
      <c r="C355" t="s">
        <v>155</v>
      </c>
      <c r="D355" t="s">
        <v>16</v>
      </c>
      <c r="E355" t="str">
        <f>VLOOKUP(D355,'[2]Lista de Produtos CLASSIFICAÇÃO'!$E$103:$F$114,2,FALSE)</f>
        <v>Outros</v>
      </c>
      <c r="F355">
        <v>500</v>
      </c>
      <c r="G355" t="str">
        <f>VLOOKUP(Tabela1[[#This Row],[Cliente]],clientes!$C$3:$D$60,2,FALSE)</f>
        <v>ADISSEO</v>
      </c>
    </row>
    <row r="356" spans="1:7" x14ac:dyDescent="0.25">
      <c r="A356">
        <v>2021</v>
      </c>
      <c r="B356" t="s">
        <v>142</v>
      </c>
      <c r="C356" t="s">
        <v>199</v>
      </c>
      <c r="D356" t="s">
        <v>16</v>
      </c>
      <c r="E356" t="str">
        <f>VLOOKUP(D356,'[2]Lista de Produtos CLASSIFICAÇÃO'!$E$103:$F$114,2,FALSE)</f>
        <v>Outros</v>
      </c>
      <c r="F356">
        <v>150</v>
      </c>
      <c r="G356" t="str">
        <f>VLOOKUP(Tabela1[[#This Row],[Cliente]],clientes!$C$3:$D$60,2,FALSE)</f>
        <v>ADISSEO</v>
      </c>
    </row>
    <row r="357" spans="1:7" x14ac:dyDescent="0.25">
      <c r="A357">
        <v>2021</v>
      </c>
      <c r="B357" t="s">
        <v>142</v>
      </c>
      <c r="C357" t="s">
        <v>157</v>
      </c>
      <c r="D357" t="s">
        <v>49</v>
      </c>
      <c r="E357" t="e">
        <f>VLOOKUP(D357,'[2]Lista de Produtos CLASSIFICAÇÃO'!$E$103:$F$114,2,FALSE)</f>
        <v>#N/A</v>
      </c>
      <c r="F357">
        <v>350</v>
      </c>
      <c r="G357" t="str">
        <f>VLOOKUP(Tabela1[[#This Row],[Cliente]],clientes!$C$3:$D$60,2,FALSE)</f>
        <v>ADM</v>
      </c>
    </row>
    <row r="358" spans="1:7" x14ac:dyDescent="0.25">
      <c r="A358">
        <v>2021</v>
      </c>
      <c r="B358" t="s">
        <v>142</v>
      </c>
      <c r="C358" t="s">
        <v>158</v>
      </c>
      <c r="D358" t="s">
        <v>120</v>
      </c>
      <c r="E358" t="str">
        <f>VLOOKUP(D358,'[2]Lista de Produtos CLASSIFICAÇÃO'!$E$103:$F$114,2,FALSE)</f>
        <v>Derivados</v>
      </c>
      <c r="F358">
        <v>113295</v>
      </c>
      <c r="G358" t="str">
        <f>VLOOKUP(Tabela1[[#This Row],[Cliente]],clientes!$C$3:$D$60,2,FALSE)</f>
        <v>IPIRANGA</v>
      </c>
    </row>
    <row r="359" spans="1:7" x14ac:dyDescent="0.25">
      <c r="A359">
        <v>2021</v>
      </c>
      <c r="B359" t="s">
        <v>142</v>
      </c>
      <c r="C359" t="s">
        <v>206</v>
      </c>
      <c r="D359" t="s">
        <v>120</v>
      </c>
      <c r="E359" t="str">
        <f>VLOOKUP(D359,'[2]Lista de Produtos CLASSIFICAÇÃO'!$E$103:$F$114,2,FALSE)</f>
        <v>Derivados</v>
      </c>
      <c r="F359">
        <v>53950</v>
      </c>
      <c r="G359" t="str">
        <f>VLOOKUP(Tabela1[[#This Row],[Cliente]],clientes!$C$3:$D$60,2,FALSE)</f>
        <v>BR</v>
      </c>
    </row>
    <row r="360" spans="1:7" x14ac:dyDescent="0.25">
      <c r="A360">
        <v>2021</v>
      </c>
      <c r="B360" t="s">
        <v>142</v>
      </c>
      <c r="C360" t="s">
        <v>200</v>
      </c>
      <c r="D360" t="s">
        <v>120</v>
      </c>
      <c r="E360" t="str">
        <f>VLOOKUP(D360,'[2]Lista de Produtos CLASSIFICAÇÃO'!$E$103:$F$114,2,FALSE)</f>
        <v>Derivados</v>
      </c>
      <c r="F360">
        <v>18691</v>
      </c>
      <c r="G360" t="str">
        <f>VLOOKUP(Tabela1[[#This Row],[Cliente]],clientes!$C$3:$D$60,2,FALSE)</f>
        <v>GREENENERGY</v>
      </c>
    </row>
    <row r="361" spans="1:7" x14ac:dyDescent="0.25">
      <c r="A361">
        <v>2021</v>
      </c>
      <c r="B361" t="s">
        <v>142</v>
      </c>
      <c r="C361" t="s">
        <v>161</v>
      </c>
      <c r="D361" t="s">
        <v>120</v>
      </c>
      <c r="E361" t="str">
        <f>VLOOKUP(D361,'[2]Lista de Produtos CLASSIFICAÇÃO'!$E$103:$F$114,2,FALSE)</f>
        <v>Derivados</v>
      </c>
      <c r="G361" t="str">
        <f>VLOOKUP(Tabela1[[#This Row],[Cliente]],clientes!$C$3:$D$60,2,FALSE)</f>
        <v>SUL PLATA</v>
      </c>
    </row>
    <row r="362" spans="1:7" x14ac:dyDescent="0.25">
      <c r="A362">
        <v>2021</v>
      </c>
      <c r="B362" t="s">
        <v>142</v>
      </c>
      <c r="C362" t="s">
        <v>161</v>
      </c>
      <c r="D362" t="s">
        <v>120</v>
      </c>
      <c r="E362" t="str">
        <f>VLOOKUP(D362,'[2]Lista de Produtos CLASSIFICAÇÃO'!$E$103:$F$114,2,FALSE)</f>
        <v>Derivados</v>
      </c>
      <c r="F362">
        <v>20169</v>
      </c>
      <c r="G362" t="str">
        <f>VLOOKUP(Tabela1[[#This Row],[Cliente]],clientes!$C$3:$D$60,2,FALSE)</f>
        <v>SUL PLATA</v>
      </c>
    </row>
    <row r="363" spans="1:7" x14ac:dyDescent="0.25">
      <c r="A363">
        <v>2021</v>
      </c>
      <c r="B363" t="s">
        <v>142</v>
      </c>
      <c r="C363" t="s">
        <v>162</v>
      </c>
      <c r="D363" t="s">
        <v>115</v>
      </c>
      <c r="E363" t="str">
        <f>VLOOKUP(D363,'[2]Lista de Produtos CLASSIFICAÇÃO'!$E$103:$F$114,2,FALSE)</f>
        <v>Soda Caustica</v>
      </c>
      <c r="F363">
        <v>2300</v>
      </c>
      <c r="G363" t="str">
        <f>VLOOKUP(Tabela1[[#This Row],[Cliente]],clientes!$C$3:$D$60,2,FALSE)</f>
        <v>JBS</v>
      </c>
    </row>
    <row r="364" spans="1:7" x14ac:dyDescent="0.25">
      <c r="A364">
        <v>2021</v>
      </c>
      <c r="B364" t="s">
        <v>142</v>
      </c>
      <c r="C364" t="s">
        <v>163</v>
      </c>
      <c r="D364" t="s">
        <v>115</v>
      </c>
      <c r="E364" t="str">
        <f>VLOOKUP(D364,'[2]Lista de Produtos CLASSIFICAÇÃO'!$E$103:$F$114,2,FALSE)</f>
        <v>Soda Caustica</v>
      </c>
      <c r="F364">
        <v>3200</v>
      </c>
      <c r="G364" t="str">
        <f>VLOOKUP(Tabela1[[#This Row],[Cliente]],clientes!$C$3:$D$60,2,FALSE)</f>
        <v>TRICON ENERGY</v>
      </c>
    </row>
    <row r="365" spans="1:7" x14ac:dyDescent="0.25">
      <c r="A365">
        <v>2021</v>
      </c>
      <c r="B365" t="s">
        <v>142</v>
      </c>
      <c r="C365" t="s">
        <v>207</v>
      </c>
      <c r="D365" t="s">
        <v>16</v>
      </c>
      <c r="E365" t="str">
        <f>VLOOKUP(D365,'[2]Lista de Produtos CLASSIFICAÇÃO'!$E$103:$F$114,2,FALSE)</f>
        <v>Outros</v>
      </c>
      <c r="F365">
        <v>2000</v>
      </c>
      <c r="G365" t="str">
        <f>VLOOKUP(Tabela1[[#This Row],[Cliente]],clientes!$C$3:$D$60,2,FALSE)</f>
        <v>NOVUS</v>
      </c>
    </row>
    <row r="366" spans="1:7" x14ac:dyDescent="0.25">
      <c r="A366">
        <v>2021</v>
      </c>
      <c r="B366" t="s">
        <v>142</v>
      </c>
      <c r="C366" t="s">
        <v>165</v>
      </c>
      <c r="D366" t="s">
        <v>123</v>
      </c>
      <c r="E366" t="str">
        <f>VLOOKUP(D366,'[2]Lista de Produtos CLASSIFICAÇÃO'!$E$103:$F$114,2,FALSE)</f>
        <v>Aquecidos</v>
      </c>
      <c r="F366">
        <v>3000</v>
      </c>
      <c r="G366" t="str">
        <f>VLOOKUP(Tabela1[[#This Row],[Cliente]],clientes!$C$3:$D$60,2,FALSE)</f>
        <v>BRF</v>
      </c>
    </row>
    <row r="367" spans="1:7" x14ac:dyDescent="0.25">
      <c r="A367">
        <v>2021</v>
      </c>
      <c r="B367" t="s">
        <v>142</v>
      </c>
      <c r="C367" t="s">
        <v>162</v>
      </c>
      <c r="D367" t="s">
        <v>123</v>
      </c>
      <c r="E367" t="str">
        <f>VLOOKUP(D367,'[2]Lista de Produtos CLASSIFICAÇÃO'!$E$103:$F$114,2,FALSE)</f>
        <v>Aquecidos</v>
      </c>
      <c r="F367">
        <v>1300</v>
      </c>
      <c r="G367" t="str">
        <f>VLOOKUP(Tabela1[[#This Row],[Cliente]],clientes!$C$3:$D$60,2,FALSE)</f>
        <v>JBS</v>
      </c>
    </row>
    <row r="368" spans="1:7" x14ac:dyDescent="0.25">
      <c r="A368">
        <v>2021</v>
      </c>
      <c r="B368" t="s">
        <v>142</v>
      </c>
      <c r="C368" t="s">
        <v>166</v>
      </c>
      <c r="D368" t="s">
        <v>123</v>
      </c>
      <c r="E368" t="str">
        <f>VLOOKUP(D368,'[2]Lista de Produtos CLASSIFICAÇÃO'!$E$103:$F$114,2,FALSE)</f>
        <v>Aquecidos</v>
      </c>
      <c r="F368">
        <v>3500</v>
      </c>
      <c r="G368" t="str">
        <f>VLOOKUP(Tabela1[[#This Row],[Cliente]],clientes!$C$3:$D$60,2,FALSE)</f>
        <v>CARGILL</v>
      </c>
    </row>
    <row r="369" spans="1:7" x14ac:dyDescent="0.25">
      <c r="A369">
        <v>2021</v>
      </c>
      <c r="B369" t="s">
        <v>142</v>
      </c>
      <c r="C369" t="s">
        <v>167</v>
      </c>
      <c r="D369" t="s">
        <v>122</v>
      </c>
      <c r="E369" t="str">
        <f>VLOOKUP(D369,'[2]Lista de Produtos CLASSIFICAÇÃO'!$E$103:$F$114,2,FALSE)</f>
        <v>Óleo Vegetal</v>
      </c>
      <c r="F369">
        <v>11500</v>
      </c>
      <c r="G369" t="str">
        <f>VLOOKUP(Tabela1[[#This Row],[Cliente]],clientes!$C$3:$D$60,2,FALSE)</f>
        <v>POOL</v>
      </c>
    </row>
    <row r="370" spans="1:7" x14ac:dyDescent="0.25">
      <c r="A370">
        <v>2021</v>
      </c>
      <c r="B370" t="s">
        <v>142</v>
      </c>
      <c r="C370" t="s">
        <v>168</v>
      </c>
      <c r="D370" t="s">
        <v>122</v>
      </c>
      <c r="E370" t="str">
        <f>VLOOKUP(D370,'[2]Lista de Produtos CLASSIFICAÇÃO'!$E$103:$F$114,2,FALSE)</f>
        <v>Óleo Vegetal</v>
      </c>
      <c r="G370" t="str">
        <f>VLOOKUP(Tabela1[[#This Row],[Cliente]],clientes!$C$3:$D$60,2,FALSE)</f>
        <v>POOL EXCEDENTE</v>
      </c>
    </row>
    <row r="371" spans="1:7" x14ac:dyDescent="0.25">
      <c r="A371">
        <v>2021</v>
      </c>
      <c r="B371" t="s">
        <v>142</v>
      </c>
      <c r="C371" t="s">
        <v>169</v>
      </c>
      <c r="D371" t="s">
        <v>22</v>
      </c>
      <c r="E371" t="str">
        <f>VLOOKUP(D371,'[2]Lista de Produtos CLASSIFICAÇÃO'!$E$103:$F$114,2,FALSE)</f>
        <v>Metanol</v>
      </c>
      <c r="F371">
        <v>52000</v>
      </c>
      <c r="G371" t="str">
        <f>VLOOKUP(Tabela1[[#This Row],[Cliente]],clientes!$C$3:$D$60,2,FALSE)</f>
        <v>METHANEX</v>
      </c>
    </row>
    <row r="372" spans="1:7" x14ac:dyDescent="0.25">
      <c r="A372">
        <v>2021</v>
      </c>
      <c r="B372" t="s">
        <v>142</v>
      </c>
      <c r="C372" t="s">
        <v>170</v>
      </c>
      <c r="D372" t="s">
        <v>22</v>
      </c>
      <c r="E372" t="str">
        <f>VLOOKUP(D372,'[2]Lista de Produtos CLASSIFICAÇÃO'!$E$103:$F$114,2,FALSE)</f>
        <v>Metanol</v>
      </c>
      <c r="F372">
        <v>13000</v>
      </c>
      <c r="G372" t="str">
        <f>VLOOKUP(Tabela1[[#This Row],[Cliente]],clientes!$C$3:$D$60,2,FALSE)</f>
        <v>MITSUBISHI</v>
      </c>
    </row>
    <row r="373" spans="1:7" x14ac:dyDescent="0.25">
      <c r="A373">
        <v>2021</v>
      </c>
      <c r="B373" t="s">
        <v>142</v>
      </c>
      <c r="C373" t="s">
        <v>196</v>
      </c>
      <c r="D373" t="s">
        <v>22</v>
      </c>
      <c r="E373" t="str">
        <f>VLOOKUP(D373,'[2]Lista de Produtos CLASSIFICAÇÃO'!$E$103:$F$114,2,FALSE)</f>
        <v>Metanol</v>
      </c>
      <c r="F373">
        <v>20000</v>
      </c>
      <c r="G373" t="str">
        <f>VLOOKUP(Tabela1[[#This Row],[Cliente]],clientes!$C$3:$D$60,2,FALSE)</f>
        <v>SCC</v>
      </c>
    </row>
    <row r="374" spans="1:7" x14ac:dyDescent="0.25">
      <c r="A374">
        <v>2021</v>
      </c>
      <c r="B374" t="s">
        <v>142</v>
      </c>
      <c r="C374" t="s">
        <v>196</v>
      </c>
      <c r="D374" t="s">
        <v>22</v>
      </c>
      <c r="E374" t="str">
        <f>VLOOKUP(D374,'[2]Lista de Produtos CLASSIFICAÇÃO'!$E$103:$F$114,2,FALSE)</f>
        <v>Metanol</v>
      </c>
      <c r="F374">
        <v>1200</v>
      </c>
      <c r="G374" t="str">
        <f>VLOOKUP(Tabela1[[#This Row],[Cliente]],clientes!$C$3:$D$60,2,FALSE)</f>
        <v>SCC</v>
      </c>
    </row>
    <row r="375" spans="1:7" x14ac:dyDescent="0.25">
      <c r="A375">
        <v>2021</v>
      </c>
      <c r="B375" t="s">
        <v>142</v>
      </c>
      <c r="C375" t="s">
        <v>208</v>
      </c>
      <c r="D375" t="s">
        <v>202</v>
      </c>
      <c r="E375" t="e">
        <f>VLOOKUP(D375,'[2]Lista de Produtos CLASSIFICAÇÃO'!$E$103:$F$114,2,FALSE)</f>
        <v>#N/A</v>
      </c>
      <c r="G375" t="str">
        <f>VLOOKUP(Tabela1[[#This Row],[Cliente]],clientes!$C$3:$D$60,2,FALSE)</f>
        <v>HINOVE</v>
      </c>
    </row>
    <row r="376" spans="1:7" x14ac:dyDescent="0.25">
      <c r="A376">
        <v>2021</v>
      </c>
      <c r="B376" t="s">
        <v>142</v>
      </c>
      <c r="C376" t="s">
        <v>172</v>
      </c>
      <c r="D376" t="s">
        <v>124</v>
      </c>
      <c r="E376" t="str">
        <f>VLOOKUP(D376,'[2]Lista de Produtos CLASSIFICAÇÃO'!$E$103:$F$114,2,FALSE)</f>
        <v>Outros</v>
      </c>
      <c r="F376">
        <v>1200</v>
      </c>
      <c r="G376" t="str">
        <f>VLOOKUP(Tabela1[[#This Row],[Cliente]],clientes!$C$3:$D$60,2,FALSE)</f>
        <v>EVONIK</v>
      </c>
    </row>
    <row r="377" spans="1:7" x14ac:dyDescent="0.25">
      <c r="A377">
        <v>2021</v>
      </c>
      <c r="B377" t="s">
        <v>142</v>
      </c>
      <c r="C377" t="s">
        <v>173</v>
      </c>
      <c r="D377" t="s">
        <v>22</v>
      </c>
      <c r="E377" t="str">
        <f>VLOOKUP(D377,'[2]Lista de Produtos CLASSIFICAÇÃO'!$E$103:$F$114,2,FALSE)</f>
        <v>Metanol</v>
      </c>
      <c r="F377">
        <v>5000</v>
      </c>
      <c r="G377" t="str">
        <f>VLOOKUP(Tabela1[[#This Row],[Cliente]],clientes!$C$3:$D$60,2,FALSE)</f>
        <v>YPF SOCIEDAD ANONIMA</v>
      </c>
    </row>
    <row r="378" spans="1:7" x14ac:dyDescent="0.25">
      <c r="A378">
        <v>2021</v>
      </c>
      <c r="B378" t="s">
        <v>142</v>
      </c>
      <c r="C378" t="s">
        <v>203</v>
      </c>
      <c r="D378" t="s">
        <v>124</v>
      </c>
      <c r="E378" t="str">
        <f>VLOOKUP(D378,'[2]Lista de Produtos CLASSIFICAÇÃO'!$E$103:$F$114,2,FALSE)</f>
        <v>Outros</v>
      </c>
      <c r="F378">
        <v>1000</v>
      </c>
      <c r="G378" t="str">
        <f>VLOOKUP(Tabela1[[#This Row],[Cliente]],clientes!$C$3:$D$60,2,FALSE)</f>
        <v>GTM</v>
      </c>
    </row>
    <row r="379" spans="1:7" x14ac:dyDescent="0.25">
      <c r="A379">
        <v>2021</v>
      </c>
      <c r="B379" t="s">
        <v>142</v>
      </c>
      <c r="C379" t="s">
        <v>197</v>
      </c>
      <c r="D379" t="s">
        <v>85</v>
      </c>
      <c r="E379" t="e">
        <f>VLOOKUP(D379,'[2]Lista de Produtos CLASSIFICAÇÃO'!$E$103:$F$114,2,FALSE)</f>
        <v>#N/A</v>
      </c>
      <c r="F379">
        <v>400</v>
      </c>
      <c r="G379" t="str">
        <f>VLOOKUP(Tabela1[[#This Row],[Cliente]],clientes!$C$3:$D$60,2,FALSE)</f>
        <v>DRT</v>
      </c>
    </row>
    <row r="380" spans="1:7" x14ac:dyDescent="0.25">
      <c r="A380">
        <v>2021</v>
      </c>
      <c r="B380" t="s">
        <v>142</v>
      </c>
      <c r="C380" t="s">
        <v>198</v>
      </c>
      <c r="D380" t="s">
        <v>121</v>
      </c>
      <c r="E380" t="str">
        <f>VLOOKUP(D380,'[2]Lista de Produtos CLASSIFICAÇÃO'!$E$103:$F$114,2,FALSE)</f>
        <v>Biocombustíveis</v>
      </c>
      <c r="G380" t="str">
        <f>VLOOKUP(Tabela1[[#This Row],[Cliente]],clientes!$C$3:$D$60,2,FALSE)</f>
        <v>TEREOS / INPASA / GLENCORE</v>
      </c>
    </row>
    <row r="381" spans="1:7" x14ac:dyDescent="0.25">
      <c r="A381">
        <v>2021</v>
      </c>
      <c r="B381" t="s">
        <v>142</v>
      </c>
      <c r="C381" t="s">
        <v>174</v>
      </c>
      <c r="D381" t="s">
        <v>123</v>
      </c>
      <c r="E381" t="str">
        <f>VLOOKUP(D381,'[2]Lista de Produtos CLASSIFICAÇÃO'!$E$103:$F$114,2,FALSE)</f>
        <v>Aquecidos</v>
      </c>
      <c r="F381">
        <v>3000</v>
      </c>
      <c r="G381" t="str">
        <f>VLOOKUP(Tabela1[[#This Row],[Cliente]],clientes!$C$3:$D$60,2,FALSE)</f>
        <v>CELENA</v>
      </c>
    </row>
    <row r="382" spans="1:7" x14ac:dyDescent="0.25">
      <c r="A382">
        <v>2021</v>
      </c>
      <c r="B382" t="s">
        <v>142</v>
      </c>
      <c r="C382" t="s">
        <v>175</v>
      </c>
      <c r="D382" t="s">
        <v>123</v>
      </c>
      <c r="E382" t="str">
        <f>VLOOKUP(D382,'[2]Lista de Produtos CLASSIFICAÇÃO'!$E$103:$F$114,2,FALSE)</f>
        <v>Aquecidos</v>
      </c>
      <c r="F382">
        <v>2000</v>
      </c>
      <c r="G382" t="str">
        <f>VLOOKUP(Tabela1[[#This Row],[Cliente]],clientes!$C$3:$D$60,2,FALSE)</f>
        <v>AAK DO BRASIL</v>
      </c>
    </row>
    <row r="383" spans="1:7" x14ac:dyDescent="0.25">
      <c r="A383">
        <v>2021</v>
      </c>
      <c r="B383" t="s">
        <v>142</v>
      </c>
      <c r="C383" t="s">
        <v>166</v>
      </c>
      <c r="D383" t="s">
        <v>122</v>
      </c>
      <c r="E383" t="str">
        <f>VLOOKUP(D383,'[2]Lista de Produtos CLASSIFICAÇÃO'!$E$103:$F$114,2,FALSE)</f>
        <v>Óleo Vegetal</v>
      </c>
      <c r="G383" t="str">
        <f>VLOOKUP(Tabela1[[#This Row],[Cliente]],clientes!$C$3:$D$60,2,FALSE)</f>
        <v>CARGILL</v>
      </c>
    </row>
    <row r="384" spans="1:7" x14ac:dyDescent="0.25">
      <c r="A384">
        <v>2021</v>
      </c>
      <c r="B384" t="s">
        <v>142</v>
      </c>
      <c r="C384" t="s">
        <v>176</v>
      </c>
      <c r="D384" t="s">
        <v>123</v>
      </c>
      <c r="E384" t="str">
        <f>VLOOKUP(D384,'[2]Lista de Produtos CLASSIFICAÇÃO'!$E$103:$F$114,2,FALSE)</f>
        <v>Aquecidos</v>
      </c>
      <c r="F384">
        <v>3000</v>
      </c>
      <c r="G384" t="str">
        <f>VLOOKUP(Tabela1[[#This Row],[Cliente]],clientes!$C$3:$D$60,2,FALSE)</f>
        <v>AGROPALMA</v>
      </c>
    </row>
    <row r="385" spans="1:7" x14ac:dyDescent="0.25">
      <c r="A385">
        <v>2021</v>
      </c>
      <c r="B385" t="s">
        <v>142</v>
      </c>
      <c r="C385" t="s">
        <v>204</v>
      </c>
      <c r="D385" t="s">
        <v>59</v>
      </c>
      <c r="E385" t="e">
        <f>VLOOKUP(D385,'[2]Lista de Produtos CLASSIFICAÇÃO'!$E$103:$F$114,2,FALSE)</f>
        <v>#N/A</v>
      </c>
      <c r="F385">
        <v>17500</v>
      </c>
      <c r="G385" t="str">
        <f>VLOOKUP(Tabela1[[#This Row],[Cliente]],clientes!$C$3:$D$60,2,FALSE)</f>
        <v>COPAPE</v>
      </c>
    </row>
    <row r="386" spans="1:7" x14ac:dyDescent="0.25">
      <c r="A386">
        <v>2022</v>
      </c>
      <c r="B386" t="s">
        <v>226</v>
      </c>
      <c r="C386" t="s">
        <v>155</v>
      </c>
      <c r="D386" t="s">
        <v>16</v>
      </c>
      <c r="E386" t="str">
        <f>VLOOKUP(D386,'[2]Lista de Produtos CLASSIFICAÇÃO'!$E$103:$F$114,2,FALSE)</f>
        <v>Outros</v>
      </c>
      <c r="F386">
        <v>3600</v>
      </c>
      <c r="G386" t="str">
        <f>VLOOKUP(Tabela1[[#This Row],[Cliente]],clientes!$C$3:$D$60,2,FALSE)</f>
        <v>ADISSEO</v>
      </c>
    </row>
    <row r="387" spans="1:7" x14ac:dyDescent="0.25">
      <c r="A387">
        <v>2022</v>
      </c>
      <c r="B387" t="s">
        <v>227</v>
      </c>
      <c r="C387" t="s">
        <v>155</v>
      </c>
      <c r="D387" t="s">
        <v>16</v>
      </c>
      <c r="E387" t="str">
        <f>VLOOKUP(D387,'[2]Lista de Produtos CLASSIFICAÇÃO'!$E$103:$F$114,2,FALSE)</f>
        <v>Outros</v>
      </c>
      <c r="F387">
        <v>3600</v>
      </c>
      <c r="G387" t="str">
        <f>VLOOKUP(Tabela1[[#This Row],[Cliente]],clientes!$C$3:$D$60,2,FALSE)</f>
        <v>ADISSEO</v>
      </c>
    </row>
    <row r="388" spans="1:7" x14ac:dyDescent="0.25">
      <c r="A388">
        <v>2022</v>
      </c>
      <c r="B388" t="s">
        <v>228</v>
      </c>
      <c r="C388" t="s">
        <v>155</v>
      </c>
      <c r="D388" t="s">
        <v>16</v>
      </c>
      <c r="E388" t="str">
        <f>VLOOKUP(D388,'[2]Lista de Produtos CLASSIFICAÇÃO'!$E$103:$F$114,2,FALSE)</f>
        <v>Outros</v>
      </c>
      <c r="F388">
        <v>3600</v>
      </c>
      <c r="G388" t="str">
        <f>VLOOKUP(Tabela1[[#This Row],[Cliente]],clientes!$C$3:$D$60,2,FALSE)</f>
        <v>ADISSEO</v>
      </c>
    </row>
    <row r="389" spans="1:7" x14ac:dyDescent="0.25">
      <c r="A389">
        <v>2022</v>
      </c>
      <c r="B389" t="s">
        <v>229</v>
      </c>
      <c r="C389" t="s">
        <v>155</v>
      </c>
      <c r="D389" t="s">
        <v>16</v>
      </c>
      <c r="E389" t="str">
        <f>VLOOKUP(D389,'[2]Lista de Produtos CLASSIFICAÇÃO'!$E$103:$F$114,2,FALSE)</f>
        <v>Outros</v>
      </c>
      <c r="F389">
        <v>3600</v>
      </c>
      <c r="G389" t="str">
        <f>VLOOKUP(Tabela1[[#This Row],[Cliente]],clientes!$C$3:$D$60,2,FALSE)</f>
        <v>ADISSEO</v>
      </c>
    </row>
    <row r="390" spans="1:7" x14ac:dyDescent="0.25">
      <c r="A390">
        <v>2022</v>
      </c>
      <c r="B390" t="s">
        <v>210</v>
      </c>
      <c r="C390" t="s">
        <v>155</v>
      </c>
      <c r="D390" t="s">
        <v>16</v>
      </c>
      <c r="E390" t="str">
        <f>VLOOKUP(D390,'[2]Lista de Produtos CLASSIFICAÇÃO'!$E$103:$F$114,2,FALSE)</f>
        <v>Outros</v>
      </c>
      <c r="F390">
        <v>3600</v>
      </c>
      <c r="G390" t="str">
        <f>VLOOKUP(Tabela1[[#This Row],[Cliente]],clientes!$C$3:$D$60,2,FALSE)</f>
        <v>ADISSEO</v>
      </c>
    </row>
    <row r="391" spans="1:7" x14ac:dyDescent="0.25">
      <c r="A391">
        <v>2022</v>
      </c>
      <c r="B391" t="s">
        <v>211</v>
      </c>
      <c r="C391" t="s">
        <v>155</v>
      </c>
      <c r="D391" t="s">
        <v>16</v>
      </c>
      <c r="E391" t="str">
        <f>VLOOKUP(D391,'[2]Lista de Produtos CLASSIFICAÇÃO'!$E$103:$F$114,2,FALSE)</f>
        <v>Outros</v>
      </c>
      <c r="F391">
        <v>3600</v>
      </c>
      <c r="G391" t="str">
        <f>VLOOKUP(Tabela1[[#This Row],[Cliente]],clientes!$C$3:$D$60,2,FALSE)</f>
        <v>ADISSEO</v>
      </c>
    </row>
    <row r="392" spans="1:7" x14ac:dyDescent="0.25">
      <c r="A392">
        <v>2022</v>
      </c>
      <c r="B392" t="s">
        <v>212</v>
      </c>
      <c r="C392" t="s">
        <v>155</v>
      </c>
      <c r="D392" t="s">
        <v>16</v>
      </c>
      <c r="E392" t="str">
        <f>VLOOKUP(D392,'[2]Lista de Produtos CLASSIFICAÇÃO'!$E$103:$F$114,2,FALSE)</f>
        <v>Outros</v>
      </c>
      <c r="F392">
        <v>3600</v>
      </c>
      <c r="G392" t="str">
        <f>VLOOKUP(Tabela1[[#This Row],[Cliente]],clientes!$C$3:$D$60,2,FALSE)</f>
        <v>ADISSEO</v>
      </c>
    </row>
    <row r="393" spans="1:7" x14ac:dyDescent="0.25">
      <c r="A393">
        <v>2022</v>
      </c>
      <c r="B393" t="s">
        <v>213</v>
      </c>
      <c r="C393" t="s">
        <v>155</v>
      </c>
      <c r="D393" t="s">
        <v>16</v>
      </c>
      <c r="E393" t="str">
        <f>VLOOKUP(D393,'[2]Lista de Produtos CLASSIFICAÇÃO'!$E$103:$F$114,2,FALSE)</f>
        <v>Outros</v>
      </c>
      <c r="F393">
        <v>3600</v>
      </c>
      <c r="G393" t="str">
        <f>VLOOKUP(Tabela1[[#This Row],[Cliente]],clientes!$C$3:$D$60,2,FALSE)</f>
        <v>ADISSEO</v>
      </c>
    </row>
    <row r="394" spans="1:7" x14ac:dyDescent="0.25">
      <c r="A394">
        <v>2022</v>
      </c>
      <c r="B394" t="s">
        <v>214</v>
      </c>
      <c r="C394" t="s">
        <v>155</v>
      </c>
      <c r="D394" t="s">
        <v>16</v>
      </c>
      <c r="E394" t="str">
        <f>VLOOKUP(D394,'[2]Lista de Produtos CLASSIFICAÇÃO'!$E$103:$F$114,2,FALSE)</f>
        <v>Outros</v>
      </c>
      <c r="F394">
        <v>3600</v>
      </c>
      <c r="G394" t="str">
        <f>VLOOKUP(Tabela1[[#This Row],[Cliente]],clientes!$C$3:$D$60,2,FALSE)</f>
        <v>ADISSEO</v>
      </c>
    </row>
    <row r="395" spans="1:7" x14ac:dyDescent="0.25">
      <c r="A395">
        <v>2022</v>
      </c>
      <c r="B395" t="s">
        <v>215</v>
      </c>
      <c r="C395" t="s">
        <v>155</v>
      </c>
      <c r="D395" t="s">
        <v>16</v>
      </c>
      <c r="E395" t="str">
        <f>VLOOKUP(D395,'[2]Lista de Produtos CLASSIFICAÇÃO'!$E$103:$F$114,2,FALSE)</f>
        <v>Outros</v>
      </c>
      <c r="F395">
        <v>3600</v>
      </c>
      <c r="G395" t="str">
        <f>VLOOKUP(Tabela1[[#This Row],[Cliente]],clientes!$C$3:$D$60,2,FALSE)</f>
        <v>ADISSEO</v>
      </c>
    </row>
    <row r="396" spans="1:7" x14ac:dyDescent="0.25">
      <c r="A396">
        <v>2022</v>
      </c>
      <c r="B396" t="s">
        <v>230</v>
      </c>
      <c r="C396" t="s">
        <v>155</v>
      </c>
      <c r="D396" t="s">
        <v>16</v>
      </c>
      <c r="E396" t="str">
        <f>VLOOKUP(D396,'[2]Lista de Produtos CLASSIFICAÇÃO'!$E$103:$F$114,2,FALSE)</f>
        <v>Outros</v>
      </c>
      <c r="F396">
        <v>3600</v>
      </c>
      <c r="G396" t="str">
        <f>VLOOKUP(Tabela1[[#This Row],[Cliente]],clientes!$C$3:$D$60,2,FALSE)</f>
        <v>ADISSEO</v>
      </c>
    </row>
    <row r="397" spans="1:7" x14ac:dyDescent="0.25">
      <c r="A397">
        <v>2022</v>
      </c>
      <c r="B397" t="s">
        <v>231</v>
      </c>
      <c r="C397" t="s">
        <v>155</v>
      </c>
      <c r="D397" t="s">
        <v>16</v>
      </c>
      <c r="E397" t="str">
        <f>VLOOKUP(D397,'[2]Lista de Produtos CLASSIFICAÇÃO'!$E$103:$F$114,2,FALSE)</f>
        <v>Outros</v>
      </c>
      <c r="F397">
        <v>3600</v>
      </c>
      <c r="G397" t="str">
        <f>VLOOKUP(Tabela1[[#This Row],[Cliente]],clientes!$C$3:$D$60,2,FALSE)</f>
        <v>ADISSEO</v>
      </c>
    </row>
    <row r="398" spans="1:7" x14ac:dyDescent="0.25">
      <c r="A398">
        <v>2022</v>
      </c>
      <c r="B398" t="s">
        <v>226</v>
      </c>
      <c r="C398" t="s">
        <v>156</v>
      </c>
      <c r="D398" t="s">
        <v>123</v>
      </c>
      <c r="E398" t="str">
        <f>VLOOKUP(D398,'[2]Lista de Produtos CLASSIFICAÇÃO'!$E$103:$F$114,2,FALSE)</f>
        <v>Aquecidos</v>
      </c>
      <c r="F398">
        <v>2000</v>
      </c>
      <c r="G398" t="str">
        <f>VLOOKUP(Tabela1[[#This Row],[Cliente]],clientes!$C$3:$D$60,2,FALSE)</f>
        <v>BUNGE</v>
      </c>
    </row>
    <row r="399" spans="1:7" x14ac:dyDescent="0.25">
      <c r="A399">
        <v>2022</v>
      </c>
      <c r="B399" t="s">
        <v>227</v>
      </c>
      <c r="C399" t="s">
        <v>156</v>
      </c>
      <c r="D399" t="s">
        <v>123</v>
      </c>
      <c r="E399" t="str">
        <f>VLOOKUP(D399,'[2]Lista de Produtos CLASSIFICAÇÃO'!$E$103:$F$114,2,FALSE)</f>
        <v>Aquecidos</v>
      </c>
      <c r="F399">
        <v>2000</v>
      </c>
      <c r="G399" t="str">
        <f>VLOOKUP(Tabela1[[#This Row],[Cliente]],clientes!$C$3:$D$60,2,FALSE)</f>
        <v>BUNGE</v>
      </c>
    </row>
    <row r="400" spans="1:7" x14ac:dyDescent="0.25">
      <c r="A400">
        <v>2022</v>
      </c>
      <c r="B400" t="s">
        <v>228</v>
      </c>
      <c r="C400" t="s">
        <v>156</v>
      </c>
      <c r="D400" t="s">
        <v>123</v>
      </c>
      <c r="E400" t="str">
        <f>VLOOKUP(D400,'[2]Lista de Produtos CLASSIFICAÇÃO'!$E$103:$F$114,2,FALSE)</f>
        <v>Aquecidos</v>
      </c>
      <c r="F400">
        <v>2000</v>
      </c>
      <c r="G400" t="str">
        <f>VLOOKUP(Tabela1[[#This Row],[Cliente]],clientes!$C$3:$D$60,2,FALSE)</f>
        <v>BUNGE</v>
      </c>
    </row>
    <row r="401" spans="1:7" x14ac:dyDescent="0.25">
      <c r="A401">
        <v>2022</v>
      </c>
      <c r="B401" t="s">
        <v>229</v>
      </c>
      <c r="C401" t="s">
        <v>156</v>
      </c>
      <c r="D401" t="s">
        <v>123</v>
      </c>
      <c r="E401" t="str">
        <f>VLOOKUP(D401,'[2]Lista de Produtos CLASSIFICAÇÃO'!$E$103:$F$114,2,FALSE)</f>
        <v>Aquecidos</v>
      </c>
      <c r="F401">
        <v>2000</v>
      </c>
      <c r="G401" t="str">
        <f>VLOOKUP(Tabela1[[#This Row],[Cliente]],clientes!$C$3:$D$60,2,FALSE)</f>
        <v>BUNGE</v>
      </c>
    </row>
    <row r="402" spans="1:7" x14ac:dyDescent="0.25">
      <c r="A402">
        <v>2022</v>
      </c>
      <c r="B402" t="s">
        <v>210</v>
      </c>
      <c r="C402" t="s">
        <v>156</v>
      </c>
      <c r="D402" t="s">
        <v>123</v>
      </c>
      <c r="E402" t="str">
        <f>VLOOKUP(D402,'[2]Lista de Produtos CLASSIFICAÇÃO'!$E$103:$F$114,2,FALSE)</f>
        <v>Aquecidos</v>
      </c>
      <c r="F402">
        <v>2000</v>
      </c>
      <c r="G402" t="str">
        <f>VLOOKUP(Tabela1[[#This Row],[Cliente]],clientes!$C$3:$D$60,2,FALSE)</f>
        <v>BUNGE</v>
      </c>
    </row>
    <row r="403" spans="1:7" x14ac:dyDescent="0.25">
      <c r="A403">
        <v>2022</v>
      </c>
      <c r="B403" t="s">
        <v>211</v>
      </c>
      <c r="C403" t="s">
        <v>156</v>
      </c>
      <c r="D403" t="s">
        <v>123</v>
      </c>
      <c r="E403" t="str">
        <f>VLOOKUP(D403,'[2]Lista de Produtos CLASSIFICAÇÃO'!$E$103:$F$114,2,FALSE)</f>
        <v>Aquecidos</v>
      </c>
      <c r="F403">
        <v>2000</v>
      </c>
      <c r="G403" t="str">
        <f>VLOOKUP(Tabela1[[#This Row],[Cliente]],clientes!$C$3:$D$60,2,FALSE)</f>
        <v>BUNGE</v>
      </c>
    </row>
    <row r="404" spans="1:7" x14ac:dyDescent="0.25">
      <c r="A404">
        <v>2022</v>
      </c>
      <c r="B404" t="s">
        <v>212</v>
      </c>
      <c r="C404" t="s">
        <v>156</v>
      </c>
      <c r="D404" t="s">
        <v>123</v>
      </c>
      <c r="E404" t="str">
        <f>VLOOKUP(D404,'[2]Lista de Produtos CLASSIFICAÇÃO'!$E$103:$F$114,2,FALSE)</f>
        <v>Aquecidos</v>
      </c>
      <c r="F404">
        <v>2000</v>
      </c>
      <c r="G404" t="str">
        <f>VLOOKUP(Tabela1[[#This Row],[Cliente]],clientes!$C$3:$D$60,2,FALSE)</f>
        <v>BUNGE</v>
      </c>
    </row>
    <row r="405" spans="1:7" x14ac:dyDescent="0.25">
      <c r="A405">
        <v>2022</v>
      </c>
      <c r="B405" t="s">
        <v>213</v>
      </c>
      <c r="C405" t="s">
        <v>156</v>
      </c>
      <c r="D405" t="s">
        <v>123</v>
      </c>
      <c r="E405" t="str">
        <f>VLOOKUP(D405,'[2]Lista de Produtos CLASSIFICAÇÃO'!$E$103:$F$114,2,FALSE)</f>
        <v>Aquecidos</v>
      </c>
      <c r="F405">
        <v>2000</v>
      </c>
      <c r="G405" t="str">
        <f>VLOOKUP(Tabela1[[#This Row],[Cliente]],clientes!$C$3:$D$60,2,FALSE)</f>
        <v>BUNGE</v>
      </c>
    </row>
    <row r="406" spans="1:7" x14ac:dyDescent="0.25">
      <c r="A406">
        <v>2022</v>
      </c>
      <c r="B406" t="s">
        <v>214</v>
      </c>
      <c r="C406" t="s">
        <v>156</v>
      </c>
      <c r="D406" t="s">
        <v>123</v>
      </c>
      <c r="E406" t="str">
        <f>VLOOKUP(D406,'[2]Lista de Produtos CLASSIFICAÇÃO'!$E$103:$F$114,2,FALSE)</f>
        <v>Aquecidos</v>
      </c>
      <c r="F406">
        <v>2000</v>
      </c>
      <c r="G406" t="str">
        <f>VLOOKUP(Tabela1[[#This Row],[Cliente]],clientes!$C$3:$D$60,2,FALSE)</f>
        <v>BUNGE</v>
      </c>
    </row>
    <row r="407" spans="1:7" x14ac:dyDescent="0.25">
      <c r="A407">
        <v>2022</v>
      </c>
      <c r="B407" t="s">
        <v>215</v>
      </c>
      <c r="C407" t="s">
        <v>156</v>
      </c>
      <c r="D407" t="s">
        <v>123</v>
      </c>
      <c r="E407" t="str">
        <f>VLOOKUP(D407,'[2]Lista de Produtos CLASSIFICAÇÃO'!$E$103:$F$114,2,FALSE)</f>
        <v>Aquecidos</v>
      </c>
      <c r="F407">
        <v>2000</v>
      </c>
      <c r="G407" t="str">
        <f>VLOOKUP(Tabela1[[#This Row],[Cliente]],clientes!$C$3:$D$60,2,FALSE)</f>
        <v>BUNGE</v>
      </c>
    </row>
    <row r="408" spans="1:7" x14ac:dyDescent="0.25">
      <c r="A408">
        <v>2022</v>
      </c>
      <c r="B408" t="s">
        <v>230</v>
      </c>
      <c r="C408" t="s">
        <v>156</v>
      </c>
      <c r="D408" t="s">
        <v>123</v>
      </c>
      <c r="E408" t="str">
        <f>VLOOKUP(D408,'[2]Lista de Produtos CLASSIFICAÇÃO'!$E$103:$F$114,2,FALSE)</f>
        <v>Aquecidos</v>
      </c>
      <c r="F408">
        <v>2000</v>
      </c>
      <c r="G408" t="str">
        <f>VLOOKUP(Tabela1[[#This Row],[Cliente]],clientes!$C$3:$D$60,2,FALSE)</f>
        <v>BUNGE</v>
      </c>
    </row>
    <row r="409" spans="1:7" x14ac:dyDescent="0.25">
      <c r="A409">
        <v>2022</v>
      </c>
      <c r="B409" t="s">
        <v>231</v>
      </c>
      <c r="C409" t="s">
        <v>156</v>
      </c>
      <c r="D409" t="s">
        <v>123</v>
      </c>
      <c r="E409" t="str">
        <f>VLOOKUP(D409,'[2]Lista de Produtos CLASSIFICAÇÃO'!$E$103:$F$114,2,FALSE)</f>
        <v>Aquecidos</v>
      </c>
      <c r="F409">
        <v>2000</v>
      </c>
      <c r="G409" t="str">
        <f>VLOOKUP(Tabela1[[#This Row],[Cliente]],clientes!$C$3:$D$60,2,FALSE)</f>
        <v>BUNGE</v>
      </c>
    </row>
    <row r="410" spans="1:7" x14ac:dyDescent="0.25">
      <c r="A410">
        <v>2022</v>
      </c>
      <c r="B410" t="s">
        <v>226</v>
      </c>
      <c r="C410" t="s">
        <v>199</v>
      </c>
      <c r="D410" t="s">
        <v>16</v>
      </c>
      <c r="E410" t="str">
        <f>VLOOKUP(D410,'[2]Lista de Produtos CLASSIFICAÇÃO'!$E$103:$F$114,2,FALSE)</f>
        <v>Outros</v>
      </c>
      <c r="F410">
        <v>150</v>
      </c>
      <c r="G410" t="str">
        <f>VLOOKUP(Tabela1[[#This Row],[Cliente]],clientes!$C$3:$D$60,2,FALSE)</f>
        <v>ADISSEO</v>
      </c>
    </row>
    <row r="411" spans="1:7" x14ac:dyDescent="0.25">
      <c r="A411">
        <v>2022</v>
      </c>
      <c r="B411" t="s">
        <v>227</v>
      </c>
      <c r="C411" t="s">
        <v>199</v>
      </c>
      <c r="D411" t="s">
        <v>16</v>
      </c>
      <c r="E411" t="str">
        <f>VLOOKUP(D411,'[2]Lista de Produtos CLASSIFICAÇÃO'!$E$103:$F$114,2,FALSE)</f>
        <v>Outros</v>
      </c>
      <c r="F411">
        <v>150</v>
      </c>
      <c r="G411" t="str">
        <f>VLOOKUP(Tabela1[[#This Row],[Cliente]],clientes!$C$3:$D$60,2,FALSE)</f>
        <v>ADISSEO</v>
      </c>
    </row>
    <row r="412" spans="1:7" x14ac:dyDescent="0.25">
      <c r="A412">
        <v>2022</v>
      </c>
      <c r="B412" t="s">
        <v>228</v>
      </c>
      <c r="C412" t="s">
        <v>199</v>
      </c>
      <c r="D412" t="s">
        <v>16</v>
      </c>
      <c r="E412" t="str">
        <f>VLOOKUP(D412,'[2]Lista de Produtos CLASSIFICAÇÃO'!$E$103:$F$114,2,FALSE)</f>
        <v>Outros</v>
      </c>
      <c r="F412">
        <v>150</v>
      </c>
      <c r="G412" t="str">
        <f>VLOOKUP(Tabela1[[#This Row],[Cliente]],clientes!$C$3:$D$60,2,FALSE)</f>
        <v>ADISSEO</v>
      </c>
    </row>
    <row r="413" spans="1:7" x14ac:dyDescent="0.25">
      <c r="A413">
        <v>2022</v>
      </c>
      <c r="B413" t="s">
        <v>229</v>
      </c>
      <c r="C413" t="s">
        <v>199</v>
      </c>
      <c r="D413" t="s">
        <v>16</v>
      </c>
      <c r="E413" t="str">
        <f>VLOOKUP(D413,'[2]Lista de Produtos CLASSIFICAÇÃO'!$E$103:$F$114,2,FALSE)</f>
        <v>Outros</v>
      </c>
      <c r="F413">
        <v>150</v>
      </c>
      <c r="G413" t="str">
        <f>VLOOKUP(Tabela1[[#This Row],[Cliente]],clientes!$C$3:$D$60,2,FALSE)</f>
        <v>ADISSEO</v>
      </c>
    </row>
    <row r="414" spans="1:7" x14ac:dyDescent="0.25">
      <c r="A414">
        <v>2022</v>
      </c>
      <c r="B414" t="s">
        <v>210</v>
      </c>
      <c r="C414" t="s">
        <v>199</v>
      </c>
      <c r="D414" t="s">
        <v>16</v>
      </c>
      <c r="E414" t="str">
        <f>VLOOKUP(D414,'[2]Lista de Produtos CLASSIFICAÇÃO'!$E$103:$F$114,2,FALSE)</f>
        <v>Outros</v>
      </c>
      <c r="F414">
        <v>150</v>
      </c>
      <c r="G414" t="str">
        <f>VLOOKUP(Tabela1[[#This Row],[Cliente]],clientes!$C$3:$D$60,2,FALSE)</f>
        <v>ADISSEO</v>
      </c>
    </row>
    <row r="415" spans="1:7" x14ac:dyDescent="0.25">
      <c r="A415">
        <v>2022</v>
      </c>
      <c r="B415" t="s">
        <v>211</v>
      </c>
      <c r="C415" t="s">
        <v>199</v>
      </c>
      <c r="D415" t="s">
        <v>16</v>
      </c>
      <c r="E415" t="str">
        <f>VLOOKUP(D415,'[2]Lista de Produtos CLASSIFICAÇÃO'!$E$103:$F$114,2,FALSE)</f>
        <v>Outros</v>
      </c>
      <c r="F415">
        <v>150</v>
      </c>
      <c r="G415" t="str">
        <f>VLOOKUP(Tabela1[[#This Row],[Cliente]],clientes!$C$3:$D$60,2,FALSE)</f>
        <v>ADISSEO</v>
      </c>
    </row>
    <row r="416" spans="1:7" x14ac:dyDescent="0.25">
      <c r="A416">
        <v>2022</v>
      </c>
      <c r="B416" t="s">
        <v>212</v>
      </c>
      <c r="C416" t="s">
        <v>199</v>
      </c>
      <c r="D416" t="s">
        <v>16</v>
      </c>
      <c r="E416" t="str">
        <f>VLOOKUP(D416,'[2]Lista de Produtos CLASSIFICAÇÃO'!$E$103:$F$114,2,FALSE)</f>
        <v>Outros</v>
      </c>
      <c r="F416">
        <v>150</v>
      </c>
      <c r="G416" t="str">
        <f>VLOOKUP(Tabela1[[#This Row],[Cliente]],clientes!$C$3:$D$60,2,FALSE)</f>
        <v>ADISSEO</v>
      </c>
    </row>
    <row r="417" spans="1:7" x14ac:dyDescent="0.25">
      <c r="A417">
        <v>2022</v>
      </c>
      <c r="B417" t="s">
        <v>213</v>
      </c>
      <c r="C417" t="s">
        <v>199</v>
      </c>
      <c r="D417" t="s">
        <v>16</v>
      </c>
      <c r="E417" t="str">
        <f>VLOOKUP(D417,'[2]Lista de Produtos CLASSIFICAÇÃO'!$E$103:$F$114,2,FALSE)</f>
        <v>Outros</v>
      </c>
      <c r="F417">
        <v>150</v>
      </c>
      <c r="G417" t="str">
        <f>VLOOKUP(Tabela1[[#This Row],[Cliente]],clientes!$C$3:$D$60,2,FALSE)</f>
        <v>ADISSEO</v>
      </c>
    </row>
    <row r="418" spans="1:7" x14ac:dyDescent="0.25">
      <c r="A418">
        <v>2022</v>
      </c>
      <c r="B418" t="s">
        <v>214</v>
      </c>
      <c r="C418" t="s">
        <v>199</v>
      </c>
      <c r="D418" t="s">
        <v>16</v>
      </c>
      <c r="E418" t="str">
        <f>VLOOKUP(D418,'[2]Lista de Produtos CLASSIFICAÇÃO'!$E$103:$F$114,2,FALSE)</f>
        <v>Outros</v>
      </c>
      <c r="F418">
        <v>150</v>
      </c>
      <c r="G418" t="str">
        <f>VLOOKUP(Tabela1[[#This Row],[Cliente]],clientes!$C$3:$D$60,2,FALSE)</f>
        <v>ADISSEO</v>
      </c>
    </row>
    <row r="419" spans="1:7" x14ac:dyDescent="0.25">
      <c r="A419">
        <v>2022</v>
      </c>
      <c r="B419" t="s">
        <v>215</v>
      </c>
      <c r="C419" t="s">
        <v>199</v>
      </c>
      <c r="D419" t="s">
        <v>16</v>
      </c>
      <c r="E419" t="str">
        <f>VLOOKUP(D419,'[2]Lista de Produtos CLASSIFICAÇÃO'!$E$103:$F$114,2,FALSE)</f>
        <v>Outros</v>
      </c>
      <c r="F419">
        <v>150</v>
      </c>
      <c r="G419" t="str">
        <f>VLOOKUP(Tabela1[[#This Row],[Cliente]],clientes!$C$3:$D$60,2,FALSE)</f>
        <v>ADISSEO</v>
      </c>
    </row>
    <row r="420" spans="1:7" x14ac:dyDescent="0.25">
      <c r="A420">
        <v>2022</v>
      </c>
      <c r="B420" t="s">
        <v>230</v>
      </c>
      <c r="C420" t="s">
        <v>199</v>
      </c>
      <c r="D420" t="s">
        <v>16</v>
      </c>
      <c r="E420" t="str">
        <f>VLOOKUP(D420,'[2]Lista de Produtos CLASSIFICAÇÃO'!$E$103:$F$114,2,FALSE)</f>
        <v>Outros</v>
      </c>
      <c r="F420">
        <v>150</v>
      </c>
      <c r="G420" t="str">
        <f>VLOOKUP(Tabela1[[#This Row],[Cliente]],clientes!$C$3:$D$60,2,FALSE)</f>
        <v>ADISSEO</v>
      </c>
    </row>
    <row r="421" spans="1:7" x14ac:dyDescent="0.25">
      <c r="A421">
        <v>2022</v>
      </c>
      <c r="B421" t="s">
        <v>231</v>
      </c>
      <c r="C421" t="s">
        <v>199</v>
      </c>
      <c r="D421" t="s">
        <v>16</v>
      </c>
      <c r="E421" t="str">
        <f>VLOOKUP(D421,'[2]Lista de Produtos CLASSIFICAÇÃO'!$E$103:$F$114,2,FALSE)</f>
        <v>Outros</v>
      </c>
      <c r="F421">
        <v>150</v>
      </c>
      <c r="G421" t="str">
        <f>VLOOKUP(Tabela1[[#This Row],[Cliente]],clientes!$C$3:$D$60,2,FALSE)</f>
        <v>ADISSEO</v>
      </c>
    </row>
    <row r="422" spans="1:7" x14ac:dyDescent="0.25">
      <c r="A422">
        <v>2022</v>
      </c>
      <c r="B422" t="s">
        <v>226</v>
      </c>
      <c r="C422" t="s">
        <v>157</v>
      </c>
      <c r="D422" t="s">
        <v>122</v>
      </c>
      <c r="E422" t="str">
        <f>VLOOKUP(D422,'[2]Lista de Produtos CLASSIFICAÇÃO'!$E$103:$F$114,2,FALSE)</f>
        <v>Óleo Vegetal</v>
      </c>
      <c r="F422">
        <v>350</v>
      </c>
      <c r="G422" t="str">
        <f>VLOOKUP(Tabela1[[#This Row],[Cliente]],clientes!$C$3:$D$60,2,FALSE)</f>
        <v>ADM</v>
      </c>
    </row>
    <row r="423" spans="1:7" x14ac:dyDescent="0.25">
      <c r="A423">
        <v>2022</v>
      </c>
      <c r="B423" t="s">
        <v>227</v>
      </c>
      <c r="C423" t="s">
        <v>157</v>
      </c>
      <c r="D423" t="s">
        <v>122</v>
      </c>
      <c r="E423" t="str">
        <f>VLOOKUP(D423,'[2]Lista de Produtos CLASSIFICAÇÃO'!$E$103:$F$114,2,FALSE)</f>
        <v>Óleo Vegetal</v>
      </c>
      <c r="F423">
        <v>350</v>
      </c>
      <c r="G423" t="str">
        <f>VLOOKUP(Tabela1[[#This Row],[Cliente]],clientes!$C$3:$D$60,2,FALSE)</f>
        <v>ADM</v>
      </c>
    </row>
    <row r="424" spans="1:7" x14ac:dyDescent="0.25">
      <c r="A424">
        <v>2022</v>
      </c>
      <c r="B424" t="s">
        <v>228</v>
      </c>
      <c r="C424" t="s">
        <v>157</v>
      </c>
      <c r="D424" t="s">
        <v>122</v>
      </c>
      <c r="E424" t="str">
        <f>VLOOKUP(D424,'[2]Lista de Produtos CLASSIFICAÇÃO'!$E$103:$F$114,2,FALSE)</f>
        <v>Óleo Vegetal</v>
      </c>
      <c r="F424">
        <v>350</v>
      </c>
      <c r="G424" t="str">
        <f>VLOOKUP(Tabela1[[#This Row],[Cliente]],clientes!$C$3:$D$60,2,FALSE)</f>
        <v>ADM</v>
      </c>
    </row>
    <row r="425" spans="1:7" x14ac:dyDescent="0.25">
      <c r="A425">
        <v>2022</v>
      </c>
      <c r="B425" t="s">
        <v>229</v>
      </c>
      <c r="C425" t="s">
        <v>157</v>
      </c>
      <c r="D425" t="s">
        <v>122</v>
      </c>
      <c r="E425" t="str">
        <f>VLOOKUP(D425,'[2]Lista de Produtos CLASSIFICAÇÃO'!$E$103:$F$114,2,FALSE)</f>
        <v>Óleo Vegetal</v>
      </c>
      <c r="F425">
        <v>350</v>
      </c>
      <c r="G425" t="str">
        <f>VLOOKUP(Tabela1[[#This Row],[Cliente]],clientes!$C$3:$D$60,2,FALSE)</f>
        <v>ADM</v>
      </c>
    </row>
    <row r="426" spans="1:7" x14ac:dyDescent="0.25">
      <c r="A426">
        <v>2022</v>
      </c>
      <c r="B426" t="s">
        <v>210</v>
      </c>
      <c r="C426" t="s">
        <v>157</v>
      </c>
      <c r="D426" t="s">
        <v>122</v>
      </c>
      <c r="E426" t="str">
        <f>VLOOKUP(D426,'[2]Lista de Produtos CLASSIFICAÇÃO'!$E$103:$F$114,2,FALSE)</f>
        <v>Óleo Vegetal</v>
      </c>
      <c r="F426">
        <v>350</v>
      </c>
      <c r="G426" t="str">
        <f>VLOOKUP(Tabela1[[#This Row],[Cliente]],clientes!$C$3:$D$60,2,FALSE)</f>
        <v>ADM</v>
      </c>
    </row>
    <row r="427" spans="1:7" x14ac:dyDescent="0.25">
      <c r="A427">
        <v>2022</v>
      </c>
      <c r="B427" t="s">
        <v>211</v>
      </c>
      <c r="C427" t="s">
        <v>157</v>
      </c>
      <c r="D427" t="s">
        <v>122</v>
      </c>
      <c r="E427" t="str">
        <f>VLOOKUP(D427,'[2]Lista de Produtos CLASSIFICAÇÃO'!$E$103:$F$114,2,FALSE)</f>
        <v>Óleo Vegetal</v>
      </c>
      <c r="F427">
        <v>350</v>
      </c>
      <c r="G427" t="str">
        <f>VLOOKUP(Tabela1[[#This Row],[Cliente]],clientes!$C$3:$D$60,2,FALSE)</f>
        <v>ADM</v>
      </c>
    </row>
    <row r="428" spans="1:7" x14ac:dyDescent="0.25">
      <c r="A428">
        <v>2022</v>
      </c>
      <c r="B428" t="s">
        <v>212</v>
      </c>
      <c r="C428" t="s">
        <v>157</v>
      </c>
      <c r="D428" t="s">
        <v>122</v>
      </c>
      <c r="E428" t="str">
        <f>VLOOKUP(D428,'[2]Lista de Produtos CLASSIFICAÇÃO'!$E$103:$F$114,2,FALSE)</f>
        <v>Óleo Vegetal</v>
      </c>
      <c r="F428">
        <v>350</v>
      </c>
      <c r="G428" t="str">
        <f>VLOOKUP(Tabela1[[#This Row],[Cliente]],clientes!$C$3:$D$60,2,FALSE)</f>
        <v>ADM</v>
      </c>
    </row>
    <row r="429" spans="1:7" x14ac:dyDescent="0.25">
      <c r="A429">
        <v>2022</v>
      </c>
      <c r="B429" t="s">
        <v>213</v>
      </c>
      <c r="C429" t="s">
        <v>157</v>
      </c>
      <c r="D429" t="s">
        <v>122</v>
      </c>
      <c r="E429" t="str">
        <f>VLOOKUP(D429,'[2]Lista de Produtos CLASSIFICAÇÃO'!$E$103:$F$114,2,FALSE)</f>
        <v>Óleo Vegetal</v>
      </c>
      <c r="F429">
        <v>350</v>
      </c>
      <c r="G429" t="str">
        <f>VLOOKUP(Tabela1[[#This Row],[Cliente]],clientes!$C$3:$D$60,2,FALSE)</f>
        <v>ADM</v>
      </c>
    </row>
    <row r="430" spans="1:7" x14ac:dyDescent="0.25">
      <c r="A430">
        <v>2022</v>
      </c>
      <c r="B430" t="s">
        <v>214</v>
      </c>
      <c r="C430" t="s">
        <v>157</v>
      </c>
      <c r="D430" t="s">
        <v>122</v>
      </c>
      <c r="E430" t="str">
        <f>VLOOKUP(D430,'[2]Lista de Produtos CLASSIFICAÇÃO'!$E$103:$F$114,2,FALSE)</f>
        <v>Óleo Vegetal</v>
      </c>
      <c r="F430">
        <v>350</v>
      </c>
      <c r="G430" t="str">
        <f>VLOOKUP(Tabela1[[#This Row],[Cliente]],clientes!$C$3:$D$60,2,FALSE)</f>
        <v>ADM</v>
      </c>
    </row>
    <row r="431" spans="1:7" x14ac:dyDescent="0.25">
      <c r="A431">
        <v>2022</v>
      </c>
      <c r="B431" t="s">
        <v>215</v>
      </c>
      <c r="C431" t="s">
        <v>157</v>
      </c>
      <c r="D431" t="s">
        <v>122</v>
      </c>
      <c r="E431" t="str">
        <f>VLOOKUP(D431,'[2]Lista de Produtos CLASSIFICAÇÃO'!$E$103:$F$114,2,FALSE)</f>
        <v>Óleo Vegetal</v>
      </c>
      <c r="F431">
        <v>350</v>
      </c>
      <c r="G431" t="str">
        <f>VLOOKUP(Tabela1[[#This Row],[Cliente]],clientes!$C$3:$D$60,2,FALSE)</f>
        <v>ADM</v>
      </c>
    </row>
    <row r="432" spans="1:7" x14ac:dyDescent="0.25">
      <c r="A432">
        <v>2022</v>
      </c>
      <c r="B432" t="s">
        <v>230</v>
      </c>
      <c r="C432" t="s">
        <v>157</v>
      </c>
      <c r="D432" t="s">
        <v>122</v>
      </c>
      <c r="E432" t="str">
        <f>VLOOKUP(D432,'[2]Lista de Produtos CLASSIFICAÇÃO'!$E$103:$F$114,2,FALSE)</f>
        <v>Óleo Vegetal</v>
      </c>
      <c r="F432">
        <v>350</v>
      </c>
      <c r="G432" t="str">
        <f>VLOOKUP(Tabela1[[#This Row],[Cliente]],clientes!$C$3:$D$60,2,FALSE)</f>
        <v>ADM</v>
      </c>
    </row>
    <row r="433" spans="1:7" x14ac:dyDescent="0.25">
      <c r="A433">
        <v>2022</v>
      </c>
      <c r="B433" t="s">
        <v>231</v>
      </c>
      <c r="C433" t="s">
        <v>157</v>
      </c>
      <c r="D433" t="s">
        <v>122</v>
      </c>
      <c r="E433" t="str">
        <f>VLOOKUP(D433,'[2]Lista de Produtos CLASSIFICAÇÃO'!$E$103:$F$114,2,FALSE)</f>
        <v>Óleo Vegetal</v>
      </c>
      <c r="F433">
        <v>350</v>
      </c>
      <c r="G433" t="str">
        <f>VLOOKUP(Tabela1[[#This Row],[Cliente]],clientes!$C$3:$D$60,2,FALSE)</f>
        <v>ADM</v>
      </c>
    </row>
    <row r="434" spans="1:7" x14ac:dyDescent="0.25">
      <c r="A434">
        <v>2022</v>
      </c>
      <c r="B434" t="s">
        <v>226</v>
      </c>
      <c r="C434" t="s">
        <v>158</v>
      </c>
      <c r="D434" t="s">
        <v>120</v>
      </c>
      <c r="E434" t="str">
        <f>VLOOKUP(D434,'[2]Lista de Produtos CLASSIFICAÇÃO'!$E$103:$F$114,2,FALSE)</f>
        <v>Derivados</v>
      </c>
      <c r="F434">
        <v>74700</v>
      </c>
      <c r="G434" t="str">
        <f>VLOOKUP(Tabela1[[#This Row],[Cliente]],clientes!$C$3:$D$60,2,FALSE)</f>
        <v>IPIRANGA</v>
      </c>
    </row>
    <row r="435" spans="1:7" x14ac:dyDescent="0.25">
      <c r="A435">
        <v>2022</v>
      </c>
      <c r="B435" t="s">
        <v>227</v>
      </c>
      <c r="C435" t="s">
        <v>158</v>
      </c>
      <c r="D435" t="s">
        <v>120</v>
      </c>
      <c r="E435" t="str">
        <f>VLOOKUP(D435,'[2]Lista de Produtos CLASSIFICAÇÃO'!$E$103:$F$114,2,FALSE)</f>
        <v>Derivados</v>
      </c>
      <c r="F435">
        <v>83830</v>
      </c>
      <c r="G435" t="str">
        <f>VLOOKUP(Tabela1[[#This Row],[Cliente]],clientes!$C$3:$D$60,2,FALSE)</f>
        <v>IPIRANGA</v>
      </c>
    </row>
    <row r="436" spans="1:7" x14ac:dyDescent="0.25">
      <c r="A436">
        <v>2022</v>
      </c>
      <c r="B436" t="s">
        <v>228</v>
      </c>
      <c r="C436" t="s">
        <v>158</v>
      </c>
      <c r="D436" t="s">
        <v>120</v>
      </c>
      <c r="E436" t="str">
        <f>VLOOKUP(D436,'[2]Lista de Produtos CLASSIFICAÇÃO'!$E$103:$F$114,2,FALSE)</f>
        <v>Derivados</v>
      </c>
      <c r="F436">
        <v>74700</v>
      </c>
      <c r="G436" t="str">
        <f>VLOOKUP(Tabela1[[#This Row],[Cliente]],clientes!$C$3:$D$60,2,FALSE)</f>
        <v>IPIRANGA</v>
      </c>
    </row>
    <row r="437" spans="1:7" x14ac:dyDescent="0.25">
      <c r="A437">
        <v>2022</v>
      </c>
      <c r="B437" t="s">
        <v>229</v>
      </c>
      <c r="C437" t="s">
        <v>158</v>
      </c>
      <c r="D437" t="s">
        <v>120</v>
      </c>
      <c r="E437" t="str">
        <f>VLOOKUP(D437,'[2]Lista de Produtos CLASSIFICAÇÃO'!$E$103:$F$114,2,FALSE)</f>
        <v>Derivados</v>
      </c>
      <c r="F437">
        <v>83830</v>
      </c>
      <c r="G437" t="str">
        <f>VLOOKUP(Tabela1[[#This Row],[Cliente]],clientes!$C$3:$D$60,2,FALSE)</f>
        <v>IPIRANGA</v>
      </c>
    </row>
    <row r="438" spans="1:7" x14ac:dyDescent="0.25">
      <c r="A438">
        <v>2022</v>
      </c>
      <c r="B438" t="s">
        <v>210</v>
      </c>
      <c r="C438" t="s">
        <v>158</v>
      </c>
      <c r="D438" t="s">
        <v>120</v>
      </c>
      <c r="E438" t="str">
        <f>VLOOKUP(D438,'[2]Lista de Produtos CLASSIFICAÇÃO'!$E$103:$F$114,2,FALSE)</f>
        <v>Derivados</v>
      </c>
      <c r="F438">
        <v>74700</v>
      </c>
      <c r="G438" t="str">
        <f>VLOOKUP(Tabela1[[#This Row],[Cliente]],clientes!$C$3:$D$60,2,FALSE)</f>
        <v>IPIRANGA</v>
      </c>
    </row>
    <row r="439" spans="1:7" x14ac:dyDescent="0.25">
      <c r="A439">
        <v>2022</v>
      </c>
      <c r="B439" t="s">
        <v>211</v>
      </c>
      <c r="C439" t="s">
        <v>158</v>
      </c>
      <c r="D439" t="s">
        <v>120</v>
      </c>
      <c r="E439" t="str">
        <f>VLOOKUP(D439,'[2]Lista de Produtos CLASSIFICAÇÃO'!$E$103:$F$114,2,FALSE)</f>
        <v>Derivados</v>
      </c>
      <c r="F439">
        <v>83830</v>
      </c>
      <c r="G439" t="str">
        <f>VLOOKUP(Tabela1[[#This Row],[Cliente]],clientes!$C$3:$D$60,2,FALSE)</f>
        <v>IPIRANGA</v>
      </c>
    </row>
    <row r="440" spans="1:7" x14ac:dyDescent="0.25">
      <c r="A440">
        <v>2022</v>
      </c>
      <c r="B440" t="s">
        <v>212</v>
      </c>
      <c r="C440" t="s">
        <v>158</v>
      </c>
      <c r="D440" t="s">
        <v>120</v>
      </c>
      <c r="E440" t="str">
        <f>VLOOKUP(D440,'[2]Lista de Produtos CLASSIFICAÇÃO'!$E$103:$F$114,2,FALSE)</f>
        <v>Derivados</v>
      </c>
      <c r="F440">
        <v>74700</v>
      </c>
      <c r="G440" t="str">
        <f>VLOOKUP(Tabela1[[#This Row],[Cliente]],clientes!$C$3:$D$60,2,FALSE)</f>
        <v>IPIRANGA</v>
      </c>
    </row>
    <row r="441" spans="1:7" x14ac:dyDescent="0.25">
      <c r="A441">
        <v>2022</v>
      </c>
      <c r="B441" t="s">
        <v>213</v>
      </c>
      <c r="C441" t="s">
        <v>158</v>
      </c>
      <c r="D441" t="s">
        <v>120</v>
      </c>
      <c r="E441" t="str">
        <f>VLOOKUP(D441,'[2]Lista de Produtos CLASSIFICAÇÃO'!$E$103:$F$114,2,FALSE)</f>
        <v>Derivados</v>
      </c>
      <c r="F441">
        <v>83830</v>
      </c>
      <c r="G441" t="str">
        <f>VLOOKUP(Tabela1[[#This Row],[Cliente]],clientes!$C$3:$D$60,2,FALSE)</f>
        <v>IPIRANGA</v>
      </c>
    </row>
    <row r="442" spans="1:7" x14ac:dyDescent="0.25">
      <c r="A442">
        <v>2022</v>
      </c>
      <c r="B442" t="s">
        <v>214</v>
      </c>
      <c r="C442" t="s">
        <v>158</v>
      </c>
      <c r="D442" t="s">
        <v>120</v>
      </c>
      <c r="E442" t="str">
        <f>VLOOKUP(D442,'[2]Lista de Produtos CLASSIFICAÇÃO'!$E$103:$F$114,2,FALSE)</f>
        <v>Derivados</v>
      </c>
      <c r="F442">
        <v>74700</v>
      </c>
      <c r="G442" t="str">
        <f>VLOOKUP(Tabela1[[#This Row],[Cliente]],clientes!$C$3:$D$60,2,FALSE)</f>
        <v>IPIRANGA</v>
      </c>
    </row>
    <row r="443" spans="1:7" x14ac:dyDescent="0.25">
      <c r="A443">
        <v>2022</v>
      </c>
      <c r="B443" t="s">
        <v>215</v>
      </c>
      <c r="C443" t="s">
        <v>158</v>
      </c>
      <c r="D443" t="s">
        <v>120</v>
      </c>
      <c r="E443" t="str">
        <f>VLOOKUP(D443,'[2]Lista de Produtos CLASSIFICAÇÃO'!$E$103:$F$114,2,FALSE)</f>
        <v>Derivados</v>
      </c>
      <c r="F443">
        <v>83830</v>
      </c>
      <c r="G443" t="str">
        <f>VLOOKUP(Tabela1[[#This Row],[Cliente]],clientes!$C$3:$D$60,2,FALSE)</f>
        <v>IPIRANGA</v>
      </c>
    </row>
    <row r="444" spans="1:7" x14ac:dyDescent="0.25">
      <c r="A444">
        <v>2022</v>
      </c>
      <c r="B444" t="s">
        <v>230</v>
      </c>
      <c r="C444" t="s">
        <v>158</v>
      </c>
      <c r="D444" t="s">
        <v>120</v>
      </c>
      <c r="E444" t="str">
        <f>VLOOKUP(D444,'[2]Lista de Produtos CLASSIFICAÇÃO'!$E$103:$F$114,2,FALSE)</f>
        <v>Derivados</v>
      </c>
      <c r="F444">
        <v>74700</v>
      </c>
      <c r="G444" t="str">
        <f>VLOOKUP(Tabela1[[#This Row],[Cliente]],clientes!$C$3:$D$60,2,FALSE)</f>
        <v>IPIRANGA</v>
      </c>
    </row>
    <row r="445" spans="1:7" x14ac:dyDescent="0.25">
      <c r="A445">
        <v>2022</v>
      </c>
      <c r="B445" t="s">
        <v>231</v>
      </c>
      <c r="C445" t="s">
        <v>158</v>
      </c>
      <c r="D445" t="s">
        <v>120</v>
      </c>
      <c r="E445" t="str">
        <f>VLOOKUP(D445,'[2]Lista de Produtos CLASSIFICAÇÃO'!$E$103:$F$114,2,FALSE)</f>
        <v>Derivados</v>
      </c>
      <c r="F445">
        <v>74700</v>
      </c>
      <c r="G445" t="str">
        <f>VLOOKUP(Tabela1[[#This Row],[Cliente]],clientes!$C$3:$D$60,2,FALSE)</f>
        <v>IPIRANGA</v>
      </c>
    </row>
    <row r="446" spans="1:7" x14ac:dyDescent="0.25">
      <c r="A446">
        <v>2022</v>
      </c>
      <c r="B446" t="s">
        <v>226</v>
      </c>
      <c r="C446" t="s">
        <v>159</v>
      </c>
      <c r="D446" t="s">
        <v>120</v>
      </c>
      <c r="E446" t="str">
        <f>VLOOKUP(D446,'[2]Lista de Produtos CLASSIFICAÇÃO'!$E$103:$F$114,2,FALSE)</f>
        <v>Derivados</v>
      </c>
      <c r="F446">
        <v>33200</v>
      </c>
      <c r="G446" t="str">
        <f>VLOOKUP(Tabela1[[#This Row],[Cliente]],clientes!$C$3:$D$60,2,FALSE)</f>
        <v>RAIZEN</v>
      </c>
    </row>
    <row r="447" spans="1:7" x14ac:dyDescent="0.25">
      <c r="A447">
        <v>2022</v>
      </c>
      <c r="B447" t="s">
        <v>227</v>
      </c>
      <c r="C447" t="s">
        <v>159</v>
      </c>
      <c r="D447" t="s">
        <v>120</v>
      </c>
      <c r="E447" t="str">
        <f>VLOOKUP(D447,'[2]Lista de Produtos CLASSIFICAÇÃO'!$E$103:$F$114,2,FALSE)</f>
        <v>Derivados</v>
      </c>
      <c r="F447">
        <v>41500</v>
      </c>
      <c r="G447" t="str">
        <f>VLOOKUP(Tabela1[[#This Row],[Cliente]],clientes!$C$3:$D$60,2,FALSE)</f>
        <v>RAIZEN</v>
      </c>
    </row>
    <row r="448" spans="1:7" x14ac:dyDescent="0.25">
      <c r="A448">
        <v>2022</v>
      </c>
      <c r="B448" t="s">
        <v>228</v>
      </c>
      <c r="C448" t="s">
        <v>159</v>
      </c>
      <c r="D448" t="s">
        <v>120</v>
      </c>
      <c r="E448" t="str">
        <f>VLOOKUP(D448,'[2]Lista de Produtos CLASSIFICAÇÃO'!$E$103:$F$114,2,FALSE)</f>
        <v>Derivados</v>
      </c>
      <c r="F448">
        <v>33200</v>
      </c>
      <c r="G448" t="str">
        <f>VLOOKUP(Tabela1[[#This Row],[Cliente]],clientes!$C$3:$D$60,2,FALSE)</f>
        <v>RAIZEN</v>
      </c>
    </row>
    <row r="449" spans="1:7" x14ac:dyDescent="0.25">
      <c r="A449">
        <v>2022</v>
      </c>
      <c r="B449" t="s">
        <v>229</v>
      </c>
      <c r="C449" t="s">
        <v>159</v>
      </c>
      <c r="D449" t="s">
        <v>120</v>
      </c>
      <c r="E449" t="str">
        <f>VLOOKUP(D449,'[2]Lista de Produtos CLASSIFICAÇÃO'!$E$103:$F$114,2,FALSE)</f>
        <v>Derivados</v>
      </c>
      <c r="F449">
        <v>41500</v>
      </c>
      <c r="G449" t="str">
        <f>VLOOKUP(Tabela1[[#This Row],[Cliente]],clientes!$C$3:$D$60,2,FALSE)</f>
        <v>RAIZEN</v>
      </c>
    </row>
    <row r="450" spans="1:7" x14ac:dyDescent="0.25">
      <c r="A450">
        <v>2022</v>
      </c>
      <c r="B450" t="s">
        <v>210</v>
      </c>
      <c r="C450" t="s">
        <v>159</v>
      </c>
      <c r="D450" t="s">
        <v>120</v>
      </c>
      <c r="E450" t="str">
        <f>VLOOKUP(D450,'[2]Lista de Produtos CLASSIFICAÇÃO'!$E$103:$F$114,2,FALSE)</f>
        <v>Derivados</v>
      </c>
      <c r="F450">
        <v>33200</v>
      </c>
      <c r="G450" t="str">
        <f>VLOOKUP(Tabela1[[#This Row],[Cliente]],clientes!$C$3:$D$60,2,FALSE)</f>
        <v>RAIZEN</v>
      </c>
    </row>
    <row r="451" spans="1:7" x14ac:dyDescent="0.25">
      <c r="A451">
        <v>2022</v>
      </c>
      <c r="B451" t="s">
        <v>211</v>
      </c>
      <c r="C451" t="s">
        <v>159</v>
      </c>
      <c r="D451" t="s">
        <v>120</v>
      </c>
      <c r="E451" t="str">
        <f>VLOOKUP(D451,'[2]Lista de Produtos CLASSIFICAÇÃO'!$E$103:$F$114,2,FALSE)</f>
        <v>Derivados</v>
      </c>
      <c r="F451">
        <v>41500</v>
      </c>
      <c r="G451" t="str">
        <f>VLOOKUP(Tabela1[[#This Row],[Cliente]],clientes!$C$3:$D$60,2,FALSE)</f>
        <v>RAIZEN</v>
      </c>
    </row>
    <row r="452" spans="1:7" x14ac:dyDescent="0.25">
      <c r="A452">
        <v>2022</v>
      </c>
      <c r="B452" t="s">
        <v>212</v>
      </c>
      <c r="C452" t="s">
        <v>159</v>
      </c>
      <c r="D452" t="s">
        <v>120</v>
      </c>
      <c r="E452" t="str">
        <f>VLOOKUP(D452,'[2]Lista de Produtos CLASSIFICAÇÃO'!$E$103:$F$114,2,FALSE)</f>
        <v>Derivados</v>
      </c>
      <c r="F452">
        <v>33200</v>
      </c>
      <c r="G452" t="str">
        <f>VLOOKUP(Tabela1[[#This Row],[Cliente]],clientes!$C$3:$D$60,2,FALSE)</f>
        <v>RAIZEN</v>
      </c>
    </row>
    <row r="453" spans="1:7" x14ac:dyDescent="0.25">
      <c r="A453">
        <v>2022</v>
      </c>
      <c r="B453" t="s">
        <v>213</v>
      </c>
      <c r="C453" t="s">
        <v>159</v>
      </c>
      <c r="D453" t="s">
        <v>120</v>
      </c>
      <c r="E453" t="str">
        <f>VLOOKUP(D453,'[2]Lista de Produtos CLASSIFICAÇÃO'!$E$103:$F$114,2,FALSE)</f>
        <v>Derivados</v>
      </c>
      <c r="F453">
        <v>41500</v>
      </c>
      <c r="G453" t="str">
        <f>VLOOKUP(Tabela1[[#This Row],[Cliente]],clientes!$C$3:$D$60,2,FALSE)</f>
        <v>RAIZEN</v>
      </c>
    </row>
    <row r="454" spans="1:7" x14ac:dyDescent="0.25">
      <c r="A454">
        <v>2022</v>
      </c>
      <c r="B454" t="s">
        <v>214</v>
      </c>
      <c r="C454" t="s">
        <v>159</v>
      </c>
      <c r="D454" t="s">
        <v>120</v>
      </c>
      <c r="E454" t="str">
        <f>VLOOKUP(D454,'[2]Lista de Produtos CLASSIFICAÇÃO'!$E$103:$F$114,2,FALSE)</f>
        <v>Derivados</v>
      </c>
      <c r="F454">
        <v>33200</v>
      </c>
      <c r="G454" t="str">
        <f>VLOOKUP(Tabela1[[#This Row],[Cliente]],clientes!$C$3:$D$60,2,FALSE)</f>
        <v>RAIZEN</v>
      </c>
    </row>
    <row r="455" spans="1:7" x14ac:dyDescent="0.25">
      <c r="A455">
        <v>2022</v>
      </c>
      <c r="B455" t="s">
        <v>215</v>
      </c>
      <c r="C455" t="s">
        <v>159</v>
      </c>
      <c r="D455" t="s">
        <v>120</v>
      </c>
      <c r="E455" t="str">
        <f>VLOOKUP(D455,'[2]Lista de Produtos CLASSIFICAÇÃO'!$E$103:$F$114,2,FALSE)</f>
        <v>Derivados</v>
      </c>
      <c r="F455">
        <v>41500</v>
      </c>
      <c r="G455" t="str">
        <f>VLOOKUP(Tabela1[[#This Row],[Cliente]],clientes!$C$3:$D$60,2,FALSE)</f>
        <v>RAIZEN</v>
      </c>
    </row>
    <row r="456" spans="1:7" x14ac:dyDescent="0.25">
      <c r="A456">
        <v>2022</v>
      </c>
      <c r="B456" t="s">
        <v>230</v>
      </c>
      <c r="C456" t="s">
        <v>159</v>
      </c>
      <c r="D456" t="s">
        <v>120</v>
      </c>
      <c r="E456" t="str">
        <f>VLOOKUP(D456,'[2]Lista de Produtos CLASSIFICAÇÃO'!$E$103:$F$114,2,FALSE)</f>
        <v>Derivados</v>
      </c>
      <c r="F456">
        <v>33200</v>
      </c>
      <c r="G456" t="str">
        <f>VLOOKUP(Tabela1[[#This Row],[Cliente]],clientes!$C$3:$D$60,2,FALSE)</f>
        <v>RAIZEN</v>
      </c>
    </row>
    <row r="457" spans="1:7" x14ac:dyDescent="0.25">
      <c r="A457">
        <v>2022</v>
      </c>
      <c r="B457" t="s">
        <v>231</v>
      </c>
      <c r="C457" t="s">
        <v>159</v>
      </c>
      <c r="D457" t="s">
        <v>120</v>
      </c>
      <c r="E457" t="str">
        <f>VLOOKUP(D457,'[2]Lista de Produtos CLASSIFICAÇÃO'!$E$103:$F$114,2,FALSE)</f>
        <v>Derivados</v>
      </c>
      <c r="F457">
        <v>33200</v>
      </c>
      <c r="G457" t="str">
        <f>VLOOKUP(Tabela1[[#This Row],[Cliente]],clientes!$C$3:$D$60,2,FALSE)</f>
        <v>RAIZEN</v>
      </c>
    </row>
    <row r="458" spans="1:7" x14ac:dyDescent="0.25">
      <c r="A458">
        <v>2022</v>
      </c>
      <c r="B458" t="s">
        <v>226</v>
      </c>
      <c r="C458" t="s">
        <v>200</v>
      </c>
      <c r="D458" t="s">
        <v>120</v>
      </c>
      <c r="E458" t="str">
        <f>VLOOKUP(D458,'[2]Lista de Produtos CLASSIFICAÇÃO'!$E$103:$F$114,2,FALSE)</f>
        <v>Derivados</v>
      </c>
      <c r="F458">
        <v>12450</v>
      </c>
      <c r="G458" t="str">
        <f>VLOOKUP(Tabela1[[#This Row],[Cliente]],clientes!$C$3:$D$60,2,FALSE)</f>
        <v>GREENENERGY</v>
      </c>
    </row>
    <row r="459" spans="1:7" x14ac:dyDescent="0.25">
      <c r="A459">
        <v>2022</v>
      </c>
      <c r="B459" t="s">
        <v>227</v>
      </c>
      <c r="C459" t="s">
        <v>200</v>
      </c>
      <c r="D459" t="s">
        <v>120</v>
      </c>
      <c r="E459" t="str">
        <f>VLOOKUP(D459,'[2]Lista de Produtos CLASSIFICAÇÃO'!$E$103:$F$114,2,FALSE)</f>
        <v>Derivados</v>
      </c>
      <c r="F459">
        <v>12450</v>
      </c>
      <c r="G459" t="str">
        <f>VLOOKUP(Tabela1[[#This Row],[Cliente]],clientes!$C$3:$D$60,2,FALSE)</f>
        <v>GREENENERGY</v>
      </c>
    </row>
    <row r="460" spans="1:7" x14ac:dyDescent="0.25">
      <c r="A460">
        <v>2022</v>
      </c>
      <c r="B460" t="s">
        <v>228</v>
      </c>
      <c r="C460" t="s">
        <v>200</v>
      </c>
      <c r="D460" t="s">
        <v>120</v>
      </c>
      <c r="E460" t="str">
        <f>VLOOKUP(D460,'[2]Lista de Produtos CLASSIFICAÇÃO'!$E$103:$F$114,2,FALSE)</f>
        <v>Derivados</v>
      </c>
      <c r="F460">
        <v>12450</v>
      </c>
      <c r="G460" t="str">
        <f>VLOOKUP(Tabela1[[#This Row],[Cliente]],clientes!$C$3:$D$60,2,FALSE)</f>
        <v>GREENENERGY</v>
      </c>
    </row>
    <row r="461" spans="1:7" x14ac:dyDescent="0.25">
      <c r="A461">
        <v>2022</v>
      </c>
      <c r="B461" t="s">
        <v>229</v>
      </c>
      <c r="C461" t="s">
        <v>200</v>
      </c>
      <c r="D461" t="s">
        <v>120</v>
      </c>
      <c r="E461" t="str">
        <f>VLOOKUP(D461,'[2]Lista de Produtos CLASSIFICAÇÃO'!$E$103:$F$114,2,FALSE)</f>
        <v>Derivados</v>
      </c>
      <c r="F461">
        <v>12450</v>
      </c>
      <c r="G461" t="str">
        <f>VLOOKUP(Tabela1[[#This Row],[Cliente]],clientes!$C$3:$D$60,2,FALSE)</f>
        <v>GREENENERGY</v>
      </c>
    </row>
    <row r="462" spans="1:7" x14ac:dyDescent="0.25">
      <c r="A462">
        <v>2022</v>
      </c>
      <c r="B462" t="s">
        <v>210</v>
      </c>
      <c r="C462" t="s">
        <v>200</v>
      </c>
      <c r="D462" t="s">
        <v>120</v>
      </c>
      <c r="E462" t="str">
        <f>VLOOKUP(D462,'[2]Lista de Produtos CLASSIFICAÇÃO'!$E$103:$F$114,2,FALSE)</f>
        <v>Derivados</v>
      </c>
      <c r="F462">
        <v>12450</v>
      </c>
      <c r="G462" t="str">
        <f>VLOOKUP(Tabela1[[#This Row],[Cliente]],clientes!$C$3:$D$60,2,FALSE)</f>
        <v>GREENENERGY</v>
      </c>
    </row>
    <row r="463" spans="1:7" x14ac:dyDescent="0.25">
      <c r="A463">
        <v>2022</v>
      </c>
      <c r="B463" t="s">
        <v>211</v>
      </c>
      <c r="C463" t="s">
        <v>200</v>
      </c>
      <c r="D463" t="s">
        <v>120</v>
      </c>
      <c r="E463" t="str">
        <f>VLOOKUP(D463,'[2]Lista de Produtos CLASSIFICAÇÃO'!$E$103:$F$114,2,FALSE)</f>
        <v>Derivados</v>
      </c>
      <c r="F463">
        <v>12450</v>
      </c>
      <c r="G463" t="str">
        <f>VLOOKUP(Tabela1[[#This Row],[Cliente]],clientes!$C$3:$D$60,2,FALSE)</f>
        <v>GREENENERGY</v>
      </c>
    </row>
    <row r="464" spans="1:7" x14ac:dyDescent="0.25">
      <c r="A464">
        <v>2022</v>
      </c>
      <c r="B464" t="s">
        <v>212</v>
      </c>
      <c r="C464" t="s">
        <v>200</v>
      </c>
      <c r="D464" t="s">
        <v>120</v>
      </c>
      <c r="E464" t="str">
        <f>VLOOKUP(D464,'[2]Lista de Produtos CLASSIFICAÇÃO'!$E$103:$F$114,2,FALSE)</f>
        <v>Derivados</v>
      </c>
      <c r="F464">
        <v>12450</v>
      </c>
      <c r="G464" t="str">
        <f>VLOOKUP(Tabela1[[#This Row],[Cliente]],clientes!$C$3:$D$60,2,FALSE)</f>
        <v>GREENENERGY</v>
      </c>
    </row>
    <row r="465" spans="1:7" x14ac:dyDescent="0.25">
      <c r="A465">
        <v>2022</v>
      </c>
      <c r="B465" t="s">
        <v>213</v>
      </c>
      <c r="C465" t="s">
        <v>200</v>
      </c>
      <c r="D465" t="s">
        <v>120</v>
      </c>
      <c r="E465" t="str">
        <f>VLOOKUP(D465,'[2]Lista de Produtos CLASSIFICAÇÃO'!$E$103:$F$114,2,FALSE)</f>
        <v>Derivados</v>
      </c>
      <c r="F465">
        <v>12450</v>
      </c>
      <c r="G465" t="str">
        <f>VLOOKUP(Tabela1[[#This Row],[Cliente]],clientes!$C$3:$D$60,2,FALSE)</f>
        <v>GREENENERGY</v>
      </c>
    </row>
    <row r="466" spans="1:7" x14ac:dyDescent="0.25">
      <c r="A466">
        <v>2022</v>
      </c>
      <c r="B466" t="s">
        <v>214</v>
      </c>
      <c r="C466" t="s">
        <v>200</v>
      </c>
      <c r="D466" t="s">
        <v>120</v>
      </c>
      <c r="E466" t="str">
        <f>VLOOKUP(D466,'[2]Lista de Produtos CLASSIFICAÇÃO'!$E$103:$F$114,2,FALSE)</f>
        <v>Derivados</v>
      </c>
      <c r="F466">
        <v>12450</v>
      </c>
      <c r="G466" t="str">
        <f>VLOOKUP(Tabela1[[#This Row],[Cliente]],clientes!$C$3:$D$60,2,FALSE)</f>
        <v>GREENENERGY</v>
      </c>
    </row>
    <row r="467" spans="1:7" x14ac:dyDescent="0.25">
      <c r="A467">
        <v>2022</v>
      </c>
      <c r="B467" t="s">
        <v>215</v>
      </c>
      <c r="C467" t="s">
        <v>200</v>
      </c>
      <c r="D467" t="s">
        <v>120</v>
      </c>
      <c r="E467" t="str">
        <f>VLOOKUP(D467,'[2]Lista de Produtos CLASSIFICAÇÃO'!$E$103:$F$114,2,FALSE)</f>
        <v>Derivados</v>
      </c>
      <c r="F467">
        <v>12450</v>
      </c>
      <c r="G467" t="str">
        <f>VLOOKUP(Tabela1[[#This Row],[Cliente]],clientes!$C$3:$D$60,2,FALSE)</f>
        <v>GREENENERGY</v>
      </c>
    </row>
    <row r="468" spans="1:7" x14ac:dyDescent="0.25">
      <c r="A468">
        <v>2022</v>
      </c>
      <c r="B468" t="s">
        <v>230</v>
      </c>
      <c r="C468" t="s">
        <v>200</v>
      </c>
      <c r="D468" t="s">
        <v>120</v>
      </c>
      <c r="E468" t="str">
        <f>VLOOKUP(D468,'[2]Lista de Produtos CLASSIFICAÇÃO'!$E$103:$F$114,2,FALSE)</f>
        <v>Derivados</v>
      </c>
      <c r="F468">
        <v>12450</v>
      </c>
      <c r="G468" t="str">
        <f>VLOOKUP(Tabela1[[#This Row],[Cliente]],clientes!$C$3:$D$60,2,FALSE)</f>
        <v>GREENENERGY</v>
      </c>
    </row>
    <row r="469" spans="1:7" x14ac:dyDescent="0.25">
      <c r="A469">
        <v>2022</v>
      </c>
      <c r="B469" t="s">
        <v>231</v>
      </c>
      <c r="C469" t="s">
        <v>200</v>
      </c>
      <c r="D469" t="s">
        <v>120</v>
      </c>
      <c r="E469" t="str">
        <f>VLOOKUP(D469,'[2]Lista de Produtos CLASSIFICAÇÃO'!$E$103:$F$114,2,FALSE)</f>
        <v>Derivados</v>
      </c>
      <c r="F469">
        <v>12450</v>
      </c>
      <c r="G469" t="str">
        <f>VLOOKUP(Tabela1[[#This Row],[Cliente]],clientes!$C$3:$D$60,2,FALSE)</f>
        <v>GREENENERGY</v>
      </c>
    </row>
    <row r="470" spans="1:7" x14ac:dyDescent="0.25">
      <c r="A470">
        <v>2022</v>
      </c>
      <c r="B470" t="s">
        <v>226</v>
      </c>
      <c r="C470" t="s">
        <v>161</v>
      </c>
      <c r="D470" t="s">
        <v>120</v>
      </c>
      <c r="E470" t="str">
        <f>VLOOKUP(D470,'[2]Lista de Produtos CLASSIFICAÇÃO'!$E$103:$F$114,2,FALSE)</f>
        <v>Derivados</v>
      </c>
      <c r="F470">
        <v>24900</v>
      </c>
      <c r="G470" t="str">
        <f>VLOOKUP(Tabela1[[#This Row],[Cliente]],clientes!$C$3:$D$60,2,FALSE)</f>
        <v>SUL PLATA</v>
      </c>
    </row>
    <row r="471" spans="1:7" x14ac:dyDescent="0.25">
      <c r="A471">
        <v>2022</v>
      </c>
      <c r="B471" t="s">
        <v>227</v>
      </c>
      <c r="C471" t="s">
        <v>161</v>
      </c>
      <c r="D471" t="s">
        <v>120</v>
      </c>
      <c r="E471" t="str">
        <f>VLOOKUP(D471,'[2]Lista de Produtos CLASSIFICAÇÃO'!$E$103:$F$114,2,FALSE)</f>
        <v>Derivados</v>
      </c>
      <c r="F471">
        <v>24900</v>
      </c>
      <c r="G471" t="str">
        <f>VLOOKUP(Tabela1[[#This Row],[Cliente]],clientes!$C$3:$D$60,2,FALSE)</f>
        <v>SUL PLATA</v>
      </c>
    </row>
    <row r="472" spans="1:7" x14ac:dyDescent="0.25">
      <c r="A472">
        <v>2022</v>
      </c>
      <c r="B472" t="s">
        <v>228</v>
      </c>
      <c r="C472" t="s">
        <v>161</v>
      </c>
      <c r="D472" t="s">
        <v>120</v>
      </c>
      <c r="E472" t="str">
        <f>VLOOKUP(D472,'[2]Lista de Produtos CLASSIFICAÇÃO'!$E$103:$F$114,2,FALSE)</f>
        <v>Derivados</v>
      </c>
      <c r="F472">
        <v>37350</v>
      </c>
      <c r="G472" t="str">
        <f>VLOOKUP(Tabela1[[#This Row],[Cliente]],clientes!$C$3:$D$60,2,FALSE)</f>
        <v>SUL PLATA</v>
      </c>
    </row>
    <row r="473" spans="1:7" x14ac:dyDescent="0.25">
      <c r="A473">
        <v>2022</v>
      </c>
      <c r="B473" t="s">
        <v>229</v>
      </c>
      <c r="C473" t="s">
        <v>161</v>
      </c>
      <c r="D473" t="s">
        <v>120</v>
      </c>
      <c r="E473" t="str">
        <f>VLOOKUP(D473,'[2]Lista de Produtos CLASSIFICAÇÃO'!$E$103:$F$114,2,FALSE)</f>
        <v>Derivados</v>
      </c>
      <c r="F473">
        <v>24900</v>
      </c>
      <c r="G473" t="str">
        <f>VLOOKUP(Tabela1[[#This Row],[Cliente]],clientes!$C$3:$D$60,2,FALSE)</f>
        <v>SUL PLATA</v>
      </c>
    </row>
    <row r="474" spans="1:7" x14ac:dyDescent="0.25">
      <c r="A474">
        <v>2022</v>
      </c>
      <c r="B474" t="s">
        <v>210</v>
      </c>
      <c r="C474" t="s">
        <v>161</v>
      </c>
      <c r="D474" t="s">
        <v>120</v>
      </c>
      <c r="E474" t="str">
        <f>VLOOKUP(D474,'[2]Lista de Produtos CLASSIFICAÇÃO'!$E$103:$F$114,2,FALSE)</f>
        <v>Derivados</v>
      </c>
      <c r="F474">
        <v>24900</v>
      </c>
      <c r="G474" t="str">
        <f>VLOOKUP(Tabela1[[#This Row],[Cliente]],clientes!$C$3:$D$60,2,FALSE)</f>
        <v>SUL PLATA</v>
      </c>
    </row>
    <row r="475" spans="1:7" x14ac:dyDescent="0.25">
      <c r="A475">
        <v>2022</v>
      </c>
      <c r="B475" t="s">
        <v>211</v>
      </c>
      <c r="C475" t="s">
        <v>161</v>
      </c>
      <c r="D475" t="s">
        <v>120</v>
      </c>
      <c r="E475" t="str">
        <f>VLOOKUP(D475,'[2]Lista de Produtos CLASSIFICAÇÃO'!$E$103:$F$114,2,FALSE)</f>
        <v>Derivados</v>
      </c>
      <c r="F475">
        <v>37350</v>
      </c>
      <c r="G475" t="str">
        <f>VLOOKUP(Tabela1[[#This Row],[Cliente]],clientes!$C$3:$D$60,2,FALSE)</f>
        <v>SUL PLATA</v>
      </c>
    </row>
    <row r="476" spans="1:7" x14ac:dyDescent="0.25">
      <c r="A476">
        <v>2022</v>
      </c>
      <c r="B476" t="s">
        <v>212</v>
      </c>
      <c r="C476" t="s">
        <v>161</v>
      </c>
      <c r="D476" t="s">
        <v>120</v>
      </c>
      <c r="E476" t="str">
        <f>VLOOKUP(D476,'[2]Lista de Produtos CLASSIFICAÇÃO'!$E$103:$F$114,2,FALSE)</f>
        <v>Derivados</v>
      </c>
      <c r="F476">
        <v>24900</v>
      </c>
      <c r="G476" t="str">
        <f>VLOOKUP(Tabela1[[#This Row],[Cliente]],clientes!$C$3:$D$60,2,FALSE)</f>
        <v>SUL PLATA</v>
      </c>
    </row>
    <row r="477" spans="1:7" x14ac:dyDescent="0.25">
      <c r="A477">
        <v>2022</v>
      </c>
      <c r="B477" t="s">
        <v>213</v>
      </c>
      <c r="C477" t="s">
        <v>161</v>
      </c>
      <c r="D477" t="s">
        <v>120</v>
      </c>
      <c r="E477" t="str">
        <f>VLOOKUP(D477,'[2]Lista de Produtos CLASSIFICAÇÃO'!$E$103:$F$114,2,FALSE)</f>
        <v>Derivados</v>
      </c>
      <c r="F477">
        <v>24900</v>
      </c>
      <c r="G477" t="str">
        <f>VLOOKUP(Tabela1[[#This Row],[Cliente]],clientes!$C$3:$D$60,2,FALSE)</f>
        <v>SUL PLATA</v>
      </c>
    </row>
    <row r="478" spans="1:7" x14ac:dyDescent="0.25">
      <c r="A478">
        <v>2022</v>
      </c>
      <c r="B478" t="s">
        <v>214</v>
      </c>
      <c r="C478" t="s">
        <v>161</v>
      </c>
      <c r="D478" t="s">
        <v>120</v>
      </c>
      <c r="E478" t="str">
        <f>VLOOKUP(D478,'[2]Lista de Produtos CLASSIFICAÇÃO'!$E$103:$F$114,2,FALSE)</f>
        <v>Derivados</v>
      </c>
      <c r="F478">
        <v>37350</v>
      </c>
      <c r="G478" t="str">
        <f>VLOOKUP(Tabela1[[#This Row],[Cliente]],clientes!$C$3:$D$60,2,FALSE)</f>
        <v>SUL PLATA</v>
      </c>
    </row>
    <row r="479" spans="1:7" x14ac:dyDescent="0.25">
      <c r="A479">
        <v>2022</v>
      </c>
      <c r="B479" t="s">
        <v>215</v>
      </c>
      <c r="C479" t="s">
        <v>161</v>
      </c>
      <c r="D479" t="s">
        <v>120</v>
      </c>
      <c r="E479" t="str">
        <f>VLOOKUP(D479,'[2]Lista de Produtos CLASSIFICAÇÃO'!$E$103:$F$114,2,FALSE)</f>
        <v>Derivados</v>
      </c>
      <c r="F479">
        <v>24900</v>
      </c>
      <c r="G479" t="str">
        <f>VLOOKUP(Tabela1[[#This Row],[Cliente]],clientes!$C$3:$D$60,2,FALSE)</f>
        <v>SUL PLATA</v>
      </c>
    </row>
    <row r="480" spans="1:7" x14ac:dyDescent="0.25">
      <c r="A480">
        <v>2022</v>
      </c>
      <c r="B480" t="s">
        <v>230</v>
      </c>
      <c r="C480" t="s">
        <v>161</v>
      </c>
      <c r="D480" t="s">
        <v>120</v>
      </c>
      <c r="E480" t="str">
        <f>VLOOKUP(D480,'[2]Lista de Produtos CLASSIFICAÇÃO'!$E$103:$F$114,2,FALSE)</f>
        <v>Derivados</v>
      </c>
      <c r="F480">
        <v>24900</v>
      </c>
      <c r="G480" t="str">
        <f>VLOOKUP(Tabela1[[#This Row],[Cliente]],clientes!$C$3:$D$60,2,FALSE)</f>
        <v>SUL PLATA</v>
      </c>
    </row>
    <row r="481" spans="1:7" x14ac:dyDescent="0.25">
      <c r="A481">
        <v>2022</v>
      </c>
      <c r="B481" t="s">
        <v>231</v>
      </c>
      <c r="C481" t="s">
        <v>161</v>
      </c>
      <c r="D481" t="s">
        <v>120</v>
      </c>
      <c r="E481" t="str">
        <f>VLOOKUP(D481,'[2]Lista de Produtos CLASSIFICAÇÃO'!$E$103:$F$114,2,FALSE)</f>
        <v>Derivados</v>
      </c>
      <c r="F481">
        <v>24900</v>
      </c>
      <c r="G481" t="str">
        <f>VLOOKUP(Tabela1[[#This Row],[Cliente]],clientes!$C$3:$D$60,2,FALSE)</f>
        <v>SUL PLATA</v>
      </c>
    </row>
    <row r="482" spans="1:7" x14ac:dyDescent="0.25">
      <c r="A482">
        <v>2022</v>
      </c>
      <c r="B482" t="s">
        <v>226</v>
      </c>
      <c r="C482" t="s">
        <v>195</v>
      </c>
      <c r="D482" t="s">
        <v>115</v>
      </c>
      <c r="E482" t="str">
        <f>VLOOKUP(D482,'[2]Lista de Produtos CLASSIFICAÇÃO'!$E$103:$F$114,2,FALSE)</f>
        <v>Soda Caustica</v>
      </c>
      <c r="F482">
        <v>1000</v>
      </c>
      <c r="G482" t="str">
        <f>VLOOKUP(Tabela1[[#This Row],[Cliente]],clientes!$C$3:$D$60,2,FALSE)</f>
        <v>PROJESAN</v>
      </c>
    </row>
    <row r="483" spans="1:7" x14ac:dyDescent="0.25">
      <c r="A483">
        <v>2022</v>
      </c>
      <c r="B483" t="s">
        <v>228</v>
      </c>
      <c r="C483" t="s">
        <v>195</v>
      </c>
      <c r="D483" t="s">
        <v>115</v>
      </c>
      <c r="E483" t="str">
        <f>VLOOKUP(D483,'[2]Lista de Produtos CLASSIFICAÇÃO'!$E$103:$F$114,2,FALSE)</f>
        <v>Soda Caustica</v>
      </c>
      <c r="F483">
        <v>1000</v>
      </c>
      <c r="G483" t="str">
        <f>VLOOKUP(Tabela1[[#This Row],[Cliente]],clientes!$C$3:$D$60,2,FALSE)</f>
        <v>PROJESAN</v>
      </c>
    </row>
    <row r="484" spans="1:7" x14ac:dyDescent="0.25">
      <c r="A484">
        <v>2022</v>
      </c>
      <c r="B484" t="s">
        <v>210</v>
      </c>
      <c r="C484" t="s">
        <v>195</v>
      </c>
      <c r="D484" t="s">
        <v>115</v>
      </c>
      <c r="E484" t="str">
        <f>VLOOKUP(D484,'[2]Lista de Produtos CLASSIFICAÇÃO'!$E$103:$F$114,2,FALSE)</f>
        <v>Soda Caustica</v>
      </c>
      <c r="F484">
        <v>1000</v>
      </c>
      <c r="G484" t="str">
        <f>VLOOKUP(Tabela1[[#This Row],[Cliente]],clientes!$C$3:$D$60,2,FALSE)</f>
        <v>PROJESAN</v>
      </c>
    </row>
    <row r="485" spans="1:7" x14ac:dyDescent="0.25">
      <c r="A485">
        <v>2022</v>
      </c>
      <c r="B485" t="s">
        <v>212</v>
      </c>
      <c r="C485" t="s">
        <v>195</v>
      </c>
      <c r="D485" t="s">
        <v>115</v>
      </c>
      <c r="E485" t="str">
        <f>VLOOKUP(D485,'[2]Lista de Produtos CLASSIFICAÇÃO'!$E$103:$F$114,2,FALSE)</f>
        <v>Soda Caustica</v>
      </c>
      <c r="F485">
        <v>1000</v>
      </c>
      <c r="G485" t="str">
        <f>VLOOKUP(Tabela1[[#This Row],[Cliente]],clientes!$C$3:$D$60,2,FALSE)</f>
        <v>PROJESAN</v>
      </c>
    </row>
    <row r="486" spans="1:7" x14ac:dyDescent="0.25">
      <c r="A486">
        <v>2022</v>
      </c>
      <c r="B486" t="s">
        <v>214</v>
      </c>
      <c r="C486" t="s">
        <v>195</v>
      </c>
      <c r="D486" t="s">
        <v>115</v>
      </c>
      <c r="E486" t="str">
        <f>VLOOKUP(D486,'[2]Lista de Produtos CLASSIFICAÇÃO'!$E$103:$F$114,2,FALSE)</f>
        <v>Soda Caustica</v>
      </c>
      <c r="F486">
        <v>1000</v>
      </c>
      <c r="G486" t="str">
        <f>VLOOKUP(Tabela1[[#This Row],[Cliente]],clientes!$C$3:$D$60,2,FALSE)</f>
        <v>PROJESAN</v>
      </c>
    </row>
    <row r="487" spans="1:7" x14ac:dyDescent="0.25">
      <c r="A487">
        <v>2022</v>
      </c>
      <c r="B487" t="s">
        <v>230</v>
      </c>
      <c r="C487" t="s">
        <v>195</v>
      </c>
      <c r="D487" t="s">
        <v>115</v>
      </c>
      <c r="E487" t="str">
        <f>VLOOKUP(D487,'[2]Lista de Produtos CLASSIFICAÇÃO'!$E$103:$F$114,2,FALSE)</f>
        <v>Soda Caustica</v>
      </c>
      <c r="F487">
        <v>1000</v>
      </c>
      <c r="G487" t="str">
        <f>VLOOKUP(Tabela1[[#This Row],[Cliente]],clientes!$C$3:$D$60,2,FALSE)</f>
        <v>PROJESAN</v>
      </c>
    </row>
    <row r="488" spans="1:7" x14ac:dyDescent="0.25">
      <c r="A488">
        <v>2022</v>
      </c>
      <c r="B488" t="s">
        <v>226</v>
      </c>
      <c r="C488" t="s">
        <v>162</v>
      </c>
      <c r="D488" t="s">
        <v>115</v>
      </c>
      <c r="E488" t="str">
        <f>VLOOKUP(D488,'[2]Lista de Produtos CLASSIFICAÇÃO'!$E$103:$F$114,2,FALSE)</f>
        <v>Soda Caustica</v>
      </c>
      <c r="F488">
        <v>2300</v>
      </c>
      <c r="G488" t="str">
        <f>VLOOKUP(Tabela1[[#This Row],[Cliente]],clientes!$C$3:$D$60,2,FALSE)</f>
        <v>JBS</v>
      </c>
    </row>
    <row r="489" spans="1:7" x14ac:dyDescent="0.25">
      <c r="A489">
        <v>2022</v>
      </c>
      <c r="B489" t="s">
        <v>227</v>
      </c>
      <c r="C489" t="s">
        <v>162</v>
      </c>
      <c r="D489" t="s">
        <v>115</v>
      </c>
      <c r="E489" t="str">
        <f>VLOOKUP(D489,'[2]Lista de Produtos CLASSIFICAÇÃO'!$E$103:$F$114,2,FALSE)</f>
        <v>Soda Caustica</v>
      </c>
      <c r="F489">
        <v>2300</v>
      </c>
      <c r="G489" t="str">
        <f>VLOOKUP(Tabela1[[#This Row],[Cliente]],clientes!$C$3:$D$60,2,FALSE)</f>
        <v>JBS</v>
      </c>
    </row>
    <row r="490" spans="1:7" x14ac:dyDescent="0.25">
      <c r="A490">
        <v>2022</v>
      </c>
      <c r="B490" t="s">
        <v>228</v>
      </c>
      <c r="C490" t="s">
        <v>162</v>
      </c>
      <c r="D490" t="s">
        <v>115</v>
      </c>
      <c r="E490" t="str">
        <f>VLOOKUP(D490,'[2]Lista de Produtos CLASSIFICAÇÃO'!$E$103:$F$114,2,FALSE)</f>
        <v>Soda Caustica</v>
      </c>
      <c r="F490">
        <v>2300</v>
      </c>
      <c r="G490" t="str">
        <f>VLOOKUP(Tabela1[[#This Row],[Cliente]],clientes!$C$3:$D$60,2,FALSE)</f>
        <v>JBS</v>
      </c>
    </row>
    <row r="491" spans="1:7" x14ac:dyDescent="0.25">
      <c r="A491">
        <v>2022</v>
      </c>
      <c r="B491" t="s">
        <v>229</v>
      </c>
      <c r="C491" t="s">
        <v>162</v>
      </c>
      <c r="D491" t="s">
        <v>115</v>
      </c>
      <c r="E491" t="str">
        <f>VLOOKUP(D491,'[2]Lista de Produtos CLASSIFICAÇÃO'!$E$103:$F$114,2,FALSE)</f>
        <v>Soda Caustica</v>
      </c>
      <c r="F491">
        <v>2300</v>
      </c>
      <c r="G491" t="str">
        <f>VLOOKUP(Tabela1[[#This Row],[Cliente]],clientes!$C$3:$D$60,2,FALSE)</f>
        <v>JBS</v>
      </c>
    </row>
    <row r="492" spans="1:7" x14ac:dyDescent="0.25">
      <c r="A492">
        <v>2022</v>
      </c>
      <c r="B492" t="s">
        <v>210</v>
      </c>
      <c r="C492" t="s">
        <v>162</v>
      </c>
      <c r="D492" t="s">
        <v>115</v>
      </c>
      <c r="E492" t="str">
        <f>VLOOKUP(D492,'[2]Lista de Produtos CLASSIFICAÇÃO'!$E$103:$F$114,2,FALSE)</f>
        <v>Soda Caustica</v>
      </c>
      <c r="F492">
        <v>2300</v>
      </c>
      <c r="G492" t="str">
        <f>VLOOKUP(Tabela1[[#This Row],[Cliente]],clientes!$C$3:$D$60,2,FALSE)</f>
        <v>JBS</v>
      </c>
    </row>
    <row r="493" spans="1:7" x14ac:dyDescent="0.25">
      <c r="A493">
        <v>2022</v>
      </c>
      <c r="B493" t="s">
        <v>211</v>
      </c>
      <c r="C493" t="s">
        <v>162</v>
      </c>
      <c r="D493" t="s">
        <v>115</v>
      </c>
      <c r="E493" t="str">
        <f>VLOOKUP(D493,'[2]Lista de Produtos CLASSIFICAÇÃO'!$E$103:$F$114,2,FALSE)</f>
        <v>Soda Caustica</v>
      </c>
      <c r="F493">
        <v>2300</v>
      </c>
      <c r="G493" t="str">
        <f>VLOOKUP(Tabela1[[#This Row],[Cliente]],clientes!$C$3:$D$60,2,FALSE)</f>
        <v>JBS</v>
      </c>
    </row>
    <row r="494" spans="1:7" x14ac:dyDescent="0.25">
      <c r="A494">
        <v>2022</v>
      </c>
      <c r="B494" t="s">
        <v>212</v>
      </c>
      <c r="C494" t="s">
        <v>162</v>
      </c>
      <c r="D494" t="s">
        <v>115</v>
      </c>
      <c r="E494" t="str">
        <f>VLOOKUP(D494,'[2]Lista de Produtos CLASSIFICAÇÃO'!$E$103:$F$114,2,FALSE)</f>
        <v>Soda Caustica</v>
      </c>
      <c r="F494">
        <v>2300</v>
      </c>
      <c r="G494" t="str">
        <f>VLOOKUP(Tabela1[[#This Row],[Cliente]],clientes!$C$3:$D$60,2,FALSE)</f>
        <v>JBS</v>
      </c>
    </row>
    <row r="495" spans="1:7" x14ac:dyDescent="0.25">
      <c r="A495">
        <v>2022</v>
      </c>
      <c r="B495" t="s">
        <v>213</v>
      </c>
      <c r="C495" t="s">
        <v>162</v>
      </c>
      <c r="D495" t="s">
        <v>115</v>
      </c>
      <c r="E495" t="str">
        <f>VLOOKUP(D495,'[2]Lista de Produtos CLASSIFICAÇÃO'!$E$103:$F$114,2,FALSE)</f>
        <v>Soda Caustica</v>
      </c>
      <c r="F495">
        <v>2300</v>
      </c>
      <c r="G495" t="str">
        <f>VLOOKUP(Tabela1[[#This Row],[Cliente]],clientes!$C$3:$D$60,2,FALSE)</f>
        <v>JBS</v>
      </c>
    </row>
    <row r="496" spans="1:7" x14ac:dyDescent="0.25">
      <c r="A496">
        <v>2022</v>
      </c>
      <c r="B496" t="s">
        <v>214</v>
      </c>
      <c r="C496" t="s">
        <v>162</v>
      </c>
      <c r="D496" t="s">
        <v>115</v>
      </c>
      <c r="E496" t="str">
        <f>VLOOKUP(D496,'[2]Lista de Produtos CLASSIFICAÇÃO'!$E$103:$F$114,2,FALSE)</f>
        <v>Soda Caustica</v>
      </c>
      <c r="F496">
        <v>2300</v>
      </c>
      <c r="G496" t="str">
        <f>VLOOKUP(Tabela1[[#This Row],[Cliente]],clientes!$C$3:$D$60,2,FALSE)</f>
        <v>JBS</v>
      </c>
    </row>
    <row r="497" spans="1:7" x14ac:dyDescent="0.25">
      <c r="A497">
        <v>2022</v>
      </c>
      <c r="B497" t="s">
        <v>215</v>
      </c>
      <c r="C497" t="s">
        <v>162</v>
      </c>
      <c r="D497" t="s">
        <v>115</v>
      </c>
      <c r="E497" t="str">
        <f>VLOOKUP(D497,'[2]Lista de Produtos CLASSIFICAÇÃO'!$E$103:$F$114,2,FALSE)</f>
        <v>Soda Caustica</v>
      </c>
      <c r="F497">
        <v>2300</v>
      </c>
      <c r="G497" t="str">
        <f>VLOOKUP(Tabela1[[#This Row],[Cliente]],clientes!$C$3:$D$60,2,FALSE)</f>
        <v>JBS</v>
      </c>
    </row>
    <row r="498" spans="1:7" x14ac:dyDescent="0.25">
      <c r="A498">
        <v>2022</v>
      </c>
      <c r="B498" t="s">
        <v>230</v>
      </c>
      <c r="C498" t="s">
        <v>162</v>
      </c>
      <c r="D498" t="s">
        <v>115</v>
      </c>
      <c r="E498" t="str">
        <f>VLOOKUP(D498,'[2]Lista de Produtos CLASSIFICAÇÃO'!$E$103:$F$114,2,FALSE)</f>
        <v>Soda Caustica</v>
      </c>
      <c r="F498">
        <v>2300</v>
      </c>
      <c r="G498" t="str">
        <f>VLOOKUP(Tabela1[[#This Row],[Cliente]],clientes!$C$3:$D$60,2,FALSE)</f>
        <v>JBS</v>
      </c>
    </row>
    <row r="499" spans="1:7" x14ac:dyDescent="0.25">
      <c r="A499">
        <v>2022</v>
      </c>
      <c r="B499" t="s">
        <v>231</v>
      </c>
      <c r="C499" t="s">
        <v>162</v>
      </c>
      <c r="D499" t="s">
        <v>115</v>
      </c>
      <c r="E499" t="str">
        <f>VLOOKUP(D499,'[2]Lista de Produtos CLASSIFICAÇÃO'!$E$103:$F$114,2,FALSE)</f>
        <v>Soda Caustica</v>
      </c>
      <c r="F499">
        <v>2300</v>
      </c>
      <c r="G499" t="str">
        <f>VLOOKUP(Tabela1[[#This Row],[Cliente]],clientes!$C$3:$D$60,2,FALSE)</f>
        <v>JBS</v>
      </c>
    </row>
    <row r="500" spans="1:7" x14ac:dyDescent="0.25">
      <c r="A500">
        <v>2022</v>
      </c>
      <c r="B500" t="s">
        <v>226</v>
      </c>
      <c r="C500" t="s">
        <v>163</v>
      </c>
      <c r="D500" t="s">
        <v>115</v>
      </c>
      <c r="E500" t="str">
        <f>VLOOKUP(D500,'[2]Lista de Produtos CLASSIFICAÇÃO'!$E$103:$F$114,2,FALSE)</f>
        <v>Soda Caustica</v>
      </c>
      <c r="F500">
        <v>4000</v>
      </c>
      <c r="G500" t="str">
        <f>VLOOKUP(Tabela1[[#This Row],[Cliente]],clientes!$C$3:$D$60,2,FALSE)</f>
        <v>TRICON ENERGY</v>
      </c>
    </row>
    <row r="501" spans="1:7" x14ac:dyDescent="0.25">
      <c r="A501">
        <v>2022</v>
      </c>
      <c r="B501" t="s">
        <v>227</v>
      </c>
      <c r="C501" t="s">
        <v>163</v>
      </c>
      <c r="D501" t="s">
        <v>115</v>
      </c>
      <c r="E501" t="str">
        <f>VLOOKUP(D501,'[2]Lista de Produtos CLASSIFICAÇÃO'!$E$103:$F$114,2,FALSE)</f>
        <v>Soda Caustica</v>
      </c>
      <c r="F501">
        <v>4000</v>
      </c>
      <c r="G501" t="str">
        <f>VLOOKUP(Tabela1[[#This Row],[Cliente]],clientes!$C$3:$D$60,2,FALSE)</f>
        <v>TRICON ENERGY</v>
      </c>
    </row>
    <row r="502" spans="1:7" x14ac:dyDescent="0.25">
      <c r="A502">
        <v>2022</v>
      </c>
      <c r="B502" t="s">
        <v>228</v>
      </c>
      <c r="C502" t="s">
        <v>163</v>
      </c>
      <c r="D502" t="s">
        <v>115</v>
      </c>
      <c r="E502" t="str">
        <f>VLOOKUP(D502,'[2]Lista de Produtos CLASSIFICAÇÃO'!$E$103:$F$114,2,FALSE)</f>
        <v>Soda Caustica</v>
      </c>
      <c r="F502">
        <v>4000</v>
      </c>
      <c r="G502" t="str">
        <f>VLOOKUP(Tabela1[[#This Row],[Cliente]],clientes!$C$3:$D$60,2,FALSE)</f>
        <v>TRICON ENERGY</v>
      </c>
    </row>
    <row r="503" spans="1:7" x14ac:dyDescent="0.25">
      <c r="A503">
        <v>2022</v>
      </c>
      <c r="B503" t="s">
        <v>229</v>
      </c>
      <c r="C503" t="s">
        <v>163</v>
      </c>
      <c r="D503" t="s">
        <v>115</v>
      </c>
      <c r="E503" t="str">
        <f>VLOOKUP(D503,'[2]Lista de Produtos CLASSIFICAÇÃO'!$E$103:$F$114,2,FALSE)</f>
        <v>Soda Caustica</v>
      </c>
      <c r="F503">
        <v>4000</v>
      </c>
      <c r="G503" t="str">
        <f>VLOOKUP(Tabela1[[#This Row],[Cliente]],clientes!$C$3:$D$60,2,FALSE)</f>
        <v>TRICON ENERGY</v>
      </c>
    </row>
    <row r="504" spans="1:7" x14ac:dyDescent="0.25">
      <c r="A504">
        <v>2022</v>
      </c>
      <c r="B504" t="s">
        <v>210</v>
      </c>
      <c r="C504" t="s">
        <v>163</v>
      </c>
      <c r="D504" t="s">
        <v>115</v>
      </c>
      <c r="E504" t="str">
        <f>VLOOKUP(D504,'[2]Lista de Produtos CLASSIFICAÇÃO'!$E$103:$F$114,2,FALSE)</f>
        <v>Soda Caustica</v>
      </c>
      <c r="F504">
        <v>4000</v>
      </c>
      <c r="G504" t="str">
        <f>VLOOKUP(Tabela1[[#This Row],[Cliente]],clientes!$C$3:$D$60,2,FALSE)</f>
        <v>TRICON ENERGY</v>
      </c>
    </row>
    <row r="505" spans="1:7" x14ac:dyDescent="0.25">
      <c r="A505">
        <v>2022</v>
      </c>
      <c r="B505" t="s">
        <v>211</v>
      </c>
      <c r="C505" t="s">
        <v>163</v>
      </c>
      <c r="D505" t="s">
        <v>115</v>
      </c>
      <c r="E505" t="str">
        <f>VLOOKUP(D505,'[2]Lista de Produtos CLASSIFICAÇÃO'!$E$103:$F$114,2,FALSE)</f>
        <v>Soda Caustica</v>
      </c>
      <c r="F505">
        <v>4000</v>
      </c>
      <c r="G505" t="str">
        <f>VLOOKUP(Tabela1[[#This Row],[Cliente]],clientes!$C$3:$D$60,2,FALSE)</f>
        <v>TRICON ENERGY</v>
      </c>
    </row>
    <row r="506" spans="1:7" x14ac:dyDescent="0.25">
      <c r="A506">
        <v>2022</v>
      </c>
      <c r="B506" t="s">
        <v>212</v>
      </c>
      <c r="C506" t="s">
        <v>163</v>
      </c>
      <c r="D506" t="s">
        <v>115</v>
      </c>
      <c r="E506" t="str">
        <f>VLOOKUP(D506,'[2]Lista de Produtos CLASSIFICAÇÃO'!$E$103:$F$114,2,FALSE)</f>
        <v>Soda Caustica</v>
      </c>
      <c r="F506">
        <v>4000</v>
      </c>
      <c r="G506" t="str">
        <f>VLOOKUP(Tabela1[[#This Row],[Cliente]],clientes!$C$3:$D$60,2,FALSE)</f>
        <v>TRICON ENERGY</v>
      </c>
    </row>
    <row r="507" spans="1:7" x14ac:dyDescent="0.25">
      <c r="A507">
        <v>2022</v>
      </c>
      <c r="B507" t="s">
        <v>213</v>
      </c>
      <c r="C507" t="s">
        <v>163</v>
      </c>
      <c r="D507" t="s">
        <v>115</v>
      </c>
      <c r="E507" t="str">
        <f>VLOOKUP(D507,'[2]Lista de Produtos CLASSIFICAÇÃO'!$E$103:$F$114,2,FALSE)</f>
        <v>Soda Caustica</v>
      </c>
      <c r="F507">
        <v>4000</v>
      </c>
      <c r="G507" t="str">
        <f>VLOOKUP(Tabela1[[#This Row],[Cliente]],clientes!$C$3:$D$60,2,FALSE)</f>
        <v>TRICON ENERGY</v>
      </c>
    </row>
    <row r="508" spans="1:7" x14ac:dyDescent="0.25">
      <c r="A508">
        <v>2022</v>
      </c>
      <c r="B508" t="s">
        <v>214</v>
      </c>
      <c r="C508" t="s">
        <v>163</v>
      </c>
      <c r="D508" t="s">
        <v>115</v>
      </c>
      <c r="E508" t="str">
        <f>VLOOKUP(D508,'[2]Lista de Produtos CLASSIFICAÇÃO'!$E$103:$F$114,2,FALSE)</f>
        <v>Soda Caustica</v>
      </c>
      <c r="F508">
        <v>4000</v>
      </c>
      <c r="G508" t="str">
        <f>VLOOKUP(Tabela1[[#This Row],[Cliente]],clientes!$C$3:$D$60,2,FALSE)</f>
        <v>TRICON ENERGY</v>
      </c>
    </row>
    <row r="509" spans="1:7" x14ac:dyDescent="0.25">
      <c r="A509">
        <v>2022</v>
      </c>
      <c r="B509" t="s">
        <v>215</v>
      </c>
      <c r="C509" t="s">
        <v>163</v>
      </c>
      <c r="D509" t="s">
        <v>115</v>
      </c>
      <c r="E509" t="str">
        <f>VLOOKUP(D509,'[2]Lista de Produtos CLASSIFICAÇÃO'!$E$103:$F$114,2,FALSE)</f>
        <v>Soda Caustica</v>
      </c>
      <c r="F509">
        <v>4000</v>
      </c>
      <c r="G509" t="str">
        <f>VLOOKUP(Tabela1[[#This Row],[Cliente]],clientes!$C$3:$D$60,2,FALSE)</f>
        <v>TRICON ENERGY</v>
      </c>
    </row>
    <row r="510" spans="1:7" x14ac:dyDescent="0.25">
      <c r="A510">
        <v>2022</v>
      </c>
      <c r="B510" t="s">
        <v>230</v>
      </c>
      <c r="C510" t="s">
        <v>163</v>
      </c>
      <c r="D510" t="s">
        <v>115</v>
      </c>
      <c r="E510" t="str">
        <f>VLOOKUP(D510,'[2]Lista de Produtos CLASSIFICAÇÃO'!$E$103:$F$114,2,FALSE)</f>
        <v>Soda Caustica</v>
      </c>
      <c r="F510">
        <v>4000</v>
      </c>
      <c r="G510" t="str">
        <f>VLOOKUP(Tabela1[[#This Row],[Cliente]],clientes!$C$3:$D$60,2,FALSE)</f>
        <v>TRICON ENERGY</v>
      </c>
    </row>
    <row r="511" spans="1:7" x14ac:dyDescent="0.25">
      <c r="A511">
        <v>2022</v>
      </c>
      <c r="B511" t="s">
        <v>231</v>
      </c>
      <c r="C511" t="s">
        <v>163</v>
      </c>
      <c r="D511" t="s">
        <v>115</v>
      </c>
      <c r="E511" t="str">
        <f>VLOOKUP(D511,'[2]Lista de Produtos CLASSIFICAÇÃO'!$E$103:$F$114,2,FALSE)</f>
        <v>Soda Caustica</v>
      </c>
      <c r="F511">
        <v>4000</v>
      </c>
      <c r="G511" t="str">
        <f>VLOOKUP(Tabela1[[#This Row],[Cliente]],clientes!$C$3:$D$60,2,FALSE)</f>
        <v>TRICON ENERGY</v>
      </c>
    </row>
    <row r="512" spans="1:7" x14ac:dyDescent="0.25">
      <c r="A512">
        <v>2022</v>
      </c>
      <c r="B512" t="s">
        <v>226</v>
      </c>
      <c r="C512" t="s">
        <v>164</v>
      </c>
      <c r="D512" t="s">
        <v>115</v>
      </c>
      <c r="E512" t="str">
        <f>VLOOKUP(D512,'[2]Lista de Produtos CLASSIFICAÇÃO'!$E$103:$F$114,2,FALSE)</f>
        <v>Soda Caustica</v>
      </c>
      <c r="F512">
        <v>2500</v>
      </c>
      <c r="G512" t="str">
        <f>VLOOKUP(Tabela1[[#This Row],[Cliente]],clientes!$C$3:$D$60,2,FALSE)</f>
        <v>BRASKEM</v>
      </c>
    </row>
    <row r="513" spans="1:7" x14ac:dyDescent="0.25">
      <c r="A513">
        <v>2022</v>
      </c>
      <c r="B513" t="s">
        <v>228</v>
      </c>
      <c r="C513" t="s">
        <v>164</v>
      </c>
      <c r="D513" t="s">
        <v>115</v>
      </c>
      <c r="E513" t="str">
        <f>VLOOKUP(D513,'[2]Lista de Produtos CLASSIFICAÇÃO'!$E$103:$F$114,2,FALSE)</f>
        <v>Soda Caustica</v>
      </c>
      <c r="F513">
        <v>2500</v>
      </c>
      <c r="G513" t="str">
        <f>VLOOKUP(Tabela1[[#This Row],[Cliente]],clientes!$C$3:$D$60,2,FALSE)</f>
        <v>BRASKEM</v>
      </c>
    </row>
    <row r="514" spans="1:7" x14ac:dyDescent="0.25">
      <c r="A514">
        <v>2022</v>
      </c>
      <c r="B514" t="s">
        <v>210</v>
      </c>
      <c r="C514" t="s">
        <v>164</v>
      </c>
      <c r="D514" t="s">
        <v>115</v>
      </c>
      <c r="E514" t="str">
        <f>VLOOKUP(D514,'[2]Lista de Produtos CLASSIFICAÇÃO'!$E$103:$F$114,2,FALSE)</f>
        <v>Soda Caustica</v>
      </c>
      <c r="F514">
        <v>2500</v>
      </c>
      <c r="G514" t="str">
        <f>VLOOKUP(Tabela1[[#This Row],[Cliente]],clientes!$C$3:$D$60,2,FALSE)</f>
        <v>BRASKEM</v>
      </c>
    </row>
    <row r="515" spans="1:7" x14ac:dyDescent="0.25">
      <c r="A515">
        <v>2022</v>
      </c>
      <c r="B515" t="s">
        <v>212</v>
      </c>
      <c r="C515" t="s">
        <v>164</v>
      </c>
      <c r="D515" t="s">
        <v>115</v>
      </c>
      <c r="E515" t="str">
        <f>VLOOKUP(D515,'[2]Lista de Produtos CLASSIFICAÇÃO'!$E$103:$F$114,2,FALSE)</f>
        <v>Soda Caustica</v>
      </c>
      <c r="F515">
        <v>2500</v>
      </c>
      <c r="G515" t="str">
        <f>VLOOKUP(Tabela1[[#This Row],[Cliente]],clientes!$C$3:$D$60,2,FALSE)</f>
        <v>BRASKEM</v>
      </c>
    </row>
    <row r="516" spans="1:7" x14ac:dyDescent="0.25">
      <c r="A516">
        <v>2022</v>
      </c>
      <c r="B516" t="s">
        <v>214</v>
      </c>
      <c r="C516" t="s">
        <v>164</v>
      </c>
      <c r="D516" t="s">
        <v>115</v>
      </c>
      <c r="E516" t="str">
        <f>VLOOKUP(D516,'[2]Lista de Produtos CLASSIFICAÇÃO'!$E$103:$F$114,2,FALSE)</f>
        <v>Soda Caustica</v>
      </c>
      <c r="F516">
        <v>2500</v>
      </c>
      <c r="G516" t="str">
        <f>VLOOKUP(Tabela1[[#This Row],[Cliente]],clientes!$C$3:$D$60,2,FALSE)</f>
        <v>BRASKEM</v>
      </c>
    </row>
    <row r="517" spans="1:7" x14ac:dyDescent="0.25">
      <c r="A517">
        <v>2022</v>
      </c>
      <c r="B517" t="s">
        <v>230</v>
      </c>
      <c r="C517" t="s">
        <v>164</v>
      </c>
      <c r="D517" t="s">
        <v>115</v>
      </c>
      <c r="E517" t="str">
        <f>VLOOKUP(D517,'[2]Lista de Produtos CLASSIFICAÇÃO'!$E$103:$F$114,2,FALSE)</f>
        <v>Soda Caustica</v>
      </c>
      <c r="F517">
        <v>2500</v>
      </c>
      <c r="G517" t="str">
        <f>VLOOKUP(Tabela1[[#This Row],[Cliente]],clientes!$C$3:$D$60,2,FALSE)</f>
        <v>BRASKEM</v>
      </c>
    </row>
    <row r="518" spans="1:7" x14ac:dyDescent="0.25">
      <c r="A518">
        <v>2022</v>
      </c>
      <c r="B518" t="s">
        <v>226</v>
      </c>
      <c r="C518" t="s">
        <v>165</v>
      </c>
      <c r="D518" t="s">
        <v>123</v>
      </c>
      <c r="E518" t="str">
        <f>VLOOKUP(D518,'[2]Lista de Produtos CLASSIFICAÇÃO'!$E$103:$F$114,2,FALSE)</f>
        <v>Aquecidos</v>
      </c>
      <c r="F518">
        <v>4500</v>
      </c>
      <c r="G518" t="str">
        <f>VLOOKUP(Tabela1[[#This Row],[Cliente]],clientes!$C$3:$D$60,2,FALSE)</f>
        <v>BRF</v>
      </c>
    </row>
    <row r="519" spans="1:7" x14ac:dyDescent="0.25">
      <c r="A519">
        <v>2022</v>
      </c>
      <c r="B519" t="s">
        <v>227</v>
      </c>
      <c r="C519" t="s">
        <v>165</v>
      </c>
      <c r="D519" t="s">
        <v>123</v>
      </c>
      <c r="E519" t="str">
        <f>VLOOKUP(D519,'[2]Lista de Produtos CLASSIFICAÇÃO'!$E$103:$F$114,2,FALSE)</f>
        <v>Aquecidos</v>
      </c>
      <c r="F519">
        <v>4500</v>
      </c>
      <c r="G519" t="str">
        <f>VLOOKUP(Tabela1[[#This Row],[Cliente]],clientes!$C$3:$D$60,2,FALSE)</f>
        <v>BRF</v>
      </c>
    </row>
    <row r="520" spans="1:7" x14ac:dyDescent="0.25">
      <c r="A520">
        <v>2022</v>
      </c>
      <c r="B520" t="s">
        <v>228</v>
      </c>
      <c r="C520" t="s">
        <v>165</v>
      </c>
      <c r="D520" t="s">
        <v>123</v>
      </c>
      <c r="E520" t="str">
        <f>VLOOKUP(D520,'[2]Lista de Produtos CLASSIFICAÇÃO'!$E$103:$F$114,2,FALSE)</f>
        <v>Aquecidos</v>
      </c>
      <c r="F520">
        <v>4500</v>
      </c>
      <c r="G520" t="str">
        <f>VLOOKUP(Tabela1[[#This Row],[Cliente]],clientes!$C$3:$D$60,2,FALSE)</f>
        <v>BRF</v>
      </c>
    </row>
    <row r="521" spans="1:7" x14ac:dyDescent="0.25">
      <c r="A521">
        <v>2022</v>
      </c>
      <c r="B521" t="s">
        <v>229</v>
      </c>
      <c r="C521" t="s">
        <v>165</v>
      </c>
      <c r="D521" t="s">
        <v>123</v>
      </c>
      <c r="E521" t="str">
        <f>VLOOKUP(D521,'[2]Lista de Produtos CLASSIFICAÇÃO'!$E$103:$F$114,2,FALSE)</f>
        <v>Aquecidos</v>
      </c>
      <c r="F521">
        <v>4500</v>
      </c>
      <c r="G521" t="str">
        <f>VLOOKUP(Tabela1[[#This Row],[Cliente]],clientes!$C$3:$D$60,2,FALSE)</f>
        <v>BRF</v>
      </c>
    </row>
    <row r="522" spans="1:7" x14ac:dyDescent="0.25">
      <c r="A522">
        <v>2022</v>
      </c>
      <c r="B522" t="s">
        <v>210</v>
      </c>
      <c r="C522" t="s">
        <v>165</v>
      </c>
      <c r="D522" t="s">
        <v>123</v>
      </c>
      <c r="E522" t="str">
        <f>VLOOKUP(D522,'[2]Lista de Produtos CLASSIFICAÇÃO'!$E$103:$F$114,2,FALSE)</f>
        <v>Aquecidos</v>
      </c>
      <c r="F522">
        <v>4500</v>
      </c>
      <c r="G522" t="str">
        <f>VLOOKUP(Tabela1[[#This Row],[Cliente]],clientes!$C$3:$D$60,2,FALSE)</f>
        <v>BRF</v>
      </c>
    </row>
    <row r="523" spans="1:7" x14ac:dyDescent="0.25">
      <c r="A523">
        <v>2022</v>
      </c>
      <c r="B523" t="s">
        <v>211</v>
      </c>
      <c r="C523" t="s">
        <v>165</v>
      </c>
      <c r="D523" t="s">
        <v>123</v>
      </c>
      <c r="E523" t="str">
        <f>VLOOKUP(D523,'[2]Lista de Produtos CLASSIFICAÇÃO'!$E$103:$F$114,2,FALSE)</f>
        <v>Aquecidos</v>
      </c>
      <c r="F523">
        <v>4500</v>
      </c>
      <c r="G523" t="str">
        <f>VLOOKUP(Tabela1[[#This Row],[Cliente]],clientes!$C$3:$D$60,2,FALSE)</f>
        <v>BRF</v>
      </c>
    </row>
    <row r="524" spans="1:7" x14ac:dyDescent="0.25">
      <c r="A524">
        <v>2022</v>
      </c>
      <c r="B524" t="s">
        <v>212</v>
      </c>
      <c r="C524" t="s">
        <v>165</v>
      </c>
      <c r="D524" t="s">
        <v>123</v>
      </c>
      <c r="E524" t="str">
        <f>VLOOKUP(D524,'[2]Lista de Produtos CLASSIFICAÇÃO'!$E$103:$F$114,2,FALSE)</f>
        <v>Aquecidos</v>
      </c>
      <c r="F524">
        <v>4500</v>
      </c>
      <c r="G524" t="str">
        <f>VLOOKUP(Tabela1[[#This Row],[Cliente]],clientes!$C$3:$D$60,2,FALSE)</f>
        <v>BRF</v>
      </c>
    </row>
    <row r="525" spans="1:7" x14ac:dyDescent="0.25">
      <c r="A525">
        <v>2022</v>
      </c>
      <c r="B525" t="s">
        <v>213</v>
      </c>
      <c r="C525" t="s">
        <v>165</v>
      </c>
      <c r="D525" t="s">
        <v>123</v>
      </c>
      <c r="E525" t="str">
        <f>VLOOKUP(D525,'[2]Lista de Produtos CLASSIFICAÇÃO'!$E$103:$F$114,2,FALSE)</f>
        <v>Aquecidos</v>
      </c>
      <c r="F525">
        <v>4500</v>
      </c>
      <c r="G525" t="str">
        <f>VLOOKUP(Tabela1[[#This Row],[Cliente]],clientes!$C$3:$D$60,2,FALSE)</f>
        <v>BRF</v>
      </c>
    </row>
    <row r="526" spans="1:7" x14ac:dyDescent="0.25">
      <c r="A526">
        <v>2022</v>
      </c>
      <c r="B526" t="s">
        <v>214</v>
      </c>
      <c r="C526" t="s">
        <v>165</v>
      </c>
      <c r="D526" t="s">
        <v>123</v>
      </c>
      <c r="E526" t="str">
        <f>VLOOKUP(D526,'[2]Lista de Produtos CLASSIFICAÇÃO'!$E$103:$F$114,2,FALSE)</f>
        <v>Aquecidos</v>
      </c>
      <c r="F526">
        <v>4500</v>
      </c>
      <c r="G526" t="str">
        <f>VLOOKUP(Tabela1[[#This Row],[Cliente]],clientes!$C$3:$D$60,2,FALSE)</f>
        <v>BRF</v>
      </c>
    </row>
    <row r="527" spans="1:7" x14ac:dyDescent="0.25">
      <c r="A527">
        <v>2022</v>
      </c>
      <c r="B527" t="s">
        <v>215</v>
      </c>
      <c r="C527" t="s">
        <v>165</v>
      </c>
      <c r="D527" t="s">
        <v>123</v>
      </c>
      <c r="E527" t="str">
        <f>VLOOKUP(D527,'[2]Lista de Produtos CLASSIFICAÇÃO'!$E$103:$F$114,2,FALSE)</f>
        <v>Aquecidos</v>
      </c>
      <c r="F527">
        <v>4500</v>
      </c>
      <c r="G527" t="str">
        <f>VLOOKUP(Tabela1[[#This Row],[Cliente]],clientes!$C$3:$D$60,2,FALSE)</f>
        <v>BRF</v>
      </c>
    </row>
    <row r="528" spans="1:7" x14ac:dyDescent="0.25">
      <c r="A528">
        <v>2022</v>
      </c>
      <c r="B528" t="s">
        <v>230</v>
      </c>
      <c r="C528" t="s">
        <v>165</v>
      </c>
      <c r="D528" t="s">
        <v>123</v>
      </c>
      <c r="E528" t="str">
        <f>VLOOKUP(D528,'[2]Lista de Produtos CLASSIFICAÇÃO'!$E$103:$F$114,2,FALSE)</f>
        <v>Aquecidos</v>
      </c>
      <c r="F528">
        <v>4500</v>
      </c>
      <c r="G528" t="str">
        <f>VLOOKUP(Tabela1[[#This Row],[Cliente]],clientes!$C$3:$D$60,2,FALSE)</f>
        <v>BRF</v>
      </c>
    </row>
    <row r="529" spans="1:7" x14ac:dyDescent="0.25">
      <c r="A529">
        <v>2022</v>
      </c>
      <c r="B529" t="s">
        <v>231</v>
      </c>
      <c r="C529" t="s">
        <v>165</v>
      </c>
      <c r="D529" t="s">
        <v>123</v>
      </c>
      <c r="E529" t="str">
        <f>VLOOKUP(D529,'[2]Lista de Produtos CLASSIFICAÇÃO'!$E$103:$F$114,2,FALSE)</f>
        <v>Aquecidos</v>
      </c>
      <c r="F529">
        <v>4500</v>
      </c>
      <c r="G529" t="str">
        <f>VLOOKUP(Tabela1[[#This Row],[Cliente]],clientes!$C$3:$D$60,2,FALSE)</f>
        <v>BRF</v>
      </c>
    </row>
    <row r="530" spans="1:7" x14ac:dyDescent="0.25">
      <c r="A530">
        <v>2022</v>
      </c>
      <c r="B530" t="s">
        <v>226</v>
      </c>
      <c r="C530" t="s">
        <v>162</v>
      </c>
      <c r="D530" t="s">
        <v>123</v>
      </c>
      <c r="E530" t="str">
        <f>VLOOKUP(D530,'[2]Lista de Produtos CLASSIFICAÇÃO'!$E$103:$F$114,2,FALSE)</f>
        <v>Aquecidos</v>
      </c>
      <c r="F530">
        <v>2000</v>
      </c>
      <c r="G530" t="str">
        <f>VLOOKUP(Tabela1[[#This Row],[Cliente]],clientes!$C$3:$D$60,2,FALSE)</f>
        <v>JBS</v>
      </c>
    </row>
    <row r="531" spans="1:7" x14ac:dyDescent="0.25">
      <c r="A531">
        <v>2022</v>
      </c>
      <c r="B531" t="s">
        <v>227</v>
      </c>
      <c r="C531" t="s">
        <v>162</v>
      </c>
      <c r="D531" t="s">
        <v>123</v>
      </c>
      <c r="E531" t="str">
        <f>VLOOKUP(D531,'[2]Lista de Produtos CLASSIFICAÇÃO'!$E$103:$F$114,2,FALSE)</f>
        <v>Aquecidos</v>
      </c>
      <c r="F531">
        <v>2000</v>
      </c>
      <c r="G531" t="str">
        <f>VLOOKUP(Tabela1[[#This Row],[Cliente]],clientes!$C$3:$D$60,2,FALSE)</f>
        <v>JBS</v>
      </c>
    </row>
    <row r="532" spans="1:7" x14ac:dyDescent="0.25">
      <c r="A532">
        <v>2022</v>
      </c>
      <c r="B532" t="s">
        <v>228</v>
      </c>
      <c r="C532" t="s">
        <v>162</v>
      </c>
      <c r="D532" t="s">
        <v>123</v>
      </c>
      <c r="E532" t="str">
        <f>VLOOKUP(D532,'[2]Lista de Produtos CLASSIFICAÇÃO'!$E$103:$F$114,2,FALSE)</f>
        <v>Aquecidos</v>
      </c>
      <c r="F532">
        <v>2000</v>
      </c>
      <c r="G532" t="str">
        <f>VLOOKUP(Tabela1[[#This Row],[Cliente]],clientes!$C$3:$D$60,2,FALSE)</f>
        <v>JBS</v>
      </c>
    </row>
    <row r="533" spans="1:7" x14ac:dyDescent="0.25">
      <c r="A533">
        <v>2022</v>
      </c>
      <c r="B533" t="s">
        <v>229</v>
      </c>
      <c r="C533" t="s">
        <v>162</v>
      </c>
      <c r="D533" t="s">
        <v>123</v>
      </c>
      <c r="E533" t="str">
        <f>VLOOKUP(D533,'[2]Lista de Produtos CLASSIFICAÇÃO'!$E$103:$F$114,2,FALSE)</f>
        <v>Aquecidos</v>
      </c>
      <c r="F533">
        <v>2000</v>
      </c>
      <c r="G533" t="str">
        <f>VLOOKUP(Tabela1[[#This Row],[Cliente]],clientes!$C$3:$D$60,2,FALSE)</f>
        <v>JBS</v>
      </c>
    </row>
    <row r="534" spans="1:7" x14ac:dyDescent="0.25">
      <c r="A534">
        <v>2022</v>
      </c>
      <c r="B534" t="s">
        <v>210</v>
      </c>
      <c r="C534" t="s">
        <v>162</v>
      </c>
      <c r="D534" t="s">
        <v>123</v>
      </c>
      <c r="E534" t="str">
        <f>VLOOKUP(D534,'[2]Lista de Produtos CLASSIFICAÇÃO'!$E$103:$F$114,2,FALSE)</f>
        <v>Aquecidos</v>
      </c>
      <c r="F534">
        <v>2000</v>
      </c>
      <c r="G534" t="str">
        <f>VLOOKUP(Tabela1[[#This Row],[Cliente]],clientes!$C$3:$D$60,2,FALSE)</f>
        <v>JBS</v>
      </c>
    </row>
    <row r="535" spans="1:7" x14ac:dyDescent="0.25">
      <c r="A535">
        <v>2022</v>
      </c>
      <c r="B535" t="s">
        <v>211</v>
      </c>
      <c r="C535" t="s">
        <v>162</v>
      </c>
      <c r="D535" t="s">
        <v>123</v>
      </c>
      <c r="E535" t="str">
        <f>VLOOKUP(D535,'[2]Lista de Produtos CLASSIFICAÇÃO'!$E$103:$F$114,2,FALSE)</f>
        <v>Aquecidos</v>
      </c>
      <c r="F535">
        <v>2000</v>
      </c>
      <c r="G535" t="str">
        <f>VLOOKUP(Tabela1[[#This Row],[Cliente]],clientes!$C$3:$D$60,2,FALSE)</f>
        <v>JBS</v>
      </c>
    </row>
    <row r="536" spans="1:7" x14ac:dyDescent="0.25">
      <c r="A536">
        <v>2022</v>
      </c>
      <c r="B536" t="s">
        <v>212</v>
      </c>
      <c r="C536" t="s">
        <v>162</v>
      </c>
      <c r="D536" t="s">
        <v>123</v>
      </c>
      <c r="E536" t="str">
        <f>VLOOKUP(D536,'[2]Lista de Produtos CLASSIFICAÇÃO'!$E$103:$F$114,2,FALSE)</f>
        <v>Aquecidos</v>
      </c>
      <c r="F536">
        <v>2000</v>
      </c>
      <c r="G536" t="str">
        <f>VLOOKUP(Tabela1[[#This Row],[Cliente]],clientes!$C$3:$D$60,2,FALSE)</f>
        <v>JBS</v>
      </c>
    </row>
    <row r="537" spans="1:7" x14ac:dyDescent="0.25">
      <c r="A537">
        <v>2022</v>
      </c>
      <c r="B537" t="s">
        <v>213</v>
      </c>
      <c r="C537" t="s">
        <v>162</v>
      </c>
      <c r="D537" t="s">
        <v>123</v>
      </c>
      <c r="E537" t="str">
        <f>VLOOKUP(D537,'[2]Lista de Produtos CLASSIFICAÇÃO'!$E$103:$F$114,2,FALSE)</f>
        <v>Aquecidos</v>
      </c>
      <c r="F537">
        <v>2000</v>
      </c>
      <c r="G537" t="str">
        <f>VLOOKUP(Tabela1[[#This Row],[Cliente]],clientes!$C$3:$D$60,2,FALSE)</f>
        <v>JBS</v>
      </c>
    </row>
    <row r="538" spans="1:7" x14ac:dyDescent="0.25">
      <c r="A538">
        <v>2022</v>
      </c>
      <c r="B538" t="s">
        <v>214</v>
      </c>
      <c r="C538" t="s">
        <v>162</v>
      </c>
      <c r="D538" t="s">
        <v>123</v>
      </c>
      <c r="E538" t="str">
        <f>VLOOKUP(D538,'[2]Lista de Produtos CLASSIFICAÇÃO'!$E$103:$F$114,2,FALSE)</f>
        <v>Aquecidos</v>
      </c>
      <c r="F538">
        <v>2000</v>
      </c>
      <c r="G538" t="str">
        <f>VLOOKUP(Tabela1[[#This Row],[Cliente]],clientes!$C$3:$D$60,2,FALSE)</f>
        <v>JBS</v>
      </c>
    </row>
    <row r="539" spans="1:7" x14ac:dyDescent="0.25">
      <c r="A539">
        <v>2022</v>
      </c>
      <c r="B539" t="s">
        <v>215</v>
      </c>
      <c r="C539" t="s">
        <v>162</v>
      </c>
      <c r="D539" t="s">
        <v>123</v>
      </c>
      <c r="E539" t="str">
        <f>VLOOKUP(D539,'[2]Lista de Produtos CLASSIFICAÇÃO'!$E$103:$F$114,2,FALSE)</f>
        <v>Aquecidos</v>
      </c>
      <c r="F539">
        <v>2000</v>
      </c>
      <c r="G539" t="str">
        <f>VLOOKUP(Tabela1[[#This Row],[Cliente]],clientes!$C$3:$D$60,2,FALSE)</f>
        <v>JBS</v>
      </c>
    </row>
    <row r="540" spans="1:7" x14ac:dyDescent="0.25">
      <c r="A540">
        <v>2022</v>
      </c>
      <c r="B540" t="s">
        <v>230</v>
      </c>
      <c r="C540" t="s">
        <v>162</v>
      </c>
      <c r="D540" t="s">
        <v>123</v>
      </c>
      <c r="E540" t="str">
        <f>VLOOKUP(D540,'[2]Lista de Produtos CLASSIFICAÇÃO'!$E$103:$F$114,2,FALSE)</f>
        <v>Aquecidos</v>
      </c>
      <c r="F540">
        <v>2000</v>
      </c>
      <c r="G540" t="str">
        <f>VLOOKUP(Tabela1[[#This Row],[Cliente]],clientes!$C$3:$D$60,2,FALSE)</f>
        <v>JBS</v>
      </c>
    </row>
    <row r="541" spans="1:7" x14ac:dyDescent="0.25">
      <c r="A541">
        <v>2022</v>
      </c>
      <c r="B541" t="s">
        <v>231</v>
      </c>
      <c r="C541" t="s">
        <v>162</v>
      </c>
      <c r="D541" t="s">
        <v>123</v>
      </c>
      <c r="E541" t="str">
        <f>VLOOKUP(D541,'[2]Lista de Produtos CLASSIFICAÇÃO'!$E$103:$F$114,2,FALSE)</f>
        <v>Aquecidos</v>
      </c>
      <c r="F541">
        <v>2000</v>
      </c>
      <c r="G541" t="str">
        <f>VLOOKUP(Tabela1[[#This Row],[Cliente]],clientes!$C$3:$D$60,2,FALSE)</f>
        <v>JBS</v>
      </c>
    </row>
    <row r="542" spans="1:7" x14ac:dyDescent="0.25">
      <c r="A542">
        <v>2022</v>
      </c>
      <c r="B542" t="s">
        <v>226</v>
      </c>
      <c r="C542" t="s">
        <v>166</v>
      </c>
      <c r="D542" t="s">
        <v>123</v>
      </c>
      <c r="E542" t="str">
        <f>VLOOKUP(D542,'[2]Lista de Produtos CLASSIFICAÇÃO'!$E$103:$F$114,2,FALSE)</f>
        <v>Aquecidos</v>
      </c>
      <c r="F542">
        <v>3500</v>
      </c>
      <c r="G542" t="str">
        <f>VLOOKUP(Tabela1[[#This Row],[Cliente]],clientes!$C$3:$D$60,2,FALSE)</f>
        <v>CARGILL</v>
      </c>
    </row>
    <row r="543" spans="1:7" x14ac:dyDescent="0.25">
      <c r="A543">
        <v>2022</v>
      </c>
      <c r="B543" t="s">
        <v>227</v>
      </c>
      <c r="C543" t="s">
        <v>166</v>
      </c>
      <c r="D543" t="s">
        <v>123</v>
      </c>
      <c r="E543" t="str">
        <f>VLOOKUP(D543,'[2]Lista de Produtos CLASSIFICAÇÃO'!$E$103:$F$114,2,FALSE)</f>
        <v>Aquecidos</v>
      </c>
      <c r="F543">
        <v>3500</v>
      </c>
      <c r="G543" t="str">
        <f>VLOOKUP(Tabela1[[#This Row],[Cliente]],clientes!$C$3:$D$60,2,FALSE)</f>
        <v>CARGILL</v>
      </c>
    </row>
    <row r="544" spans="1:7" x14ac:dyDescent="0.25">
      <c r="A544">
        <v>2022</v>
      </c>
      <c r="B544" t="s">
        <v>228</v>
      </c>
      <c r="C544" t="s">
        <v>166</v>
      </c>
      <c r="D544" t="s">
        <v>123</v>
      </c>
      <c r="E544" t="str">
        <f>VLOOKUP(D544,'[2]Lista de Produtos CLASSIFICAÇÃO'!$E$103:$F$114,2,FALSE)</f>
        <v>Aquecidos</v>
      </c>
      <c r="F544">
        <v>3500</v>
      </c>
      <c r="G544" t="str">
        <f>VLOOKUP(Tabela1[[#This Row],[Cliente]],clientes!$C$3:$D$60,2,FALSE)</f>
        <v>CARGILL</v>
      </c>
    </row>
    <row r="545" spans="1:7" x14ac:dyDescent="0.25">
      <c r="A545">
        <v>2022</v>
      </c>
      <c r="B545" t="s">
        <v>229</v>
      </c>
      <c r="C545" t="s">
        <v>166</v>
      </c>
      <c r="D545" t="s">
        <v>123</v>
      </c>
      <c r="E545" t="str">
        <f>VLOOKUP(D545,'[2]Lista de Produtos CLASSIFICAÇÃO'!$E$103:$F$114,2,FALSE)</f>
        <v>Aquecidos</v>
      </c>
      <c r="F545">
        <v>3500</v>
      </c>
      <c r="G545" t="str">
        <f>VLOOKUP(Tabela1[[#This Row],[Cliente]],clientes!$C$3:$D$60,2,FALSE)</f>
        <v>CARGILL</v>
      </c>
    </row>
    <row r="546" spans="1:7" x14ac:dyDescent="0.25">
      <c r="A546">
        <v>2022</v>
      </c>
      <c r="B546" t="s">
        <v>210</v>
      </c>
      <c r="C546" t="s">
        <v>166</v>
      </c>
      <c r="D546" t="s">
        <v>123</v>
      </c>
      <c r="E546" t="str">
        <f>VLOOKUP(D546,'[2]Lista de Produtos CLASSIFICAÇÃO'!$E$103:$F$114,2,FALSE)</f>
        <v>Aquecidos</v>
      </c>
      <c r="F546">
        <v>3500</v>
      </c>
      <c r="G546" t="str">
        <f>VLOOKUP(Tabela1[[#This Row],[Cliente]],clientes!$C$3:$D$60,2,FALSE)</f>
        <v>CARGILL</v>
      </c>
    </row>
    <row r="547" spans="1:7" x14ac:dyDescent="0.25">
      <c r="A547">
        <v>2022</v>
      </c>
      <c r="B547" t="s">
        <v>211</v>
      </c>
      <c r="C547" t="s">
        <v>166</v>
      </c>
      <c r="D547" t="s">
        <v>123</v>
      </c>
      <c r="E547" t="str">
        <f>VLOOKUP(D547,'[2]Lista de Produtos CLASSIFICAÇÃO'!$E$103:$F$114,2,FALSE)</f>
        <v>Aquecidos</v>
      </c>
      <c r="F547">
        <v>3500</v>
      </c>
      <c r="G547" t="str">
        <f>VLOOKUP(Tabela1[[#This Row],[Cliente]],clientes!$C$3:$D$60,2,FALSE)</f>
        <v>CARGILL</v>
      </c>
    </row>
    <row r="548" spans="1:7" x14ac:dyDescent="0.25">
      <c r="A548">
        <v>2022</v>
      </c>
      <c r="B548" t="s">
        <v>212</v>
      </c>
      <c r="C548" t="s">
        <v>166</v>
      </c>
      <c r="D548" t="s">
        <v>123</v>
      </c>
      <c r="E548" t="str">
        <f>VLOOKUP(D548,'[2]Lista de Produtos CLASSIFICAÇÃO'!$E$103:$F$114,2,FALSE)</f>
        <v>Aquecidos</v>
      </c>
      <c r="F548">
        <v>3500</v>
      </c>
      <c r="G548" t="str">
        <f>VLOOKUP(Tabela1[[#This Row],[Cliente]],clientes!$C$3:$D$60,2,FALSE)</f>
        <v>CARGILL</v>
      </c>
    </row>
    <row r="549" spans="1:7" x14ac:dyDescent="0.25">
      <c r="A549">
        <v>2022</v>
      </c>
      <c r="B549" t="s">
        <v>213</v>
      </c>
      <c r="C549" t="s">
        <v>166</v>
      </c>
      <c r="D549" t="s">
        <v>123</v>
      </c>
      <c r="E549" t="str">
        <f>VLOOKUP(D549,'[2]Lista de Produtos CLASSIFICAÇÃO'!$E$103:$F$114,2,FALSE)</f>
        <v>Aquecidos</v>
      </c>
      <c r="F549">
        <v>3500</v>
      </c>
      <c r="G549" t="str">
        <f>VLOOKUP(Tabela1[[#This Row],[Cliente]],clientes!$C$3:$D$60,2,FALSE)</f>
        <v>CARGILL</v>
      </c>
    </row>
    <row r="550" spans="1:7" x14ac:dyDescent="0.25">
      <c r="A550">
        <v>2022</v>
      </c>
      <c r="B550" t="s">
        <v>214</v>
      </c>
      <c r="C550" t="s">
        <v>166</v>
      </c>
      <c r="D550" t="s">
        <v>123</v>
      </c>
      <c r="E550" t="str">
        <f>VLOOKUP(D550,'[2]Lista de Produtos CLASSIFICAÇÃO'!$E$103:$F$114,2,FALSE)</f>
        <v>Aquecidos</v>
      </c>
      <c r="F550">
        <v>3500</v>
      </c>
      <c r="G550" t="str">
        <f>VLOOKUP(Tabela1[[#This Row],[Cliente]],clientes!$C$3:$D$60,2,FALSE)</f>
        <v>CARGILL</v>
      </c>
    </row>
    <row r="551" spans="1:7" x14ac:dyDescent="0.25">
      <c r="A551">
        <v>2022</v>
      </c>
      <c r="B551" t="s">
        <v>215</v>
      </c>
      <c r="C551" t="s">
        <v>166</v>
      </c>
      <c r="D551" t="s">
        <v>123</v>
      </c>
      <c r="E551" t="str">
        <f>VLOOKUP(D551,'[2]Lista de Produtos CLASSIFICAÇÃO'!$E$103:$F$114,2,FALSE)</f>
        <v>Aquecidos</v>
      </c>
      <c r="F551">
        <v>3500</v>
      </c>
      <c r="G551" t="str">
        <f>VLOOKUP(Tabela1[[#This Row],[Cliente]],clientes!$C$3:$D$60,2,FALSE)</f>
        <v>CARGILL</v>
      </c>
    </row>
    <row r="552" spans="1:7" x14ac:dyDescent="0.25">
      <c r="A552">
        <v>2022</v>
      </c>
      <c r="B552" t="s">
        <v>230</v>
      </c>
      <c r="C552" t="s">
        <v>166</v>
      </c>
      <c r="D552" t="s">
        <v>123</v>
      </c>
      <c r="E552" t="str">
        <f>VLOOKUP(D552,'[2]Lista de Produtos CLASSIFICAÇÃO'!$E$103:$F$114,2,FALSE)</f>
        <v>Aquecidos</v>
      </c>
      <c r="F552">
        <v>3500</v>
      </c>
      <c r="G552" t="str">
        <f>VLOOKUP(Tabela1[[#This Row],[Cliente]],clientes!$C$3:$D$60,2,FALSE)</f>
        <v>CARGILL</v>
      </c>
    </row>
    <row r="553" spans="1:7" x14ac:dyDescent="0.25">
      <c r="A553">
        <v>2022</v>
      </c>
      <c r="B553" t="s">
        <v>231</v>
      </c>
      <c r="C553" t="s">
        <v>166</v>
      </c>
      <c r="D553" t="s">
        <v>123</v>
      </c>
      <c r="E553" t="str">
        <f>VLOOKUP(D553,'[2]Lista de Produtos CLASSIFICAÇÃO'!$E$103:$F$114,2,FALSE)</f>
        <v>Aquecidos</v>
      </c>
      <c r="F553">
        <v>3500</v>
      </c>
      <c r="G553" t="str">
        <f>VLOOKUP(Tabela1[[#This Row],[Cliente]],clientes!$C$3:$D$60,2,FALSE)</f>
        <v>CARGILL</v>
      </c>
    </row>
    <row r="554" spans="1:7" x14ac:dyDescent="0.25">
      <c r="A554">
        <v>2022</v>
      </c>
      <c r="B554" t="s">
        <v>226</v>
      </c>
      <c r="C554" t="s">
        <v>167</v>
      </c>
      <c r="D554" t="s">
        <v>122</v>
      </c>
      <c r="E554" t="str">
        <f>VLOOKUP(D554,'[2]Lista de Produtos CLASSIFICAÇÃO'!$E$103:$F$114,2,FALSE)</f>
        <v>Óleo Vegetal</v>
      </c>
      <c r="F554">
        <v>50000</v>
      </c>
      <c r="G554" t="str">
        <f>VLOOKUP(Tabela1[[#This Row],[Cliente]],clientes!$C$3:$D$60,2,FALSE)</f>
        <v>POOL</v>
      </c>
    </row>
    <row r="555" spans="1:7" x14ac:dyDescent="0.25">
      <c r="A555">
        <v>2022</v>
      </c>
      <c r="B555" t="s">
        <v>227</v>
      </c>
      <c r="C555" t="s">
        <v>167</v>
      </c>
      <c r="D555" t="s">
        <v>122</v>
      </c>
      <c r="E555" t="str">
        <f>VLOOKUP(D555,'[2]Lista de Produtos CLASSIFICAÇÃO'!$E$103:$F$114,2,FALSE)</f>
        <v>Óleo Vegetal</v>
      </c>
      <c r="F555">
        <v>70000</v>
      </c>
      <c r="G555" t="str">
        <f>VLOOKUP(Tabela1[[#This Row],[Cliente]],clientes!$C$3:$D$60,2,FALSE)</f>
        <v>POOL</v>
      </c>
    </row>
    <row r="556" spans="1:7" x14ac:dyDescent="0.25">
      <c r="A556">
        <v>2022</v>
      </c>
      <c r="B556" t="s">
        <v>228</v>
      </c>
      <c r="C556" t="s">
        <v>167</v>
      </c>
      <c r="D556" t="s">
        <v>122</v>
      </c>
      <c r="E556" t="str">
        <f>VLOOKUP(D556,'[2]Lista de Produtos CLASSIFICAÇÃO'!$E$103:$F$114,2,FALSE)</f>
        <v>Óleo Vegetal</v>
      </c>
      <c r="F556">
        <v>90000</v>
      </c>
      <c r="G556" t="str">
        <f>VLOOKUP(Tabela1[[#This Row],[Cliente]],clientes!$C$3:$D$60,2,FALSE)</f>
        <v>POOL</v>
      </c>
    </row>
    <row r="557" spans="1:7" x14ac:dyDescent="0.25">
      <c r="A557">
        <v>2022</v>
      </c>
      <c r="B557" t="s">
        <v>229</v>
      </c>
      <c r="C557" t="s">
        <v>167</v>
      </c>
      <c r="D557" t="s">
        <v>122</v>
      </c>
      <c r="E557" t="str">
        <f>VLOOKUP(D557,'[2]Lista de Produtos CLASSIFICAÇÃO'!$E$103:$F$114,2,FALSE)</f>
        <v>Óleo Vegetal</v>
      </c>
      <c r="F557">
        <v>120000</v>
      </c>
      <c r="G557" t="str">
        <f>VLOOKUP(Tabela1[[#This Row],[Cliente]],clientes!$C$3:$D$60,2,FALSE)</f>
        <v>POOL</v>
      </c>
    </row>
    <row r="558" spans="1:7" x14ac:dyDescent="0.25">
      <c r="A558">
        <v>2022</v>
      </c>
      <c r="B558" t="s">
        <v>210</v>
      </c>
      <c r="C558" t="s">
        <v>167</v>
      </c>
      <c r="D558" t="s">
        <v>122</v>
      </c>
      <c r="E558" t="str">
        <f>VLOOKUP(D558,'[2]Lista de Produtos CLASSIFICAÇÃO'!$E$103:$F$114,2,FALSE)</f>
        <v>Óleo Vegetal</v>
      </c>
      <c r="F558">
        <v>120000</v>
      </c>
      <c r="G558" t="str">
        <f>VLOOKUP(Tabela1[[#This Row],[Cliente]],clientes!$C$3:$D$60,2,FALSE)</f>
        <v>POOL</v>
      </c>
    </row>
    <row r="559" spans="1:7" x14ac:dyDescent="0.25">
      <c r="A559">
        <v>2022</v>
      </c>
      <c r="B559" t="s">
        <v>211</v>
      </c>
      <c r="C559" t="s">
        <v>167</v>
      </c>
      <c r="D559" t="s">
        <v>122</v>
      </c>
      <c r="E559" t="str">
        <f>VLOOKUP(D559,'[2]Lista de Produtos CLASSIFICAÇÃO'!$E$103:$F$114,2,FALSE)</f>
        <v>Óleo Vegetal</v>
      </c>
      <c r="F559">
        <v>120000</v>
      </c>
      <c r="G559" t="str">
        <f>VLOOKUP(Tabela1[[#This Row],[Cliente]],clientes!$C$3:$D$60,2,FALSE)</f>
        <v>POOL</v>
      </c>
    </row>
    <row r="560" spans="1:7" x14ac:dyDescent="0.25">
      <c r="A560">
        <v>2022</v>
      </c>
      <c r="B560" t="s">
        <v>212</v>
      </c>
      <c r="C560" t="s">
        <v>167</v>
      </c>
      <c r="D560" t="s">
        <v>122</v>
      </c>
      <c r="E560" t="str">
        <f>VLOOKUP(D560,'[2]Lista de Produtos CLASSIFICAÇÃO'!$E$103:$F$114,2,FALSE)</f>
        <v>Óleo Vegetal</v>
      </c>
      <c r="F560">
        <v>120000</v>
      </c>
      <c r="G560" t="str">
        <f>VLOOKUP(Tabela1[[#This Row],[Cliente]],clientes!$C$3:$D$60,2,FALSE)</f>
        <v>POOL</v>
      </c>
    </row>
    <row r="561" spans="1:7" x14ac:dyDescent="0.25">
      <c r="A561">
        <v>2022</v>
      </c>
      <c r="B561" t="s">
        <v>213</v>
      </c>
      <c r="C561" t="s">
        <v>167</v>
      </c>
      <c r="D561" t="s">
        <v>122</v>
      </c>
      <c r="E561" t="str">
        <f>VLOOKUP(D561,'[2]Lista de Produtos CLASSIFICAÇÃO'!$E$103:$F$114,2,FALSE)</f>
        <v>Óleo Vegetal</v>
      </c>
      <c r="F561">
        <v>110000</v>
      </c>
      <c r="G561" t="str">
        <f>VLOOKUP(Tabela1[[#This Row],[Cliente]],clientes!$C$3:$D$60,2,FALSE)</f>
        <v>POOL</v>
      </c>
    </row>
    <row r="562" spans="1:7" x14ac:dyDescent="0.25">
      <c r="A562">
        <v>2022</v>
      </c>
      <c r="B562" t="s">
        <v>214</v>
      </c>
      <c r="C562" t="s">
        <v>167</v>
      </c>
      <c r="D562" t="s">
        <v>122</v>
      </c>
      <c r="E562" t="str">
        <f>VLOOKUP(D562,'[2]Lista de Produtos CLASSIFICAÇÃO'!$E$103:$F$114,2,FALSE)</f>
        <v>Óleo Vegetal</v>
      </c>
      <c r="F562">
        <v>70000</v>
      </c>
      <c r="G562" t="str">
        <f>VLOOKUP(Tabela1[[#This Row],[Cliente]],clientes!$C$3:$D$60,2,FALSE)</f>
        <v>POOL</v>
      </c>
    </row>
    <row r="563" spans="1:7" x14ac:dyDescent="0.25">
      <c r="A563">
        <v>2022</v>
      </c>
      <c r="B563" t="s">
        <v>215</v>
      </c>
      <c r="C563" t="s">
        <v>167</v>
      </c>
      <c r="D563" t="s">
        <v>122</v>
      </c>
      <c r="E563" t="str">
        <f>VLOOKUP(D563,'[2]Lista de Produtos CLASSIFICAÇÃO'!$E$103:$F$114,2,FALSE)</f>
        <v>Óleo Vegetal</v>
      </c>
      <c r="F563">
        <v>70000</v>
      </c>
      <c r="G563" t="str">
        <f>VLOOKUP(Tabela1[[#This Row],[Cliente]],clientes!$C$3:$D$60,2,FALSE)</f>
        <v>POOL</v>
      </c>
    </row>
    <row r="564" spans="1:7" x14ac:dyDescent="0.25">
      <c r="A564">
        <v>2022</v>
      </c>
      <c r="B564" t="s">
        <v>230</v>
      </c>
      <c r="C564" t="s">
        <v>167</v>
      </c>
      <c r="D564" t="s">
        <v>122</v>
      </c>
      <c r="E564" t="str">
        <f>VLOOKUP(D564,'[2]Lista de Produtos CLASSIFICAÇÃO'!$E$103:$F$114,2,FALSE)</f>
        <v>Óleo Vegetal</v>
      </c>
      <c r="F564">
        <v>70000</v>
      </c>
      <c r="G564" t="str">
        <f>VLOOKUP(Tabela1[[#This Row],[Cliente]],clientes!$C$3:$D$60,2,FALSE)</f>
        <v>POOL</v>
      </c>
    </row>
    <row r="565" spans="1:7" x14ac:dyDescent="0.25">
      <c r="A565">
        <v>2022</v>
      </c>
      <c r="B565" t="s">
        <v>231</v>
      </c>
      <c r="C565" t="s">
        <v>167</v>
      </c>
      <c r="D565" t="s">
        <v>122</v>
      </c>
      <c r="E565" t="str">
        <f>VLOOKUP(D565,'[2]Lista de Produtos CLASSIFICAÇÃO'!$E$103:$F$114,2,FALSE)</f>
        <v>Óleo Vegetal</v>
      </c>
      <c r="F565">
        <v>70000</v>
      </c>
      <c r="G565" t="str">
        <f>VLOOKUP(Tabela1[[#This Row],[Cliente]],clientes!$C$3:$D$60,2,FALSE)</f>
        <v>POOL</v>
      </c>
    </row>
    <row r="566" spans="1:7" x14ac:dyDescent="0.25">
      <c r="A566">
        <v>2022</v>
      </c>
      <c r="B566" t="s">
        <v>226</v>
      </c>
      <c r="C566" t="s">
        <v>169</v>
      </c>
      <c r="D566" t="s">
        <v>22</v>
      </c>
      <c r="E566" t="str">
        <f>VLOOKUP(D566,'[2]Lista de Produtos CLASSIFICAÇÃO'!$E$103:$F$114,2,FALSE)</f>
        <v>Metanol</v>
      </c>
      <c r="F566">
        <v>52000</v>
      </c>
      <c r="G566" t="str">
        <f>VLOOKUP(Tabela1[[#This Row],[Cliente]],clientes!$C$3:$D$60,2,FALSE)</f>
        <v>METHANEX</v>
      </c>
    </row>
    <row r="567" spans="1:7" x14ac:dyDescent="0.25">
      <c r="A567">
        <v>2022</v>
      </c>
      <c r="B567" t="s">
        <v>227</v>
      </c>
      <c r="C567" t="s">
        <v>169</v>
      </c>
      <c r="D567" t="s">
        <v>22</v>
      </c>
      <c r="E567" t="str">
        <f>VLOOKUP(D567,'[2]Lista de Produtos CLASSIFICAÇÃO'!$E$103:$F$114,2,FALSE)</f>
        <v>Metanol</v>
      </c>
      <c r="F567">
        <v>52000</v>
      </c>
      <c r="G567" t="str">
        <f>VLOOKUP(Tabela1[[#This Row],[Cliente]],clientes!$C$3:$D$60,2,FALSE)</f>
        <v>METHANEX</v>
      </c>
    </row>
    <row r="568" spans="1:7" x14ac:dyDescent="0.25">
      <c r="A568">
        <v>2022</v>
      </c>
      <c r="B568" t="s">
        <v>228</v>
      </c>
      <c r="C568" t="s">
        <v>169</v>
      </c>
      <c r="D568" t="s">
        <v>22</v>
      </c>
      <c r="E568" t="str">
        <f>VLOOKUP(D568,'[2]Lista de Produtos CLASSIFICAÇÃO'!$E$103:$F$114,2,FALSE)</f>
        <v>Metanol</v>
      </c>
      <c r="F568">
        <v>52000</v>
      </c>
      <c r="G568" t="str">
        <f>VLOOKUP(Tabela1[[#This Row],[Cliente]],clientes!$C$3:$D$60,2,FALSE)</f>
        <v>METHANEX</v>
      </c>
    </row>
    <row r="569" spans="1:7" x14ac:dyDescent="0.25">
      <c r="A569">
        <v>2022</v>
      </c>
      <c r="B569" t="s">
        <v>229</v>
      </c>
      <c r="C569" t="s">
        <v>169</v>
      </c>
      <c r="D569" t="s">
        <v>22</v>
      </c>
      <c r="E569" t="str">
        <f>VLOOKUP(D569,'[2]Lista de Produtos CLASSIFICAÇÃO'!$E$103:$F$114,2,FALSE)</f>
        <v>Metanol</v>
      </c>
      <c r="F569">
        <v>52000</v>
      </c>
      <c r="G569" t="str">
        <f>VLOOKUP(Tabela1[[#This Row],[Cliente]],clientes!$C$3:$D$60,2,FALSE)</f>
        <v>METHANEX</v>
      </c>
    </row>
    <row r="570" spans="1:7" x14ac:dyDescent="0.25">
      <c r="A570">
        <v>2022</v>
      </c>
      <c r="B570" t="s">
        <v>210</v>
      </c>
      <c r="C570" t="s">
        <v>169</v>
      </c>
      <c r="D570" t="s">
        <v>22</v>
      </c>
      <c r="E570" t="str">
        <f>VLOOKUP(D570,'[2]Lista de Produtos CLASSIFICAÇÃO'!$E$103:$F$114,2,FALSE)</f>
        <v>Metanol</v>
      </c>
      <c r="F570">
        <v>52000</v>
      </c>
      <c r="G570" t="str">
        <f>VLOOKUP(Tabela1[[#This Row],[Cliente]],clientes!$C$3:$D$60,2,FALSE)</f>
        <v>METHANEX</v>
      </c>
    </row>
    <row r="571" spans="1:7" x14ac:dyDescent="0.25">
      <c r="A571">
        <v>2022</v>
      </c>
      <c r="B571" t="s">
        <v>211</v>
      </c>
      <c r="C571" t="s">
        <v>169</v>
      </c>
      <c r="D571" t="s">
        <v>22</v>
      </c>
      <c r="E571" t="str">
        <f>VLOOKUP(D571,'[2]Lista de Produtos CLASSIFICAÇÃO'!$E$103:$F$114,2,FALSE)</f>
        <v>Metanol</v>
      </c>
      <c r="F571">
        <v>52000</v>
      </c>
      <c r="G571" t="str">
        <f>VLOOKUP(Tabela1[[#This Row],[Cliente]],clientes!$C$3:$D$60,2,FALSE)</f>
        <v>METHANEX</v>
      </c>
    </row>
    <row r="572" spans="1:7" x14ac:dyDescent="0.25">
      <c r="A572">
        <v>2022</v>
      </c>
      <c r="B572" t="s">
        <v>212</v>
      </c>
      <c r="C572" t="s">
        <v>169</v>
      </c>
      <c r="D572" t="s">
        <v>22</v>
      </c>
      <c r="E572" t="str">
        <f>VLOOKUP(D572,'[2]Lista de Produtos CLASSIFICAÇÃO'!$E$103:$F$114,2,FALSE)</f>
        <v>Metanol</v>
      </c>
      <c r="F572">
        <v>52000</v>
      </c>
      <c r="G572" t="str">
        <f>VLOOKUP(Tabela1[[#This Row],[Cliente]],clientes!$C$3:$D$60,2,FALSE)</f>
        <v>METHANEX</v>
      </c>
    </row>
    <row r="573" spans="1:7" x14ac:dyDescent="0.25">
      <c r="A573">
        <v>2022</v>
      </c>
      <c r="B573" t="s">
        <v>213</v>
      </c>
      <c r="C573" t="s">
        <v>169</v>
      </c>
      <c r="D573" t="s">
        <v>22</v>
      </c>
      <c r="E573" t="str">
        <f>VLOOKUP(D573,'[2]Lista de Produtos CLASSIFICAÇÃO'!$E$103:$F$114,2,FALSE)</f>
        <v>Metanol</v>
      </c>
      <c r="F573">
        <v>52000</v>
      </c>
      <c r="G573" t="str">
        <f>VLOOKUP(Tabela1[[#This Row],[Cliente]],clientes!$C$3:$D$60,2,FALSE)</f>
        <v>METHANEX</v>
      </c>
    </row>
    <row r="574" spans="1:7" x14ac:dyDescent="0.25">
      <c r="A574">
        <v>2022</v>
      </c>
      <c r="B574" t="s">
        <v>214</v>
      </c>
      <c r="C574" t="s">
        <v>169</v>
      </c>
      <c r="D574" t="s">
        <v>22</v>
      </c>
      <c r="E574" t="str">
        <f>VLOOKUP(D574,'[2]Lista de Produtos CLASSIFICAÇÃO'!$E$103:$F$114,2,FALSE)</f>
        <v>Metanol</v>
      </c>
      <c r="F574">
        <v>52000</v>
      </c>
      <c r="G574" t="str">
        <f>VLOOKUP(Tabela1[[#This Row],[Cliente]],clientes!$C$3:$D$60,2,FALSE)</f>
        <v>METHANEX</v>
      </c>
    </row>
    <row r="575" spans="1:7" x14ac:dyDescent="0.25">
      <c r="A575">
        <v>2022</v>
      </c>
      <c r="B575" t="s">
        <v>215</v>
      </c>
      <c r="C575" t="s">
        <v>169</v>
      </c>
      <c r="D575" t="s">
        <v>22</v>
      </c>
      <c r="E575" t="str">
        <f>VLOOKUP(D575,'[2]Lista de Produtos CLASSIFICAÇÃO'!$E$103:$F$114,2,FALSE)</f>
        <v>Metanol</v>
      </c>
      <c r="F575">
        <v>52000</v>
      </c>
      <c r="G575" t="str">
        <f>VLOOKUP(Tabela1[[#This Row],[Cliente]],clientes!$C$3:$D$60,2,FALSE)</f>
        <v>METHANEX</v>
      </c>
    </row>
    <row r="576" spans="1:7" x14ac:dyDescent="0.25">
      <c r="A576">
        <v>2022</v>
      </c>
      <c r="B576" t="s">
        <v>230</v>
      </c>
      <c r="C576" t="s">
        <v>169</v>
      </c>
      <c r="D576" t="s">
        <v>22</v>
      </c>
      <c r="E576" t="str">
        <f>VLOOKUP(D576,'[2]Lista de Produtos CLASSIFICAÇÃO'!$E$103:$F$114,2,FALSE)</f>
        <v>Metanol</v>
      </c>
      <c r="F576">
        <v>52000</v>
      </c>
      <c r="G576" t="str">
        <f>VLOOKUP(Tabela1[[#This Row],[Cliente]],clientes!$C$3:$D$60,2,FALSE)</f>
        <v>METHANEX</v>
      </c>
    </row>
    <row r="577" spans="1:7" x14ac:dyDescent="0.25">
      <c r="A577">
        <v>2022</v>
      </c>
      <c r="B577" t="s">
        <v>231</v>
      </c>
      <c r="C577" t="s">
        <v>169</v>
      </c>
      <c r="D577" t="s">
        <v>22</v>
      </c>
      <c r="E577" t="str">
        <f>VLOOKUP(D577,'[2]Lista de Produtos CLASSIFICAÇÃO'!$E$103:$F$114,2,FALSE)</f>
        <v>Metanol</v>
      </c>
      <c r="F577">
        <v>52000</v>
      </c>
      <c r="G577" t="str">
        <f>VLOOKUP(Tabela1[[#This Row],[Cliente]],clientes!$C$3:$D$60,2,FALSE)</f>
        <v>METHANEX</v>
      </c>
    </row>
    <row r="578" spans="1:7" x14ac:dyDescent="0.25">
      <c r="A578">
        <v>2022</v>
      </c>
      <c r="B578" t="s">
        <v>226</v>
      </c>
      <c r="C578" t="s">
        <v>170</v>
      </c>
      <c r="D578" t="s">
        <v>22</v>
      </c>
      <c r="E578" t="str">
        <f>VLOOKUP(D578,'[2]Lista de Produtos CLASSIFICAÇÃO'!$E$103:$F$114,2,FALSE)</f>
        <v>Metanol</v>
      </c>
      <c r="F578">
        <v>13000</v>
      </c>
      <c r="G578" t="str">
        <f>VLOOKUP(Tabela1[[#This Row],[Cliente]],clientes!$C$3:$D$60,2,FALSE)</f>
        <v>MITSUBISHI</v>
      </c>
    </row>
    <row r="579" spans="1:7" x14ac:dyDescent="0.25">
      <c r="A579">
        <v>2022</v>
      </c>
      <c r="B579" t="s">
        <v>227</v>
      </c>
      <c r="C579" t="s">
        <v>170</v>
      </c>
      <c r="D579" t="s">
        <v>22</v>
      </c>
      <c r="E579" t="str">
        <f>VLOOKUP(D579,'[2]Lista de Produtos CLASSIFICAÇÃO'!$E$103:$F$114,2,FALSE)</f>
        <v>Metanol</v>
      </c>
      <c r="F579">
        <v>13000</v>
      </c>
      <c r="G579" t="str">
        <f>VLOOKUP(Tabela1[[#This Row],[Cliente]],clientes!$C$3:$D$60,2,FALSE)</f>
        <v>MITSUBISHI</v>
      </c>
    </row>
    <row r="580" spans="1:7" x14ac:dyDescent="0.25">
      <c r="A580">
        <v>2022</v>
      </c>
      <c r="B580" t="s">
        <v>228</v>
      </c>
      <c r="C580" t="s">
        <v>170</v>
      </c>
      <c r="D580" t="s">
        <v>22</v>
      </c>
      <c r="E580" t="str">
        <f>VLOOKUP(D580,'[2]Lista de Produtos CLASSIFICAÇÃO'!$E$103:$F$114,2,FALSE)</f>
        <v>Metanol</v>
      </c>
      <c r="F580">
        <v>13000</v>
      </c>
      <c r="G580" t="str">
        <f>VLOOKUP(Tabela1[[#This Row],[Cliente]],clientes!$C$3:$D$60,2,FALSE)</f>
        <v>MITSUBISHI</v>
      </c>
    </row>
    <row r="581" spans="1:7" x14ac:dyDescent="0.25">
      <c r="A581">
        <v>2022</v>
      </c>
      <c r="B581" t="s">
        <v>229</v>
      </c>
      <c r="C581" t="s">
        <v>170</v>
      </c>
      <c r="D581" t="s">
        <v>22</v>
      </c>
      <c r="E581" t="str">
        <f>VLOOKUP(D581,'[2]Lista de Produtos CLASSIFICAÇÃO'!$E$103:$F$114,2,FALSE)</f>
        <v>Metanol</v>
      </c>
      <c r="F581">
        <v>13000</v>
      </c>
      <c r="G581" t="str">
        <f>VLOOKUP(Tabela1[[#This Row],[Cliente]],clientes!$C$3:$D$60,2,FALSE)</f>
        <v>MITSUBISHI</v>
      </c>
    </row>
    <row r="582" spans="1:7" x14ac:dyDescent="0.25">
      <c r="A582">
        <v>2022</v>
      </c>
      <c r="B582" t="s">
        <v>210</v>
      </c>
      <c r="C582" t="s">
        <v>170</v>
      </c>
      <c r="D582" t="s">
        <v>22</v>
      </c>
      <c r="E582" t="str">
        <f>VLOOKUP(D582,'[2]Lista de Produtos CLASSIFICAÇÃO'!$E$103:$F$114,2,FALSE)</f>
        <v>Metanol</v>
      </c>
      <c r="F582">
        <v>13000</v>
      </c>
      <c r="G582" t="str">
        <f>VLOOKUP(Tabela1[[#This Row],[Cliente]],clientes!$C$3:$D$60,2,FALSE)</f>
        <v>MITSUBISHI</v>
      </c>
    </row>
    <row r="583" spans="1:7" x14ac:dyDescent="0.25">
      <c r="A583">
        <v>2022</v>
      </c>
      <c r="B583" t="s">
        <v>211</v>
      </c>
      <c r="C583" t="s">
        <v>170</v>
      </c>
      <c r="D583" t="s">
        <v>22</v>
      </c>
      <c r="E583" t="str">
        <f>VLOOKUP(D583,'[2]Lista de Produtos CLASSIFICAÇÃO'!$E$103:$F$114,2,FALSE)</f>
        <v>Metanol</v>
      </c>
      <c r="F583">
        <v>13000</v>
      </c>
      <c r="G583" t="str">
        <f>VLOOKUP(Tabela1[[#This Row],[Cliente]],clientes!$C$3:$D$60,2,FALSE)</f>
        <v>MITSUBISHI</v>
      </c>
    </row>
    <row r="584" spans="1:7" x14ac:dyDescent="0.25">
      <c r="A584">
        <v>2022</v>
      </c>
      <c r="B584" t="s">
        <v>212</v>
      </c>
      <c r="C584" t="s">
        <v>170</v>
      </c>
      <c r="D584" t="s">
        <v>22</v>
      </c>
      <c r="E584" t="str">
        <f>VLOOKUP(D584,'[2]Lista de Produtos CLASSIFICAÇÃO'!$E$103:$F$114,2,FALSE)</f>
        <v>Metanol</v>
      </c>
      <c r="F584">
        <v>13000</v>
      </c>
      <c r="G584" t="str">
        <f>VLOOKUP(Tabela1[[#This Row],[Cliente]],clientes!$C$3:$D$60,2,FALSE)</f>
        <v>MITSUBISHI</v>
      </c>
    </row>
    <row r="585" spans="1:7" x14ac:dyDescent="0.25">
      <c r="A585">
        <v>2022</v>
      </c>
      <c r="B585" t="s">
        <v>213</v>
      </c>
      <c r="C585" t="s">
        <v>170</v>
      </c>
      <c r="D585" t="s">
        <v>22</v>
      </c>
      <c r="E585" t="str">
        <f>VLOOKUP(D585,'[2]Lista de Produtos CLASSIFICAÇÃO'!$E$103:$F$114,2,FALSE)</f>
        <v>Metanol</v>
      </c>
      <c r="F585">
        <v>13000</v>
      </c>
      <c r="G585" t="str">
        <f>VLOOKUP(Tabela1[[#This Row],[Cliente]],clientes!$C$3:$D$60,2,FALSE)</f>
        <v>MITSUBISHI</v>
      </c>
    </row>
    <row r="586" spans="1:7" x14ac:dyDescent="0.25">
      <c r="A586">
        <v>2022</v>
      </c>
      <c r="B586" t="s">
        <v>214</v>
      </c>
      <c r="C586" t="s">
        <v>170</v>
      </c>
      <c r="D586" t="s">
        <v>22</v>
      </c>
      <c r="E586" t="str">
        <f>VLOOKUP(D586,'[2]Lista de Produtos CLASSIFICAÇÃO'!$E$103:$F$114,2,FALSE)</f>
        <v>Metanol</v>
      </c>
      <c r="F586">
        <v>13000</v>
      </c>
      <c r="G586" t="str">
        <f>VLOOKUP(Tabela1[[#This Row],[Cliente]],clientes!$C$3:$D$60,2,FALSE)</f>
        <v>MITSUBISHI</v>
      </c>
    </row>
    <row r="587" spans="1:7" x14ac:dyDescent="0.25">
      <c r="A587">
        <v>2022</v>
      </c>
      <c r="B587" t="s">
        <v>215</v>
      </c>
      <c r="C587" t="s">
        <v>170</v>
      </c>
      <c r="D587" t="s">
        <v>22</v>
      </c>
      <c r="E587" t="str">
        <f>VLOOKUP(D587,'[2]Lista de Produtos CLASSIFICAÇÃO'!$E$103:$F$114,2,FALSE)</f>
        <v>Metanol</v>
      </c>
      <c r="F587">
        <v>13000</v>
      </c>
      <c r="G587" t="str">
        <f>VLOOKUP(Tabela1[[#This Row],[Cliente]],clientes!$C$3:$D$60,2,FALSE)</f>
        <v>MITSUBISHI</v>
      </c>
    </row>
    <row r="588" spans="1:7" x14ac:dyDescent="0.25">
      <c r="A588">
        <v>2022</v>
      </c>
      <c r="B588" t="s">
        <v>230</v>
      </c>
      <c r="C588" t="s">
        <v>170</v>
      </c>
      <c r="D588" t="s">
        <v>22</v>
      </c>
      <c r="E588" t="str">
        <f>VLOOKUP(D588,'[2]Lista de Produtos CLASSIFICAÇÃO'!$E$103:$F$114,2,FALSE)</f>
        <v>Metanol</v>
      </c>
      <c r="F588">
        <v>13000</v>
      </c>
      <c r="G588" t="str">
        <f>VLOOKUP(Tabela1[[#This Row],[Cliente]],clientes!$C$3:$D$60,2,FALSE)</f>
        <v>MITSUBISHI</v>
      </c>
    </row>
    <row r="589" spans="1:7" x14ac:dyDescent="0.25">
      <c r="A589">
        <v>2022</v>
      </c>
      <c r="B589" t="s">
        <v>231</v>
      </c>
      <c r="C589" t="s">
        <v>170</v>
      </c>
      <c r="D589" t="s">
        <v>22</v>
      </c>
      <c r="E589" t="str">
        <f>VLOOKUP(D589,'[2]Lista de Produtos CLASSIFICAÇÃO'!$E$103:$F$114,2,FALSE)</f>
        <v>Metanol</v>
      </c>
      <c r="F589">
        <v>13000</v>
      </c>
      <c r="G589" t="str">
        <f>VLOOKUP(Tabela1[[#This Row],[Cliente]],clientes!$C$3:$D$60,2,FALSE)</f>
        <v>MITSUBISHI</v>
      </c>
    </row>
    <row r="590" spans="1:7" x14ac:dyDescent="0.25">
      <c r="A590">
        <v>2022</v>
      </c>
      <c r="B590" t="s">
        <v>226</v>
      </c>
      <c r="C590" t="s">
        <v>196</v>
      </c>
      <c r="D590" t="s">
        <v>22</v>
      </c>
      <c r="E590" t="str">
        <f>VLOOKUP(D590,'[2]Lista de Produtos CLASSIFICAÇÃO'!$E$103:$F$114,2,FALSE)</f>
        <v>Metanol</v>
      </c>
      <c r="F590">
        <v>24000</v>
      </c>
      <c r="G590" t="str">
        <f>VLOOKUP(Tabela1[[#This Row],[Cliente]],clientes!$C$3:$D$60,2,FALSE)</f>
        <v>SCC</v>
      </c>
    </row>
    <row r="591" spans="1:7" x14ac:dyDescent="0.25">
      <c r="A591">
        <v>2022</v>
      </c>
      <c r="B591" t="s">
        <v>227</v>
      </c>
      <c r="C591" t="s">
        <v>196</v>
      </c>
      <c r="D591" t="s">
        <v>22</v>
      </c>
      <c r="E591" t="str">
        <f>VLOOKUP(D591,'[2]Lista de Produtos CLASSIFICAÇÃO'!$E$103:$F$114,2,FALSE)</f>
        <v>Metanol</v>
      </c>
      <c r="F591">
        <v>24000</v>
      </c>
      <c r="G591" t="str">
        <f>VLOOKUP(Tabela1[[#This Row],[Cliente]],clientes!$C$3:$D$60,2,FALSE)</f>
        <v>SCC</v>
      </c>
    </row>
    <row r="592" spans="1:7" x14ac:dyDescent="0.25">
      <c r="A592">
        <v>2022</v>
      </c>
      <c r="B592" t="s">
        <v>228</v>
      </c>
      <c r="C592" t="s">
        <v>196</v>
      </c>
      <c r="D592" t="s">
        <v>22</v>
      </c>
      <c r="E592" t="str">
        <f>VLOOKUP(D592,'[2]Lista de Produtos CLASSIFICAÇÃO'!$E$103:$F$114,2,FALSE)</f>
        <v>Metanol</v>
      </c>
      <c r="F592">
        <v>24000</v>
      </c>
      <c r="G592" t="str">
        <f>VLOOKUP(Tabela1[[#This Row],[Cliente]],clientes!$C$3:$D$60,2,FALSE)</f>
        <v>SCC</v>
      </c>
    </row>
    <row r="593" spans="1:7" x14ac:dyDescent="0.25">
      <c r="A593">
        <v>2022</v>
      </c>
      <c r="B593" t="s">
        <v>229</v>
      </c>
      <c r="C593" t="s">
        <v>196</v>
      </c>
      <c r="D593" t="s">
        <v>22</v>
      </c>
      <c r="E593" t="str">
        <f>VLOOKUP(D593,'[2]Lista de Produtos CLASSIFICAÇÃO'!$E$103:$F$114,2,FALSE)</f>
        <v>Metanol</v>
      </c>
      <c r="F593">
        <v>24000</v>
      </c>
      <c r="G593" t="str">
        <f>VLOOKUP(Tabela1[[#This Row],[Cliente]],clientes!$C$3:$D$60,2,FALSE)</f>
        <v>SCC</v>
      </c>
    </row>
    <row r="594" spans="1:7" x14ac:dyDescent="0.25">
      <c r="A594">
        <v>2022</v>
      </c>
      <c r="B594" t="s">
        <v>210</v>
      </c>
      <c r="C594" t="s">
        <v>196</v>
      </c>
      <c r="D594" t="s">
        <v>22</v>
      </c>
      <c r="E594" t="str">
        <f>VLOOKUP(D594,'[2]Lista de Produtos CLASSIFICAÇÃO'!$E$103:$F$114,2,FALSE)</f>
        <v>Metanol</v>
      </c>
      <c r="F594">
        <v>24000</v>
      </c>
      <c r="G594" t="str">
        <f>VLOOKUP(Tabela1[[#This Row],[Cliente]],clientes!$C$3:$D$60,2,FALSE)</f>
        <v>SCC</v>
      </c>
    </row>
    <row r="595" spans="1:7" x14ac:dyDescent="0.25">
      <c r="A595">
        <v>2022</v>
      </c>
      <c r="B595" t="s">
        <v>211</v>
      </c>
      <c r="C595" t="s">
        <v>196</v>
      </c>
      <c r="D595" t="s">
        <v>22</v>
      </c>
      <c r="E595" t="str">
        <f>VLOOKUP(D595,'[2]Lista de Produtos CLASSIFICAÇÃO'!$E$103:$F$114,2,FALSE)</f>
        <v>Metanol</v>
      </c>
      <c r="F595">
        <v>24000</v>
      </c>
      <c r="G595" t="str">
        <f>VLOOKUP(Tabela1[[#This Row],[Cliente]],clientes!$C$3:$D$60,2,FALSE)</f>
        <v>SCC</v>
      </c>
    </row>
    <row r="596" spans="1:7" x14ac:dyDescent="0.25">
      <c r="A596">
        <v>2022</v>
      </c>
      <c r="B596" t="s">
        <v>212</v>
      </c>
      <c r="C596" t="s">
        <v>196</v>
      </c>
      <c r="D596" t="s">
        <v>22</v>
      </c>
      <c r="E596" t="str">
        <f>VLOOKUP(D596,'[2]Lista de Produtos CLASSIFICAÇÃO'!$E$103:$F$114,2,FALSE)</f>
        <v>Metanol</v>
      </c>
      <c r="F596">
        <v>24000</v>
      </c>
      <c r="G596" t="str">
        <f>VLOOKUP(Tabela1[[#This Row],[Cliente]],clientes!$C$3:$D$60,2,FALSE)</f>
        <v>SCC</v>
      </c>
    </row>
    <row r="597" spans="1:7" x14ac:dyDescent="0.25">
      <c r="A597">
        <v>2022</v>
      </c>
      <c r="B597" t="s">
        <v>213</v>
      </c>
      <c r="C597" t="s">
        <v>196</v>
      </c>
      <c r="D597" t="s">
        <v>22</v>
      </c>
      <c r="E597" t="str">
        <f>VLOOKUP(D597,'[2]Lista de Produtos CLASSIFICAÇÃO'!$E$103:$F$114,2,FALSE)</f>
        <v>Metanol</v>
      </c>
      <c r="F597">
        <v>24000</v>
      </c>
      <c r="G597" t="str">
        <f>VLOOKUP(Tabela1[[#This Row],[Cliente]],clientes!$C$3:$D$60,2,FALSE)</f>
        <v>SCC</v>
      </c>
    </row>
    <row r="598" spans="1:7" x14ac:dyDescent="0.25">
      <c r="A598">
        <v>2022</v>
      </c>
      <c r="B598" t="s">
        <v>214</v>
      </c>
      <c r="C598" t="s">
        <v>196</v>
      </c>
      <c r="D598" t="s">
        <v>22</v>
      </c>
      <c r="E598" t="str">
        <f>VLOOKUP(D598,'[2]Lista de Produtos CLASSIFICAÇÃO'!$E$103:$F$114,2,FALSE)</f>
        <v>Metanol</v>
      </c>
      <c r="F598">
        <v>24000</v>
      </c>
      <c r="G598" t="str">
        <f>VLOOKUP(Tabela1[[#This Row],[Cliente]],clientes!$C$3:$D$60,2,FALSE)</f>
        <v>SCC</v>
      </c>
    </row>
    <row r="599" spans="1:7" x14ac:dyDescent="0.25">
      <c r="A599">
        <v>2022</v>
      </c>
      <c r="B599" t="s">
        <v>215</v>
      </c>
      <c r="C599" t="s">
        <v>196</v>
      </c>
      <c r="D599" t="s">
        <v>22</v>
      </c>
      <c r="E599" t="str">
        <f>VLOOKUP(D599,'[2]Lista de Produtos CLASSIFICAÇÃO'!$E$103:$F$114,2,FALSE)</f>
        <v>Metanol</v>
      </c>
      <c r="F599">
        <v>24000</v>
      </c>
      <c r="G599" t="str">
        <f>VLOOKUP(Tabela1[[#This Row],[Cliente]],clientes!$C$3:$D$60,2,FALSE)</f>
        <v>SCC</v>
      </c>
    </row>
    <row r="600" spans="1:7" x14ac:dyDescent="0.25">
      <c r="A600">
        <v>2022</v>
      </c>
      <c r="B600" t="s">
        <v>230</v>
      </c>
      <c r="C600" t="s">
        <v>196</v>
      </c>
      <c r="D600" t="s">
        <v>22</v>
      </c>
      <c r="E600" t="str">
        <f>VLOOKUP(D600,'[2]Lista de Produtos CLASSIFICAÇÃO'!$E$103:$F$114,2,FALSE)</f>
        <v>Metanol</v>
      </c>
      <c r="F600">
        <v>24000</v>
      </c>
      <c r="G600" t="str">
        <f>VLOOKUP(Tabela1[[#This Row],[Cliente]],clientes!$C$3:$D$60,2,FALSE)</f>
        <v>SCC</v>
      </c>
    </row>
    <row r="601" spans="1:7" x14ac:dyDescent="0.25">
      <c r="A601">
        <v>2022</v>
      </c>
      <c r="B601" t="s">
        <v>231</v>
      </c>
      <c r="C601" t="s">
        <v>196</v>
      </c>
      <c r="D601" t="s">
        <v>22</v>
      </c>
      <c r="E601" t="str">
        <f>VLOOKUP(D601,'[2]Lista de Produtos CLASSIFICAÇÃO'!$E$103:$F$114,2,FALSE)</f>
        <v>Metanol</v>
      </c>
      <c r="F601">
        <v>24000</v>
      </c>
      <c r="G601" t="str">
        <f>VLOOKUP(Tabela1[[#This Row],[Cliente]],clientes!$C$3:$D$60,2,FALSE)</f>
        <v>SCC</v>
      </c>
    </row>
    <row r="602" spans="1:7" x14ac:dyDescent="0.25">
      <c r="A602">
        <v>2022</v>
      </c>
      <c r="B602" t="s">
        <v>211</v>
      </c>
      <c r="C602" t="s">
        <v>196</v>
      </c>
      <c r="D602" t="s">
        <v>22</v>
      </c>
      <c r="E602" t="str">
        <f>VLOOKUP(D602,'[2]Lista de Produtos CLASSIFICAÇÃO'!$E$103:$F$114,2,FALSE)</f>
        <v>Metanol</v>
      </c>
      <c r="F602">
        <v>1200</v>
      </c>
      <c r="G602" t="str">
        <f>VLOOKUP(Tabela1[[#This Row],[Cliente]],clientes!$C$3:$D$60,2,FALSE)</f>
        <v>SCC</v>
      </c>
    </row>
    <row r="603" spans="1:7" x14ac:dyDescent="0.25">
      <c r="A603">
        <v>2022</v>
      </c>
      <c r="B603" t="s">
        <v>212</v>
      </c>
      <c r="C603" t="s">
        <v>196</v>
      </c>
      <c r="D603" t="s">
        <v>22</v>
      </c>
      <c r="E603" t="str">
        <f>VLOOKUP(D603,'[2]Lista de Produtos CLASSIFICAÇÃO'!$E$103:$F$114,2,FALSE)</f>
        <v>Metanol</v>
      </c>
      <c r="F603">
        <v>1200</v>
      </c>
      <c r="G603" t="str">
        <f>VLOOKUP(Tabela1[[#This Row],[Cliente]],clientes!$C$3:$D$60,2,FALSE)</f>
        <v>SCC</v>
      </c>
    </row>
    <row r="604" spans="1:7" x14ac:dyDescent="0.25">
      <c r="A604">
        <v>2022</v>
      </c>
      <c r="B604" t="s">
        <v>213</v>
      </c>
      <c r="C604" t="s">
        <v>196</v>
      </c>
      <c r="D604" t="s">
        <v>22</v>
      </c>
      <c r="E604" t="str">
        <f>VLOOKUP(D604,'[2]Lista de Produtos CLASSIFICAÇÃO'!$E$103:$F$114,2,FALSE)</f>
        <v>Metanol</v>
      </c>
      <c r="F604">
        <v>1200</v>
      </c>
      <c r="G604" t="str">
        <f>VLOOKUP(Tabela1[[#This Row],[Cliente]],clientes!$C$3:$D$60,2,FALSE)</f>
        <v>SCC</v>
      </c>
    </row>
    <row r="605" spans="1:7" x14ac:dyDescent="0.25">
      <c r="A605">
        <v>2022</v>
      </c>
      <c r="B605" t="s">
        <v>214</v>
      </c>
      <c r="C605" t="s">
        <v>196</v>
      </c>
      <c r="D605" t="s">
        <v>22</v>
      </c>
      <c r="E605" t="str">
        <f>VLOOKUP(D605,'[2]Lista de Produtos CLASSIFICAÇÃO'!$E$103:$F$114,2,FALSE)</f>
        <v>Metanol</v>
      </c>
      <c r="F605">
        <v>1200</v>
      </c>
      <c r="G605" t="str">
        <f>VLOOKUP(Tabela1[[#This Row],[Cliente]],clientes!$C$3:$D$60,2,FALSE)</f>
        <v>SCC</v>
      </c>
    </row>
    <row r="606" spans="1:7" x14ac:dyDescent="0.25">
      <c r="A606">
        <v>2022</v>
      </c>
      <c r="B606" t="s">
        <v>215</v>
      </c>
      <c r="C606" t="s">
        <v>196</v>
      </c>
      <c r="D606" t="s">
        <v>22</v>
      </c>
      <c r="E606" t="str">
        <f>VLOOKUP(D606,'[2]Lista de Produtos CLASSIFICAÇÃO'!$E$103:$F$114,2,FALSE)</f>
        <v>Metanol</v>
      </c>
      <c r="F606">
        <v>1200</v>
      </c>
      <c r="G606" t="str">
        <f>VLOOKUP(Tabela1[[#This Row],[Cliente]],clientes!$C$3:$D$60,2,FALSE)</f>
        <v>SCC</v>
      </c>
    </row>
    <row r="607" spans="1:7" x14ac:dyDescent="0.25">
      <c r="A607">
        <v>2022</v>
      </c>
      <c r="B607" t="s">
        <v>230</v>
      </c>
      <c r="C607" t="s">
        <v>196</v>
      </c>
      <c r="D607" t="s">
        <v>22</v>
      </c>
      <c r="E607" t="str">
        <f>VLOOKUP(D607,'[2]Lista de Produtos CLASSIFICAÇÃO'!$E$103:$F$114,2,FALSE)</f>
        <v>Metanol</v>
      </c>
      <c r="F607">
        <v>1200</v>
      </c>
      <c r="G607" t="str">
        <f>VLOOKUP(Tabela1[[#This Row],[Cliente]],clientes!$C$3:$D$60,2,FALSE)</f>
        <v>SCC</v>
      </c>
    </row>
    <row r="608" spans="1:7" x14ac:dyDescent="0.25">
      <c r="A608">
        <v>2022</v>
      </c>
      <c r="B608" t="s">
        <v>231</v>
      </c>
      <c r="C608" t="s">
        <v>196</v>
      </c>
      <c r="D608" t="s">
        <v>22</v>
      </c>
      <c r="E608" t="str">
        <f>VLOOKUP(D608,'[2]Lista de Produtos CLASSIFICAÇÃO'!$E$103:$F$114,2,FALSE)</f>
        <v>Metanol</v>
      </c>
      <c r="F608">
        <v>1200</v>
      </c>
      <c r="G608" t="str">
        <f>VLOOKUP(Tabela1[[#This Row],[Cliente]],clientes!$C$3:$D$60,2,FALSE)</f>
        <v>SCC</v>
      </c>
    </row>
    <row r="609" spans="1:7" x14ac:dyDescent="0.25">
      <c r="A609">
        <v>2022</v>
      </c>
      <c r="B609" t="s">
        <v>228</v>
      </c>
      <c r="C609" t="s">
        <v>201</v>
      </c>
      <c r="D609" t="s">
        <v>202</v>
      </c>
      <c r="E609" t="e">
        <f>VLOOKUP(D609,'[2]Lista de Produtos CLASSIFICAÇÃO'!$E$103:$F$114,2,FALSE)</f>
        <v>#N/A</v>
      </c>
      <c r="F609">
        <v>5000</v>
      </c>
      <c r="G609" t="str">
        <f>VLOOKUP(Tabela1[[#This Row],[Cliente]],clientes!$C$3:$D$60,2,FALSE)</f>
        <v>TERRENA</v>
      </c>
    </row>
    <row r="610" spans="1:7" x14ac:dyDescent="0.25">
      <c r="A610">
        <v>2022</v>
      </c>
      <c r="B610" t="s">
        <v>211</v>
      </c>
      <c r="C610" t="s">
        <v>201</v>
      </c>
      <c r="D610" t="s">
        <v>202</v>
      </c>
      <c r="E610" t="e">
        <f>VLOOKUP(D610,'[2]Lista de Produtos CLASSIFICAÇÃO'!$E$103:$F$114,2,FALSE)</f>
        <v>#N/A</v>
      </c>
      <c r="F610">
        <v>5000</v>
      </c>
      <c r="G610" t="str">
        <f>VLOOKUP(Tabela1[[#This Row],[Cliente]],clientes!$C$3:$D$60,2,FALSE)</f>
        <v>TERRENA</v>
      </c>
    </row>
    <row r="611" spans="1:7" x14ac:dyDescent="0.25">
      <c r="A611">
        <v>2022</v>
      </c>
      <c r="B611" t="s">
        <v>214</v>
      </c>
      <c r="C611" t="s">
        <v>201</v>
      </c>
      <c r="D611" t="s">
        <v>202</v>
      </c>
      <c r="E611" t="e">
        <f>VLOOKUP(D611,'[2]Lista de Produtos CLASSIFICAÇÃO'!$E$103:$F$114,2,FALSE)</f>
        <v>#N/A</v>
      </c>
      <c r="F611">
        <v>5000</v>
      </c>
      <c r="G611" t="str">
        <f>VLOOKUP(Tabela1[[#This Row],[Cliente]],clientes!$C$3:$D$60,2,FALSE)</f>
        <v>TERRENA</v>
      </c>
    </row>
    <row r="612" spans="1:7" x14ac:dyDescent="0.25">
      <c r="A612">
        <v>2022</v>
      </c>
      <c r="B612" t="s">
        <v>226</v>
      </c>
      <c r="C612" t="s">
        <v>172</v>
      </c>
      <c r="D612" t="s">
        <v>124</v>
      </c>
      <c r="E612" t="str">
        <f>VLOOKUP(D612,'[2]Lista de Produtos CLASSIFICAÇÃO'!$E$103:$F$114,2,FALSE)</f>
        <v>Outros</v>
      </c>
      <c r="F612">
        <v>1200</v>
      </c>
      <c r="G612" t="str">
        <f>VLOOKUP(Tabela1[[#This Row],[Cliente]],clientes!$C$3:$D$60,2,FALSE)</f>
        <v>EVONIK</v>
      </c>
    </row>
    <row r="613" spans="1:7" x14ac:dyDescent="0.25">
      <c r="A613">
        <v>2022</v>
      </c>
      <c r="B613" t="s">
        <v>227</v>
      </c>
      <c r="C613" t="s">
        <v>172</v>
      </c>
      <c r="D613" t="s">
        <v>124</v>
      </c>
      <c r="E613" t="str">
        <f>VLOOKUP(D613,'[2]Lista de Produtos CLASSIFICAÇÃO'!$E$103:$F$114,2,FALSE)</f>
        <v>Outros</v>
      </c>
      <c r="F613">
        <v>1200</v>
      </c>
      <c r="G613" t="str">
        <f>VLOOKUP(Tabela1[[#This Row],[Cliente]],clientes!$C$3:$D$60,2,FALSE)</f>
        <v>EVONIK</v>
      </c>
    </row>
    <row r="614" spans="1:7" x14ac:dyDescent="0.25">
      <c r="A614">
        <v>2022</v>
      </c>
      <c r="B614" t="s">
        <v>228</v>
      </c>
      <c r="C614" t="s">
        <v>172</v>
      </c>
      <c r="D614" t="s">
        <v>124</v>
      </c>
      <c r="E614" t="str">
        <f>VLOOKUP(D614,'[2]Lista de Produtos CLASSIFICAÇÃO'!$E$103:$F$114,2,FALSE)</f>
        <v>Outros</v>
      </c>
      <c r="F614">
        <v>1200</v>
      </c>
      <c r="G614" t="str">
        <f>VLOOKUP(Tabela1[[#This Row],[Cliente]],clientes!$C$3:$D$60,2,FALSE)</f>
        <v>EVONIK</v>
      </c>
    </row>
    <row r="615" spans="1:7" x14ac:dyDescent="0.25">
      <c r="A615">
        <v>2022</v>
      </c>
      <c r="B615" t="s">
        <v>229</v>
      </c>
      <c r="C615" t="s">
        <v>172</v>
      </c>
      <c r="D615" t="s">
        <v>124</v>
      </c>
      <c r="E615" t="str">
        <f>VLOOKUP(D615,'[2]Lista de Produtos CLASSIFICAÇÃO'!$E$103:$F$114,2,FALSE)</f>
        <v>Outros</v>
      </c>
      <c r="F615">
        <v>1200</v>
      </c>
      <c r="G615" t="str">
        <f>VLOOKUP(Tabela1[[#This Row],[Cliente]],clientes!$C$3:$D$60,2,FALSE)</f>
        <v>EVONIK</v>
      </c>
    </row>
    <row r="616" spans="1:7" x14ac:dyDescent="0.25">
      <c r="A616">
        <v>2022</v>
      </c>
      <c r="B616" t="s">
        <v>210</v>
      </c>
      <c r="C616" t="s">
        <v>172</v>
      </c>
      <c r="D616" t="s">
        <v>124</v>
      </c>
      <c r="E616" t="str">
        <f>VLOOKUP(D616,'[2]Lista de Produtos CLASSIFICAÇÃO'!$E$103:$F$114,2,FALSE)</f>
        <v>Outros</v>
      </c>
      <c r="F616">
        <v>1200</v>
      </c>
      <c r="G616" t="str">
        <f>VLOOKUP(Tabela1[[#This Row],[Cliente]],clientes!$C$3:$D$60,2,FALSE)</f>
        <v>EVONIK</v>
      </c>
    </row>
    <row r="617" spans="1:7" x14ac:dyDescent="0.25">
      <c r="A617">
        <v>2022</v>
      </c>
      <c r="B617" t="s">
        <v>211</v>
      </c>
      <c r="C617" t="s">
        <v>172</v>
      </c>
      <c r="D617" t="s">
        <v>124</v>
      </c>
      <c r="E617" t="str">
        <f>VLOOKUP(D617,'[2]Lista de Produtos CLASSIFICAÇÃO'!$E$103:$F$114,2,FALSE)</f>
        <v>Outros</v>
      </c>
      <c r="F617">
        <v>1200</v>
      </c>
      <c r="G617" t="str">
        <f>VLOOKUP(Tabela1[[#This Row],[Cliente]],clientes!$C$3:$D$60,2,FALSE)</f>
        <v>EVONIK</v>
      </c>
    </row>
    <row r="618" spans="1:7" x14ac:dyDescent="0.25">
      <c r="A618">
        <v>2022</v>
      </c>
      <c r="B618" t="s">
        <v>212</v>
      </c>
      <c r="C618" t="s">
        <v>172</v>
      </c>
      <c r="D618" t="s">
        <v>124</v>
      </c>
      <c r="E618" t="str">
        <f>VLOOKUP(D618,'[2]Lista de Produtos CLASSIFICAÇÃO'!$E$103:$F$114,2,FALSE)</f>
        <v>Outros</v>
      </c>
      <c r="F618">
        <v>1200</v>
      </c>
      <c r="G618" t="str">
        <f>VLOOKUP(Tabela1[[#This Row],[Cliente]],clientes!$C$3:$D$60,2,FALSE)</f>
        <v>EVONIK</v>
      </c>
    </row>
    <row r="619" spans="1:7" x14ac:dyDescent="0.25">
      <c r="A619">
        <v>2022</v>
      </c>
      <c r="B619" t="s">
        <v>213</v>
      </c>
      <c r="C619" t="s">
        <v>172</v>
      </c>
      <c r="D619" t="s">
        <v>124</v>
      </c>
      <c r="E619" t="str">
        <f>VLOOKUP(D619,'[2]Lista de Produtos CLASSIFICAÇÃO'!$E$103:$F$114,2,FALSE)</f>
        <v>Outros</v>
      </c>
      <c r="F619">
        <v>1200</v>
      </c>
      <c r="G619" t="str">
        <f>VLOOKUP(Tabela1[[#This Row],[Cliente]],clientes!$C$3:$D$60,2,FALSE)</f>
        <v>EVONIK</v>
      </c>
    </row>
    <row r="620" spans="1:7" x14ac:dyDescent="0.25">
      <c r="A620">
        <v>2022</v>
      </c>
      <c r="B620" t="s">
        <v>214</v>
      </c>
      <c r="C620" t="s">
        <v>172</v>
      </c>
      <c r="D620" t="s">
        <v>124</v>
      </c>
      <c r="E620" t="str">
        <f>VLOOKUP(D620,'[2]Lista de Produtos CLASSIFICAÇÃO'!$E$103:$F$114,2,FALSE)</f>
        <v>Outros</v>
      </c>
      <c r="F620">
        <v>1200</v>
      </c>
      <c r="G620" t="str">
        <f>VLOOKUP(Tabela1[[#This Row],[Cliente]],clientes!$C$3:$D$60,2,FALSE)</f>
        <v>EVONIK</v>
      </c>
    </row>
    <row r="621" spans="1:7" x14ac:dyDescent="0.25">
      <c r="A621">
        <v>2022</v>
      </c>
      <c r="B621" t="s">
        <v>215</v>
      </c>
      <c r="C621" t="s">
        <v>172</v>
      </c>
      <c r="D621" t="s">
        <v>124</v>
      </c>
      <c r="E621" t="str">
        <f>VLOOKUP(D621,'[2]Lista de Produtos CLASSIFICAÇÃO'!$E$103:$F$114,2,FALSE)</f>
        <v>Outros</v>
      </c>
      <c r="F621">
        <v>1200</v>
      </c>
      <c r="G621" t="str">
        <f>VLOOKUP(Tabela1[[#This Row],[Cliente]],clientes!$C$3:$D$60,2,FALSE)</f>
        <v>EVONIK</v>
      </c>
    </row>
    <row r="622" spans="1:7" x14ac:dyDescent="0.25">
      <c r="A622">
        <v>2022</v>
      </c>
      <c r="B622" t="s">
        <v>230</v>
      </c>
      <c r="C622" t="s">
        <v>172</v>
      </c>
      <c r="D622" t="s">
        <v>124</v>
      </c>
      <c r="E622" t="str">
        <f>VLOOKUP(D622,'[2]Lista de Produtos CLASSIFICAÇÃO'!$E$103:$F$114,2,FALSE)</f>
        <v>Outros</v>
      </c>
      <c r="F622">
        <v>1200</v>
      </c>
      <c r="G622" t="str">
        <f>VLOOKUP(Tabela1[[#This Row],[Cliente]],clientes!$C$3:$D$60,2,FALSE)</f>
        <v>EVONIK</v>
      </c>
    </row>
    <row r="623" spans="1:7" x14ac:dyDescent="0.25">
      <c r="A623">
        <v>2022</v>
      </c>
      <c r="B623" t="s">
        <v>231</v>
      </c>
      <c r="C623" t="s">
        <v>172</v>
      </c>
      <c r="D623" t="s">
        <v>124</v>
      </c>
      <c r="E623" t="str">
        <f>VLOOKUP(D623,'[2]Lista de Produtos CLASSIFICAÇÃO'!$E$103:$F$114,2,FALSE)</f>
        <v>Outros</v>
      </c>
      <c r="F623">
        <v>1200</v>
      </c>
      <c r="G623" t="str">
        <f>VLOOKUP(Tabela1[[#This Row],[Cliente]],clientes!$C$3:$D$60,2,FALSE)</f>
        <v>EVONIK</v>
      </c>
    </row>
    <row r="624" spans="1:7" x14ac:dyDescent="0.25">
      <c r="A624">
        <v>2022</v>
      </c>
      <c r="B624" t="s">
        <v>228</v>
      </c>
      <c r="C624" t="s">
        <v>173</v>
      </c>
      <c r="D624" t="s">
        <v>22</v>
      </c>
      <c r="E624" t="str">
        <f>VLOOKUP(D624,'[2]Lista de Produtos CLASSIFICAÇÃO'!$E$103:$F$114,2,FALSE)</f>
        <v>Metanol</v>
      </c>
      <c r="F624">
        <v>5000</v>
      </c>
      <c r="G624" t="str">
        <f>VLOOKUP(Tabela1[[#This Row],[Cliente]],clientes!$C$3:$D$60,2,FALSE)</f>
        <v>YPF SOCIEDAD ANONIMA</v>
      </c>
    </row>
    <row r="625" spans="1:7" x14ac:dyDescent="0.25">
      <c r="A625">
        <v>2022</v>
      </c>
      <c r="B625" t="s">
        <v>211</v>
      </c>
      <c r="C625" t="s">
        <v>173</v>
      </c>
      <c r="D625" t="s">
        <v>22</v>
      </c>
      <c r="E625" t="str">
        <f>VLOOKUP(D625,'[2]Lista de Produtos CLASSIFICAÇÃO'!$E$103:$F$114,2,FALSE)</f>
        <v>Metanol</v>
      </c>
      <c r="F625">
        <v>5000</v>
      </c>
      <c r="G625" t="str">
        <f>VLOOKUP(Tabela1[[#This Row],[Cliente]],clientes!$C$3:$D$60,2,FALSE)</f>
        <v>YPF SOCIEDAD ANONIMA</v>
      </c>
    </row>
    <row r="626" spans="1:7" x14ac:dyDescent="0.25">
      <c r="A626">
        <v>2022</v>
      </c>
      <c r="B626" t="s">
        <v>214</v>
      </c>
      <c r="C626" t="s">
        <v>173</v>
      </c>
      <c r="D626" t="s">
        <v>22</v>
      </c>
      <c r="E626" t="str">
        <f>VLOOKUP(D626,'[2]Lista de Produtos CLASSIFICAÇÃO'!$E$103:$F$114,2,FALSE)</f>
        <v>Metanol</v>
      </c>
      <c r="F626">
        <v>5000</v>
      </c>
      <c r="G626" t="str">
        <f>VLOOKUP(Tabela1[[#This Row],[Cliente]],clientes!$C$3:$D$60,2,FALSE)</f>
        <v>YPF SOCIEDAD ANONIMA</v>
      </c>
    </row>
    <row r="627" spans="1:7" x14ac:dyDescent="0.25">
      <c r="A627">
        <v>2022</v>
      </c>
      <c r="B627" t="s">
        <v>231</v>
      </c>
      <c r="C627" t="s">
        <v>173</v>
      </c>
      <c r="D627" t="s">
        <v>22</v>
      </c>
      <c r="E627" t="str">
        <f>VLOOKUP(D627,'[2]Lista de Produtos CLASSIFICAÇÃO'!$E$103:$F$114,2,FALSE)</f>
        <v>Metanol</v>
      </c>
      <c r="F627">
        <v>5000</v>
      </c>
      <c r="G627" t="str">
        <f>VLOOKUP(Tabela1[[#This Row],[Cliente]],clientes!$C$3:$D$60,2,FALSE)</f>
        <v>YPF SOCIEDAD ANONIMA</v>
      </c>
    </row>
    <row r="628" spans="1:7" x14ac:dyDescent="0.25">
      <c r="A628">
        <v>2022</v>
      </c>
      <c r="B628" t="s">
        <v>227</v>
      </c>
      <c r="C628" t="s">
        <v>203</v>
      </c>
      <c r="D628" t="s">
        <v>124</v>
      </c>
      <c r="E628" t="str">
        <f>VLOOKUP(D628,'[2]Lista de Produtos CLASSIFICAÇÃO'!$E$103:$F$114,2,FALSE)</f>
        <v>Outros</v>
      </c>
      <c r="F628">
        <v>1000</v>
      </c>
      <c r="G628" t="str">
        <f>VLOOKUP(Tabela1[[#This Row],[Cliente]],clientes!$C$3:$D$60,2,FALSE)</f>
        <v>GTM</v>
      </c>
    </row>
    <row r="629" spans="1:7" x14ac:dyDescent="0.25">
      <c r="A629">
        <v>2022</v>
      </c>
      <c r="B629" t="s">
        <v>210</v>
      </c>
      <c r="C629" t="s">
        <v>203</v>
      </c>
      <c r="D629" t="s">
        <v>124</v>
      </c>
      <c r="E629" t="str">
        <f>VLOOKUP(D629,'[2]Lista de Produtos CLASSIFICAÇÃO'!$E$103:$F$114,2,FALSE)</f>
        <v>Outros</v>
      </c>
      <c r="F629">
        <v>1000</v>
      </c>
      <c r="G629" t="str">
        <f>VLOOKUP(Tabela1[[#This Row],[Cliente]],clientes!$C$3:$D$60,2,FALSE)</f>
        <v>GTM</v>
      </c>
    </row>
    <row r="630" spans="1:7" x14ac:dyDescent="0.25">
      <c r="A630">
        <v>2022</v>
      </c>
      <c r="B630" t="s">
        <v>214</v>
      </c>
      <c r="C630" t="s">
        <v>203</v>
      </c>
      <c r="D630" t="s">
        <v>124</v>
      </c>
      <c r="E630" t="str">
        <f>VLOOKUP(D630,'[2]Lista de Produtos CLASSIFICAÇÃO'!$E$103:$F$114,2,FALSE)</f>
        <v>Outros</v>
      </c>
      <c r="F630">
        <v>1000</v>
      </c>
      <c r="G630" t="str">
        <f>VLOOKUP(Tabela1[[#This Row],[Cliente]],clientes!$C$3:$D$60,2,FALSE)</f>
        <v>GTM</v>
      </c>
    </row>
    <row r="631" spans="1:7" x14ac:dyDescent="0.25">
      <c r="A631">
        <v>2022</v>
      </c>
      <c r="B631" t="s">
        <v>231</v>
      </c>
      <c r="C631" t="s">
        <v>203</v>
      </c>
      <c r="D631" t="s">
        <v>124</v>
      </c>
      <c r="E631" t="str">
        <f>VLOOKUP(D631,'[2]Lista de Produtos CLASSIFICAÇÃO'!$E$103:$F$114,2,FALSE)</f>
        <v>Outros</v>
      </c>
      <c r="F631">
        <v>1000</v>
      </c>
      <c r="G631" t="str">
        <f>VLOOKUP(Tabela1[[#This Row],[Cliente]],clientes!$C$3:$D$60,2,FALSE)</f>
        <v>GTM</v>
      </c>
    </row>
    <row r="632" spans="1:7" x14ac:dyDescent="0.25">
      <c r="A632">
        <v>2022</v>
      </c>
      <c r="B632" t="s">
        <v>226</v>
      </c>
      <c r="C632" t="s">
        <v>197</v>
      </c>
      <c r="D632" t="s">
        <v>85</v>
      </c>
      <c r="E632" t="e">
        <f>VLOOKUP(D632,'[2]Lista de Produtos CLASSIFICAÇÃO'!$E$103:$F$114,2,FALSE)</f>
        <v>#N/A</v>
      </c>
      <c r="F632">
        <v>400</v>
      </c>
      <c r="G632" t="str">
        <f>VLOOKUP(Tabela1[[#This Row],[Cliente]],clientes!$C$3:$D$60,2,FALSE)</f>
        <v>DRT</v>
      </c>
    </row>
    <row r="633" spans="1:7" x14ac:dyDescent="0.25">
      <c r="A633">
        <v>2022</v>
      </c>
      <c r="B633" t="s">
        <v>227</v>
      </c>
      <c r="C633" t="s">
        <v>197</v>
      </c>
      <c r="D633" t="s">
        <v>85</v>
      </c>
      <c r="E633" t="e">
        <f>VLOOKUP(D633,'[2]Lista de Produtos CLASSIFICAÇÃO'!$E$103:$F$114,2,FALSE)</f>
        <v>#N/A</v>
      </c>
      <c r="F633">
        <v>400</v>
      </c>
      <c r="G633" t="str">
        <f>VLOOKUP(Tabela1[[#This Row],[Cliente]],clientes!$C$3:$D$60,2,FALSE)</f>
        <v>DRT</v>
      </c>
    </row>
    <row r="634" spans="1:7" x14ac:dyDescent="0.25">
      <c r="A634">
        <v>2022</v>
      </c>
      <c r="B634" t="s">
        <v>228</v>
      </c>
      <c r="C634" t="s">
        <v>197</v>
      </c>
      <c r="D634" t="s">
        <v>85</v>
      </c>
      <c r="E634" t="e">
        <f>VLOOKUP(D634,'[2]Lista de Produtos CLASSIFICAÇÃO'!$E$103:$F$114,2,FALSE)</f>
        <v>#N/A</v>
      </c>
      <c r="F634">
        <v>400</v>
      </c>
      <c r="G634" t="str">
        <f>VLOOKUP(Tabela1[[#This Row],[Cliente]],clientes!$C$3:$D$60,2,FALSE)</f>
        <v>DRT</v>
      </c>
    </row>
    <row r="635" spans="1:7" x14ac:dyDescent="0.25">
      <c r="A635">
        <v>2022</v>
      </c>
      <c r="B635" t="s">
        <v>229</v>
      </c>
      <c r="C635" t="s">
        <v>197</v>
      </c>
      <c r="D635" t="s">
        <v>85</v>
      </c>
      <c r="E635" t="e">
        <f>VLOOKUP(D635,'[2]Lista de Produtos CLASSIFICAÇÃO'!$E$103:$F$114,2,FALSE)</f>
        <v>#N/A</v>
      </c>
      <c r="F635">
        <v>400</v>
      </c>
      <c r="G635" t="str">
        <f>VLOOKUP(Tabela1[[#This Row],[Cliente]],clientes!$C$3:$D$60,2,FALSE)</f>
        <v>DRT</v>
      </c>
    </row>
    <row r="636" spans="1:7" x14ac:dyDescent="0.25">
      <c r="A636">
        <v>2022</v>
      </c>
      <c r="B636" t="s">
        <v>210</v>
      </c>
      <c r="C636" t="s">
        <v>197</v>
      </c>
      <c r="D636" t="s">
        <v>85</v>
      </c>
      <c r="E636" t="e">
        <f>VLOOKUP(D636,'[2]Lista de Produtos CLASSIFICAÇÃO'!$E$103:$F$114,2,FALSE)</f>
        <v>#N/A</v>
      </c>
      <c r="F636">
        <v>400</v>
      </c>
      <c r="G636" t="str">
        <f>VLOOKUP(Tabela1[[#This Row],[Cliente]],clientes!$C$3:$D$60,2,FALSE)</f>
        <v>DRT</v>
      </c>
    </row>
    <row r="637" spans="1:7" x14ac:dyDescent="0.25">
      <c r="A637">
        <v>2022</v>
      </c>
      <c r="B637" t="s">
        <v>211</v>
      </c>
      <c r="C637" t="s">
        <v>197</v>
      </c>
      <c r="D637" t="s">
        <v>85</v>
      </c>
      <c r="E637" t="e">
        <f>VLOOKUP(D637,'[2]Lista de Produtos CLASSIFICAÇÃO'!$E$103:$F$114,2,FALSE)</f>
        <v>#N/A</v>
      </c>
      <c r="F637">
        <v>400</v>
      </c>
      <c r="G637" t="str">
        <f>VLOOKUP(Tabela1[[#This Row],[Cliente]],clientes!$C$3:$D$60,2,FALSE)</f>
        <v>DRT</v>
      </c>
    </row>
    <row r="638" spans="1:7" x14ac:dyDescent="0.25">
      <c r="A638">
        <v>2022</v>
      </c>
      <c r="B638" t="s">
        <v>212</v>
      </c>
      <c r="C638" t="s">
        <v>197</v>
      </c>
      <c r="D638" t="s">
        <v>85</v>
      </c>
      <c r="E638" t="e">
        <f>VLOOKUP(D638,'[2]Lista de Produtos CLASSIFICAÇÃO'!$E$103:$F$114,2,FALSE)</f>
        <v>#N/A</v>
      </c>
      <c r="F638">
        <v>400</v>
      </c>
      <c r="G638" t="str">
        <f>VLOOKUP(Tabela1[[#This Row],[Cliente]],clientes!$C$3:$D$60,2,FALSE)</f>
        <v>DRT</v>
      </c>
    </row>
    <row r="639" spans="1:7" x14ac:dyDescent="0.25">
      <c r="A639">
        <v>2022</v>
      </c>
      <c r="B639" t="s">
        <v>213</v>
      </c>
      <c r="C639" t="s">
        <v>197</v>
      </c>
      <c r="D639" t="s">
        <v>85</v>
      </c>
      <c r="E639" t="e">
        <f>VLOOKUP(D639,'[2]Lista de Produtos CLASSIFICAÇÃO'!$E$103:$F$114,2,FALSE)</f>
        <v>#N/A</v>
      </c>
      <c r="F639">
        <v>400</v>
      </c>
      <c r="G639" t="str">
        <f>VLOOKUP(Tabela1[[#This Row],[Cliente]],clientes!$C$3:$D$60,2,FALSE)</f>
        <v>DRT</v>
      </c>
    </row>
    <row r="640" spans="1:7" x14ac:dyDescent="0.25">
      <c r="A640">
        <v>2022</v>
      </c>
      <c r="B640" t="s">
        <v>214</v>
      </c>
      <c r="C640" t="s">
        <v>197</v>
      </c>
      <c r="D640" t="s">
        <v>85</v>
      </c>
      <c r="E640" t="e">
        <f>VLOOKUP(D640,'[2]Lista de Produtos CLASSIFICAÇÃO'!$E$103:$F$114,2,FALSE)</f>
        <v>#N/A</v>
      </c>
      <c r="F640">
        <v>400</v>
      </c>
      <c r="G640" t="str">
        <f>VLOOKUP(Tabela1[[#This Row],[Cliente]],clientes!$C$3:$D$60,2,FALSE)</f>
        <v>DRT</v>
      </c>
    </row>
    <row r="641" spans="1:7" x14ac:dyDescent="0.25">
      <c r="A641">
        <v>2022</v>
      </c>
      <c r="B641" t="s">
        <v>215</v>
      </c>
      <c r="C641" t="s">
        <v>197</v>
      </c>
      <c r="D641" t="s">
        <v>85</v>
      </c>
      <c r="E641" t="e">
        <f>VLOOKUP(D641,'[2]Lista de Produtos CLASSIFICAÇÃO'!$E$103:$F$114,2,FALSE)</f>
        <v>#N/A</v>
      </c>
      <c r="F641">
        <v>400</v>
      </c>
      <c r="G641" t="str">
        <f>VLOOKUP(Tabela1[[#This Row],[Cliente]],clientes!$C$3:$D$60,2,FALSE)</f>
        <v>DRT</v>
      </c>
    </row>
    <row r="642" spans="1:7" x14ac:dyDescent="0.25">
      <c r="A642">
        <v>2022</v>
      </c>
      <c r="B642" t="s">
        <v>230</v>
      </c>
      <c r="C642" t="s">
        <v>197</v>
      </c>
      <c r="D642" t="s">
        <v>85</v>
      </c>
      <c r="E642" t="e">
        <f>VLOOKUP(D642,'[2]Lista de Produtos CLASSIFICAÇÃO'!$E$103:$F$114,2,FALSE)</f>
        <v>#N/A</v>
      </c>
      <c r="F642">
        <v>400</v>
      </c>
      <c r="G642" t="str">
        <f>VLOOKUP(Tabela1[[#This Row],[Cliente]],clientes!$C$3:$D$60,2,FALSE)</f>
        <v>DRT</v>
      </c>
    </row>
    <row r="643" spans="1:7" x14ac:dyDescent="0.25">
      <c r="A643">
        <v>2022</v>
      </c>
      <c r="B643" t="s">
        <v>231</v>
      </c>
      <c r="C643" t="s">
        <v>197</v>
      </c>
      <c r="D643" t="s">
        <v>85</v>
      </c>
      <c r="E643" t="e">
        <f>VLOOKUP(D643,'[2]Lista de Produtos CLASSIFICAÇÃO'!$E$103:$F$114,2,FALSE)</f>
        <v>#N/A</v>
      </c>
      <c r="F643">
        <v>400</v>
      </c>
      <c r="G643" t="str">
        <f>VLOOKUP(Tabela1[[#This Row],[Cliente]],clientes!$C$3:$D$60,2,FALSE)</f>
        <v>DRT</v>
      </c>
    </row>
    <row r="644" spans="1:7" x14ac:dyDescent="0.25">
      <c r="A644">
        <v>2022</v>
      </c>
      <c r="B644" t="s">
        <v>211</v>
      </c>
      <c r="C644" t="s">
        <v>198</v>
      </c>
      <c r="D644" t="s">
        <v>121</v>
      </c>
      <c r="E644" t="str">
        <f>VLOOKUP(D644,'[2]Lista de Produtos CLASSIFICAÇÃO'!$E$103:$F$114,2,FALSE)</f>
        <v>Biocombustíveis</v>
      </c>
      <c r="F644">
        <v>8000</v>
      </c>
      <c r="G644" t="str">
        <f>VLOOKUP(Tabela1[[#This Row],[Cliente]],clientes!$C$3:$D$60,2,FALSE)</f>
        <v>TEREOS / INPASA / GLENCORE</v>
      </c>
    </row>
    <row r="645" spans="1:7" x14ac:dyDescent="0.25">
      <c r="A645">
        <v>2022</v>
      </c>
      <c r="B645" t="s">
        <v>212</v>
      </c>
      <c r="C645" t="s">
        <v>198</v>
      </c>
      <c r="D645" t="s">
        <v>121</v>
      </c>
      <c r="E645" t="str">
        <f>VLOOKUP(D645,'[2]Lista de Produtos CLASSIFICAÇÃO'!$E$103:$F$114,2,FALSE)</f>
        <v>Biocombustíveis</v>
      </c>
      <c r="F645">
        <v>8000</v>
      </c>
      <c r="G645" t="str">
        <f>VLOOKUP(Tabela1[[#This Row],[Cliente]],clientes!$C$3:$D$60,2,FALSE)</f>
        <v>TEREOS / INPASA / GLENCORE</v>
      </c>
    </row>
    <row r="646" spans="1:7" x14ac:dyDescent="0.25">
      <c r="A646">
        <v>2022</v>
      </c>
      <c r="B646" t="s">
        <v>213</v>
      </c>
      <c r="C646" t="s">
        <v>198</v>
      </c>
      <c r="D646" t="s">
        <v>121</v>
      </c>
      <c r="E646" t="str">
        <f>VLOOKUP(D646,'[2]Lista de Produtos CLASSIFICAÇÃO'!$E$103:$F$114,2,FALSE)</f>
        <v>Biocombustíveis</v>
      </c>
      <c r="F646">
        <v>8000</v>
      </c>
      <c r="G646" t="str">
        <f>VLOOKUP(Tabela1[[#This Row],[Cliente]],clientes!$C$3:$D$60,2,FALSE)</f>
        <v>TEREOS / INPASA / GLENCORE</v>
      </c>
    </row>
    <row r="647" spans="1:7" x14ac:dyDescent="0.25">
      <c r="A647">
        <v>2022</v>
      </c>
      <c r="B647" t="s">
        <v>214</v>
      </c>
      <c r="C647" t="s">
        <v>198</v>
      </c>
      <c r="D647" t="s">
        <v>121</v>
      </c>
      <c r="E647" t="str">
        <f>VLOOKUP(D647,'[2]Lista de Produtos CLASSIFICAÇÃO'!$E$103:$F$114,2,FALSE)</f>
        <v>Biocombustíveis</v>
      </c>
      <c r="F647">
        <v>8000</v>
      </c>
      <c r="G647" t="str">
        <f>VLOOKUP(Tabela1[[#This Row],[Cliente]],clientes!$C$3:$D$60,2,FALSE)</f>
        <v>TEREOS / INPASA / GLENCORE</v>
      </c>
    </row>
    <row r="648" spans="1:7" x14ac:dyDescent="0.25">
      <c r="A648">
        <v>2022</v>
      </c>
      <c r="B648" t="s">
        <v>215</v>
      </c>
      <c r="C648" t="s">
        <v>198</v>
      </c>
      <c r="D648" t="s">
        <v>121</v>
      </c>
      <c r="E648" t="str">
        <f>VLOOKUP(D648,'[2]Lista de Produtos CLASSIFICAÇÃO'!$E$103:$F$114,2,FALSE)</f>
        <v>Biocombustíveis</v>
      </c>
      <c r="F648">
        <v>8000</v>
      </c>
      <c r="G648" t="str">
        <f>VLOOKUP(Tabela1[[#This Row],[Cliente]],clientes!$C$3:$D$60,2,FALSE)</f>
        <v>TEREOS / INPASA / GLENCORE</v>
      </c>
    </row>
    <row r="649" spans="1:7" x14ac:dyDescent="0.25">
      <c r="A649">
        <v>2022</v>
      </c>
      <c r="B649" t="s">
        <v>226</v>
      </c>
      <c r="C649" t="s">
        <v>174</v>
      </c>
      <c r="D649" t="s">
        <v>123</v>
      </c>
      <c r="E649" t="str">
        <f>VLOOKUP(D649,'[2]Lista de Produtos CLASSIFICAÇÃO'!$E$103:$F$114,2,FALSE)</f>
        <v>Aquecidos</v>
      </c>
      <c r="F649">
        <v>3000</v>
      </c>
      <c r="G649" t="str">
        <f>VLOOKUP(Tabela1[[#This Row],[Cliente]],clientes!$C$3:$D$60,2,FALSE)</f>
        <v>CELENA</v>
      </c>
    </row>
    <row r="650" spans="1:7" x14ac:dyDescent="0.25">
      <c r="A650">
        <v>2022</v>
      </c>
      <c r="B650" t="s">
        <v>227</v>
      </c>
      <c r="C650" t="s">
        <v>174</v>
      </c>
      <c r="D650" t="s">
        <v>123</v>
      </c>
      <c r="E650" t="str">
        <f>VLOOKUP(D650,'[2]Lista de Produtos CLASSIFICAÇÃO'!$E$103:$F$114,2,FALSE)</f>
        <v>Aquecidos</v>
      </c>
      <c r="F650">
        <v>3000</v>
      </c>
      <c r="G650" t="str">
        <f>VLOOKUP(Tabela1[[#This Row],[Cliente]],clientes!$C$3:$D$60,2,FALSE)</f>
        <v>CELENA</v>
      </c>
    </row>
    <row r="651" spans="1:7" x14ac:dyDescent="0.25">
      <c r="A651">
        <v>2022</v>
      </c>
      <c r="B651" t="s">
        <v>228</v>
      </c>
      <c r="C651" t="s">
        <v>174</v>
      </c>
      <c r="D651" t="s">
        <v>123</v>
      </c>
      <c r="E651" t="str">
        <f>VLOOKUP(D651,'[2]Lista de Produtos CLASSIFICAÇÃO'!$E$103:$F$114,2,FALSE)</f>
        <v>Aquecidos</v>
      </c>
      <c r="F651">
        <v>3000</v>
      </c>
      <c r="G651" t="str">
        <f>VLOOKUP(Tabela1[[#This Row],[Cliente]],clientes!$C$3:$D$60,2,FALSE)</f>
        <v>CELENA</v>
      </c>
    </row>
    <row r="652" spans="1:7" x14ac:dyDescent="0.25">
      <c r="A652">
        <v>2022</v>
      </c>
      <c r="B652" t="s">
        <v>229</v>
      </c>
      <c r="C652" t="s">
        <v>174</v>
      </c>
      <c r="D652" t="s">
        <v>123</v>
      </c>
      <c r="E652" t="str">
        <f>VLOOKUP(D652,'[2]Lista de Produtos CLASSIFICAÇÃO'!$E$103:$F$114,2,FALSE)</f>
        <v>Aquecidos</v>
      </c>
      <c r="F652">
        <v>3000</v>
      </c>
      <c r="G652" t="str">
        <f>VLOOKUP(Tabela1[[#This Row],[Cliente]],clientes!$C$3:$D$60,2,FALSE)</f>
        <v>CELENA</v>
      </c>
    </row>
    <row r="653" spans="1:7" x14ac:dyDescent="0.25">
      <c r="A653">
        <v>2022</v>
      </c>
      <c r="B653" t="s">
        <v>210</v>
      </c>
      <c r="C653" t="s">
        <v>174</v>
      </c>
      <c r="D653" t="s">
        <v>123</v>
      </c>
      <c r="E653" t="str">
        <f>VLOOKUP(D653,'[2]Lista de Produtos CLASSIFICAÇÃO'!$E$103:$F$114,2,FALSE)</f>
        <v>Aquecidos</v>
      </c>
      <c r="F653">
        <v>3000</v>
      </c>
      <c r="G653" t="str">
        <f>VLOOKUP(Tabela1[[#This Row],[Cliente]],clientes!$C$3:$D$60,2,FALSE)</f>
        <v>CELENA</v>
      </c>
    </row>
    <row r="654" spans="1:7" x14ac:dyDescent="0.25">
      <c r="A654">
        <v>2022</v>
      </c>
      <c r="B654" t="s">
        <v>211</v>
      </c>
      <c r="C654" t="s">
        <v>174</v>
      </c>
      <c r="D654" t="s">
        <v>123</v>
      </c>
      <c r="E654" t="str">
        <f>VLOOKUP(D654,'[2]Lista de Produtos CLASSIFICAÇÃO'!$E$103:$F$114,2,FALSE)</f>
        <v>Aquecidos</v>
      </c>
      <c r="F654">
        <v>3000</v>
      </c>
      <c r="G654" t="str">
        <f>VLOOKUP(Tabela1[[#This Row],[Cliente]],clientes!$C$3:$D$60,2,FALSE)</f>
        <v>CELENA</v>
      </c>
    </row>
    <row r="655" spans="1:7" x14ac:dyDescent="0.25">
      <c r="A655">
        <v>2022</v>
      </c>
      <c r="B655" t="s">
        <v>212</v>
      </c>
      <c r="C655" t="s">
        <v>174</v>
      </c>
      <c r="D655" t="s">
        <v>123</v>
      </c>
      <c r="E655" t="str">
        <f>VLOOKUP(D655,'[2]Lista de Produtos CLASSIFICAÇÃO'!$E$103:$F$114,2,FALSE)</f>
        <v>Aquecidos</v>
      </c>
      <c r="F655">
        <v>3000</v>
      </c>
      <c r="G655" t="str">
        <f>VLOOKUP(Tabela1[[#This Row],[Cliente]],clientes!$C$3:$D$60,2,FALSE)</f>
        <v>CELENA</v>
      </c>
    </row>
    <row r="656" spans="1:7" x14ac:dyDescent="0.25">
      <c r="A656">
        <v>2022</v>
      </c>
      <c r="B656" t="s">
        <v>213</v>
      </c>
      <c r="C656" t="s">
        <v>174</v>
      </c>
      <c r="D656" t="s">
        <v>123</v>
      </c>
      <c r="E656" t="str">
        <f>VLOOKUP(D656,'[2]Lista de Produtos CLASSIFICAÇÃO'!$E$103:$F$114,2,FALSE)</f>
        <v>Aquecidos</v>
      </c>
      <c r="F656">
        <v>3000</v>
      </c>
      <c r="G656" t="str">
        <f>VLOOKUP(Tabela1[[#This Row],[Cliente]],clientes!$C$3:$D$60,2,FALSE)</f>
        <v>CELENA</v>
      </c>
    </row>
    <row r="657" spans="1:7" x14ac:dyDescent="0.25">
      <c r="A657">
        <v>2022</v>
      </c>
      <c r="B657" t="s">
        <v>214</v>
      </c>
      <c r="C657" t="s">
        <v>174</v>
      </c>
      <c r="D657" t="s">
        <v>123</v>
      </c>
      <c r="E657" t="str">
        <f>VLOOKUP(D657,'[2]Lista de Produtos CLASSIFICAÇÃO'!$E$103:$F$114,2,FALSE)</f>
        <v>Aquecidos</v>
      </c>
      <c r="F657">
        <v>3000</v>
      </c>
      <c r="G657" t="str">
        <f>VLOOKUP(Tabela1[[#This Row],[Cliente]],clientes!$C$3:$D$60,2,FALSE)</f>
        <v>CELENA</v>
      </c>
    </row>
    <row r="658" spans="1:7" x14ac:dyDescent="0.25">
      <c r="A658">
        <v>2022</v>
      </c>
      <c r="B658" t="s">
        <v>215</v>
      </c>
      <c r="C658" t="s">
        <v>174</v>
      </c>
      <c r="D658" t="s">
        <v>123</v>
      </c>
      <c r="E658" t="str">
        <f>VLOOKUP(D658,'[2]Lista de Produtos CLASSIFICAÇÃO'!$E$103:$F$114,2,FALSE)</f>
        <v>Aquecidos</v>
      </c>
      <c r="F658">
        <v>3000</v>
      </c>
      <c r="G658" t="str">
        <f>VLOOKUP(Tabela1[[#This Row],[Cliente]],clientes!$C$3:$D$60,2,FALSE)</f>
        <v>CELENA</v>
      </c>
    </row>
    <row r="659" spans="1:7" x14ac:dyDescent="0.25">
      <c r="A659">
        <v>2022</v>
      </c>
      <c r="B659" t="s">
        <v>230</v>
      </c>
      <c r="C659" t="s">
        <v>174</v>
      </c>
      <c r="D659" t="s">
        <v>123</v>
      </c>
      <c r="E659" t="str">
        <f>VLOOKUP(D659,'[2]Lista de Produtos CLASSIFICAÇÃO'!$E$103:$F$114,2,FALSE)</f>
        <v>Aquecidos</v>
      </c>
      <c r="F659">
        <v>3000</v>
      </c>
      <c r="G659" t="str">
        <f>VLOOKUP(Tabela1[[#This Row],[Cliente]],clientes!$C$3:$D$60,2,FALSE)</f>
        <v>CELENA</v>
      </c>
    </row>
    <row r="660" spans="1:7" x14ac:dyDescent="0.25">
      <c r="A660">
        <v>2022</v>
      </c>
      <c r="B660" t="s">
        <v>231</v>
      </c>
      <c r="C660" t="s">
        <v>174</v>
      </c>
      <c r="D660" t="s">
        <v>123</v>
      </c>
      <c r="E660" t="str">
        <f>VLOOKUP(D660,'[2]Lista de Produtos CLASSIFICAÇÃO'!$E$103:$F$114,2,FALSE)</f>
        <v>Aquecidos</v>
      </c>
      <c r="F660">
        <v>3000</v>
      </c>
      <c r="G660" t="str">
        <f>VLOOKUP(Tabela1[[#This Row],[Cliente]],clientes!$C$3:$D$60,2,FALSE)</f>
        <v>CELENA</v>
      </c>
    </row>
    <row r="661" spans="1:7" x14ac:dyDescent="0.25">
      <c r="A661">
        <v>2022</v>
      </c>
      <c r="B661" t="s">
        <v>226</v>
      </c>
      <c r="C661" t="s">
        <v>175</v>
      </c>
      <c r="D661" t="s">
        <v>123</v>
      </c>
      <c r="E661" t="str">
        <f>VLOOKUP(D661,'[2]Lista de Produtos CLASSIFICAÇÃO'!$E$103:$F$114,2,FALSE)</f>
        <v>Aquecidos</v>
      </c>
      <c r="F661">
        <v>2200</v>
      </c>
      <c r="G661" t="str">
        <f>VLOOKUP(Tabela1[[#This Row],[Cliente]],clientes!$C$3:$D$60,2,FALSE)</f>
        <v>AAK DO BRASIL</v>
      </c>
    </row>
    <row r="662" spans="1:7" x14ac:dyDescent="0.25">
      <c r="A662">
        <v>2022</v>
      </c>
      <c r="B662" t="s">
        <v>227</v>
      </c>
      <c r="C662" t="s">
        <v>175</v>
      </c>
      <c r="D662" t="s">
        <v>123</v>
      </c>
      <c r="E662" t="str">
        <f>VLOOKUP(D662,'[2]Lista de Produtos CLASSIFICAÇÃO'!$E$103:$F$114,2,FALSE)</f>
        <v>Aquecidos</v>
      </c>
      <c r="F662">
        <v>2200</v>
      </c>
      <c r="G662" t="str">
        <f>VLOOKUP(Tabela1[[#This Row],[Cliente]],clientes!$C$3:$D$60,2,FALSE)</f>
        <v>AAK DO BRASIL</v>
      </c>
    </row>
    <row r="663" spans="1:7" x14ac:dyDescent="0.25">
      <c r="A663">
        <v>2022</v>
      </c>
      <c r="B663" t="s">
        <v>228</v>
      </c>
      <c r="C663" t="s">
        <v>175</v>
      </c>
      <c r="D663" t="s">
        <v>123</v>
      </c>
      <c r="E663" t="str">
        <f>VLOOKUP(D663,'[2]Lista de Produtos CLASSIFICAÇÃO'!$E$103:$F$114,2,FALSE)</f>
        <v>Aquecidos</v>
      </c>
      <c r="F663">
        <v>2200</v>
      </c>
      <c r="G663" t="str">
        <f>VLOOKUP(Tabela1[[#This Row],[Cliente]],clientes!$C$3:$D$60,2,FALSE)</f>
        <v>AAK DO BRASIL</v>
      </c>
    </row>
    <row r="664" spans="1:7" x14ac:dyDescent="0.25">
      <c r="A664">
        <v>2022</v>
      </c>
      <c r="B664" t="s">
        <v>229</v>
      </c>
      <c r="C664" t="s">
        <v>175</v>
      </c>
      <c r="D664" t="s">
        <v>123</v>
      </c>
      <c r="E664" t="str">
        <f>VLOOKUP(D664,'[2]Lista de Produtos CLASSIFICAÇÃO'!$E$103:$F$114,2,FALSE)</f>
        <v>Aquecidos</v>
      </c>
      <c r="F664">
        <v>2200</v>
      </c>
      <c r="G664" t="str">
        <f>VLOOKUP(Tabela1[[#This Row],[Cliente]],clientes!$C$3:$D$60,2,FALSE)</f>
        <v>AAK DO BRASIL</v>
      </c>
    </row>
    <row r="665" spans="1:7" x14ac:dyDescent="0.25">
      <c r="A665">
        <v>2022</v>
      </c>
      <c r="B665" t="s">
        <v>210</v>
      </c>
      <c r="C665" t="s">
        <v>175</v>
      </c>
      <c r="D665" t="s">
        <v>123</v>
      </c>
      <c r="E665" t="str">
        <f>VLOOKUP(D665,'[2]Lista de Produtos CLASSIFICAÇÃO'!$E$103:$F$114,2,FALSE)</f>
        <v>Aquecidos</v>
      </c>
      <c r="F665">
        <v>2200</v>
      </c>
      <c r="G665" t="str">
        <f>VLOOKUP(Tabela1[[#This Row],[Cliente]],clientes!$C$3:$D$60,2,FALSE)</f>
        <v>AAK DO BRASIL</v>
      </c>
    </row>
    <row r="666" spans="1:7" x14ac:dyDescent="0.25">
      <c r="A666">
        <v>2022</v>
      </c>
      <c r="B666" t="s">
        <v>211</v>
      </c>
      <c r="C666" t="s">
        <v>175</v>
      </c>
      <c r="D666" t="s">
        <v>123</v>
      </c>
      <c r="E666" t="str">
        <f>VLOOKUP(D666,'[2]Lista de Produtos CLASSIFICAÇÃO'!$E$103:$F$114,2,FALSE)</f>
        <v>Aquecidos</v>
      </c>
      <c r="F666">
        <v>2200</v>
      </c>
      <c r="G666" t="str">
        <f>VLOOKUP(Tabela1[[#This Row],[Cliente]],clientes!$C$3:$D$60,2,FALSE)</f>
        <v>AAK DO BRASIL</v>
      </c>
    </row>
    <row r="667" spans="1:7" x14ac:dyDescent="0.25">
      <c r="A667">
        <v>2022</v>
      </c>
      <c r="B667" t="s">
        <v>212</v>
      </c>
      <c r="C667" t="s">
        <v>175</v>
      </c>
      <c r="D667" t="s">
        <v>123</v>
      </c>
      <c r="E667" t="str">
        <f>VLOOKUP(D667,'[2]Lista de Produtos CLASSIFICAÇÃO'!$E$103:$F$114,2,FALSE)</f>
        <v>Aquecidos</v>
      </c>
      <c r="F667">
        <v>2200</v>
      </c>
      <c r="G667" t="str">
        <f>VLOOKUP(Tabela1[[#This Row],[Cliente]],clientes!$C$3:$D$60,2,FALSE)</f>
        <v>AAK DO BRASIL</v>
      </c>
    </row>
    <row r="668" spans="1:7" x14ac:dyDescent="0.25">
      <c r="A668">
        <v>2022</v>
      </c>
      <c r="B668" t="s">
        <v>213</v>
      </c>
      <c r="C668" t="s">
        <v>175</v>
      </c>
      <c r="D668" t="s">
        <v>123</v>
      </c>
      <c r="E668" t="str">
        <f>VLOOKUP(D668,'[2]Lista de Produtos CLASSIFICAÇÃO'!$E$103:$F$114,2,FALSE)</f>
        <v>Aquecidos</v>
      </c>
      <c r="F668">
        <v>2200</v>
      </c>
      <c r="G668" t="str">
        <f>VLOOKUP(Tabela1[[#This Row],[Cliente]],clientes!$C$3:$D$60,2,FALSE)</f>
        <v>AAK DO BRASIL</v>
      </c>
    </row>
    <row r="669" spans="1:7" x14ac:dyDescent="0.25">
      <c r="A669">
        <v>2022</v>
      </c>
      <c r="B669" t="s">
        <v>214</v>
      </c>
      <c r="C669" t="s">
        <v>175</v>
      </c>
      <c r="D669" t="s">
        <v>123</v>
      </c>
      <c r="E669" t="str">
        <f>VLOOKUP(D669,'[2]Lista de Produtos CLASSIFICAÇÃO'!$E$103:$F$114,2,FALSE)</f>
        <v>Aquecidos</v>
      </c>
      <c r="F669">
        <v>2200</v>
      </c>
      <c r="G669" t="str">
        <f>VLOOKUP(Tabela1[[#This Row],[Cliente]],clientes!$C$3:$D$60,2,FALSE)</f>
        <v>AAK DO BRASIL</v>
      </c>
    </row>
    <row r="670" spans="1:7" x14ac:dyDescent="0.25">
      <c r="A670">
        <v>2022</v>
      </c>
      <c r="B670" t="s">
        <v>215</v>
      </c>
      <c r="C670" t="s">
        <v>175</v>
      </c>
      <c r="D670" t="s">
        <v>123</v>
      </c>
      <c r="E670" t="str">
        <f>VLOOKUP(D670,'[2]Lista de Produtos CLASSIFICAÇÃO'!$E$103:$F$114,2,FALSE)</f>
        <v>Aquecidos</v>
      </c>
      <c r="F670">
        <v>2200</v>
      </c>
      <c r="G670" t="str">
        <f>VLOOKUP(Tabela1[[#This Row],[Cliente]],clientes!$C$3:$D$60,2,FALSE)</f>
        <v>AAK DO BRASIL</v>
      </c>
    </row>
    <row r="671" spans="1:7" x14ac:dyDescent="0.25">
      <c r="A671">
        <v>2022</v>
      </c>
      <c r="B671" t="s">
        <v>230</v>
      </c>
      <c r="C671" t="s">
        <v>175</v>
      </c>
      <c r="D671" t="s">
        <v>123</v>
      </c>
      <c r="E671" t="str">
        <f>VLOOKUP(D671,'[2]Lista de Produtos CLASSIFICAÇÃO'!$E$103:$F$114,2,FALSE)</f>
        <v>Aquecidos</v>
      </c>
      <c r="F671">
        <v>2200</v>
      </c>
      <c r="G671" t="str">
        <f>VLOOKUP(Tabela1[[#This Row],[Cliente]],clientes!$C$3:$D$60,2,FALSE)</f>
        <v>AAK DO BRASIL</v>
      </c>
    </row>
    <row r="672" spans="1:7" x14ac:dyDescent="0.25">
      <c r="A672">
        <v>2022</v>
      </c>
      <c r="B672" t="s">
        <v>231</v>
      </c>
      <c r="C672" t="s">
        <v>175</v>
      </c>
      <c r="D672" t="s">
        <v>123</v>
      </c>
      <c r="E672" t="str">
        <f>VLOOKUP(D672,'[2]Lista de Produtos CLASSIFICAÇÃO'!$E$103:$F$114,2,FALSE)</f>
        <v>Aquecidos</v>
      </c>
      <c r="F672">
        <v>2200</v>
      </c>
      <c r="G672" t="str">
        <f>VLOOKUP(Tabela1[[#This Row],[Cliente]],clientes!$C$3:$D$60,2,FALSE)</f>
        <v>AAK DO BRASIL</v>
      </c>
    </row>
    <row r="673" spans="1:7" x14ac:dyDescent="0.25">
      <c r="A673">
        <v>2022</v>
      </c>
      <c r="B673" t="s">
        <v>226</v>
      </c>
      <c r="C673" t="s">
        <v>166</v>
      </c>
      <c r="D673" t="s">
        <v>122</v>
      </c>
      <c r="E673" t="str">
        <f>VLOOKUP(D673,'[2]Lista de Produtos CLASSIFICAÇÃO'!$E$103:$F$114,2,FALSE)</f>
        <v>Óleo Vegetal</v>
      </c>
      <c r="F673">
        <v>5000</v>
      </c>
      <c r="G673" t="str">
        <f>VLOOKUP(Tabela1[[#This Row],[Cliente]],clientes!$C$3:$D$60,2,FALSE)</f>
        <v>CARGILL</v>
      </c>
    </row>
    <row r="674" spans="1:7" x14ac:dyDescent="0.25">
      <c r="A674">
        <v>2022</v>
      </c>
      <c r="B674" t="s">
        <v>228</v>
      </c>
      <c r="C674" t="s">
        <v>166</v>
      </c>
      <c r="D674" t="s">
        <v>122</v>
      </c>
      <c r="E674" t="str">
        <f>VLOOKUP(D674,'[2]Lista de Produtos CLASSIFICAÇÃO'!$E$103:$F$114,2,FALSE)</f>
        <v>Óleo Vegetal</v>
      </c>
      <c r="F674">
        <v>5000</v>
      </c>
      <c r="G674" t="str">
        <f>VLOOKUP(Tabela1[[#This Row],[Cliente]],clientes!$C$3:$D$60,2,FALSE)</f>
        <v>CARGILL</v>
      </c>
    </row>
    <row r="675" spans="1:7" x14ac:dyDescent="0.25">
      <c r="A675">
        <v>2022</v>
      </c>
      <c r="B675" t="s">
        <v>210</v>
      </c>
      <c r="C675" t="s">
        <v>166</v>
      </c>
      <c r="D675" t="s">
        <v>122</v>
      </c>
      <c r="E675" t="str">
        <f>VLOOKUP(D675,'[2]Lista de Produtos CLASSIFICAÇÃO'!$E$103:$F$114,2,FALSE)</f>
        <v>Óleo Vegetal</v>
      </c>
      <c r="F675">
        <v>5000</v>
      </c>
      <c r="G675" t="str">
        <f>VLOOKUP(Tabela1[[#This Row],[Cliente]],clientes!$C$3:$D$60,2,FALSE)</f>
        <v>CARGILL</v>
      </c>
    </row>
    <row r="676" spans="1:7" x14ac:dyDescent="0.25">
      <c r="A676">
        <v>2022</v>
      </c>
      <c r="B676" t="s">
        <v>212</v>
      </c>
      <c r="C676" t="s">
        <v>166</v>
      </c>
      <c r="D676" t="s">
        <v>122</v>
      </c>
      <c r="E676" t="str">
        <f>VLOOKUP(D676,'[2]Lista de Produtos CLASSIFICAÇÃO'!$E$103:$F$114,2,FALSE)</f>
        <v>Óleo Vegetal</v>
      </c>
      <c r="F676">
        <v>5000</v>
      </c>
      <c r="G676" t="str">
        <f>VLOOKUP(Tabela1[[#This Row],[Cliente]],clientes!$C$3:$D$60,2,FALSE)</f>
        <v>CARGILL</v>
      </c>
    </row>
    <row r="677" spans="1:7" x14ac:dyDescent="0.25">
      <c r="A677">
        <v>2022</v>
      </c>
      <c r="B677" t="s">
        <v>214</v>
      </c>
      <c r="C677" t="s">
        <v>166</v>
      </c>
      <c r="D677" t="s">
        <v>122</v>
      </c>
      <c r="E677" t="str">
        <f>VLOOKUP(D677,'[2]Lista de Produtos CLASSIFICAÇÃO'!$E$103:$F$114,2,FALSE)</f>
        <v>Óleo Vegetal</v>
      </c>
      <c r="F677">
        <v>5000</v>
      </c>
      <c r="G677" t="str">
        <f>VLOOKUP(Tabela1[[#This Row],[Cliente]],clientes!$C$3:$D$60,2,FALSE)</f>
        <v>CARGILL</v>
      </c>
    </row>
    <row r="678" spans="1:7" x14ac:dyDescent="0.25">
      <c r="A678">
        <v>2022</v>
      </c>
      <c r="B678" t="s">
        <v>230</v>
      </c>
      <c r="C678" t="s">
        <v>166</v>
      </c>
      <c r="D678" t="s">
        <v>122</v>
      </c>
      <c r="E678" t="str">
        <f>VLOOKUP(D678,'[2]Lista de Produtos CLASSIFICAÇÃO'!$E$103:$F$114,2,FALSE)</f>
        <v>Óleo Vegetal</v>
      </c>
      <c r="F678">
        <v>5000</v>
      </c>
      <c r="G678" t="str">
        <f>VLOOKUP(Tabela1[[#This Row],[Cliente]],clientes!$C$3:$D$60,2,FALSE)</f>
        <v>CARGILL</v>
      </c>
    </row>
    <row r="679" spans="1:7" x14ac:dyDescent="0.25">
      <c r="A679">
        <v>2022</v>
      </c>
      <c r="B679" t="s">
        <v>226</v>
      </c>
      <c r="C679" t="s">
        <v>176</v>
      </c>
      <c r="D679" t="s">
        <v>123</v>
      </c>
      <c r="E679" t="str">
        <f>VLOOKUP(D679,'[2]Lista de Produtos CLASSIFICAÇÃO'!$E$103:$F$114,2,FALSE)</f>
        <v>Aquecidos</v>
      </c>
      <c r="F679">
        <v>3000</v>
      </c>
      <c r="G679" t="str">
        <f>VLOOKUP(Tabela1[[#This Row],[Cliente]],clientes!$C$3:$D$60,2,FALSE)</f>
        <v>AGROPALMA</v>
      </c>
    </row>
    <row r="680" spans="1:7" x14ac:dyDescent="0.25">
      <c r="A680">
        <v>2022</v>
      </c>
      <c r="B680" t="s">
        <v>227</v>
      </c>
      <c r="C680" t="s">
        <v>176</v>
      </c>
      <c r="D680" t="s">
        <v>123</v>
      </c>
      <c r="E680" t="str">
        <f>VLOOKUP(D680,'[2]Lista de Produtos CLASSIFICAÇÃO'!$E$103:$F$114,2,FALSE)</f>
        <v>Aquecidos</v>
      </c>
      <c r="F680">
        <v>3000</v>
      </c>
      <c r="G680" t="str">
        <f>VLOOKUP(Tabela1[[#This Row],[Cliente]],clientes!$C$3:$D$60,2,FALSE)</f>
        <v>AGROPALMA</v>
      </c>
    </row>
    <row r="681" spans="1:7" x14ac:dyDescent="0.25">
      <c r="A681">
        <v>2022</v>
      </c>
      <c r="B681" t="s">
        <v>228</v>
      </c>
      <c r="C681" t="s">
        <v>176</v>
      </c>
      <c r="D681" t="s">
        <v>123</v>
      </c>
      <c r="E681" t="str">
        <f>VLOOKUP(D681,'[2]Lista de Produtos CLASSIFICAÇÃO'!$E$103:$F$114,2,FALSE)</f>
        <v>Aquecidos</v>
      </c>
      <c r="F681">
        <v>3000</v>
      </c>
      <c r="G681" t="str">
        <f>VLOOKUP(Tabela1[[#This Row],[Cliente]],clientes!$C$3:$D$60,2,FALSE)</f>
        <v>AGROPALMA</v>
      </c>
    </row>
    <row r="682" spans="1:7" x14ac:dyDescent="0.25">
      <c r="A682">
        <v>2022</v>
      </c>
      <c r="B682" t="s">
        <v>229</v>
      </c>
      <c r="C682" t="s">
        <v>176</v>
      </c>
      <c r="D682" t="s">
        <v>123</v>
      </c>
      <c r="E682" t="str">
        <f>VLOOKUP(D682,'[2]Lista de Produtos CLASSIFICAÇÃO'!$E$103:$F$114,2,FALSE)</f>
        <v>Aquecidos</v>
      </c>
      <c r="F682">
        <v>3000</v>
      </c>
      <c r="G682" t="str">
        <f>VLOOKUP(Tabela1[[#This Row],[Cliente]],clientes!$C$3:$D$60,2,FALSE)</f>
        <v>AGROPALMA</v>
      </c>
    </row>
    <row r="683" spans="1:7" x14ac:dyDescent="0.25">
      <c r="A683">
        <v>2022</v>
      </c>
      <c r="B683" t="s">
        <v>210</v>
      </c>
      <c r="C683" t="s">
        <v>176</v>
      </c>
      <c r="D683" t="s">
        <v>123</v>
      </c>
      <c r="E683" t="str">
        <f>VLOOKUP(D683,'[2]Lista de Produtos CLASSIFICAÇÃO'!$E$103:$F$114,2,FALSE)</f>
        <v>Aquecidos</v>
      </c>
      <c r="F683">
        <v>3000</v>
      </c>
      <c r="G683" t="str">
        <f>VLOOKUP(Tabela1[[#This Row],[Cliente]],clientes!$C$3:$D$60,2,FALSE)</f>
        <v>AGROPALMA</v>
      </c>
    </row>
    <row r="684" spans="1:7" x14ac:dyDescent="0.25">
      <c r="A684">
        <v>2022</v>
      </c>
      <c r="B684" t="s">
        <v>211</v>
      </c>
      <c r="C684" t="s">
        <v>176</v>
      </c>
      <c r="D684" t="s">
        <v>123</v>
      </c>
      <c r="E684" t="str">
        <f>VLOOKUP(D684,'[2]Lista de Produtos CLASSIFICAÇÃO'!$E$103:$F$114,2,FALSE)</f>
        <v>Aquecidos</v>
      </c>
      <c r="F684">
        <v>3000</v>
      </c>
      <c r="G684" t="str">
        <f>VLOOKUP(Tabela1[[#This Row],[Cliente]],clientes!$C$3:$D$60,2,FALSE)</f>
        <v>AGROPALMA</v>
      </c>
    </row>
    <row r="685" spans="1:7" x14ac:dyDescent="0.25">
      <c r="A685">
        <v>2022</v>
      </c>
      <c r="B685" t="s">
        <v>212</v>
      </c>
      <c r="C685" t="s">
        <v>176</v>
      </c>
      <c r="D685" t="s">
        <v>123</v>
      </c>
      <c r="E685" t="str">
        <f>VLOOKUP(D685,'[2]Lista de Produtos CLASSIFICAÇÃO'!$E$103:$F$114,2,FALSE)</f>
        <v>Aquecidos</v>
      </c>
      <c r="F685">
        <v>3000</v>
      </c>
      <c r="G685" t="str">
        <f>VLOOKUP(Tabela1[[#This Row],[Cliente]],clientes!$C$3:$D$60,2,FALSE)</f>
        <v>AGROPALMA</v>
      </c>
    </row>
    <row r="686" spans="1:7" x14ac:dyDescent="0.25">
      <c r="A686">
        <v>2022</v>
      </c>
      <c r="B686" t="s">
        <v>213</v>
      </c>
      <c r="C686" t="s">
        <v>176</v>
      </c>
      <c r="D686" t="s">
        <v>123</v>
      </c>
      <c r="E686" t="str">
        <f>VLOOKUP(D686,'[2]Lista de Produtos CLASSIFICAÇÃO'!$E$103:$F$114,2,FALSE)</f>
        <v>Aquecidos</v>
      </c>
      <c r="F686">
        <v>3000</v>
      </c>
      <c r="G686" t="str">
        <f>VLOOKUP(Tabela1[[#This Row],[Cliente]],clientes!$C$3:$D$60,2,FALSE)</f>
        <v>AGROPALMA</v>
      </c>
    </row>
    <row r="687" spans="1:7" x14ac:dyDescent="0.25">
      <c r="A687">
        <v>2022</v>
      </c>
      <c r="B687" t="s">
        <v>214</v>
      </c>
      <c r="C687" t="s">
        <v>176</v>
      </c>
      <c r="D687" t="s">
        <v>123</v>
      </c>
      <c r="E687" t="str">
        <f>VLOOKUP(D687,'[2]Lista de Produtos CLASSIFICAÇÃO'!$E$103:$F$114,2,FALSE)</f>
        <v>Aquecidos</v>
      </c>
      <c r="F687">
        <v>3000</v>
      </c>
      <c r="G687" t="str">
        <f>VLOOKUP(Tabela1[[#This Row],[Cliente]],clientes!$C$3:$D$60,2,FALSE)</f>
        <v>AGROPALMA</v>
      </c>
    </row>
    <row r="688" spans="1:7" x14ac:dyDescent="0.25">
      <c r="A688">
        <v>2022</v>
      </c>
      <c r="B688" t="s">
        <v>215</v>
      </c>
      <c r="C688" t="s">
        <v>176</v>
      </c>
      <c r="D688" t="s">
        <v>123</v>
      </c>
      <c r="E688" t="str">
        <f>VLOOKUP(D688,'[2]Lista de Produtos CLASSIFICAÇÃO'!$E$103:$F$114,2,FALSE)</f>
        <v>Aquecidos</v>
      </c>
      <c r="F688">
        <v>3000</v>
      </c>
      <c r="G688" t="str">
        <f>VLOOKUP(Tabela1[[#This Row],[Cliente]],clientes!$C$3:$D$60,2,FALSE)</f>
        <v>AGROPALMA</v>
      </c>
    </row>
    <row r="689" spans="1:7" x14ac:dyDescent="0.25">
      <c r="A689">
        <v>2022</v>
      </c>
      <c r="B689" t="s">
        <v>230</v>
      </c>
      <c r="C689" t="s">
        <v>176</v>
      </c>
      <c r="D689" t="s">
        <v>123</v>
      </c>
      <c r="E689" t="str">
        <f>VLOOKUP(D689,'[2]Lista de Produtos CLASSIFICAÇÃO'!$E$103:$F$114,2,FALSE)</f>
        <v>Aquecidos</v>
      </c>
      <c r="F689">
        <v>3000</v>
      </c>
      <c r="G689" t="str">
        <f>VLOOKUP(Tabela1[[#This Row],[Cliente]],clientes!$C$3:$D$60,2,FALSE)</f>
        <v>AGROPALMA</v>
      </c>
    </row>
    <row r="690" spans="1:7" x14ac:dyDescent="0.25">
      <c r="A690">
        <v>2022</v>
      </c>
      <c r="B690" t="s">
        <v>231</v>
      </c>
      <c r="C690" t="s">
        <v>176</v>
      </c>
      <c r="D690" t="s">
        <v>123</v>
      </c>
      <c r="E690" t="str">
        <f>VLOOKUP(D690,'[2]Lista de Produtos CLASSIFICAÇÃO'!$E$103:$F$114,2,FALSE)</f>
        <v>Aquecidos</v>
      </c>
      <c r="F690">
        <v>3000</v>
      </c>
      <c r="G690" t="str">
        <f>VLOOKUP(Tabela1[[#This Row],[Cliente]],clientes!$C$3:$D$60,2,FALSE)</f>
        <v>AGROPALMA</v>
      </c>
    </row>
    <row r="691" spans="1:7" x14ac:dyDescent="0.25">
      <c r="A691">
        <v>2022</v>
      </c>
      <c r="B691" t="s">
        <v>226</v>
      </c>
      <c r="C691" t="s">
        <v>177</v>
      </c>
      <c r="D691" t="s">
        <v>115</v>
      </c>
      <c r="E691" t="str">
        <f>VLOOKUP(D691,'[2]Lista de Produtos CLASSIFICAÇÃO'!$E$103:$F$114,2,FALSE)</f>
        <v>Soda Caustica</v>
      </c>
      <c r="F691">
        <v>3000</v>
      </c>
      <c r="G691" t="str">
        <f>VLOOKUP(Tabela1[[#This Row],[Cliente]],clientes!$C$3:$D$60,2,FALSE)</f>
        <v>BRENNTAG</v>
      </c>
    </row>
    <row r="692" spans="1:7" x14ac:dyDescent="0.25">
      <c r="A692">
        <v>2022</v>
      </c>
      <c r="B692" t="s">
        <v>227</v>
      </c>
      <c r="C692" t="s">
        <v>177</v>
      </c>
      <c r="D692" t="s">
        <v>115</v>
      </c>
      <c r="E692" t="str">
        <f>VLOOKUP(D692,'[2]Lista de Produtos CLASSIFICAÇÃO'!$E$103:$F$114,2,FALSE)</f>
        <v>Soda Caustica</v>
      </c>
      <c r="F692">
        <v>3000</v>
      </c>
      <c r="G692" t="str">
        <f>VLOOKUP(Tabela1[[#This Row],[Cliente]],clientes!$C$3:$D$60,2,FALSE)</f>
        <v>BRENNTAG</v>
      </c>
    </row>
    <row r="693" spans="1:7" x14ac:dyDescent="0.25">
      <c r="A693">
        <v>2022</v>
      </c>
      <c r="B693" t="s">
        <v>228</v>
      </c>
      <c r="C693" t="s">
        <v>177</v>
      </c>
      <c r="D693" t="s">
        <v>115</v>
      </c>
      <c r="E693" t="str">
        <f>VLOOKUP(D693,'[2]Lista de Produtos CLASSIFICAÇÃO'!$E$103:$F$114,2,FALSE)</f>
        <v>Soda Caustica</v>
      </c>
      <c r="F693">
        <v>3000</v>
      </c>
      <c r="G693" t="str">
        <f>VLOOKUP(Tabela1[[#This Row],[Cliente]],clientes!$C$3:$D$60,2,FALSE)</f>
        <v>BRENNTAG</v>
      </c>
    </row>
    <row r="694" spans="1:7" x14ac:dyDescent="0.25">
      <c r="A694">
        <v>2022</v>
      </c>
      <c r="B694" t="s">
        <v>229</v>
      </c>
      <c r="C694" t="s">
        <v>177</v>
      </c>
      <c r="D694" t="s">
        <v>115</v>
      </c>
      <c r="E694" t="str">
        <f>VLOOKUP(D694,'[2]Lista de Produtos CLASSIFICAÇÃO'!$E$103:$F$114,2,FALSE)</f>
        <v>Soda Caustica</v>
      </c>
      <c r="F694">
        <v>3000</v>
      </c>
      <c r="G694" t="str">
        <f>VLOOKUP(Tabela1[[#This Row],[Cliente]],clientes!$C$3:$D$60,2,FALSE)</f>
        <v>BRENNTAG</v>
      </c>
    </row>
    <row r="695" spans="1:7" x14ac:dyDescent="0.25">
      <c r="A695">
        <v>2022</v>
      </c>
      <c r="B695" t="s">
        <v>210</v>
      </c>
      <c r="C695" t="s">
        <v>177</v>
      </c>
      <c r="D695" t="s">
        <v>115</v>
      </c>
      <c r="E695" t="str">
        <f>VLOOKUP(D695,'[2]Lista de Produtos CLASSIFICAÇÃO'!$E$103:$F$114,2,FALSE)</f>
        <v>Soda Caustica</v>
      </c>
      <c r="F695">
        <v>3000</v>
      </c>
      <c r="G695" t="str">
        <f>VLOOKUP(Tabela1[[#This Row],[Cliente]],clientes!$C$3:$D$60,2,FALSE)</f>
        <v>BRENNTAG</v>
      </c>
    </row>
    <row r="696" spans="1:7" x14ac:dyDescent="0.25">
      <c r="A696">
        <v>2022</v>
      </c>
      <c r="B696" t="s">
        <v>211</v>
      </c>
      <c r="C696" t="s">
        <v>177</v>
      </c>
      <c r="D696" t="s">
        <v>115</v>
      </c>
      <c r="E696" t="str">
        <f>VLOOKUP(D696,'[2]Lista de Produtos CLASSIFICAÇÃO'!$E$103:$F$114,2,FALSE)</f>
        <v>Soda Caustica</v>
      </c>
      <c r="F696">
        <v>3000</v>
      </c>
      <c r="G696" t="str">
        <f>VLOOKUP(Tabela1[[#This Row],[Cliente]],clientes!$C$3:$D$60,2,FALSE)</f>
        <v>BRENNTAG</v>
      </c>
    </row>
    <row r="697" spans="1:7" x14ac:dyDescent="0.25">
      <c r="A697">
        <v>2022</v>
      </c>
      <c r="B697" t="s">
        <v>212</v>
      </c>
      <c r="C697" t="s">
        <v>177</v>
      </c>
      <c r="D697" t="s">
        <v>115</v>
      </c>
      <c r="E697" t="str">
        <f>VLOOKUP(D697,'[2]Lista de Produtos CLASSIFICAÇÃO'!$E$103:$F$114,2,FALSE)</f>
        <v>Soda Caustica</v>
      </c>
      <c r="F697">
        <v>3000</v>
      </c>
      <c r="G697" t="str">
        <f>VLOOKUP(Tabela1[[#This Row],[Cliente]],clientes!$C$3:$D$60,2,FALSE)</f>
        <v>BRENNTAG</v>
      </c>
    </row>
    <row r="698" spans="1:7" x14ac:dyDescent="0.25">
      <c r="A698">
        <v>2022</v>
      </c>
      <c r="B698" t="s">
        <v>213</v>
      </c>
      <c r="C698" t="s">
        <v>177</v>
      </c>
      <c r="D698" t="s">
        <v>115</v>
      </c>
      <c r="E698" t="str">
        <f>VLOOKUP(D698,'[2]Lista de Produtos CLASSIFICAÇÃO'!$E$103:$F$114,2,FALSE)</f>
        <v>Soda Caustica</v>
      </c>
      <c r="F698">
        <v>3000</v>
      </c>
      <c r="G698" t="str">
        <f>VLOOKUP(Tabela1[[#This Row],[Cliente]],clientes!$C$3:$D$60,2,FALSE)</f>
        <v>BRENNTAG</v>
      </c>
    </row>
    <row r="699" spans="1:7" x14ac:dyDescent="0.25">
      <c r="A699">
        <v>2022</v>
      </c>
      <c r="B699" t="s">
        <v>214</v>
      </c>
      <c r="C699" t="s">
        <v>177</v>
      </c>
      <c r="D699" t="s">
        <v>115</v>
      </c>
      <c r="E699" t="str">
        <f>VLOOKUP(D699,'[2]Lista de Produtos CLASSIFICAÇÃO'!$E$103:$F$114,2,FALSE)</f>
        <v>Soda Caustica</v>
      </c>
      <c r="F699">
        <v>3000</v>
      </c>
      <c r="G699" t="str">
        <f>VLOOKUP(Tabela1[[#This Row],[Cliente]],clientes!$C$3:$D$60,2,FALSE)</f>
        <v>BRENNTAG</v>
      </c>
    </row>
    <row r="700" spans="1:7" x14ac:dyDescent="0.25">
      <c r="A700">
        <v>2022</v>
      </c>
      <c r="B700" t="s">
        <v>215</v>
      </c>
      <c r="C700" t="s">
        <v>177</v>
      </c>
      <c r="D700" t="s">
        <v>115</v>
      </c>
      <c r="E700" t="str">
        <f>VLOOKUP(D700,'[2]Lista de Produtos CLASSIFICAÇÃO'!$E$103:$F$114,2,FALSE)</f>
        <v>Soda Caustica</v>
      </c>
      <c r="F700">
        <v>3000</v>
      </c>
      <c r="G700" t="str">
        <f>VLOOKUP(Tabela1[[#This Row],[Cliente]],clientes!$C$3:$D$60,2,FALSE)</f>
        <v>BRENNTAG</v>
      </c>
    </row>
    <row r="701" spans="1:7" x14ac:dyDescent="0.25">
      <c r="A701">
        <v>2022</v>
      </c>
      <c r="B701" t="s">
        <v>230</v>
      </c>
      <c r="C701" t="s">
        <v>177</v>
      </c>
      <c r="D701" t="s">
        <v>115</v>
      </c>
      <c r="E701" t="str">
        <f>VLOOKUP(D701,'[2]Lista de Produtos CLASSIFICAÇÃO'!$E$103:$F$114,2,FALSE)</f>
        <v>Soda Caustica</v>
      </c>
      <c r="F701">
        <v>3000</v>
      </c>
      <c r="G701" t="str">
        <f>VLOOKUP(Tabela1[[#This Row],[Cliente]],clientes!$C$3:$D$60,2,FALSE)</f>
        <v>BRENNTAG</v>
      </c>
    </row>
    <row r="702" spans="1:7" x14ac:dyDescent="0.25">
      <c r="A702">
        <v>2022</v>
      </c>
      <c r="B702" t="s">
        <v>231</v>
      </c>
      <c r="C702" t="s">
        <v>177</v>
      </c>
      <c r="D702" t="s">
        <v>115</v>
      </c>
      <c r="E702" t="str">
        <f>VLOOKUP(D702,'[2]Lista de Produtos CLASSIFICAÇÃO'!$E$103:$F$114,2,FALSE)</f>
        <v>Soda Caustica</v>
      </c>
      <c r="F702">
        <v>3000</v>
      </c>
      <c r="G702" t="str">
        <f>VLOOKUP(Tabela1[[#This Row],[Cliente]],clientes!$C$3:$D$60,2,FALSE)</f>
        <v>BRENNTAG</v>
      </c>
    </row>
    <row r="703" spans="1:7" x14ac:dyDescent="0.25">
      <c r="A703">
        <v>2022</v>
      </c>
      <c r="B703" t="s">
        <v>227</v>
      </c>
      <c r="C703" t="s">
        <v>178</v>
      </c>
      <c r="D703" t="s">
        <v>115</v>
      </c>
      <c r="E703" t="str">
        <f>VLOOKUP(D703,'[2]Lista de Produtos CLASSIFICAÇÃO'!$E$103:$F$114,2,FALSE)</f>
        <v>Soda Caustica</v>
      </c>
      <c r="F703">
        <v>10000</v>
      </c>
      <c r="G703" t="str">
        <f>VLOOKUP(Tabela1[[#This Row],[Cliente]],clientes!$C$3:$D$60,2,FALSE)</f>
        <v>OLIN BLUE CUBE</v>
      </c>
    </row>
    <row r="704" spans="1:7" x14ac:dyDescent="0.25">
      <c r="A704">
        <v>2022</v>
      </c>
      <c r="B704" t="s">
        <v>228</v>
      </c>
      <c r="C704" t="s">
        <v>178</v>
      </c>
      <c r="D704" t="s">
        <v>115</v>
      </c>
      <c r="E704" t="str">
        <f>VLOOKUP(D704,'[2]Lista de Produtos CLASSIFICAÇÃO'!$E$103:$F$114,2,FALSE)</f>
        <v>Soda Caustica</v>
      </c>
      <c r="F704">
        <v>10000</v>
      </c>
      <c r="G704" t="str">
        <f>VLOOKUP(Tabela1[[#This Row],[Cliente]],clientes!$C$3:$D$60,2,FALSE)</f>
        <v>OLIN BLUE CUBE</v>
      </c>
    </row>
    <row r="705" spans="1:7" x14ac:dyDescent="0.25">
      <c r="A705">
        <v>2022</v>
      </c>
      <c r="B705" t="s">
        <v>229</v>
      </c>
      <c r="C705" t="s">
        <v>178</v>
      </c>
      <c r="D705" t="s">
        <v>115</v>
      </c>
      <c r="E705" t="str">
        <f>VLOOKUP(D705,'[2]Lista de Produtos CLASSIFICAÇÃO'!$E$103:$F$114,2,FALSE)</f>
        <v>Soda Caustica</v>
      </c>
      <c r="F705">
        <v>10000</v>
      </c>
      <c r="G705" t="str">
        <f>VLOOKUP(Tabela1[[#This Row],[Cliente]],clientes!$C$3:$D$60,2,FALSE)</f>
        <v>OLIN BLUE CUBE</v>
      </c>
    </row>
    <row r="706" spans="1:7" x14ac:dyDescent="0.25">
      <c r="A706">
        <v>2022</v>
      </c>
      <c r="B706" t="s">
        <v>210</v>
      </c>
      <c r="C706" t="s">
        <v>178</v>
      </c>
      <c r="D706" t="s">
        <v>115</v>
      </c>
      <c r="E706" t="str">
        <f>VLOOKUP(D706,'[2]Lista de Produtos CLASSIFICAÇÃO'!$E$103:$F$114,2,FALSE)</f>
        <v>Soda Caustica</v>
      </c>
      <c r="F706">
        <v>10000</v>
      </c>
      <c r="G706" t="str">
        <f>VLOOKUP(Tabela1[[#This Row],[Cliente]],clientes!$C$3:$D$60,2,FALSE)</f>
        <v>OLIN BLUE CUBE</v>
      </c>
    </row>
    <row r="707" spans="1:7" x14ac:dyDescent="0.25">
      <c r="A707">
        <v>2022</v>
      </c>
      <c r="B707" t="s">
        <v>211</v>
      </c>
      <c r="C707" t="s">
        <v>178</v>
      </c>
      <c r="D707" t="s">
        <v>115</v>
      </c>
      <c r="E707" t="str">
        <f>VLOOKUP(D707,'[2]Lista de Produtos CLASSIFICAÇÃO'!$E$103:$F$114,2,FALSE)</f>
        <v>Soda Caustica</v>
      </c>
      <c r="F707">
        <v>10000</v>
      </c>
      <c r="G707" t="str">
        <f>VLOOKUP(Tabela1[[#This Row],[Cliente]],clientes!$C$3:$D$60,2,FALSE)</f>
        <v>OLIN BLUE CUBE</v>
      </c>
    </row>
    <row r="708" spans="1:7" x14ac:dyDescent="0.25">
      <c r="A708">
        <v>2022</v>
      </c>
      <c r="B708" t="s">
        <v>212</v>
      </c>
      <c r="C708" t="s">
        <v>178</v>
      </c>
      <c r="D708" t="s">
        <v>115</v>
      </c>
      <c r="E708" t="str">
        <f>VLOOKUP(D708,'[2]Lista de Produtos CLASSIFICAÇÃO'!$E$103:$F$114,2,FALSE)</f>
        <v>Soda Caustica</v>
      </c>
      <c r="F708">
        <v>10000</v>
      </c>
      <c r="G708" t="str">
        <f>VLOOKUP(Tabela1[[#This Row],[Cliente]],clientes!$C$3:$D$60,2,FALSE)</f>
        <v>OLIN BLUE CUBE</v>
      </c>
    </row>
    <row r="709" spans="1:7" x14ac:dyDescent="0.25">
      <c r="A709">
        <v>2022</v>
      </c>
      <c r="B709" t="s">
        <v>213</v>
      </c>
      <c r="C709" t="s">
        <v>178</v>
      </c>
      <c r="D709" t="s">
        <v>115</v>
      </c>
      <c r="E709" t="str">
        <f>VLOOKUP(D709,'[2]Lista de Produtos CLASSIFICAÇÃO'!$E$103:$F$114,2,FALSE)</f>
        <v>Soda Caustica</v>
      </c>
      <c r="F709">
        <v>10000</v>
      </c>
      <c r="G709" t="str">
        <f>VLOOKUP(Tabela1[[#This Row],[Cliente]],clientes!$C$3:$D$60,2,FALSE)</f>
        <v>OLIN BLUE CUBE</v>
      </c>
    </row>
    <row r="710" spans="1:7" x14ac:dyDescent="0.25">
      <c r="A710">
        <v>2022</v>
      </c>
      <c r="B710" t="s">
        <v>214</v>
      </c>
      <c r="C710" t="s">
        <v>178</v>
      </c>
      <c r="D710" t="s">
        <v>115</v>
      </c>
      <c r="E710" t="str">
        <f>VLOOKUP(D710,'[2]Lista de Produtos CLASSIFICAÇÃO'!$E$103:$F$114,2,FALSE)</f>
        <v>Soda Caustica</v>
      </c>
      <c r="F710">
        <v>10000</v>
      </c>
      <c r="G710" t="str">
        <f>VLOOKUP(Tabela1[[#This Row],[Cliente]],clientes!$C$3:$D$60,2,FALSE)</f>
        <v>OLIN BLUE CUBE</v>
      </c>
    </row>
    <row r="711" spans="1:7" x14ac:dyDescent="0.25">
      <c r="A711">
        <v>2022</v>
      </c>
      <c r="B711" t="s">
        <v>215</v>
      </c>
      <c r="C711" t="s">
        <v>178</v>
      </c>
      <c r="D711" t="s">
        <v>115</v>
      </c>
      <c r="E711" t="str">
        <f>VLOOKUP(D711,'[2]Lista de Produtos CLASSIFICAÇÃO'!$E$103:$F$114,2,FALSE)</f>
        <v>Soda Caustica</v>
      </c>
      <c r="F711">
        <v>10000</v>
      </c>
      <c r="G711" t="str">
        <f>VLOOKUP(Tabela1[[#This Row],[Cliente]],clientes!$C$3:$D$60,2,FALSE)</f>
        <v>OLIN BLUE CUBE</v>
      </c>
    </row>
    <row r="712" spans="1:7" x14ac:dyDescent="0.25">
      <c r="A712">
        <v>2022</v>
      </c>
      <c r="B712" t="s">
        <v>230</v>
      </c>
      <c r="C712" t="s">
        <v>178</v>
      </c>
      <c r="D712" t="s">
        <v>115</v>
      </c>
      <c r="E712" t="str">
        <f>VLOOKUP(D712,'[2]Lista de Produtos CLASSIFICAÇÃO'!$E$103:$F$114,2,FALSE)</f>
        <v>Soda Caustica</v>
      </c>
      <c r="F712">
        <v>10000</v>
      </c>
      <c r="G712" t="str">
        <f>VLOOKUP(Tabela1[[#This Row],[Cliente]],clientes!$C$3:$D$60,2,FALSE)</f>
        <v>OLIN BLUE CUBE</v>
      </c>
    </row>
    <row r="713" spans="1:7" x14ac:dyDescent="0.25">
      <c r="A713">
        <v>2022</v>
      </c>
      <c r="B713" t="s">
        <v>231</v>
      </c>
      <c r="C713" t="s">
        <v>178</v>
      </c>
      <c r="D713" t="s">
        <v>115</v>
      </c>
      <c r="E713" t="str">
        <f>VLOOKUP(D713,'[2]Lista de Produtos CLASSIFICAÇÃO'!$E$103:$F$114,2,FALSE)</f>
        <v>Soda Caustica</v>
      </c>
      <c r="F713">
        <v>10000</v>
      </c>
      <c r="G713" t="str">
        <f>VLOOKUP(Tabela1[[#This Row],[Cliente]],clientes!$C$3:$D$60,2,FALSE)</f>
        <v>OLIN BLUE CUBE</v>
      </c>
    </row>
    <row r="714" spans="1:7" x14ac:dyDescent="0.25">
      <c r="A714">
        <v>2023</v>
      </c>
      <c r="B714" t="s">
        <v>226</v>
      </c>
      <c r="C714" t="s">
        <v>155</v>
      </c>
      <c r="D714" t="s">
        <v>16</v>
      </c>
      <c r="E714" t="str">
        <f>VLOOKUP(D714,'[2]Lista de Produtos CLASSIFICAÇÃO'!$E$103:$F$114,2,FALSE)</f>
        <v>Outros</v>
      </c>
      <c r="F714">
        <v>3600</v>
      </c>
      <c r="G714" t="str">
        <f>VLOOKUP(Tabela1[[#This Row],[Cliente]],clientes!$C$3:$D$60,2,FALSE)</f>
        <v>ADISSEO</v>
      </c>
    </row>
    <row r="715" spans="1:7" x14ac:dyDescent="0.25">
      <c r="A715">
        <v>2023</v>
      </c>
      <c r="B715" t="s">
        <v>227</v>
      </c>
      <c r="C715" t="s">
        <v>155</v>
      </c>
      <c r="D715" t="s">
        <v>16</v>
      </c>
      <c r="E715" t="str">
        <f>VLOOKUP(D715,'[2]Lista de Produtos CLASSIFICAÇÃO'!$E$103:$F$114,2,FALSE)</f>
        <v>Outros</v>
      </c>
      <c r="F715">
        <v>3600</v>
      </c>
      <c r="G715" t="str">
        <f>VLOOKUP(Tabela1[[#This Row],[Cliente]],clientes!$C$3:$D$60,2,FALSE)</f>
        <v>ADISSEO</v>
      </c>
    </row>
    <row r="716" spans="1:7" x14ac:dyDescent="0.25">
      <c r="A716">
        <v>2023</v>
      </c>
      <c r="B716" t="s">
        <v>228</v>
      </c>
      <c r="C716" t="s">
        <v>155</v>
      </c>
      <c r="D716" t="s">
        <v>16</v>
      </c>
      <c r="E716" t="str">
        <f>VLOOKUP(D716,'[2]Lista de Produtos CLASSIFICAÇÃO'!$E$103:$F$114,2,FALSE)</f>
        <v>Outros</v>
      </c>
      <c r="F716">
        <v>3600</v>
      </c>
      <c r="G716" t="str">
        <f>VLOOKUP(Tabela1[[#This Row],[Cliente]],clientes!$C$3:$D$60,2,FALSE)</f>
        <v>ADISSEO</v>
      </c>
    </row>
    <row r="717" spans="1:7" x14ac:dyDescent="0.25">
      <c r="A717">
        <v>2023</v>
      </c>
      <c r="B717" t="s">
        <v>229</v>
      </c>
      <c r="C717" t="s">
        <v>155</v>
      </c>
      <c r="D717" t="s">
        <v>16</v>
      </c>
      <c r="E717" t="str">
        <f>VLOOKUP(D717,'[2]Lista de Produtos CLASSIFICAÇÃO'!$E$103:$F$114,2,FALSE)</f>
        <v>Outros</v>
      </c>
      <c r="F717">
        <v>3600</v>
      </c>
      <c r="G717" t="str">
        <f>VLOOKUP(Tabela1[[#This Row],[Cliente]],clientes!$C$3:$D$60,2,FALSE)</f>
        <v>ADISSEO</v>
      </c>
    </row>
    <row r="718" spans="1:7" x14ac:dyDescent="0.25">
      <c r="A718">
        <v>2023</v>
      </c>
      <c r="B718" t="s">
        <v>210</v>
      </c>
      <c r="C718" t="s">
        <v>155</v>
      </c>
      <c r="D718" t="s">
        <v>16</v>
      </c>
      <c r="E718" t="str">
        <f>VLOOKUP(D718,'[2]Lista de Produtos CLASSIFICAÇÃO'!$E$103:$F$114,2,FALSE)</f>
        <v>Outros</v>
      </c>
      <c r="F718">
        <v>3600</v>
      </c>
      <c r="G718" t="str">
        <f>VLOOKUP(Tabela1[[#This Row],[Cliente]],clientes!$C$3:$D$60,2,FALSE)</f>
        <v>ADISSEO</v>
      </c>
    </row>
    <row r="719" spans="1:7" x14ac:dyDescent="0.25">
      <c r="A719">
        <v>2023</v>
      </c>
      <c r="B719" t="s">
        <v>211</v>
      </c>
      <c r="C719" t="s">
        <v>155</v>
      </c>
      <c r="D719" t="s">
        <v>16</v>
      </c>
      <c r="E719" t="str">
        <f>VLOOKUP(D719,'[2]Lista de Produtos CLASSIFICAÇÃO'!$E$103:$F$114,2,FALSE)</f>
        <v>Outros</v>
      </c>
      <c r="F719">
        <v>3600</v>
      </c>
      <c r="G719" t="str">
        <f>VLOOKUP(Tabela1[[#This Row],[Cliente]],clientes!$C$3:$D$60,2,FALSE)</f>
        <v>ADISSEO</v>
      </c>
    </row>
    <row r="720" spans="1:7" x14ac:dyDescent="0.25">
      <c r="A720">
        <v>2023</v>
      </c>
      <c r="B720" t="s">
        <v>212</v>
      </c>
      <c r="C720" t="s">
        <v>155</v>
      </c>
      <c r="D720" t="s">
        <v>16</v>
      </c>
      <c r="E720" t="str">
        <f>VLOOKUP(D720,'[2]Lista de Produtos CLASSIFICAÇÃO'!$E$103:$F$114,2,FALSE)</f>
        <v>Outros</v>
      </c>
      <c r="F720">
        <v>3600</v>
      </c>
      <c r="G720" t="str">
        <f>VLOOKUP(Tabela1[[#This Row],[Cliente]],clientes!$C$3:$D$60,2,FALSE)</f>
        <v>ADISSEO</v>
      </c>
    </row>
    <row r="721" spans="1:7" x14ac:dyDescent="0.25">
      <c r="A721">
        <v>2023</v>
      </c>
      <c r="B721" t="s">
        <v>213</v>
      </c>
      <c r="C721" t="s">
        <v>155</v>
      </c>
      <c r="D721" t="s">
        <v>16</v>
      </c>
      <c r="E721" t="str">
        <f>VLOOKUP(D721,'[2]Lista de Produtos CLASSIFICAÇÃO'!$E$103:$F$114,2,FALSE)</f>
        <v>Outros</v>
      </c>
      <c r="F721">
        <v>3600</v>
      </c>
      <c r="G721" t="str">
        <f>VLOOKUP(Tabela1[[#This Row],[Cliente]],clientes!$C$3:$D$60,2,FALSE)</f>
        <v>ADISSEO</v>
      </c>
    </row>
    <row r="722" spans="1:7" x14ac:dyDescent="0.25">
      <c r="A722">
        <v>2023</v>
      </c>
      <c r="B722" t="s">
        <v>214</v>
      </c>
      <c r="C722" t="s">
        <v>155</v>
      </c>
      <c r="D722" t="s">
        <v>16</v>
      </c>
      <c r="E722" t="str">
        <f>VLOOKUP(D722,'[2]Lista de Produtos CLASSIFICAÇÃO'!$E$103:$F$114,2,FALSE)</f>
        <v>Outros</v>
      </c>
      <c r="F722">
        <v>3600</v>
      </c>
      <c r="G722" t="str">
        <f>VLOOKUP(Tabela1[[#This Row],[Cliente]],clientes!$C$3:$D$60,2,FALSE)</f>
        <v>ADISSEO</v>
      </c>
    </row>
    <row r="723" spans="1:7" x14ac:dyDescent="0.25">
      <c r="A723">
        <v>2023</v>
      </c>
      <c r="B723" t="s">
        <v>215</v>
      </c>
      <c r="C723" t="s">
        <v>155</v>
      </c>
      <c r="D723" t="s">
        <v>16</v>
      </c>
      <c r="E723" t="str">
        <f>VLOOKUP(D723,'[2]Lista de Produtos CLASSIFICAÇÃO'!$E$103:$F$114,2,FALSE)</f>
        <v>Outros</v>
      </c>
      <c r="F723">
        <v>3600</v>
      </c>
      <c r="G723" t="str">
        <f>VLOOKUP(Tabela1[[#This Row],[Cliente]],clientes!$C$3:$D$60,2,FALSE)</f>
        <v>ADISSEO</v>
      </c>
    </row>
    <row r="724" spans="1:7" x14ac:dyDescent="0.25">
      <c r="A724">
        <v>2023</v>
      </c>
      <c r="B724" t="s">
        <v>230</v>
      </c>
      <c r="C724" t="s">
        <v>155</v>
      </c>
      <c r="D724" t="s">
        <v>16</v>
      </c>
      <c r="E724" t="str">
        <f>VLOOKUP(D724,'[2]Lista de Produtos CLASSIFICAÇÃO'!$E$103:$F$114,2,FALSE)</f>
        <v>Outros</v>
      </c>
      <c r="F724">
        <v>3600</v>
      </c>
      <c r="G724" t="str">
        <f>VLOOKUP(Tabela1[[#This Row],[Cliente]],clientes!$C$3:$D$60,2,FALSE)</f>
        <v>ADISSEO</v>
      </c>
    </row>
    <row r="725" spans="1:7" x14ac:dyDescent="0.25">
      <c r="A725">
        <v>2023</v>
      </c>
      <c r="B725" t="s">
        <v>231</v>
      </c>
      <c r="C725" t="s">
        <v>155</v>
      </c>
      <c r="D725" t="s">
        <v>16</v>
      </c>
      <c r="E725" t="str">
        <f>VLOOKUP(D725,'[2]Lista de Produtos CLASSIFICAÇÃO'!$E$103:$F$114,2,FALSE)</f>
        <v>Outros</v>
      </c>
      <c r="F725">
        <v>3600</v>
      </c>
      <c r="G725" t="str">
        <f>VLOOKUP(Tabela1[[#This Row],[Cliente]],clientes!$C$3:$D$60,2,FALSE)</f>
        <v>ADISSEO</v>
      </c>
    </row>
    <row r="726" spans="1:7" x14ac:dyDescent="0.25">
      <c r="A726">
        <v>2023</v>
      </c>
      <c r="B726" t="s">
        <v>226</v>
      </c>
      <c r="C726" t="s">
        <v>156</v>
      </c>
      <c r="D726" t="s">
        <v>123</v>
      </c>
      <c r="E726" t="str">
        <f>VLOOKUP(D726,'[2]Lista de Produtos CLASSIFICAÇÃO'!$E$103:$F$114,2,FALSE)</f>
        <v>Aquecidos</v>
      </c>
      <c r="F726">
        <v>3100</v>
      </c>
      <c r="G726" t="str">
        <f>VLOOKUP(Tabela1[[#This Row],[Cliente]],clientes!$C$3:$D$60,2,FALSE)</f>
        <v>BUNGE</v>
      </c>
    </row>
    <row r="727" spans="1:7" x14ac:dyDescent="0.25">
      <c r="A727">
        <v>2023</v>
      </c>
      <c r="B727" t="s">
        <v>227</v>
      </c>
      <c r="C727" t="s">
        <v>156</v>
      </c>
      <c r="D727" t="s">
        <v>123</v>
      </c>
      <c r="E727" t="str">
        <f>VLOOKUP(D727,'[2]Lista de Produtos CLASSIFICAÇÃO'!$E$103:$F$114,2,FALSE)</f>
        <v>Aquecidos</v>
      </c>
      <c r="F727">
        <v>3100</v>
      </c>
      <c r="G727" t="str">
        <f>VLOOKUP(Tabela1[[#This Row],[Cliente]],clientes!$C$3:$D$60,2,FALSE)</f>
        <v>BUNGE</v>
      </c>
    </row>
    <row r="728" spans="1:7" x14ac:dyDescent="0.25">
      <c r="A728">
        <v>2023</v>
      </c>
      <c r="B728" t="s">
        <v>228</v>
      </c>
      <c r="C728" t="s">
        <v>156</v>
      </c>
      <c r="D728" t="s">
        <v>123</v>
      </c>
      <c r="E728" t="str">
        <f>VLOOKUP(D728,'[2]Lista de Produtos CLASSIFICAÇÃO'!$E$103:$F$114,2,FALSE)</f>
        <v>Aquecidos</v>
      </c>
      <c r="F728">
        <v>3100</v>
      </c>
      <c r="G728" t="str">
        <f>VLOOKUP(Tabela1[[#This Row],[Cliente]],clientes!$C$3:$D$60,2,FALSE)</f>
        <v>BUNGE</v>
      </c>
    </row>
    <row r="729" spans="1:7" x14ac:dyDescent="0.25">
      <c r="A729">
        <v>2023</v>
      </c>
      <c r="B729" t="s">
        <v>229</v>
      </c>
      <c r="C729" t="s">
        <v>156</v>
      </c>
      <c r="D729" t="s">
        <v>123</v>
      </c>
      <c r="E729" t="str">
        <f>VLOOKUP(D729,'[2]Lista de Produtos CLASSIFICAÇÃO'!$E$103:$F$114,2,FALSE)</f>
        <v>Aquecidos</v>
      </c>
      <c r="F729">
        <v>3100</v>
      </c>
      <c r="G729" t="str">
        <f>VLOOKUP(Tabela1[[#This Row],[Cliente]],clientes!$C$3:$D$60,2,FALSE)</f>
        <v>BUNGE</v>
      </c>
    </row>
    <row r="730" spans="1:7" x14ac:dyDescent="0.25">
      <c r="A730">
        <v>2023</v>
      </c>
      <c r="B730" t="s">
        <v>210</v>
      </c>
      <c r="C730" t="s">
        <v>156</v>
      </c>
      <c r="D730" t="s">
        <v>123</v>
      </c>
      <c r="E730" t="str">
        <f>VLOOKUP(D730,'[2]Lista de Produtos CLASSIFICAÇÃO'!$E$103:$F$114,2,FALSE)</f>
        <v>Aquecidos</v>
      </c>
      <c r="F730">
        <v>3100</v>
      </c>
      <c r="G730" t="str">
        <f>VLOOKUP(Tabela1[[#This Row],[Cliente]],clientes!$C$3:$D$60,2,FALSE)</f>
        <v>BUNGE</v>
      </c>
    </row>
    <row r="731" spans="1:7" x14ac:dyDescent="0.25">
      <c r="A731">
        <v>2023</v>
      </c>
      <c r="B731" t="s">
        <v>211</v>
      </c>
      <c r="C731" t="s">
        <v>156</v>
      </c>
      <c r="D731" t="s">
        <v>123</v>
      </c>
      <c r="E731" t="str">
        <f>VLOOKUP(D731,'[2]Lista de Produtos CLASSIFICAÇÃO'!$E$103:$F$114,2,FALSE)</f>
        <v>Aquecidos</v>
      </c>
      <c r="F731">
        <v>3100</v>
      </c>
      <c r="G731" t="str">
        <f>VLOOKUP(Tabela1[[#This Row],[Cliente]],clientes!$C$3:$D$60,2,FALSE)</f>
        <v>BUNGE</v>
      </c>
    </row>
    <row r="732" spans="1:7" x14ac:dyDescent="0.25">
      <c r="A732">
        <v>2023</v>
      </c>
      <c r="B732" t="s">
        <v>212</v>
      </c>
      <c r="C732" t="s">
        <v>156</v>
      </c>
      <c r="D732" t="s">
        <v>123</v>
      </c>
      <c r="E732" t="str">
        <f>VLOOKUP(D732,'[2]Lista de Produtos CLASSIFICAÇÃO'!$E$103:$F$114,2,FALSE)</f>
        <v>Aquecidos</v>
      </c>
      <c r="F732">
        <v>3100</v>
      </c>
      <c r="G732" t="str">
        <f>VLOOKUP(Tabela1[[#This Row],[Cliente]],clientes!$C$3:$D$60,2,FALSE)</f>
        <v>BUNGE</v>
      </c>
    </row>
    <row r="733" spans="1:7" x14ac:dyDescent="0.25">
      <c r="A733">
        <v>2023</v>
      </c>
      <c r="B733" t="s">
        <v>213</v>
      </c>
      <c r="C733" t="s">
        <v>156</v>
      </c>
      <c r="D733" t="s">
        <v>123</v>
      </c>
      <c r="E733" t="str">
        <f>VLOOKUP(D733,'[2]Lista de Produtos CLASSIFICAÇÃO'!$E$103:$F$114,2,FALSE)</f>
        <v>Aquecidos</v>
      </c>
      <c r="F733">
        <v>3100</v>
      </c>
      <c r="G733" t="str">
        <f>VLOOKUP(Tabela1[[#This Row],[Cliente]],clientes!$C$3:$D$60,2,FALSE)</f>
        <v>BUNGE</v>
      </c>
    </row>
    <row r="734" spans="1:7" x14ac:dyDescent="0.25">
      <c r="A734">
        <v>2023</v>
      </c>
      <c r="B734" t="s">
        <v>214</v>
      </c>
      <c r="C734" t="s">
        <v>156</v>
      </c>
      <c r="D734" t="s">
        <v>123</v>
      </c>
      <c r="E734" t="str">
        <f>VLOOKUP(D734,'[2]Lista de Produtos CLASSIFICAÇÃO'!$E$103:$F$114,2,FALSE)</f>
        <v>Aquecidos</v>
      </c>
      <c r="F734">
        <v>3100</v>
      </c>
      <c r="G734" t="str">
        <f>VLOOKUP(Tabela1[[#This Row],[Cliente]],clientes!$C$3:$D$60,2,FALSE)</f>
        <v>BUNGE</v>
      </c>
    </row>
    <row r="735" spans="1:7" x14ac:dyDescent="0.25">
      <c r="A735">
        <v>2023</v>
      </c>
      <c r="B735" t="s">
        <v>215</v>
      </c>
      <c r="C735" t="s">
        <v>156</v>
      </c>
      <c r="D735" t="s">
        <v>123</v>
      </c>
      <c r="E735" t="str">
        <f>VLOOKUP(D735,'[2]Lista de Produtos CLASSIFICAÇÃO'!$E$103:$F$114,2,FALSE)</f>
        <v>Aquecidos</v>
      </c>
      <c r="F735">
        <v>3100</v>
      </c>
      <c r="G735" t="str">
        <f>VLOOKUP(Tabela1[[#This Row],[Cliente]],clientes!$C$3:$D$60,2,FALSE)</f>
        <v>BUNGE</v>
      </c>
    </row>
    <row r="736" spans="1:7" x14ac:dyDescent="0.25">
      <c r="A736">
        <v>2023</v>
      </c>
      <c r="B736" t="s">
        <v>230</v>
      </c>
      <c r="C736" t="s">
        <v>156</v>
      </c>
      <c r="D736" t="s">
        <v>123</v>
      </c>
      <c r="E736" t="str">
        <f>VLOOKUP(D736,'[2]Lista de Produtos CLASSIFICAÇÃO'!$E$103:$F$114,2,FALSE)</f>
        <v>Aquecidos</v>
      </c>
      <c r="F736">
        <v>3100</v>
      </c>
      <c r="G736" t="str">
        <f>VLOOKUP(Tabela1[[#This Row],[Cliente]],clientes!$C$3:$D$60,2,FALSE)</f>
        <v>BUNGE</v>
      </c>
    </row>
    <row r="737" spans="1:7" x14ac:dyDescent="0.25">
      <c r="A737">
        <v>2023</v>
      </c>
      <c r="B737" t="s">
        <v>231</v>
      </c>
      <c r="C737" t="s">
        <v>156</v>
      </c>
      <c r="D737" t="s">
        <v>123</v>
      </c>
      <c r="E737" t="str">
        <f>VLOOKUP(D737,'[2]Lista de Produtos CLASSIFICAÇÃO'!$E$103:$F$114,2,FALSE)</f>
        <v>Aquecidos</v>
      </c>
      <c r="F737">
        <v>3100</v>
      </c>
      <c r="G737" t="str">
        <f>VLOOKUP(Tabela1[[#This Row],[Cliente]],clientes!$C$3:$D$60,2,FALSE)</f>
        <v>BUNGE</v>
      </c>
    </row>
    <row r="738" spans="1:7" x14ac:dyDescent="0.25">
      <c r="A738">
        <v>2023</v>
      </c>
      <c r="B738" t="s">
        <v>226</v>
      </c>
      <c r="C738" t="s">
        <v>157</v>
      </c>
      <c r="D738" t="s">
        <v>122</v>
      </c>
      <c r="E738" t="str">
        <f>VLOOKUP(D738,'[2]Lista de Produtos CLASSIFICAÇÃO'!$E$103:$F$114,2,FALSE)</f>
        <v>Óleo Vegetal</v>
      </c>
      <c r="F738">
        <v>2600</v>
      </c>
      <c r="G738" t="str">
        <f>VLOOKUP(Tabela1[[#This Row],[Cliente]],clientes!$C$3:$D$60,2,FALSE)</f>
        <v>ADM</v>
      </c>
    </row>
    <row r="739" spans="1:7" x14ac:dyDescent="0.25">
      <c r="A739">
        <v>2023</v>
      </c>
      <c r="B739" t="s">
        <v>227</v>
      </c>
      <c r="C739" t="s">
        <v>157</v>
      </c>
      <c r="D739" t="s">
        <v>122</v>
      </c>
      <c r="E739" t="str">
        <f>VLOOKUP(D739,'[2]Lista de Produtos CLASSIFICAÇÃO'!$E$103:$F$114,2,FALSE)</f>
        <v>Óleo Vegetal</v>
      </c>
      <c r="F739">
        <v>2600</v>
      </c>
      <c r="G739" t="str">
        <f>VLOOKUP(Tabela1[[#This Row],[Cliente]],clientes!$C$3:$D$60,2,FALSE)</f>
        <v>ADM</v>
      </c>
    </row>
    <row r="740" spans="1:7" x14ac:dyDescent="0.25">
      <c r="A740">
        <v>2023</v>
      </c>
      <c r="B740" t="s">
        <v>228</v>
      </c>
      <c r="C740" t="s">
        <v>157</v>
      </c>
      <c r="D740" t="s">
        <v>122</v>
      </c>
      <c r="E740" t="str">
        <f>VLOOKUP(D740,'[2]Lista de Produtos CLASSIFICAÇÃO'!$E$103:$F$114,2,FALSE)</f>
        <v>Óleo Vegetal</v>
      </c>
      <c r="F740">
        <v>2600</v>
      </c>
      <c r="G740" t="str">
        <f>VLOOKUP(Tabela1[[#This Row],[Cliente]],clientes!$C$3:$D$60,2,FALSE)</f>
        <v>ADM</v>
      </c>
    </row>
    <row r="741" spans="1:7" x14ac:dyDescent="0.25">
      <c r="A741">
        <v>2023</v>
      </c>
      <c r="B741" t="s">
        <v>229</v>
      </c>
      <c r="C741" t="s">
        <v>157</v>
      </c>
      <c r="D741" t="s">
        <v>122</v>
      </c>
      <c r="E741" t="str">
        <f>VLOOKUP(D741,'[2]Lista de Produtos CLASSIFICAÇÃO'!$E$103:$F$114,2,FALSE)</f>
        <v>Óleo Vegetal</v>
      </c>
      <c r="F741">
        <v>2600</v>
      </c>
      <c r="G741" t="str">
        <f>VLOOKUP(Tabela1[[#This Row],[Cliente]],clientes!$C$3:$D$60,2,FALSE)</f>
        <v>ADM</v>
      </c>
    </row>
    <row r="742" spans="1:7" x14ac:dyDescent="0.25">
      <c r="A742">
        <v>2023</v>
      </c>
      <c r="B742" t="s">
        <v>210</v>
      </c>
      <c r="C742" t="s">
        <v>157</v>
      </c>
      <c r="D742" t="s">
        <v>122</v>
      </c>
      <c r="E742" t="str">
        <f>VLOOKUP(D742,'[2]Lista de Produtos CLASSIFICAÇÃO'!$E$103:$F$114,2,FALSE)</f>
        <v>Óleo Vegetal</v>
      </c>
      <c r="F742">
        <v>2600</v>
      </c>
      <c r="G742" t="str">
        <f>VLOOKUP(Tabela1[[#This Row],[Cliente]],clientes!$C$3:$D$60,2,FALSE)</f>
        <v>ADM</v>
      </c>
    </row>
    <row r="743" spans="1:7" x14ac:dyDescent="0.25">
      <c r="A743">
        <v>2023</v>
      </c>
      <c r="B743" t="s">
        <v>211</v>
      </c>
      <c r="C743" t="s">
        <v>157</v>
      </c>
      <c r="D743" t="s">
        <v>122</v>
      </c>
      <c r="E743" t="str">
        <f>VLOOKUP(D743,'[2]Lista de Produtos CLASSIFICAÇÃO'!$E$103:$F$114,2,FALSE)</f>
        <v>Óleo Vegetal</v>
      </c>
      <c r="F743">
        <v>2600</v>
      </c>
      <c r="G743" t="str">
        <f>VLOOKUP(Tabela1[[#This Row],[Cliente]],clientes!$C$3:$D$60,2,FALSE)</f>
        <v>ADM</v>
      </c>
    </row>
    <row r="744" spans="1:7" x14ac:dyDescent="0.25">
      <c r="A744">
        <v>2023</v>
      </c>
      <c r="B744" t="s">
        <v>212</v>
      </c>
      <c r="C744" t="s">
        <v>157</v>
      </c>
      <c r="D744" t="s">
        <v>122</v>
      </c>
      <c r="E744" t="str">
        <f>VLOOKUP(D744,'[2]Lista de Produtos CLASSIFICAÇÃO'!$E$103:$F$114,2,FALSE)</f>
        <v>Óleo Vegetal</v>
      </c>
      <c r="F744">
        <v>2600</v>
      </c>
      <c r="G744" t="str">
        <f>VLOOKUP(Tabela1[[#This Row],[Cliente]],clientes!$C$3:$D$60,2,FALSE)</f>
        <v>ADM</v>
      </c>
    </row>
    <row r="745" spans="1:7" x14ac:dyDescent="0.25">
      <c r="A745">
        <v>2023</v>
      </c>
      <c r="B745" t="s">
        <v>213</v>
      </c>
      <c r="C745" t="s">
        <v>157</v>
      </c>
      <c r="D745" t="s">
        <v>122</v>
      </c>
      <c r="E745" t="str">
        <f>VLOOKUP(D745,'[2]Lista de Produtos CLASSIFICAÇÃO'!$E$103:$F$114,2,FALSE)</f>
        <v>Óleo Vegetal</v>
      </c>
      <c r="F745">
        <v>2600</v>
      </c>
      <c r="G745" t="str">
        <f>VLOOKUP(Tabela1[[#This Row],[Cliente]],clientes!$C$3:$D$60,2,FALSE)</f>
        <v>ADM</v>
      </c>
    </row>
    <row r="746" spans="1:7" x14ac:dyDescent="0.25">
      <c r="A746">
        <v>2023</v>
      </c>
      <c r="B746" t="s">
        <v>214</v>
      </c>
      <c r="C746" t="s">
        <v>157</v>
      </c>
      <c r="D746" t="s">
        <v>122</v>
      </c>
      <c r="E746" t="str">
        <f>VLOOKUP(D746,'[2]Lista de Produtos CLASSIFICAÇÃO'!$E$103:$F$114,2,FALSE)</f>
        <v>Óleo Vegetal</v>
      </c>
      <c r="F746">
        <v>2600</v>
      </c>
      <c r="G746" t="str">
        <f>VLOOKUP(Tabela1[[#This Row],[Cliente]],clientes!$C$3:$D$60,2,FALSE)</f>
        <v>ADM</v>
      </c>
    </row>
    <row r="747" spans="1:7" x14ac:dyDescent="0.25">
      <c r="A747">
        <v>2023</v>
      </c>
      <c r="B747" t="s">
        <v>215</v>
      </c>
      <c r="C747" t="s">
        <v>157</v>
      </c>
      <c r="D747" t="s">
        <v>122</v>
      </c>
      <c r="E747" t="str">
        <f>VLOOKUP(D747,'[2]Lista de Produtos CLASSIFICAÇÃO'!$E$103:$F$114,2,FALSE)</f>
        <v>Óleo Vegetal</v>
      </c>
      <c r="F747">
        <v>2600</v>
      </c>
      <c r="G747" t="str">
        <f>VLOOKUP(Tabela1[[#This Row],[Cliente]],clientes!$C$3:$D$60,2,FALSE)</f>
        <v>ADM</v>
      </c>
    </row>
    <row r="748" spans="1:7" x14ac:dyDescent="0.25">
      <c r="A748">
        <v>2023</v>
      </c>
      <c r="B748" t="s">
        <v>230</v>
      </c>
      <c r="C748" t="s">
        <v>157</v>
      </c>
      <c r="D748" t="s">
        <v>122</v>
      </c>
      <c r="E748" t="str">
        <f>VLOOKUP(D748,'[2]Lista de Produtos CLASSIFICAÇÃO'!$E$103:$F$114,2,FALSE)</f>
        <v>Óleo Vegetal</v>
      </c>
      <c r="F748">
        <v>2600</v>
      </c>
      <c r="G748" t="str">
        <f>VLOOKUP(Tabela1[[#This Row],[Cliente]],clientes!$C$3:$D$60,2,FALSE)</f>
        <v>ADM</v>
      </c>
    </row>
    <row r="749" spans="1:7" x14ac:dyDescent="0.25">
      <c r="A749">
        <v>2023</v>
      </c>
      <c r="B749" t="s">
        <v>231</v>
      </c>
      <c r="C749" t="s">
        <v>157</v>
      </c>
      <c r="D749" t="s">
        <v>122</v>
      </c>
      <c r="E749" t="str">
        <f>VLOOKUP(D749,'[2]Lista de Produtos CLASSIFICAÇÃO'!$E$103:$F$114,2,FALSE)</f>
        <v>Óleo Vegetal</v>
      </c>
      <c r="F749">
        <v>2600</v>
      </c>
      <c r="G749" t="str">
        <f>VLOOKUP(Tabela1[[#This Row],[Cliente]],clientes!$C$3:$D$60,2,FALSE)</f>
        <v>ADM</v>
      </c>
    </row>
    <row r="750" spans="1:7" x14ac:dyDescent="0.25">
      <c r="A750">
        <v>2023</v>
      </c>
      <c r="B750" t="s">
        <v>226</v>
      </c>
      <c r="C750" t="s">
        <v>158</v>
      </c>
      <c r="D750" t="s">
        <v>120</v>
      </c>
      <c r="E750" t="str">
        <f>VLOOKUP(D750,'[2]Lista de Produtos CLASSIFICAÇÃO'!$E$103:$F$114,2,FALSE)</f>
        <v>Derivados</v>
      </c>
      <c r="F750">
        <v>74700</v>
      </c>
      <c r="G750" t="str">
        <f>VLOOKUP(Tabela1[[#This Row],[Cliente]],clientes!$C$3:$D$60,2,FALSE)</f>
        <v>IPIRANGA</v>
      </c>
    </row>
    <row r="751" spans="1:7" x14ac:dyDescent="0.25">
      <c r="A751">
        <v>2023</v>
      </c>
      <c r="B751" t="s">
        <v>227</v>
      </c>
      <c r="C751" t="s">
        <v>158</v>
      </c>
      <c r="D751" t="s">
        <v>120</v>
      </c>
      <c r="E751" t="str">
        <f>VLOOKUP(D751,'[2]Lista de Produtos CLASSIFICAÇÃO'!$E$103:$F$114,2,FALSE)</f>
        <v>Derivados</v>
      </c>
      <c r="F751">
        <v>74700</v>
      </c>
      <c r="G751" t="str">
        <f>VLOOKUP(Tabela1[[#This Row],[Cliente]],clientes!$C$3:$D$60,2,FALSE)</f>
        <v>IPIRANGA</v>
      </c>
    </row>
    <row r="752" spans="1:7" x14ac:dyDescent="0.25">
      <c r="A752">
        <v>2023</v>
      </c>
      <c r="B752" t="s">
        <v>228</v>
      </c>
      <c r="C752" t="s">
        <v>158</v>
      </c>
      <c r="D752" t="s">
        <v>120</v>
      </c>
      <c r="E752" t="str">
        <f>VLOOKUP(D752,'[2]Lista de Produtos CLASSIFICAÇÃO'!$E$103:$F$114,2,FALSE)</f>
        <v>Derivados</v>
      </c>
      <c r="F752">
        <v>74700</v>
      </c>
      <c r="G752" t="str">
        <f>VLOOKUP(Tabela1[[#This Row],[Cliente]],clientes!$C$3:$D$60,2,FALSE)</f>
        <v>IPIRANGA</v>
      </c>
    </row>
    <row r="753" spans="1:7" x14ac:dyDescent="0.25">
      <c r="A753">
        <v>2023</v>
      </c>
      <c r="B753" t="s">
        <v>229</v>
      </c>
      <c r="C753" t="s">
        <v>158</v>
      </c>
      <c r="D753" t="s">
        <v>120</v>
      </c>
      <c r="E753" t="str">
        <f>VLOOKUP(D753,'[2]Lista de Produtos CLASSIFICAÇÃO'!$E$103:$F$114,2,FALSE)</f>
        <v>Derivados</v>
      </c>
      <c r="F753">
        <v>74700</v>
      </c>
      <c r="G753" t="str">
        <f>VLOOKUP(Tabela1[[#This Row],[Cliente]],clientes!$C$3:$D$60,2,FALSE)</f>
        <v>IPIRANGA</v>
      </c>
    </row>
    <row r="754" spans="1:7" x14ac:dyDescent="0.25">
      <c r="A754">
        <v>2023</v>
      </c>
      <c r="B754" t="s">
        <v>210</v>
      </c>
      <c r="C754" t="s">
        <v>158</v>
      </c>
      <c r="D754" t="s">
        <v>120</v>
      </c>
      <c r="E754" t="str">
        <f>VLOOKUP(D754,'[2]Lista de Produtos CLASSIFICAÇÃO'!$E$103:$F$114,2,FALSE)</f>
        <v>Derivados</v>
      </c>
      <c r="F754">
        <v>74700</v>
      </c>
      <c r="G754" t="str">
        <f>VLOOKUP(Tabela1[[#This Row],[Cliente]],clientes!$C$3:$D$60,2,FALSE)</f>
        <v>IPIRANGA</v>
      </c>
    </row>
    <row r="755" spans="1:7" x14ac:dyDescent="0.25">
      <c r="A755">
        <v>2023</v>
      </c>
      <c r="B755" t="s">
        <v>211</v>
      </c>
      <c r="C755" t="s">
        <v>158</v>
      </c>
      <c r="D755" t="s">
        <v>120</v>
      </c>
      <c r="E755" t="str">
        <f>VLOOKUP(D755,'[2]Lista de Produtos CLASSIFICAÇÃO'!$E$103:$F$114,2,FALSE)</f>
        <v>Derivados</v>
      </c>
      <c r="F755">
        <v>74700</v>
      </c>
      <c r="G755" t="str">
        <f>VLOOKUP(Tabela1[[#This Row],[Cliente]],clientes!$C$3:$D$60,2,FALSE)</f>
        <v>IPIRANGA</v>
      </c>
    </row>
    <row r="756" spans="1:7" x14ac:dyDescent="0.25">
      <c r="A756">
        <v>2023</v>
      </c>
      <c r="B756" t="s">
        <v>212</v>
      </c>
      <c r="C756" t="s">
        <v>158</v>
      </c>
      <c r="D756" t="s">
        <v>120</v>
      </c>
      <c r="E756" t="str">
        <f>VLOOKUP(D756,'[2]Lista de Produtos CLASSIFICAÇÃO'!$E$103:$F$114,2,FALSE)</f>
        <v>Derivados</v>
      </c>
      <c r="F756">
        <v>74700</v>
      </c>
      <c r="G756" t="str">
        <f>VLOOKUP(Tabela1[[#This Row],[Cliente]],clientes!$C$3:$D$60,2,FALSE)</f>
        <v>IPIRANGA</v>
      </c>
    </row>
    <row r="757" spans="1:7" x14ac:dyDescent="0.25">
      <c r="A757">
        <v>2023</v>
      </c>
      <c r="B757" t="s">
        <v>213</v>
      </c>
      <c r="C757" t="s">
        <v>158</v>
      </c>
      <c r="D757" t="s">
        <v>120</v>
      </c>
      <c r="E757" t="str">
        <f>VLOOKUP(D757,'[2]Lista de Produtos CLASSIFICAÇÃO'!$E$103:$F$114,2,FALSE)</f>
        <v>Derivados</v>
      </c>
      <c r="F757">
        <v>74700</v>
      </c>
      <c r="G757" t="str">
        <f>VLOOKUP(Tabela1[[#This Row],[Cliente]],clientes!$C$3:$D$60,2,FALSE)</f>
        <v>IPIRANGA</v>
      </c>
    </row>
    <row r="758" spans="1:7" x14ac:dyDescent="0.25">
      <c r="A758">
        <v>2023</v>
      </c>
      <c r="B758" t="s">
        <v>214</v>
      </c>
      <c r="C758" t="s">
        <v>158</v>
      </c>
      <c r="D758" t="s">
        <v>120</v>
      </c>
      <c r="E758" t="str">
        <f>VLOOKUP(D758,'[2]Lista de Produtos CLASSIFICAÇÃO'!$E$103:$F$114,2,FALSE)</f>
        <v>Derivados</v>
      </c>
      <c r="F758">
        <v>74700</v>
      </c>
      <c r="G758" t="str">
        <f>VLOOKUP(Tabela1[[#This Row],[Cliente]],clientes!$C$3:$D$60,2,FALSE)</f>
        <v>IPIRANGA</v>
      </c>
    </row>
    <row r="759" spans="1:7" x14ac:dyDescent="0.25">
      <c r="A759">
        <v>2023</v>
      </c>
      <c r="B759" t="s">
        <v>215</v>
      </c>
      <c r="C759" t="s">
        <v>158</v>
      </c>
      <c r="D759" t="s">
        <v>120</v>
      </c>
      <c r="E759" t="str">
        <f>VLOOKUP(D759,'[2]Lista de Produtos CLASSIFICAÇÃO'!$E$103:$F$114,2,FALSE)</f>
        <v>Derivados</v>
      </c>
      <c r="F759">
        <v>74700</v>
      </c>
      <c r="G759" t="str">
        <f>VLOOKUP(Tabela1[[#This Row],[Cliente]],clientes!$C$3:$D$60,2,FALSE)</f>
        <v>IPIRANGA</v>
      </c>
    </row>
    <row r="760" spans="1:7" x14ac:dyDescent="0.25">
      <c r="A760">
        <v>2023</v>
      </c>
      <c r="B760" t="s">
        <v>230</v>
      </c>
      <c r="C760" t="s">
        <v>158</v>
      </c>
      <c r="D760" t="s">
        <v>120</v>
      </c>
      <c r="E760" t="str">
        <f>VLOOKUP(D760,'[2]Lista de Produtos CLASSIFICAÇÃO'!$E$103:$F$114,2,FALSE)</f>
        <v>Derivados</v>
      </c>
      <c r="F760">
        <v>74700</v>
      </c>
      <c r="G760" t="str">
        <f>VLOOKUP(Tabela1[[#This Row],[Cliente]],clientes!$C$3:$D$60,2,FALSE)</f>
        <v>IPIRANGA</v>
      </c>
    </row>
    <row r="761" spans="1:7" x14ac:dyDescent="0.25">
      <c r="A761">
        <v>2023</v>
      </c>
      <c r="B761" t="s">
        <v>231</v>
      </c>
      <c r="C761" t="s">
        <v>158</v>
      </c>
      <c r="D761" t="s">
        <v>120</v>
      </c>
      <c r="E761" t="str">
        <f>VLOOKUP(D761,'[2]Lista de Produtos CLASSIFICAÇÃO'!$E$103:$F$114,2,FALSE)</f>
        <v>Derivados</v>
      </c>
      <c r="F761">
        <v>74700</v>
      </c>
      <c r="G761" t="str">
        <f>VLOOKUP(Tabela1[[#This Row],[Cliente]],clientes!$C$3:$D$60,2,FALSE)</f>
        <v>IPIRANGA</v>
      </c>
    </row>
    <row r="762" spans="1:7" x14ac:dyDescent="0.25">
      <c r="A762">
        <v>2023</v>
      </c>
      <c r="B762" t="s">
        <v>226</v>
      </c>
      <c r="C762" t="s">
        <v>159</v>
      </c>
      <c r="D762" t="s">
        <v>120</v>
      </c>
      <c r="E762" t="str">
        <f>VLOOKUP(D762,'[2]Lista de Produtos CLASSIFICAÇÃO'!$E$103:$F$114,2,FALSE)</f>
        <v>Derivados</v>
      </c>
      <c r="F762">
        <v>49800</v>
      </c>
      <c r="G762" t="str">
        <f>VLOOKUP(Tabela1[[#This Row],[Cliente]],clientes!$C$3:$D$60,2,FALSE)</f>
        <v>RAIZEN</v>
      </c>
    </row>
    <row r="763" spans="1:7" x14ac:dyDescent="0.25">
      <c r="A763">
        <v>2023</v>
      </c>
      <c r="B763" t="s">
        <v>227</v>
      </c>
      <c r="C763" t="s">
        <v>159</v>
      </c>
      <c r="D763" t="s">
        <v>120</v>
      </c>
      <c r="E763" t="str">
        <f>VLOOKUP(D763,'[2]Lista de Produtos CLASSIFICAÇÃO'!$E$103:$F$114,2,FALSE)</f>
        <v>Derivados</v>
      </c>
      <c r="F763">
        <v>49800</v>
      </c>
      <c r="G763" t="str">
        <f>VLOOKUP(Tabela1[[#This Row],[Cliente]],clientes!$C$3:$D$60,2,FALSE)</f>
        <v>RAIZEN</v>
      </c>
    </row>
    <row r="764" spans="1:7" x14ac:dyDescent="0.25">
      <c r="A764">
        <v>2023</v>
      </c>
      <c r="B764" t="s">
        <v>228</v>
      </c>
      <c r="C764" t="s">
        <v>159</v>
      </c>
      <c r="D764" t="s">
        <v>120</v>
      </c>
      <c r="E764" t="str">
        <f>VLOOKUP(D764,'[2]Lista de Produtos CLASSIFICAÇÃO'!$E$103:$F$114,2,FALSE)</f>
        <v>Derivados</v>
      </c>
      <c r="F764">
        <v>49800</v>
      </c>
      <c r="G764" t="str">
        <f>VLOOKUP(Tabela1[[#This Row],[Cliente]],clientes!$C$3:$D$60,2,FALSE)</f>
        <v>RAIZEN</v>
      </c>
    </row>
    <row r="765" spans="1:7" x14ac:dyDescent="0.25">
      <c r="A765">
        <v>2023</v>
      </c>
      <c r="B765" t="s">
        <v>229</v>
      </c>
      <c r="C765" t="s">
        <v>159</v>
      </c>
      <c r="D765" t="s">
        <v>120</v>
      </c>
      <c r="E765" t="str">
        <f>VLOOKUP(D765,'[2]Lista de Produtos CLASSIFICAÇÃO'!$E$103:$F$114,2,FALSE)</f>
        <v>Derivados</v>
      </c>
      <c r="F765">
        <v>49800</v>
      </c>
      <c r="G765" t="str">
        <f>VLOOKUP(Tabela1[[#This Row],[Cliente]],clientes!$C$3:$D$60,2,FALSE)</f>
        <v>RAIZEN</v>
      </c>
    </row>
    <row r="766" spans="1:7" x14ac:dyDescent="0.25">
      <c r="A766">
        <v>2023</v>
      </c>
      <c r="B766" t="s">
        <v>210</v>
      </c>
      <c r="C766" t="s">
        <v>159</v>
      </c>
      <c r="D766" t="s">
        <v>120</v>
      </c>
      <c r="E766" t="str">
        <f>VLOOKUP(D766,'[2]Lista de Produtos CLASSIFICAÇÃO'!$E$103:$F$114,2,FALSE)</f>
        <v>Derivados</v>
      </c>
      <c r="F766">
        <v>49800</v>
      </c>
      <c r="G766" t="str">
        <f>VLOOKUP(Tabela1[[#This Row],[Cliente]],clientes!$C$3:$D$60,2,FALSE)</f>
        <v>RAIZEN</v>
      </c>
    </row>
    <row r="767" spans="1:7" x14ac:dyDescent="0.25">
      <c r="A767">
        <v>2023</v>
      </c>
      <c r="B767" t="s">
        <v>211</v>
      </c>
      <c r="C767" t="s">
        <v>159</v>
      </c>
      <c r="D767" t="s">
        <v>120</v>
      </c>
      <c r="E767" t="str">
        <f>VLOOKUP(D767,'[2]Lista de Produtos CLASSIFICAÇÃO'!$E$103:$F$114,2,FALSE)</f>
        <v>Derivados</v>
      </c>
      <c r="F767">
        <v>49800</v>
      </c>
      <c r="G767" t="str">
        <f>VLOOKUP(Tabela1[[#This Row],[Cliente]],clientes!$C$3:$D$60,2,FALSE)</f>
        <v>RAIZEN</v>
      </c>
    </row>
    <row r="768" spans="1:7" x14ac:dyDescent="0.25">
      <c r="A768">
        <v>2023</v>
      </c>
      <c r="B768" t="s">
        <v>212</v>
      </c>
      <c r="C768" t="s">
        <v>159</v>
      </c>
      <c r="D768" t="s">
        <v>120</v>
      </c>
      <c r="E768" t="str">
        <f>VLOOKUP(D768,'[2]Lista de Produtos CLASSIFICAÇÃO'!$E$103:$F$114,2,FALSE)</f>
        <v>Derivados</v>
      </c>
      <c r="F768">
        <v>49800</v>
      </c>
      <c r="G768" t="str">
        <f>VLOOKUP(Tabela1[[#This Row],[Cliente]],clientes!$C$3:$D$60,2,FALSE)</f>
        <v>RAIZEN</v>
      </c>
    </row>
    <row r="769" spans="1:7" x14ac:dyDescent="0.25">
      <c r="A769">
        <v>2023</v>
      </c>
      <c r="B769" t="s">
        <v>213</v>
      </c>
      <c r="C769" t="s">
        <v>159</v>
      </c>
      <c r="D769" t="s">
        <v>120</v>
      </c>
      <c r="E769" t="str">
        <f>VLOOKUP(D769,'[2]Lista de Produtos CLASSIFICAÇÃO'!$E$103:$F$114,2,FALSE)</f>
        <v>Derivados</v>
      </c>
      <c r="F769">
        <v>49800</v>
      </c>
      <c r="G769" t="str">
        <f>VLOOKUP(Tabela1[[#This Row],[Cliente]],clientes!$C$3:$D$60,2,FALSE)</f>
        <v>RAIZEN</v>
      </c>
    </row>
    <row r="770" spans="1:7" x14ac:dyDescent="0.25">
      <c r="A770">
        <v>2023</v>
      </c>
      <c r="B770" t="s">
        <v>214</v>
      </c>
      <c r="C770" t="s">
        <v>159</v>
      </c>
      <c r="D770" t="s">
        <v>120</v>
      </c>
      <c r="E770" t="str">
        <f>VLOOKUP(D770,'[2]Lista de Produtos CLASSIFICAÇÃO'!$E$103:$F$114,2,FALSE)</f>
        <v>Derivados</v>
      </c>
      <c r="F770">
        <v>49800</v>
      </c>
      <c r="G770" t="str">
        <f>VLOOKUP(Tabela1[[#This Row],[Cliente]],clientes!$C$3:$D$60,2,FALSE)</f>
        <v>RAIZEN</v>
      </c>
    </row>
    <row r="771" spans="1:7" x14ac:dyDescent="0.25">
      <c r="A771">
        <v>2023</v>
      </c>
      <c r="B771" t="s">
        <v>215</v>
      </c>
      <c r="C771" t="s">
        <v>159</v>
      </c>
      <c r="D771" t="s">
        <v>120</v>
      </c>
      <c r="E771" t="str">
        <f>VLOOKUP(D771,'[2]Lista de Produtos CLASSIFICAÇÃO'!$E$103:$F$114,2,FALSE)</f>
        <v>Derivados</v>
      </c>
      <c r="F771">
        <v>49800</v>
      </c>
      <c r="G771" t="str">
        <f>VLOOKUP(Tabela1[[#This Row],[Cliente]],clientes!$C$3:$D$60,2,FALSE)</f>
        <v>RAIZEN</v>
      </c>
    </row>
    <row r="772" spans="1:7" x14ac:dyDescent="0.25">
      <c r="A772">
        <v>2023</v>
      </c>
      <c r="B772" t="s">
        <v>230</v>
      </c>
      <c r="C772" t="s">
        <v>159</v>
      </c>
      <c r="D772" t="s">
        <v>120</v>
      </c>
      <c r="E772" t="str">
        <f>VLOOKUP(D772,'[2]Lista de Produtos CLASSIFICAÇÃO'!$E$103:$F$114,2,FALSE)</f>
        <v>Derivados</v>
      </c>
      <c r="F772">
        <v>49800</v>
      </c>
      <c r="G772" t="str">
        <f>VLOOKUP(Tabela1[[#This Row],[Cliente]],clientes!$C$3:$D$60,2,FALSE)</f>
        <v>RAIZEN</v>
      </c>
    </row>
    <row r="773" spans="1:7" x14ac:dyDescent="0.25">
      <c r="A773">
        <v>2023</v>
      </c>
      <c r="B773" t="s">
        <v>231</v>
      </c>
      <c r="C773" t="s">
        <v>159</v>
      </c>
      <c r="D773" t="s">
        <v>120</v>
      </c>
      <c r="E773" t="str">
        <f>VLOOKUP(D773,'[2]Lista de Produtos CLASSIFICAÇÃO'!$E$103:$F$114,2,FALSE)</f>
        <v>Derivados</v>
      </c>
      <c r="F773">
        <v>49800</v>
      </c>
      <c r="G773" t="str">
        <f>VLOOKUP(Tabela1[[#This Row],[Cliente]],clientes!$C$3:$D$60,2,FALSE)</f>
        <v>RAIZEN</v>
      </c>
    </row>
    <row r="774" spans="1:7" x14ac:dyDescent="0.25">
      <c r="A774">
        <v>2023</v>
      </c>
      <c r="B774" t="s">
        <v>226</v>
      </c>
      <c r="C774" t="s">
        <v>160</v>
      </c>
      <c r="D774" t="s">
        <v>120</v>
      </c>
      <c r="E774" t="str">
        <f>VLOOKUP(D774,'[2]Lista de Produtos CLASSIFICAÇÃO'!$E$103:$F$114,2,FALSE)</f>
        <v>Derivados</v>
      </c>
      <c r="F774">
        <v>16600</v>
      </c>
      <c r="G774" t="str">
        <f>VLOOKUP(Tabela1[[#This Row],[Cliente]],clientes!$C$3:$D$60,2,FALSE)</f>
        <v>VIBRA</v>
      </c>
    </row>
    <row r="775" spans="1:7" x14ac:dyDescent="0.25">
      <c r="A775">
        <v>2023</v>
      </c>
      <c r="B775" t="s">
        <v>227</v>
      </c>
      <c r="C775" t="s">
        <v>160</v>
      </c>
      <c r="D775" t="s">
        <v>120</v>
      </c>
      <c r="E775" t="str">
        <f>VLOOKUP(D775,'[2]Lista de Produtos CLASSIFICAÇÃO'!$E$103:$F$114,2,FALSE)</f>
        <v>Derivados</v>
      </c>
      <c r="F775">
        <v>16600</v>
      </c>
      <c r="G775" t="str">
        <f>VLOOKUP(Tabela1[[#This Row],[Cliente]],clientes!$C$3:$D$60,2,FALSE)</f>
        <v>VIBRA</v>
      </c>
    </row>
    <row r="776" spans="1:7" x14ac:dyDescent="0.25">
      <c r="A776">
        <v>2023</v>
      </c>
      <c r="B776" t="s">
        <v>228</v>
      </c>
      <c r="C776" t="s">
        <v>160</v>
      </c>
      <c r="D776" t="s">
        <v>120</v>
      </c>
      <c r="E776" t="str">
        <f>VLOOKUP(D776,'[2]Lista de Produtos CLASSIFICAÇÃO'!$E$103:$F$114,2,FALSE)</f>
        <v>Derivados</v>
      </c>
      <c r="F776">
        <v>16600</v>
      </c>
      <c r="G776" t="str">
        <f>VLOOKUP(Tabela1[[#This Row],[Cliente]],clientes!$C$3:$D$60,2,FALSE)</f>
        <v>VIBRA</v>
      </c>
    </row>
    <row r="777" spans="1:7" x14ac:dyDescent="0.25">
      <c r="A777">
        <v>2023</v>
      </c>
      <c r="B777" t="s">
        <v>229</v>
      </c>
      <c r="C777" t="s">
        <v>160</v>
      </c>
      <c r="D777" t="s">
        <v>120</v>
      </c>
      <c r="E777" t="str">
        <f>VLOOKUP(D777,'[2]Lista de Produtos CLASSIFICAÇÃO'!$E$103:$F$114,2,FALSE)</f>
        <v>Derivados</v>
      </c>
      <c r="F777">
        <v>16600</v>
      </c>
      <c r="G777" t="str">
        <f>VLOOKUP(Tabela1[[#This Row],[Cliente]],clientes!$C$3:$D$60,2,FALSE)</f>
        <v>VIBRA</v>
      </c>
    </row>
    <row r="778" spans="1:7" x14ac:dyDescent="0.25">
      <c r="A778">
        <v>2023</v>
      </c>
      <c r="B778" t="s">
        <v>210</v>
      </c>
      <c r="C778" t="s">
        <v>160</v>
      </c>
      <c r="D778" t="s">
        <v>120</v>
      </c>
      <c r="E778" t="str">
        <f>VLOOKUP(D778,'[2]Lista de Produtos CLASSIFICAÇÃO'!$E$103:$F$114,2,FALSE)</f>
        <v>Derivados</v>
      </c>
      <c r="F778">
        <v>16600</v>
      </c>
      <c r="G778" t="str">
        <f>VLOOKUP(Tabela1[[#This Row],[Cliente]],clientes!$C$3:$D$60,2,FALSE)</f>
        <v>VIBRA</v>
      </c>
    </row>
    <row r="779" spans="1:7" x14ac:dyDescent="0.25">
      <c r="A779">
        <v>2023</v>
      </c>
      <c r="B779" t="s">
        <v>211</v>
      </c>
      <c r="C779" t="s">
        <v>160</v>
      </c>
      <c r="D779" t="s">
        <v>120</v>
      </c>
      <c r="E779" t="str">
        <f>VLOOKUP(D779,'[2]Lista de Produtos CLASSIFICAÇÃO'!$E$103:$F$114,2,FALSE)</f>
        <v>Derivados</v>
      </c>
      <c r="F779">
        <v>16600</v>
      </c>
      <c r="G779" t="str">
        <f>VLOOKUP(Tabela1[[#This Row],[Cliente]],clientes!$C$3:$D$60,2,FALSE)</f>
        <v>VIBRA</v>
      </c>
    </row>
    <row r="780" spans="1:7" x14ac:dyDescent="0.25">
      <c r="A780">
        <v>2023</v>
      </c>
      <c r="B780" t="s">
        <v>212</v>
      </c>
      <c r="C780" t="s">
        <v>160</v>
      </c>
      <c r="D780" t="s">
        <v>120</v>
      </c>
      <c r="E780" t="str">
        <f>VLOOKUP(D780,'[2]Lista de Produtos CLASSIFICAÇÃO'!$E$103:$F$114,2,FALSE)</f>
        <v>Derivados</v>
      </c>
      <c r="F780">
        <v>16600</v>
      </c>
      <c r="G780" t="str">
        <f>VLOOKUP(Tabela1[[#This Row],[Cliente]],clientes!$C$3:$D$60,2,FALSE)</f>
        <v>VIBRA</v>
      </c>
    </row>
    <row r="781" spans="1:7" x14ac:dyDescent="0.25">
      <c r="A781">
        <v>2023</v>
      </c>
      <c r="B781" t="s">
        <v>213</v>
      </c>
      <c r="C781" t="s">
        <v>160</v>
      </c>
      <c r="D781" t="s">
        <v>120</v>
      </c>
      <c r="E781" t="str">
        <f>VLOOKUP(D781,'[2]Lista de Produtos CLASSIFICAÇÃO'!$E$103:$F$114,2,FALSE)</f>
        <v>Derivados</v>
      </c>
      <c r="F781">
        <v>16600</v>
      </c>
      <c r="G781" t="str">
        <f>VLOOKUP(Tabela1[[#This Row],[Cliente]],clientes!$C$3:$D$60,2,FALSE)</f>
        <v>VIBRA</v>
      </c>
    </row>
    <row r="782" spans="1:7" x14ac:dyDescent="0.25">
      <c r="A782">
        <v>2023</v>
      </c>
      <c r="B782" t="s">
        <v>214</v>
      </c>
      <c r="C782" t="s">
        <v>160</v>
      </c>
      <c r="D782" t="s">
        <v>120</v>
      </c>
      <c r="E782" t="str">
        <f>VLOOKUP(D782,'[2]Lista de Produtos CLASSIFICAÇÃO'!$E$103:$F$114,2,FALSE)</f>
        <v>Derivados</v>
      </c>
      <c r="F782">
        <v>16600</v>
      </c>
      <c r="G782" t="str">
        <f>VLOOKUP(Tabela1[[#This Row],[Cliente]],clientes!$C$3:$D$60,2,FALSE)</f>
        <v>VIBRA</v>
      </c>
    </row>
    <row r="783" spans="1:7" x14ac:dyDescent="0.25">
      <c r="A783">
        <v>2023</v>
      </c>
      <c r="B783" t="s">
        <v>215</v>
      </c>
      <c r="C783" t="s">
        <v>160</v>
      </c>
      <c r="D783" t="s">
        <v>120</v>
      </c>
      <c r="E783" t="str">
        <f>VLOOKUP(D783,'[2]Lista de Produtos CLASSIFICAÇÃO'!$E$103:$F$114,2,FALSE)</f>
        <v>Derivados</v>
      </c>
      <c r="F783">
        <v>16600</v>
      </c>
      <c r="G783" t="str">
        <f>VLOOKUP(Tabela1[[#This Row],[Cliente]],clientes!$C$3:$D$60,2,FALSE)</f>
        <v>VIBRA</v>
      </c>
    </row>
    <row r="784" spans="1:7" x14ac:dyDescent="0.25">
      <c r="A784">
        <v>2023</v>
      </c>
      <c r="B784" t="s">
        <v>230</v>
      </c>
      <c r="C784" t="s">
        <v>160</v>
      </c>
      <c r="D784" t="s">
        <v>120</v>
      </c>
      <c r="E784" t="str">
        <f>VLOOKUP(D784,'[2]Lista de Produtos CLASSIFICAÇÃO'!$E$103:$F$114,2,FALSE)</f>
        <v>Derivados</v>
      </c>
      <c r="F784">
        <v>16600</v>
      </c>
      <c r="G784" t="str">
        <f>VLOOKUP(Tabela1[[#This Row],[Cliente]],clientes!$C$3:$D$60,2,FALSE)</f>
        <v>VIBRA</v>
      </c>
    </row>
    <row r="785" spans="1:7" x14ac:dyDescent="0.25">
      <c r="A785">
        <v>2023</v>
      </c>
      <c r="B785" t="s">
        <v>231</v>
      </c>
      <c r="C785" t="s">
        <v>160</v>
      </c>
      <c r="D785" t="s">
        <v>120</v>
      </c>
      <c r="E785" t="str">
        <f>VLOOKUP(D785,'[2]Lista de Produtos CLASSIFICAÇÃO'!$E$103:$F$114,2,FALSE)</f>
        <v>Derivados</v>
      </c>
      <c r="F785">
        <v>16600</v>
      </c>
      <c r="G785" t="str">
        <f>VLOOKUP(Tabela1[[#This Row],[Cliente]],clientes!$C$3:$D$60,2,FALSE)</f>
        <v>VIBRA</v>
      </c>
    </row>
    <row r="786" spans="1:7" x14ac:dyDescent="0.25">
      <c r="A786">
        <v>2023</v>
      </c>
      <c r="B786" t="s">
        <v>226</v>
      </c>
      <c r="C786" t="s">
        <v>161</v>
      </c>
      <c r="D786" t="s">
        <v>120</v>
      </c>
      <c r="E786" t="str">
        <f>VLOOKUP(D786,'[2]Lista de Produtos CLASSIFICAÇÃO'!$E$103:$F$114,2,FALSE)</f>
        <v>Derivados</v>
      </c>
      <c r="F786">
        <v>24900</v>
      </c>
      <c r="G786" t="str">
        <f>VLOOKUP(Tabela1[[#This Row],[Cliente]],clientes!$C$3:$D$60,2,FALSE)</f>
        <v>SUL PLATA</v>
      </c>
    </row>
    <row r="787" spans="1:7" x14ac:dyDescent="0.25">
      <c r="A787">
        <v>2023</v>
      </c>
      <c r="B787" t="s">
        <v>227</v>
      </c>
      <c r="C787" t="s">
        <v>161</v>
      </c>
      <c r="D787" t="s">
        <v>120</v>
      </c>
      <c r="E787" t="str">
        <f>VLOOKUP(D787,'[2]Lista de Produtos CLASSIFICAÇÃO'!$E$103:$F$114,2,FALSE)</f>
        <v>Derivados</v>
      </c>
      <c r="F787">
        <v>24900</v>
      </c>
      <c r="G787" t="str">
        <f>VLOOKUP(Tabela1[[#This Row],[Cliente]],clientes!$C$3:$D$60,2,FALSE)</f>
        <v>SUL PLATA</v>
      </c>
    </row>
    <row r="788" spans="1:7" x14ac:dyDescent="0.25">
      <c r="A788">
        <v>2023</v>
      </c>
      <c r="B788" t="s">
        <v>228</v>
      </c>
      <c r="C788" t="s">
        <v>161</v>
      </c>
      <c r="D788" t="s">
        <v>120</v>
      </c>
      <c r="E788" t="str">
        <f>VLOOKUP(D788,'[2]Lista de Produtos CLASSIFICAÇÃO'!$E$103:$F$114,2,FALSE)</f>
        <v>Derivados</v>
      </c>
      <c r="F788">
        <v>24900</v>
      </c>
      <c r="G788" t="str">
        <f>VLOOKUP(Tabela1[[#This Row],[Cliente]],clientes!$C$3:$D$60,2,FALSE)</f>
        <v>SUL PLATA</v>
      </c>
    </row>
    <row r="789" spans="1:7" x14ac:dyDescent="0.25">
      <c r="A789">
        <v>2023</v>
      </c>
      <c r="B789" t="s">
        <v>229</v>
      </c>
      <c r="C789" t="s">
        <v>161</v>
      </c>
      <c r="D789" t="s">
        <v>120</v>
      </c>
      <c r="E789" t="str">
        <f>VLOOKUP(D789,'[2]Lista de Produtos CLASSIFICAÇÃO'!$E$103:$F$114,2,FALSE)</f>
        <v>Derivados</v>
      </c>
      <c r="F789">
        <v>24900</v>
      </c>
      <c r="G789" t="str">
        <f>VLOOKUP(Tabela1[[#This Row],[Cliente]],clientes!$C$3:$D$60,2,FALSE)</f>
        <v>SUL PLATA</v>
      </c>
    </row>
    <row r="790" spans="1:7" x14ac:dyDescent="0.25">
      <c r="A790">
        <v>2023</v>
      </c>
      <c r="B790" t="s">
        <v>210</v>
      </c>
      <c r="C790" t="s">
        <v>161</v>
      </c>
      <c r="D790" t="s">
        <v>120</v>
      </c>
      <c r="E790" t="str">
        <f>VLOOKUP(D790,'[2]Lista de Produtos CLASSIFICAÇÃO'!$E$103:$F$114,2,FALSE)</f>
        <v>Derivados</v>
      </c>
      <c r="F790">
        <v>24900</v>
      </c>
      <c r="G790" t="str">
        <f>VLOOKUP(Tabela1[[#This Row],[Cliente]],clientes!$C$3:$D$60,2,FALSE)</f>
        <v>SUL PLATA</v>
      </c>
    </row>
    <row r="791" spans="1:7" x14ac:dyDescent="0.25">
      <c r="A791">
        <v>2023</v>
      </c>
      <c r="B791" t="s">
        <v>211</v>
      </c>
      <c r="C791" t="s">
        <v>161</v>
      </c>
      <c r="D791" t="s">
        <v>120</v>
      </c>
      <c r="E791" t="str">
        <f>VLOOKUP(D791,'[2]Lista de Produtos CLASSIFICAÇÃO'!$E$103:$F$114,2,FALSE)</f>
        <v>Derivados</v>
      </c>
      <c r="F791">
        <v>24900</v>
      </c>
      <c r="G791" t="str">
        <f>VLOOKUP(Tabela1[[#This Row],[Cliente]],clientes!$C$3:$D$60,2,FALSE)</f>
        <v>SUL PLATA</v>
      </c>
    </row>
    <row r="792" spans="1:7" x14ac:dyDescent="0.25">
      <c r="A792">
        <v>2023</v>
      </c>
      <c r="B792" t="s">
        <v>212</v>
      </c>
      <c r="C792" t="s">
        <v>161</v>
      </c>
      <c r="D792" t="s">
        <v>120</v>
      </c>
      <c r="E792" t="str">
        <f>VLOOKUP(D792,'[2]Lista de Produtos CLASSIFICAÇÃO'!$E$103:$F$114,2,FALSE)</f>
        <v>Derivados</v>
      </c>
      <c r="F792">
        <v>24900</v>
      </c>
      <c r="G792" t="str">
        <f>VLOOKUP(Tabela1[[#This Row],[Cliente]],clientes!$C$3:$D$60,2,FALSE)</f>
        <v>SUL PLATA</v>
      </c>
    </row>
    <row r="793" spans="1:7" x14ac:dyDescent="0.25">
      <c r="A793">
        <v>2023</v>
      </c>
      <c r="B793" t="s">
        <v>213</v>
      </c>
      <c r="C793" t="s">
        <v>161</v>
      </c>
      <c r="D793" t="s">
        <v>120</v>
      </c>
      <c r="E793" t="str">
        <f>VLOOKUP(D793,'[2]Lista de Produtos CLASSIFICAÇÃO'!$E$103:$F$114,2,FALSE)</f>
        <v>Derivados</v>
      </c>
      <c r="F793">
        <v>24900</v>
      </c>
      <c r="G793" t="str">
        <f>VLOOKUP(Tabela1[[#This Row],[Cliente]],clientes!$C$3:$D$60,2,FALSE)</f>
        <v>SUL PLATA</v>
      </c>
    </row>
    <row r="794" spans="1:7" x14ac:dyDescent="0.25">
      <c r="A794">
        <v>2023</v>
      </c>
      <c r="B794" t="s">
        <v>214</v>
      </c>
      <c r="C794" t="s">
        <v>161</v>
      </c>
      <c r="D794" t="s">
        <v>120</v>
      </c>
      <c r="E794" t="str">
        <f>VLOOKUP(D794,'[2]Lista de Produtos CLASSIFICAÇÃO'!$E$103:$F$114,2,FALSE)</f>
        <v>Derivados</v>
      </c>
      <c r="F794">
        <v>24900</v>
      </c>
      <c r="G794" t="str">
        <f>VLOOKUP(Tabela1[[#This Row],[Cliente]],clientes!$C$3:$D$60,2,FALSE)</f>
        <v>SUL PLATA</v>
      </c>
    </row>
    <row r="795" spans="1:7" x14ac:dyDescent="0.25">
      <c r="A795">
        <v>2023</v>
      </c>
      <c r="B795" t="s">
        <v>215</v>
      </c>
      <c r="C795" t="s">
        <v>161</v>
      </c>
      <c r="D795" t="s">
        <v>120</v>
      </c>
      <c r="E795" t="str">
        <f>VLOOKUP(D795,'[2]Lista de Produtos CLASSIFICAÇÃO'!$E$103:$F$114,2,FALSE)</f>
        <v>Derivados</v>
      </c>
      <c r="F795">
        <v>24900</v>
      </c>
      <c r="G795" t="str">
        <f>VLOOKUP(Tabela1[[#This Row],[Cliente]],clientes!$C$3:$D$60,2,FALSE)</f>
        <v>SUL PLATA</v>
      </c>
    </row>
    <row r="796" spans="1:7" x14ac:dyDescent="0.25">
      <c r="A796">
        <v>2023</v>
      </c>
      <c r="B796" t="s">
        <v>230</v>
      </c>
      <c r="C796" t="s">
        <v>161</v>
      </c>
      <c r="D796" t="s">
        <v>120</v>
      </c>
      <c r="E796" t="str">
        <f>VLOOKUP(D796,'[2]Lista de Produtos CLASSIFICAÇÃO'!$E$103:$F$114,2,FALSE)</f>
        <v>Derivados</v>
      </c>
      <c r="F796">
        <v>24900</v>
      </c>
      <c r="G796" t="str">
        <f>VLOOKUP(Tabela1[[#This Row],[Cliente]],clientes!$C$3:$D$60,2,FALSE)</f>
        <v>SUL PLATA</v>
      </c>
    </row>
    <row r="797" spans="1:7" x14ac:dyDescent="0.25">
      <c r="A797">
        <v>2023</v>
      </c>
      <c r="B797" t="s">
        <v>231</v>
      </c>
      <c r="C797" t="s">
        <v>161</v>
      </c>
      <c r="D797" t="s">
        <v>120</v>
      </c>
      <c r="E797" t="str">
        <f>VLOOKUP(D797,'[2]Lista de Produtos CLASSIFICAÇÃO'!$E$103:$F$114,2,FALSE)</f>
        <v>Derivados</v>
      </c>
      <c r="F797">
        <v>24900</v>
      </c>
      <c r="G797" t="str">
        <f>VLOOKUP(Tabela1[[#This Row],[Cliente]],clientes!$C$3:$D$60,2,FALSE)</f>
        <v>SUL PLATA</v>
      </c>
    </row>
    <row r="798" spans="1:7" x14ac:dyDescent="0.25">
      <c r="A798">
        <v>2023</v>
      </c>
      <c r="B798" t="s">
        <v>226</v>
      </c>
      <c r="C798" t="s">
        <v>195</v>
      </c>
      <c r="D798" t="s">
        <v>115</v>
      </c>
      <c r="E798" t="str">
        <f>VLOOKUP(D798,'[2]Lista de Produtos CLASSIFICAÇÃO'!$E$103:$F$114,2,FALSE)</f>
        <v>Soda Caustica</v>
      </c>
      <c r="F798">
        <v>1000</v>
      </c>
      <c r="G798" t="str">
        <f>VLOOKUP(Tabela1[[#This Row],[Cliente]],clientes!$C$3:$D$60,2,FALSE)</f>
        <v>PROJESAN</v>
      </c>
    </row>
    <row r="799" spans="1:7" x14ac:dyDescent="0.25">
      <c r="A799">
        <v>2023</v>
      </c>
      <c r="B799" t="s">
        <v>228</v>
      </c>
      <c r="C799" t="s">
        <v>195</v>
      </c>
      <c r="D799" t="s">
        <v>115</v>
      </c>
      <c r="E799" t="str">
        <f>VLOOKUP(D799,'[2]Lista de Produtos CLASSIFICAÇÃO'!$E$103:$F$114,2,FALSE)</f>
        <v>Soda Caustica</v>
      </c>
      <c r="F799">
        <v>1000</v>
      </c>
      <c r="G799" t="str">
        <f>VLOOKUP(Tabela1[[#This Row],[Cliente]],clientes!$C$3:$D$60,2,FALSE)</f>
        <v>PROJESAN</v>
      </c>
    </row>
    <row r="800" spans="1:7" x14ac:dyDescent="0.25">
      <c r="A800">
        <v>2023</v>
      </c>
      <c r="B800" t="s">
        <v>210</v>
      </c>
      <c r="C800" t="s">
        <v>195</v>
      </c>
      <c r="D800" t="s">
        <v>115</v>
      </c>
      <c r="E800" t="str">
        <f>VLOOKUP(D800,'[2]Lista de Produtos CLASSIFICAÇÃO'!$E$103:$F$114,2,FALSE)</f>
        <v>Soda Caustica</v>
      </c>
      <c r="F800">
        <v>1000</v>
      </c>
      <c r="G800" t="str">
        <f>VLOOKUP(Tabela1[[#This Row],[Cliente]],clientes!$C$3:$D$60,2,FALSE)</f>
        <v>PROJESAN</v>
      </c>
    </row>
    <row r="801" spans="1:7" x14ac:dyDescent="0.25">
      <c r="A801">
        <v>2023</v>
      </c>
      <c r="B801" t="s">
        <v>212</v>
      </c>
      <c r="C801" t="s">
        <v>195</v>
      </c>
      <c r="D801" t="s">
        <v>115</v>
      </c>
      <c r="E801" t="str">
        <f>VLOOKUP(D801,'[2]Lista de Produtos CLASSIFICAÇÃO'!$E$103:$F$114,2,FALSE)</f>
        <v>Soda Caustica</v>
      </c>
      <c r="F801">
        <v>1000</v>
      </c>
      <c r="G801" t="str">
        <f>VLOOKUP(Tabela1[[#This Row],[Cliente]],clientes!$C$3:$D$60,2,FALSE)</f>
        <v>PROJESAN</v>
      </c>
    </row>
    <row r="802" spans="1:7" x14ac:dyDescent="0.25">
      <c r="A802">
        <v>2023</v>
      </c>
      <c r="B802" t="s">
        <v>214</v>
      </c>
      <c r="C802" t="s">
        <v>195</v>
      </c>
      <c r="D802" t="s">
        <v>115</v>
      </c>
      <c r="E802" t="str">
        <f>VLOOKUP(D802,'[2]Lista de Produtos CLASSIFICAÇÃO'!$E$103:$F$114,2,FALSE)</f>
        <v>Soda Caustica</v>
      </c>
      <c r="F802">
        <v>1000</v>
      </c>
      <c r="G802" t="str">
        <f>VLOOKUP(Tabela1[[#This Row],[Cliente]],clientes!$C$3:$D$60,2,FALSE)</f>
        <v>PROJESAN</v>
      </c>
    </row>
    <row r="803" spans="1:7" x14ac:dyDescent="0.25">
      <c r="A803">
        <v>2023</v>
      </c>
      <c r="B803" t="s">
        <v>230</v>
      </c>
      <c r="C803" t="s">
        <v>195</v>
      </c>
      <c r="D803" t="s">
        <v>115</v>
      </c>
      <c r="E803" t="str">
        <f>VLOOKUP(D803,'[2]Lista de Produtos CLASSIFICAÇÃO'!$E$103:$F$114,2,FALSE)</f>
        <v>Soda Caustica</v>
      </c>
      <c r="F803">
        <v>1000</v>
      </c>
      <c r="G803" t="str">
        <f>VLOOKUP(Tabela1[[#This Row],[Cliente]],clientes!$C$3:$D$60,2,FALSE)</f>
        <v>PROJESAN</v>
      </c>
    </row>
    <row r="804" spans="1:7" x14ac:dyDescent="0.25">
      <c r="A804">
        <v>2023</v>
      </c>
      <c r="B804" t="s">
        <v>226</v>
      </c>
      <c r="C804" t="s">
        <v>162</v>
      </c>
      <c r="D804" t="s">
        <v>115</v>
      </c>
      <c r="E804" t="str">
        <f>VLOOKUP(D804,'[2]Lista de Produtos CLASSIFICAÇÃO'!$E$103:$F$114,2,FALSE)</f>
        <v>Soda Caustica</v>
      </c>
      <c r="F804">
        <v>2300</v>
      </c>
      <c r="G804" t="str">
        <f>VLOOKUP(Tabela1[[#This Row],[Cliente]],clientes!$C$3:$D$60,2,FALSE)</f>
        <v>JBS</v>
      </c>
    </row>
    <row r="805" spans="1:7" x14ac:dyDescent="0.25">
      <c r="A805">
        <v>2023</v>
      </c>
      <c r="B805" t="s">
        <v>227</v>
      </c>
      <c r="C805" t="s">
        <v>162</v>
      </c>
      <c r="D805" t="s">
        <v>115</v>
      </c>
      <c r="E805" t="str">
        <f>VLOOKUP(D805,'[2]Lista de Produtos CLASSIFICAÇÃO'!$E$103:$F$114,2,FALSE)</f>
        <v>Soda Caustica</v>
      </c>
      <c r="F805">
        <v>2300</v>
      </c>
      <c r="G805" t="str">
        <f>VLOOKUP(Tabela1[[#This Row],[Cliente]],clientes!$C$3:$D$60,2,FALSE)</f>
        <v>JBS</v>
      </c>
    </row>
    <row r="806" spans="1:7" x14ac:dyDescent="0.25">
      <c r="A806">
        <v>2023</v>
      </c>
      <c r="B806" t="s">
        <v>228</v>
      </c>
      <c r="C806" t="s">
        <v>162</v>
      </c>
      <c r="D806" t="s">
        <v>115</v>
      </c>
      <c r="E806" t="str">
        <f>VLOOKUP(D806,'[2]Lista de Produtos CLASSIFICAÇÃO'!$E$103:$F$114,2,FALSE)</f>
        <v>Soda Caustica</v>
      </c>
      <c r="F806">
        <v>2300</v>
      </c>
      <c r="G806" t="str">
        <f>VLOOKUP(Tabela1[[#This Row],[Cliente]],clientes!$C$3:$D$60,2,FALSE)</f>
        <v>JBS</v>
      </c>
    </row>
    <row r="807" spans="1:7" x14ac:dyDescent="0.25">
      <c r="A807">
        <v>2023</v>
      </c>
      <c r="B807" t="s">
        <v>229</v>
      </c>
      <c r="C807" t="s">
        <v>162</v>
      </c>
      <c r="D807" t="s">
        <v>115</v>
      </c>
      <c r="E807" t="str">
        <f>VLOOKUP(D807,'[2]Lista de Produtos CLASSIFICAÇÃO'!$E$103:$F$114,2,FALSE)</f>
        <v>Soda Caustica</v>
      </c>
      <c r="F807">
        <v>2300</v>
      </c>
      <c r="G807" t="str">
        <f>VLOOKUP(Tabela1[[#This Row],[Cliente]],clientes!$C$3:$D$60,2,FALSE)</f>
        <v>JBS</v>
      </c>
    </row>
    <row r="808" spans="1:7" x14ac:dyDescent="0.25">
      <c r="A808">
        <v>2023</v>
      </c>
      <c r="B808" t="s">
        <v>210</v>
      </c>
      <c r="C808" t="s">
        <v>162</v>
      </c>
      <c r="D808" t="s">
        <v>115</v>
      </c>
      <c r="E808" t="str">
        <f>VLOOKUP(D808,'[2]Lista de Produtos CLASSIFICAÇÃO'!$E$103:$F$114,2,FALSE)</f>
        <v>Soda Caustica</v>
      </c>
      <c r="F808">
        <v>2300</v>
      </c>
      <c r="G808" t="str">
        <f>VLOOKUP(Tabela1[[#This Row],[Cliente]],clientes!$C$3:$D$60,2,FALSE)</f>
        <v>JBS</v>
      </c>
    </row>
    <row r="809" spans="1:7" x14ac:dyDescent="0.25">
      <c r="A809">
        <v>2023</v>
      </c>
      <c r="B809" t="s">
        <v>211</v>
      </c>
      <c r="C809" t="s">
        <v>162</v>
      </c>
      <c r="D809" t="s">
        <v>115</v>
      </c>
      <c r="E809" t="str">
        <f>VLOOKUP(D809,'[2]Lista de Produtos CLASSIFICAÇÃO'!$E$103:$F$114,2,FALSE)</f>
        <v>Soda Caustica</v>
      </c>
      <c r="F809">
        <v>2300</v>
      </c>
      <c r="G809" t="str">
        <f>VLOOKUP(Tabela1[[#This Row],[Cliente]],clientes!$C$3:$D$60,2,FALSE)</f>
        <v>JBS</v>
      </c>
    </row>
    <row r="810" spans="1:7" x14ac:dyDescent="0.25">
      <c r="A810">
        <v>2023</v>
      </c>
      <c r="B810" t="s">
        <v>212</v>
      </c>
      <c r="C810" t="s">
        <v>162</v>
      </c>
      <c r="D810" t="s">
        <v>115</v>
      </c>
      <c r="E810" t="str">
        <f>VLOOKUP(D810,'[2]Lista de Produtos CLASSIFICAÇÃO'!$E$103:$F$114,2,FALSE)</f>
        <v>Soda Caustica</v>
      </c>
      <c r="F810">
        <v>2300</v>
      </c>
      <c r="G810" t="str">
        <f>VLOOKUP(Tabela1[[#This Row],[Cliente]],clientes!$C$3:$D$60,2,FALSE)</f>
        <v>JBS</v>
      </c>
    </row>
    <row r="811" spans="1:7" x14ac:dyDescent="0.25">
      <c r="A811">
        <v>2023</v>
      </c>
      <c r="B811" t="s">
        <v>213</v>
      </c>
      <c r="C811" t="s">
        <v>162</v>
      </c>
      <c r="D811" t="s">
        <v>115</v>
      </c>
      <c r="E811" t="str">
        <f>VLOOKUP(D811,'[2]Lista de Produtos CLASSIFICAÇÃO'!$E$103:$F$114,2,FALSE)</f>
        <v>Soda Caustica</v>
      </c>
      <c r="F811">
        <v>2300</v>
      </c>
      <c r="G811" t="str">
        <f>VLOOKUP(Tabela1[[#This Row],[Cliente]],clientes!$C$3:$D$60,2,FALSE)</f>
        <v>JBS</v>
      </c>
    </row>
    <row r="812" spans="1:7" x14ac:dyDescent="0.25">
      <c r="A812">
        <v>2023</v>
      </c>
      <c r="B812" t="s">
        <v>214</v>
      </c>
      <c r="C812" t="s">
        <v>162</v>
      </c>
      <c r="D812" t="s">
        <v>115</v>
      </c>
      <c r="E812" t="str">
        <f>VLOOKUP(D812,'[2]Lista de Produtos CLASSIFICAÇÃO'!$E$103:$F$114,2,FALSE)</f>
        <v>Soda Caustica</v>
      </c>
      <c r="F812">
        <v>2300</v>
      </c>
      <c r="G812" t="str">
        <f>VLOOKUP(Tabela1[[#This Row],[Cliente]],clientes!$C$3:$D$60,2,FALSE)</f>
        <v>JBS</v>
      </c>
    </row>
    <row r="813" spans="1:7" x14ac:dyDescent="0.25">
      <c r="A813">
        <v>2023</v>
      </c>
      <c r="B813" t="s">
        <v>215</v>
      </c>
      <c r="C813" t="s">
        <v>162</v>
      </c>
      <c r="D813" t="s">
        <v>115</v>
      </c>
      <c r="E813" t="str">
        <f>VLOOKUP(D813,'[2]Lista de Produtos CLASSIFICAÇÃO'!$E$103:$F$114,2,FALSE)</f>
        <v>Soda Caustica</v>
      </c>
      <c r="F813">
        <v>2300</v>
      </c>
      <c r="G813" t="str">
        <f>VLOOKUP(Tabela1[[#This Row],[Cliente]],clientes!$C$3:$D$60,2,FALSE)</f>
        <v>JBS</v>
      </c>
    </row>
    <row r="814" spans="1:7" x14ac:dyDescent="0.25">
      <c r="A814">
        <v>2023</v>
      </c>
      <c r="B814" t="s">
        <v>230</v>
      </c>
      <c r="C814" t="s">
        <v>162</v>
      </c>
      <c r="D814" t="s">
        <v>115</v>
      </c>
      <c r="E814" t="str">
        <f>VLOOKUP(D814,'[2]Lista de Produtos CLASSIFICAÇÃO'!$E$103:$F$114,2,FALSE)</f>
        <v>Soda Caustica</v>
      </c>
      <c r="F814">
        <v>2300</v>
      </c>
      <c r="G814" t="str">
        <f>VLOOKUP(Tabela1[[#This Row],[Cliente]],clientes!$C$3:$D$60,2,FALSE)</f>
        <v>JBS</v>
      </c>
    </row>
    <row r="815" spans="1:7" x14ac:dyDescent="0.25">
      <c r="A815">
        <v>2023</v>
      </c>
      <c r="B815" t="s">
        <v>231</v>
      </c>
      <c r="C815" t="s">
        <v>162</v>
      </c>
      <c r="D815" t="s">
        <v>115</v>
      </c>
      <c r="E815" t="str">
        <f>VLOOKUP(D815,'[2]Lista de Produtos CLASSIFICAÇÃO'!$E$103:$F$114,2,FALSE)</f>
        <v>Soda Caustica</v>
      </c>
      <c r="F815">
        <v>2300</v>
      </c>
      <c r="G815" t="str">
        <f>VLOOKUP(Tabela1[[#This Row],[Cliente]],clientes!$C$3:$D$60,2,FALSE)</f>
        <v>JBS</v>
      </c>
    </row>
    <row r="816" spans="1:7" x14ac:dyDescent="0.25">
      <c r="A816">
        <v>2023</v>
      </c>
      <c r="B816" t="s">
        <v>226</v>
      </c>
      <c r="C816" t="s">
        <v>163</v>
      </c>
      <c r="D816" t="s">
        <v>115</v>
      </c>
      <c r="E816" t="str">
        <f>VLOOKUP(D816,'[2]Lista de Produtos CLASSIFICAÇÃO'!$E$103:$F$114,2,FALSE)</f>
        <v>Soda Caustica</v>
      </c>
      <c r="F816">
        <v>4900</v>
      </c>
      <c r="G816" t="str">
        <f>VLOOKUP(Tabela1[[#This Row],[Cliente]],clientes!$C$3:$D$60,2,FALSE)</f>
        <v>TRICON ENERGY</v>
      </c>
    </row>
    <row r="817" spans="1:7" x14ac:dyDescent="0.25">
      <c r="A817">
        <v>2023</v>
      </c>
      <c r="B817" t="s">
        <v>227</v>
      </c>
      <c r="C817" t="s">
        <v>163</v>
      </c>
      <c r="D817" t="s">
        <v>115</v>
      </c>
      <c r="E817" t="str">
        <f>VLOOKUP(D817,'[2]Lista de Produtos CLASSIFICAÇÃO'!$E$103:$F$114,2,FALSE)</f>
        <v>Soda Caustica</v>
      </c>
      <c r="F817">
        <v>4900</v>
      </c>
      <c r="G817" t="str">
        <f>VLOOKUP(Tabela1[[#This Row],[Cliente]],clientes!$C$3:$D$60,2,FALSE)</f>
        <v>TRICON ENERGY</v>
      </c>
    </row>
    <row r="818" spans="1:7" x14ac:dyDescent="0.25">
      <c r="A818">
        <v>2023</v>
      </c>
      <c r="B818" t="s">
        <v>228</v>
      </c>
      <c r="C818" t="s">
        <v>163</v>
      </c>
      <c r="D818" t="s">
        <v>115</v>
      </c>
      <c r="E818" t="str">
        <f>VLOOKUP(D818,'[2]Lista de Produtos CLASSIFICAÇÃO'!$E$103:$F$114,2,FALSE)</f>
        <v>Soda Caustica</v>
      </c>
      <c r="F818">
        <v>4900</v>
      </c>
      <c r="G818" t="str">
        <f>VLOOKUP(Tabela1[[#This Row],[Cliente]],clientes!$C$3:$D$60,2,FALSE)</f>
        <v>TRICON ENERGY</v>
      </c>
    </row>
    <row r="819" spans="1:7" x14ac:dyDescent="0.25">
      <c r="A819">
        <v>2023</v>
      </c>
      <c r="B819" t="s">
        <v>229</v>
      </c>
      <c r="C819" t="s">
        <v>163</v>
      </c>
      <c r="D819" t="s">
        <v>115</v>
      </c>
      <c r="E819" t="str">
        <f>VLOOKUP(D819,'[2]Lista de Produtos CLASSIFICAÇÃO'!$E$103:$F$114,2,FALSE)</f>
        <v>Soda Caustica</v>
      </c>
      <c r="F819">
        <v>4900</v>
      </c>
      <c r="G819" t="str">
        <f>VLOOKUP(Tabela1[[#This Row],[Cliente]],clientes!$C$3:$D$60,2,FALSE)</f>
        <v>TRICON ENERGY</v>
      </c>
    </row>
    <row r="820" spans="1:7" x14ac:dyDescent="0.25">
      <c r="A820">
        <v>2023</v>
      </c>
      <c r="B820" t="s">
        <v>210</v>
      </c>
      <c r="C820" t="s">
        <v>163</v>
      </c>
      <c r="D820" t="s">
        <v>115</v>
      </c>
      <c r="E820" t="str">
        <f>VLOOKUP(D820,'[2]Lista de Produtos CLASSIFICAÇÃO'!$E$103:$F$114,2,FALSE)</f>
        <v>Soda Caustica</v>
      </c>
      <c r="F820">
        <v>4900</v>
      </c>
      <c r="G820" t="str">
        <f>VLOOKUP(Tabela1[[#This Row],[Cliente]],clientes!$C$3:$D$60,2,FALSE)</f>
        <v>TRICON ENERGY</v>
      </c>
    </row>
    <row r="821" spans="1:7" x14ac:dyDescent="0.25">
      <c r="A821">
        <v>2023</v>
      </c>
      <c r="B821" t="s">
        <v>211</v>
      </c>
      <c r="C821" t="s">
        <v>163</v>
      </c>
      <c r="D821" t="s">
        <v>115</v>
      </c>
      <c r="E821" t="str">
        <f>VLOOKUP(D821,'[2]Lista de Produtos CLASSIFICAÇÃO'!$E$103:$F$114,2,FALSE)</f>
        <v>Soda Caustica</v>
      </c>
      <c r="F821">
        <v>4900</v>
      </c>
      <c r="G821" t="str">
        <f>VLOOKUP(Tabela1[[#This Row],[Cliente]],clientes!$C$3:$D$60,2,FALSE)</f>
        <v>TRICON ENERGY</v>
      </c>
    </row>
    <row r="822" spans="1:7" x14ac:dyDescent="0.25">
      <c r="A822">
        <v>2023</v>
      </c>
      <c r="B822" t="s">
        <v>212</v>
      </c>
      <c r="C822" t="s">
        <v>163</v>
      </c>
      <c r="D822" t="s">
        <v>115</v>
      </c>
      <c r="E822" t="str">
        <f>VLOOKUP(D822,'[2]Lista de Produtos CLASSIFICAÇÃO'!$E$103:$F$114,2,FALSE)</f>
        <v>Soda Caustica</v>
      </c>
      <c r="F822">
        <v>4900</v>
      </c>
      <c r="G822" t="str">
        <f>VLOOKUP(Tabela1[[#This Row],[Cliente]],clientes!$C$3:$D$60,2,FALSE)</f>
        <v>TRICON ENERGY</v>
      </c>
    </row>
    <row r="823" spans="1:7" x14ac:dyDescent="0.25">
      <c r="A823">
        <v>2023</v>
      </c>
      <c r="B823" t="s">
        <v>213</v>
      </c>
      <c r="C823" t="s">
        <v>163</v>
      </c>
      <c r="D823" t="s">
        <v>115</v>
      </c>
      <c r="E823" t="str">
        <f>VLOOKUP(D823,'[2]Lista de Produtos CLASSIFICAÇÃO'!$E$103:$F$114,2,FALSE)</f>
        <v>Soda Caustica</v>
      </c>
      <c r="F823">
        <v>4900</v>
      </c>
      <c r="G823" t="str">
        <f>VLOOKUP(Tabela1[[#This Row],[Cliente]],clientes!$C$3:$D$60,2,FALSE)</f>
        <v>TRICON ENERGY</v>
      </c>
    </row>
    <row r="824" spans="1:7" x14ac:dyDescent="0.25">
      <c r="A824">
        <v>2023</v>
      </c>
      <c r="B824" t="s">
        <v>214</v>
      </c>
      <c r="C824" t="s">
        <v>163</v>
      </c>
      <c r="D824" t="s">
        <v>115</v>
      </c>
      <c r="E824" t="str">
        <f>VLOOKUP(D824,'[2]Lista de Produtos CLASSIFICAÇÃO'!$E$103:$F$114,2,FALSE)</f>
        <v>Soda Caustica</v>
      </c>
      <c r="F824">
        <v>4900</v>
      </c>
      <c r="G824" t="str">
        <f>VLOOKUP(Tabela1[[#This Row],[Cliente]],clientes!$C$3:$D$60,2,FALSE)</f>
        <v>TRICON ENERGY</v>
      </c>
    </row>
    <row r="825" spans="1:7" x14ac:dyDescent="0.25">
      <c r="A825">
        <v>2023</v>
      </c>
      <c r="B825" t="s">
        <v>215</v>
      </c>
      <c r="C825" t="s">
        <v>163</v>
      </c>
      <c r="D825" t="s">
        <v>115</v>
      </c>
      <c r="E825" t="str">
        <f>VLOOKUP(D825,'[2]Lista de Produtos CLASSIFICAÇÃO'!$E$103:$F$114,2,FALSE)</f>
        <v>Soda Caustica</v>
      </c>
      <c r="F825">
        <v>4900</v>
      </c>
      <c r="G825" t="str">
        <f>VLOOKUP(Tabela1[[#This Row],[Cliente]],clientes!$C$3:$D$60,2,FALSE)</f>
        <v>TRICON ENERGY</v>
      </c>
    </row>
    <row r="826" spans="1:7" x14ac:dyDescent="0.25">
      <c r="A826">
        <v>2023</v>
      </c>
      <c r="B826" t="s">
        <v>230</v>
      </c>
      <c r="C826" t="s">
        <v>163</v>
      </c>
      <c r="D826" t="s">
        <v>115</v>
      </c>
      <c r="E826" t="str">
        <f>VLOOKUP(D826,'[2]Lista de Produtos CLASSIFICAÇÃO'!$E$103:$F$114,2,FALSE)</f>
        <v>Soda Caustica</v>
      </c>
      <c r="F826">
        <v>4900</v>
      </c>
      <c r="G826" t="str">
        <f>VLOOKUP(Tabela1[[#This Row],[Cliente]],clientes!$C$3:$D$60,2,FALSE)</f>
        <v>TRICON ENERGY</v>
      </c>
    </row>
    <row r="827" spans="1:7" x14ac:dyDescent="0.25">
      <c r="A827">
        <v>2023</v>
      </c>
      <c r="B827" t="s">
        <v>231</v>
      </c>
      <c r="C827" t="s">
        <v>163</v>
      </c>
      <c r="D827" t="s">
        <v>115</v>
      </c>
      <c r="E827" t="str">
        <f>VLOOKUP(D827,'[2]Lista de Produtos CLASSIFICAÇÃO'!$E$103:$F$114,2,FALSE)</f>
        <v>Soda Caustica</v>
      </c>
      <c r="F827">
        <v>4900</v>
      </c>
      <c r="G827" t="str">
        <f>VLOOKUP(Tabela1[[#This Row],[Cliente]],clientes!$C$3:$D$60,2,FALSE)</f>
        <v>TRICON ENERGY</v>
      </c>
    </row>
    <row r="828" spans="1:7" x14ac:dyDescent="0.25">
      <c r="A828">
        <v>2023</v>
      </c>
      <c r="B828" t="s">
        <v>226</v>
      </c>
      <c r="C828" t="s">
        <v>164</v>
      </c>
      <c r="D828" t="s">
        <v>115</v>
      </c>
      <c r="E828" t="str">
        <f>VLOOKUP(D828,'[2]Lista de Produtos CLASSIFICAÇÃO'!$E$103:$F$114,2,FALSE)</f>
        <v>Soda Caustica</v>
      </c>
      <c r="F828">
        <v>3643</v>
      </c>
      <c r="G828" t="str">
        <f>VLOOKUP(Tabela1[[#This Row],[Cliente]],clientes!$C$3:$D$60,2,FALSE)</f>
        <v>BRASKEM</v>
      </c>
    </row>
    <row r="829" spans="1:7" x14ac:dyDescent="0.25">
      <c r="A829">
        <v>2023</v>
      </c>
      <c r="B829" t="s">
        <v>227</v>
      </c>
      <c r="C829" t="s">
        <v>164</v>
      </c>
      <c r="D829" t="s">
        <v>115</v>
      </c>
      <c r="E829" t="str">
        <f>VLOOKUP(D829,'[2]Lista de Produtos CLASSIFICAÇÃO'!$E$103:$F$114,2,FALSE)</f>
        <v>Soda Caustica</v>
      </c>
      <c r="F829">
        <v>3643</v>
      </c>
      <c r="G829" t="str">
        <f>VLOOKUP(Tabela1[[#This Row],[Cliente]],clientes!$C$3:$D$60,2,FALSE)</f>
        <v>BRASKEM</v>
      </c>
    </row>
    <row r="830" spans="1:7" x14ac:dyDescent="0.25">
      <c r="A830">
        <v>2023</v>
      </c>
      <c r="B830" t="s">
        <v>228</v>
      </c>
      <c r="C830" t="s">
        <v>164</v>
      </c>
      <c r="D830" t="s">
        <v>115</v>
      </c>
      <c r="E830" t="str">
        <f>VLOOKUP(D830,'[2]Lista de Produtos CLASSIFICAÇÃO'!$E$103:$F$114,2,FALSE)</f>
        <v>Soda Caustica</v>
      </c>
      <c r="F830">
        <v>3643</v>
      </c>
      <c r="G830" t="str">
        <f>VLOOKUP(Tabela1[[#This Row],[Cliente]],clientes!$C$3:$D$60,2,FALSE)</f>
        <v>BRASKEM</v>
      </c>
    </row>
    <row r="831" spans="1:7" x14ac:dyDescent="0.25">
      <c r="A831">
        <v>2023</v>
      </c>
      <c r="B831" t="s">
        <v>229</v>
      </c>
      <c r="C831" t="s">
        <v>164</v>
      </c>
      <c r="D831" t="s">
        <v>115</v>
      </c>
      <c r="E831" t="str">
        <f>VLOOKUP(D831,'[2]Lista de Produtos CLASSIFICAÇÃO'!$E$103:$F$114,2,FALSE)</f>
        <v>Soda Caustica</v>
      </c>
      <c r="F831">
        <v>3643</v>
      </c>
      <c r="G831" t="str">
        <f>VLOOKUP(Tabela1[[#This Row],[Cliente]],clientes!$C$3:$D$60,2,FALSE)</f>
        <v>BRASKEM</v>
      </c>
    </row>
    <row r="832" spans="1:7" x14ac:dyDescent="0.25">
      <c r="A832">
        <v>2023</v>
      </c>
      <c r="B832" t="s">
        <v>210</v>
      </c>
      <c r="C832" t="s">
        <v>164</v>
      </c>
      <c r="D832" t="s">
        <v>115</v>
      </c>
      <c r="E832" t="str">
        <f>VLOOKUP(D832,'[2]Lista de Produtos CLASSIFICAÇÃO'!$E$103:$F$114,2,FALSE)</f>
        <v>Soda Caustica</v>
      </c>
      <c r="F832">
        <v>3643</v>
      </c>
      <c r="G832" t="str">
        <f>VLOOKUP(Tabela1[[#This Row],[Cliente]],clientes!$C$3:$D$60,2,FALSE)</f>
        <v>BRASKEM</v>
      </c>
    </row>
    <row r="833" spans="1:7" x14ac:dyDescent="0.25">
      <c r="A833">
        <v>2023</v>
      </c>
      <c r="B833" t="s">
        <v>211</v>
      </c>
      <c r="C833" t="s">
        <v>164</v>
      </c>
      <c r="D833" t="s">
        <v>115</v>
      </c>
      <c r="E833" t="str">
        <f>VLOOKUP(D833,'[2]Lista de Produtos CLASSIFICAÇÃO'!$E$103:$F$114,2,FALSE)</f>
        <v>Soda Caustica</v>
      </c>
      <c r="F833">
        <v>3643</v>
      </c>
      <c r="G833" t="str">
        <f>VLOOKUP(Tabela1[[#This Row],[Cliente]],clientes!$C$3:$D$60,2,FALSE)</f>
        <v>BRASKEM</v>
      </c>
    </row>
    <row r="834" spans="1:7" x14ac:dyDescent="0.25">
      <c r="A834">
        <v>2023</v>
      </c>
      <c r="B834" t="s">
        <v>212</v>
      </c>
      <c r="C834" t="s">
        <v>164</v>
      </c>
      <c r="D834" t="s">
        <v>115</v>
      </c>
      <c r="E834" t="str">
        <f>VLOOKUP(D834,'[2]Lista de Produtos CLASSIFICAÇÃO'!$E$103:$F$114,2,FALSE)</f>
        <v>Soda Caustica</v>
      </c>
      <c r="F834">
        <v>3643</v>
      </c>
      <c r="G834" t="str">
        <f>VLOOKUP(Tabela1[[#This Row],[Cliente]],clientes!$C$3:$D$60,2,FALSE)</f>
        <v>BRASKEM</v>
      </c>
    </row>
    <row r="835" spans="1:7" x14ac:dyDescent="0.25">
      <c r="A835">
        <v>2023</v>
      </c>
      <c r="B835" t="s">
        <v>213</v>
      </c>
      <c r="C835" t="s">
        <v>164</v>
      </c>
      <c r="D835" t="s">
        <v>115</v>
      </c>
      <c r="E835" t="str">
        <f>VLOOKUP(D835,'[2]Lista de Produtos CLASSIFICAÇÃO'!$E$103:$F$114,2,FALSE)</f>
        <v>Soda Caustica</v>
      </c>
      <c r="F835">
        <v>3643</v>
      </c>
      <c r="G835" t="str">
        <f>VLOOKUP(Tabela1[[#This Row],[Cliente]],clientes!$C$3:$D$60,2,FALSE)</f>
        <v>BRASKEM</v>
      </c>
    </row>
    <row r="836" spans="1:7" x14ac:dyDescent="0.25">
      <c r="A836">
        <v>2023</v>
      </c>
      <c r="B836" t="s">
        <v>214</v>
      </c>
      <c r="C836" t="s">
        <v>164</v>
      </c>
      <c r="D836" t="s">
        <v>115</v>
      </c>
      <c r="E836" t="str">
        <f>VLOOKUP(D836,'[2]Lista de Produtos CLASSIFICAÇÃO'!$E$103:$F$114,2,FALSE)</f>
        <v>Soda Caustica</v>
      </c>
      <c r="F836">
        <v>3643</v>
      </c>
      <c r="G836" t="str">
        <f>VLOOKUP(Tabela1[[#This Row],[Cliente]],clientes!$C$3:$D$60,2,FALSE)</f>
        <v>BRASKEM</v>
      </c>
    </row>
    <row r="837" spans="1:7" x14ac:dyDescent="0.25">
      <c r="A837">
        <v>2023</v>
      </c>
      <c r="B837" t="s">
        <v>215</v>
      </c>
      <c r="C837" t="s">
        <v>164</v>
      </c>
      <c r="D837" t="s">
        <v>115</v>
      </c>
      <c r="E837" t="str">
        <f>VLOOKUP(D837,'[2]Lista de Produtos CLASSIFICAÇÃO'!$E$103:$F$114,2,FALSE)</f>
        <v>Soda Caustica</v>
      </c>
      <c r="F837">
        <v>3643</v>
      </c>
      <c r="G837" t="str">
        <f>VLOOKUP(Tabela1[[#This Row],[Cliente]],clientes!$C$3:$D$60,2,FALSE)</f>
        <v>BRASKEM</v>
      </c>
    </row>
    <row r="838" spans="1:7" x14ac:dyDescent="0.25">
      <c r="A838">
        <v>2023</v>
      </c>
      <c r="B838" t="s">
        <v>230</v>
      </c>
      <c r="C838" t="s">
        <v>164</v>
      </c>
      <c r="D838" t="s">
        <v>115</v>
      </c>
      <c r="E838" t="str">
        <f>VLOOKUP(D838,'[2]Lista de Produtos CLASSIFICAÇÃO'!$E$103:$F$114,2,FALSE)</f>
        <v>Soda Caustica</v>
      </c>
      <c r="F838">
        <v>3643</v>
      </c>
      <c r="G838" t="str">
        <f>VLOOKUP(Tabela1[[#This Row],[Cliente]],clientes!$C$3:$D$60,2,FALSE)</f>
        <v>BRASKEM</v>
      </c>
    </row>
    <row r="839" spans="1:7" x14ac:dyDescent="0.25">
      <c r="A839">
        <v>2023</v>
      </c>
      <c r="B839" t="s">
        <v>231</v>
      </c>
      <c r="C839" t="s">
        <v>164</v>
      </c>
      <c r="D839" t="s">
        <v>115</v>
      </c>
      <c r="E839" t="str">
        <f>VLOOKUP(D839,'[2]Lista de Produtos CLASSIFICAÇÃO'!$E$103:$F$114,2,FALSE)</f>
        <v>Soda Caustica</v>
      </c>
      <c r="F839">
        <v>3643</v>
      </c>
      <c r="G839" t="str">
        <f>VLOOKUP(Tabela1[[#This Row],[Cliente]],clientes!$C$3:$D$60,2,FALSE)</f>
        <v>BRASKEM</v>
      </c>
    </row>
    <row r="840" spans="1:7" x14ac:dyDescent="0.25">
      <c r="A840">
        <v>2023</v>
      </c>
      <c r="B840" t="s">
        <v>226</v>
      </c>
      <c r="C840" t="s">
        <v>165</v>
      </c>
      <c r="D840" t="s">
        <v>123</v>
      </c>
      <c r="E840" t="str">
        <f>VLOOKUP(D840,'[2]Lista de Produtos CLASSIFICAÇÃO'!$E$103:$F$114,2,FALSE)</f>
        <v>Aquecidos</v>
      </c>
      <c r="F840">
        <v>3000</v>
      </c>
      <c r="G840" t="str">
        <f>VLOOKUP(Tabela1[[#This Row],[Cliente]],clientes!$C$3:$D$60,2,FALSE)</f>
        <v>BRF</v>
      </c>
    </row>
    <row r="841" spans="1:7" x14ac:dyDescent="0.25">
      <c r="A841">
        <v>2023</v>
      </c>
      <c r="B841" t="s">
        <v>227</v>
      </c>
      <c r="C841" t="s">
        <v>165</v>
      </c>
      <c r="D841" t="s">
        <v>123</v>
      </c>
      <c r="E841" t="str">
        <f>VLOOKUP(D841,'[2]Lista de Produtos CLASSIFICAÇÃO'!$E$103:$F$114,2,FALSE)</f>
        <v>Aquecidos</v>
      </c>
      <c r="F841">
        <v>3000</v>
      </c>
      <c r="G841" t="str">
        <f>VLOOKUP(Tabela1[[#This Row],[Cliente]],clientes!$C$3:$D$60,2,FALSE)</f>
        <v>BRF</v>
      </c>
    </row>
    <row r="842" spans="1:7" x14ac:dyDescent="0.25">
      <c r="A842">
        <v>2023</v>
      </c>
      <c r="B842" t="s">
        <v>228</v>
      </c>
      <c r="C842" t="s">
        <v>165</v>
      </c>
      <c r="D842" t="s">
        <v>123</v>
      </c>
      <c r="E842" t="str">
        <f>VLOOKUP(D842,'[2]Lista de Produtos CLASSIFICAÇÃO'!$E$103:$F$114,2,FALSE)</f>
        <v>Aquecidos</v>
      </c>
      <c r="F842">
        <v>3000</v>
      </c>
      <c r="G842" t="str">
        <f>VLOOKUP(Tabela1[[#This Row],[Cliente]],clientes!$C$3:$D$60,2,FALSE)</f>
        <v>BRF</v>
      </c>
    </row>
    <row r="843" spans="1:7" x14ac:dyDescent="0.25">
      <c r="A843">
        <v>2023</v>
      </c>
      <c r="B843" t="s">
        <v>229</v>
      </c>
      <c r="C843" t="s">
        <v>165</v>
      </c>
      <c r="D843" t="s">
        <v>123</v>
      </c>
      <c r="E843" t="str">
        <f>VLOOKUP(D843,'[2]Lista de Produtos CLASSIFICAÇÃO'!$E$103:$F$114,2,FALSE)</f>
        <v>Aquecidos</v>
      </c>
      <c r="F843">
        <v>3000</v>
      </c>
      <c r="G843" t="str">
        <f>VLOOKUP(Tabela1[[#This Row],[Cliente]],clientes!$C$3:$D$60,2,FALSE)</f>
        <v>BRF</v>
      </c>
    </row>
    <row r="844" spans="1:7" x14ac:dyDescent="0.25">
      <c r="A844">
        <v>2023</v>
      </c>
      <c r="B844" t="s">
        <v>210</v>
      </c>
      <c r="C844" t="s">
        <v>165</v>
      </c>
      <c r="D844" t="s">
        <v>123</v>
      </c>
      <c r="E844" t="str">
        <f>VLOOKUP(D844,'[2]Lista de Produtos CLASSIFICAÇÃO'!$E$103:$F$114,2,FALSE)</f>
        <v>Aquecidos</v>
      </c>
      <c r="F844">
        <v>3000</v>
      </c>
      <c r="G844" t="str">
        <f>VLOOKUP(Tabela1[[#This Row],[Cliente]],clientes!$C$3:$D$60,2,FALSE)</f>
        <v>BRF</v>
      </c>
    </row>
    <row r="845" spans="1:7" x14ac:dyDescent="0.25">
      <c r="A845">
        <v>2023</v>
      </c>
      <c r="B845" t="s">
        <v>211</v>
      </c>
      <c r="C845" t="s">
        <v>165</v>
      </c>
      <c r="D845" t="s">
        <v>123</v>
      </c>
      <c r="E845" t="str">
        <f>VLOOKUP(D845,'[2]Lista de Produtos CLASSIFICAÇÃO'!$E$103:$F$114,2,FALSE)</f>
        <v>Aquecidos</v>
      </c>
      <c r="F845">
        <v>3000</v>
      </c>
      <c r="G845" t="str">
        <f>VLOOKUP(Tabela1[[#This Row],[Cliente]],clientes!$C$3:$D$60,2,FALSE)</f>
        <v>BRF</v>
      </c>
    </row>
    <row r="846" spans="1:7" x14ac:dyDescent="0.25">
      <c r="A846">
        <v>2023</v>
      </c>
      <c r="B846" t="s">
        <v>212</v>
      </c>
      <c r="C846" t="s">
        <v>165</v>
      </c>
      <c r="D846" t="s">
        <v>123</v>
      </c>
      <c r="E846" t="str">
        <f>VLOOKUP(D846,'[2]Lista de Produtos CLASSIFICAÇÃO'!$E$103:$F$114,2,FALSE)</f>
        <v>Aquecidos</v>
      </c>
      <c r="F846">
        <v>3000</v>
      </c>
      <c r="G846" t="str">
        <f>VLOOKUP(Tabela1[[#This Row],[Cliente]],clientes!$C$3:$D$60,2,FALSE)</f>
        <v>BRF</v>
      </c>
    </row>
    <row r="847" spans="1:7" x14ac:dyDescent="0.25">
      <c r="A847">
        <v>2023</v>
      </c>
      <c r="B847" t="s">
        <v>213</v>
      </c>
      <c r="C847" t="s">
        <v>165</v>
      </c>
      <c r="D847" t="s">
        <v>123</v>
      </c>
      <c r="E847" t="str">
        <f>VLOOKUP(D847,'[2]Lista de Produtos CLASSIFICAÇÃO'!$E$103:$F$114,2,FALSE)</f>
        <v>Aquecidos</v>
      </c>
      <c r="F847">
        <v>3000</v>
      </c>
      <c r="G847" t="str">
        <f>VLOOKUP(Tabela1[[#This Row],[Cliente]],clientes!$C$3:$D$60,2,FALSE)</f>
        <v>BRF</v>
      </c>
    </row>
    <row r="848" spans="1:7" x14ac:dyDescent="0.25">
      <c r="A848">
        <v>2023</v>
      </c>
      <c r="B848" t="s">
        <v>214</v>
      </c>
      <c r="C848" t="s">
        <v>165</v>
      </c>
      <c r="D848" t="s">
        <v>123</v>
      </c>
      <c r="E848" t="str">
        <f>VLOOKUP(D848,'[2]Lista de Produtos CLASSIFICAÇÃO'!$E$103:$F$114,2,FALSE)</f>
        <v>Aquecidos</v>
      </c>
      <c r="F848">
        <v>3000</v>
      </c>
      <c r="G848" t="str">
        <f>VLOOKUP(Tabela1[[#This Row],[Cliente]],clientes!$C$3:$D$60,2,FALSE)</f>
        <v>BRF</v>
      </c>
    </row>
    <row r="849" spans="1:7" x14ac:dyDescent="0.25">
      <c r="A849">
        <v>2023</v>
      </c>
      <c r="B849" t="s">
        <v>215</v>
      </c>
      <c r="C849" t="s">
        <v>165</v>
      </c>
      <c r="D849" t="s">
        <v>123</v>
      </c>
      <c r="E849" t="str">
        <f>VLOOKUP(D849,'[2]Lista de Produtos CLASSIFICAÇÃO'!$E$103:$F$114,2,FALSE)</f>
        <v>Aquecidos</v>
      </c>
      <c r="F849">
        <v>3000</v>
      </c>
      <c r="G849" t="str">
        <f>VLOOKUP(Tabela1[[#This Row],[Cliente]],clientes!$C$3:$D$60,2,FALSE)</f>
        <v>BRF</v>
      </c>
    </row>
    <row r="850" spans="1:7" x14ac:dyDescent="0.25">
      <c r="A850">
        <v>2023</v>
      </c>
      <c r="B850" t="s">
        <v>230</v>
      </c>
      <c r="C850" t="s">
        <v>165</v>
      </c>
      <c r="D850" t="s">
        <v>123</v>
      </c>
      <c r="E850" t="str">
        <f>VLOOKUP(D850,'[2]Lista de Produtos CLASSIFICAÇÃO'!$E$103:$F$114,2,FALSE)</f>
        <v>Aquecidos</v>
      </c>
      <c r="F850">
        <v>3000</v>
      </c>
      <c r="G850" t="str">
        <f>VLOOKUP(Tabela1[[#This Row],[Cliente]],clientes!$C$3:$D$60,2,FALSE)</f>
        <v>BRF</v>
      </c>
    </row>
    <row r="851" spans="1:7" x14ac:dyDescent="0.25">
      <c r="A851">
        <v>2023</v>
      </c>
      <c r="B851" t="s">
        <v>231</v>
      </c>
      <c r="C851" t="s">
        <v>165</v>
      </c>
      <c r="D851" t="s">
        <v>123</v>
      </c>
      <c r="E851" t="str">
        <f>VLOOKUP(D851,'[2]Lista de Produtos CLASSIFICAÇÃO'!$E$103:$F$114,2,FALSE)</f>
        <v>Aquecidos</v>
      </c>
      <c r="F851">
        <v>3000</v>
      </c>
      <c r="G851" t="str">
        <f>VLOOKUP(Tabela1[[#This Row],[Cliente]],clientes!$C$3:$D$60,2,FALSE)</f>
        <v>BRF</v>
      </c>
    </row>
    <row r="852" spans="1:7" x14ac:dyDescent="0.25">
      <c r="A852">
        <v>2023</v>
      </c>
      <c r="B852" t="s">
        <v>226</v>
      </c>
      <c r="C852" t="s">
        <v>162</v>
      </c>
      <c r="D852" t="s">
        <v>123</v>
      </c>
      <c r="E852" t="str">
        <f>VLOOKUP(D852,'[2]Lista de Produtos CLASSIFICAÇÃO'!$E$103:$F$114,2,FALSE)</f>
        <v>Aquecidos</v>
      </c>
      <c r="F852">
        <v>3200</v>
      </c>
      <c r="G852" t="str">
        <f>VLOOKUP(Tabela1[[#This Row],[Cliente]],clientes!$C$3:$D$60,2,FALSE)</f>
        <v>JBS</v>
      </c>
    </row>
    <row r="853" spans="1:7" x14ac:dyDescent="0.25">
      <c r="A853">
        <v>2023</v>
      </c>
      <c r="B853" t="s">
        <v>227</v>
      </c>
      <c r="C853" t="s">
        <v>162</v>
      </c>
      <c r="D853" t="s">
        <v>123</v>
      </c>
      <c r="E853" t="str">
        <f>VLOOKUP(D853,'[2]Lista de Produtos CLASSIFICAÇÃO'!$E$103:$F$114,2,FALSE)</f>
        <v>Aquecidos</v>
      </c>
      <c r="F853">
        <v>3200</v>
      </c>
      <c r="G853" t="str">
        <f>VLOOKUP(Tabela1[[#This Row],[Cliente]],clientes!$C$3:$D$60,2,FALSE)</f>
        <v>JBS</v>
      </c>
    </row>
    <row r="854" spans="1:7" x14ac:dyDescent="0.25">
      <c r="A854">
        <v>2023</v>
      </c>
      <c r="B854" t="s">
        <v>228</v>
      </c>
      <c r="C854" t="s">
        <v>162</v>
      </c>
      <c r="D854" t="s">
        <v>123</v>
      </c>
      <c r="E854" t="str">
        <f>VLOOKUP(D854,'[2]Lista de Produtos CLASSIFICAÇÃO'!$E$103:$F$114,2,FALSE)</f>
        <v>Aquecidos</v>
      </c>
      <c r="F854">
        <v>3200</v>
      </c>
      <c r="G854" t="str">
        <f>VLOOKUP(Tabela1[[#This Row],[Cliente]],clientes!$C$3:$D$60,2,FALSE)</f>
        <v>JBS</v>
      </c>
    </row>
    <row r="855" spans="1:7" x14ac:dyDescent="0.25">
      <c r="A855">
        <v>2023</v>
      </c>
      <c r="B855" t="s">
        <v>229</v>
      </c>
      <c r="C855" t="s">
        <v>162</v>
      </c>
      <c r="D855" t="s">
        <v>123</v>
      </c>
      <c r="E855" t="str">
        <f>VLOOKUP(D855,'[2]Lista de Produtos CLASSIFICAÇÃO'!$E$103:$F$114,2,FALSE)</f>
        <v>Aquecidos</v>
      </c>
      <c r="F855">
        <v>3200</v>
      </c>
      <c r="G855" t="str">
        <f>VLOOKUP(Tabela1[[#This Row],[Cliente]],clientes!$C$3:$D$60,2,FALSE)</f>
        <v>JBS</v>
      </c>
    </row>
    <row r="856" spans="1:7" x14ac:dyDescent="0.25">
      <c r="A856">
        <v>2023</v>
      </c>
      <c r="B856" t="s">
        <v>210</v>
      </c>
      <c r="C856" t="s">
        <v>162</v>
      </c>
      <c r="D856" t="s">
        <v>123</v>
      </c>
      <c r="E856" t="str">
        <f>VLOOKUP(D856,'[2]Lista de Produtos CLASSIFICAÇÃO'!$E$103:$F$114,2,FALSE)</f>
        <v>Aquecidos</v>
      </c>
      <c r="F856">
        <v>3200</v>
      </c>
      <c r="G856" t="str">
        <f>VLOOKUP(Tabela1[[#This Row],[Cliente]],clientes!$C$3:$D$60,2,FALSE)</f>
        <v>JBS</v>
      </c>
    </row>
    <row r="857" spans="1:7" x14ac:dyDescent="0.25">
      <c r="A857">
        <v>2023</v>
      </c>
      <c r="B857" t="s">
        <v>211</v>
      </c>
      <c r="C857" t="s">
        <v>162</v>
      </c>
      <c r="D857" t="s">
        <v>123</v>
      </c>
      <c r="E857" t="str">
        <f>VLOOKUP(D857,'[2]Lista de Produtos CLASSIFICAÇÃO'!$E$103:$F$114,2,FALSE)</f>
        <v>Aquecidos</v>
      </c>
      <c r="F857">
        <v>3200</v>
      </c>
      <c r="G857" t="str">
        <f>VLOOKUP(Tabela1[[#This Row],[Cliente]],clientes!$C$3:$D$60,2,FALSE)</f>
        <v>JBS</v>
      </c>
    </row>
    <row r="858" spans="1:7" x14ac:dyDescent="0.25">
      <c r="A858">
        <v>2023</v>
      </c>
      <c r="B858" t="s">
        <v>212</v>
      </c>
      <c r="C858" t="s">
        <v>162</v>
      </c>
      <c r="D858" t="s">
        <v>123</v>
      </c>
      <c r="E858" t="str">
        <f>VLOOKUP(D858,'[2]Lista de Produtos CLASSIFICAÇÃO'!$E$103:$F$114,2,FALSE)</f>
        <v>Aquecidos</v>
      </c>
      <c r="F858">
        <v>3200</v>
      </c>
      <c r="G858" t="str">
        <f>VLOOKUP(Tabela1[[#This Row],[Cliente]],clientes!$C$3:$D$60,2,FALSE)</f>
        <v>JBS</v>
      </c>
    </row>
    <row r="859" spans="1:7" x14ac:dyDescent="0.25">
      <c r="A859">
        <v>2023</v>
      </c>
      <c r="B859" t="s">
        <v>213</v>
      </c>
      <c r="C859" t="s">
        <v>162</v>
      </c>
      <c r="D859" t="s">
        <v>123</v>
      </c>
      <c r="E859" t="str">
        <f>VLOOKUP(D859,'[2]Lista de Produtos CLASSIFICAÇÃO'!$E$103:$F$114,2,FALSE)</f>
        <v>Aquecidos</v>
      </c>
      <c r="F859">
        <v>3200</v>
      </c>
      <c r="G859" t="str">
        <f>VLOOKUP(Tabela1[[#This Row],[Cliente]],clientes!$C$3:$D$60,2,FALSE)</f>
        <v>JBS</v>
      </c>
    </row>
    <row r="860" spans="1:7" x14ac:dyDescent="0.25">
      <c r="A860">
        <v>2023</v>
      </c>
      <c r="B860" t="s">
        <v>214</v>
      </c>
      <c r="C860" t="s">
        <v>162</v>
      </c>
      <c r="D860" t="s">
        <v>123</v>
      </c>
      <c r="E860" t="str">
        <f>VLOOKUP(D860,'[2]Lista de Produtos CLASSIFICAÇÃO'!$E$103:$F$114,2,FALSE)</f>
        <v>Aquecidos</v>
      </c>
      <c r="F860">
        <v>3200</v>
      </c>
      <c r="G860" t="str">
        <f>VLOOKUP(Tabela1[[#This Row],[Cliente]],clientes!$C$3:$D$60,2,FALSE)</f>
        <v>JBS</v>
      </c>
    </row>
    <row r="861" spans="1:7" x14ac:dyDescent="0.25">
      <c r="A861">
        <v>2023</v>
      </c>
      <c r="B861" t="s">
        <v>215</v>
      </c>
      <c r="C861" t="s">
        <v>162</v>
      </c>
      <c r="D861" t="s">
        <v>123</v>
      </c>
      <c r="E861" t="str">
        <f>VLOOKUP(D861,'[2]Lista de Produtos CLASSIFICAÇÃO'!$E$103:$F$114,2,FALSE)</f>
        <v>Aquecidos</v>
      </c>
      <c r="F861">
        <v>3200</v>
      </c>
      <c r="G861" t="str">
        <f>VLOOKUP(Tabela1[[#This Row],[Cliente]],clientes!$C$3:$D$60,2,FALSE)</f>
        <v>JBS</v>
      </c>
    </row>
    <row r="862" spans="1:7" x14ac:dyDescent="0.25">
      <c r="A862">
        <v>2023</v>
      </c>
      <c r="B862" t="s">
        <v>230</v>
      </c>
      <c r="C862" t="s">
        <v>162</v>
      </c>
      <c r="D862" t="s">
        <v>123</v>
      </c>
      <c r="E862" t="str">
        <f>VLOOKUP(D862,'[2]Lista de Produtos CLASSIFICAÇÃO'!$E$103:$F$114,2,FALSE)</f>
        <v>Aquecidos</v>
      </c>
      <c r="F862">
        <v>3200</v>
      </c>
      <c r="G862" t="str">
        <f>VLOOKUP(Tabela1[[#This Row],[Cliente]],clientes!$C$3:$D$60,2,FALSE)</f>
        <v>JBS</v>
      </c>
    </row>
    <row r="863" spans="1:7" x14ac:dyDescent="0.25">
      <c r="A863">
        <v>2023</v>
      </c>
      <c r="B863" t="s">
        <v>231</v>
      </c>
      <c r="C863" t="s">
        <v>162</v>
      </c>
      <c r="D863" t="s">
        <v>123</v>
      </c>
      <c r="E863" t="str">
        <f>VLOOKUP(D863,'[2]Lista de Produtos CLASSIFICAÇÃO'!$E$103:$F$114,2,FALSE)</f>
        <v>Aquecidos</v>
      </c>
      <c r="F863">
        <v>3200</v>
      </c>
      <c r="G863" t="str">
        <f>VLOOKUP(Tabela1[[#This Row],[Cliente]],clientes!$C$3:$D$60,2,FALSE)</f>
        <v>JBS</v>
      </c>
    </row>
    <row r="864" spans="1:7" x14ac:dyDescent="0.25">
      <c r="A864">
        <v>2023</v>
      </c>
      <c r="B864" t="s">
        <v>226</v>
      </c>
      <c r="C864" t="s">
        <v>166</v>
      </c>
      <c r="D864" t="s">
        <v>123</v>
      </c>
      <c r="E864" t="str">
        <f>VLOOKUP(D864,'[2]Lista de Produtos CLASSIFICAÇÃO'!$E$103:$F$114,2,FALSE)</f>
        <v>Aquecidos</v>
      </c>
      <c r="F864">
        <v>1500</v>
      </c>
      <c r="G864" t="str">
        <f>VLOOKUP(Tabela1[[#This Row],[Cliente]],clientes!$C$3:$D$60,2,FALSE)</f>
        <v>CARGILL</v>
      </c>
    </row>
    <row r="865" spans="1:7" x14ac:dyDescent="0.25">
      <c r="A865">
        <v>2023</v>
      </c>
      <c r="B865" t="s">
        <v>227</v>
      </c>
      <c r="C865" t="s">
        <v>166</v>
      </c>
      <c r="D865" t="s">
        <v>123</v>
      </c>
      <c r="E865" t="str">
        <f>VLOOKUP(D865,'[2]Lista de Produtos CLASSIFICAÇÃO'!$E$103:$F$114,2,FALSE)</f>
        <v>Aquecidos</v>
      </c>
      <c r="F865">
        <v>1500</v>
      </c>
      <c r="G865" t="str">
        <f>VLOOKUP(Tabela1[[#This Row],[Cliente]],clientes!$C$3:$D$60,2,FALSE)</f>
        <v>CARGILL</v>
      </c>
    </row>
    <row r="866" spans="1:7" x14ac:dyDescent="0.25">
      <c r="A866">
        <v>2023</v>
      </c>
      <c r="B866" t="s">
        <v>228</v>
      </c>
      <c r="C866" t="s">
        <v>166</v>
      </c>
      <c r="D866" t="s">
        <v>123</v>
      </c>
      <c r="E866" t="str">
        <f>VLOOKUP(D866,'[2]Lista de Produtos CLASSIFICAÇÃO'!$E$103:$F$114,2,FALSE)</f>
        <v>Aquecidos</v>
      </c>
      <c r="F866">
        <v>1500</v>
      </c>
      <c r="G866" t="str">
        <f>VLOOKUP(Tabela1[[#This Row],[Cliente]],clientes!$C$3:$D$60,2,FALSE)</f>
        <v>CARGILL</v>
      </c>
    </row>
    <row r="867" spans="1:7" x14ac:dyDescent="0.25">
      <c r="A867">
        <v>2023</v>
      </c>
      <c r="B867" t="s">
        <v>229</v>
      </c>
      <c r="C867" t="s">
        <v>166</v>
      </c>
      <c r="D867" t="s">
        <v>123</v>
      </c>
      <c r="E867" t="str">
        <f>VLOOKUP(D867,'[2]Lista de Produtos CLASSIFICAÇÃO'!$E$103:$F$114,2,FALSE)</f>
        <v>Aquecidos</v>
      </c>
      <c r="F867">
        <v>1500</v>
      </c>
      <c r="G867" t="str">
        <f>VLOOKUP(Tabela1[[#This Row],[Cliente]],clientes!$C$3:$D$60,2,FALSE)</f>
        <v>CARGILL</v>
      </c>
    </row>
    <row r="868" spans="1:7" x14ac:dyDescent="0.25">
      <c r="A868">
        <v>2023</v>
      </c>
      <c r="B868" t="s">
        <v>210</v>
      </c>
      <c r="C868" t="s">
        <v>166</v>
      </c>
      <c r="D868" t="s">
        <v>123</v>
      </c>
      <c r="E868" t="str">
        <f>VLOOKUP(D868,'[2]Lista de Produtos CLASSIFICAÇÃO'!$E$103:$F$114,2,FALSE)</f>
        <v>Aquecidos</v>
      </c>
      <c r="F868">
        <v>1500</v>
      </c>
      <c r="G868" t="str">
        <f>VLOOKUP(Tabela1[[#This Row],[Cliente]],clientes!$C$3:$D$60,2,FALSE)</f>
        <v>CARGILL</v>
      </c>
    </row>
    <row r="869" spans="1:7" x14ac:dyDescent="0.25">
      <c r="A869">
        <v>2023</v>
      </c>
      <c r="B869" t="s">
        <v>211</v>
      </c>
      <c r="C869" t="s">
        <v>166</v>
      </c>
      <c r="D869" t="s">
        <v>123</v>
      </c>
      <c r="E869" t="str">
        <f>VLOOKUP(D869,'[2]Lista de Produtos CLASSIFICAÇÃO'!$E$103:$F$114,2,FALSE)</f>
        <v>Aquecidos</v>
      </c>
      <c r="F869">
        <v>1500</v>
      </c>
      <c r="G869" t="str">
        <f>VLOOKUP(Tabela1[[#This Row],[Cliente]],clientes!$C$3:$D$60,2,FALSE)</f>
        <v>CARGILL</v>
      </c>
    </row>
    <row r="870" spans="1:7" x14ac:dyDescent="0.25">
      <c r="A870">
        <v>2023</v>
      </c>
      <c r="B870" t="s">
        <v>212</v>
      </c>
      <c r="C870" t="s">
        <v>166</v>
      </c>
      <c r="D870" t="s">
        <v>123</v>
      </c>
      <c r="E870" t="str">
        <f>VLOOKUP(D870,'[2]Lista de Produtos CLASSIFICAÇÃO'!$E$103:$F$114,2,FALSE)</f>
        <v>Aquecidos</v>
      </c>
      <c r="F870">
        <v>1500</v>
      </c>
      <c r="G870" t="str">
        <f>VLOOKUP(Tabela1[[#This Row],[Cliente]],clientes!$C$3:$D$60,2,FALSE)</f>
        <v>CARGILL</v>
      </c>
    </row>
    <row r="871" spans="1:7" x14ac:dyDescent="0.25">
      <c r="A871">
        <v>2023</v>
      </c>
      <c r="B871" t="s">
        <v>213</v>
      </c>
      <c r="C871" t="s">
        <v>166</v>
      </c>
      <c r="D871" t="s">
        <v>123</v>
      </c>
      <c r="E871" t="str">
        <f>VLOOKUP(D871,'[2]Lista de Produtos CLASSIFICAÇÃO'!$E$103:$F$114,2,FALSE)</f>
        <v>Aquecidos</v>
      </c>
      <c r="F871">
        <v>1500</v>
      </c>
      <c r="G871" t="str">
        <f>VLOOKUP(Tabela1[[#This Row],[Cliente]],clientes!$C$3:$D$60,2,FALSE)</f>
        <v>CARGILL</v>
      </c>
    </row>
    <row r="872" spans="1:7" x14ac:dyDescent="0.25">
      <c r="A872">
        <v>2023</v>
      </c>
      <c r="B872" t="s">
        <v>214</v>
      </c>
      <c r="C872" t="s">
        <v>166</v>
      </c>
      <c r="D872" t="s">
        <v>123</v>
      </c>
      <c r="E872" t="str">
        <f>VLOOKUP(D872,'[2]Lista de Produtos CLASSIFICAÇÃO'!$E$103:$F$114,2,FALSE)</f>
        <v>Aquecidos</v>
      </c>
      <c r="F872">
        <v>1500</v>
      </c>
      <c r="G872" t="str">
        <f>VLOOKUP(Tabela1[[#This Row],[Cliente]],clientes!$C$3:$D$60,2,FALSE)</f>
        <v>CARGILL</v>
      </c>
    </row>
    <row r="873" spans="1:7" x14ac:dyDescent="0.25">
      <c r="A873">
        <v>2023</v>
      </c>
      <c r="B873" t="s">
        <v>215</v>
      </c>
      <c r="C873" t="s">
        <v>166</v>
      </c>
      <c r="D873" t="s">
        <v>123</v>
      </c>
      <c r="E873" t="str">
        <f>VLOOKUP(D873,'[2]Lista de Produtos CLASSIFICAÇÃO'!$E$103:$F$114,2,FALSE)</f>
        <v>Aquecidos</v>
      </c>
      <c r="F873">
        <v>1500</v>
      </c>
      <c r="G873" t="str">
        <f>VLOOKUP(Tabela1[[#This Row],[Cliente]],clientes!$C$3:$D$60,2,FALSE)</f>
        <v>CARGILL</v>
      </c>
    </row>
    <row r="874" spans="1:7" x14ac:dyDescent="0.25">
      <c r="A874">
        <v>2023</v>
      </c>
      <c r="B874" t="s">
        <v>230</v>
      </c>
      <c r="C874" t="s">
        <v>166</v>
      </c>
      <c r="D874" t="s">
        <v>123</v>
      </c>
      <c r="E874" t="str">
        <f>VLOOKUP(D874,'[2]Lista de Produtos CLASSIFICAÇÃO'!$E$103:$F$114,2,FALSE)</f>
        <v>Aquecidos</v>
      </c>
      <c r="F874">
        <v>1500</v>
      </c>
      <c r="G874" t="str">
        <f>VLOOKUP(Tabela1[[#This Row],[Cliente]],clientes!$C$3:$D$60,2,FALSE)</f>
        <v>CARGILL</v>
      </c>
    </row>
    <row r="875" spans="1:7" x14ac:dyDescent="0.25">
      <c r="A875">
        <v>2023</v>
      </c>
      <c r="B875" t="s">
        <v>231</v>
      </c>
      <c r="C875" t="s">
        <v>166</v>
      </c>
      <c r="D875" t="s">
        <v>123</v>
      </c>
      <c r="E875" t="str">
        <f>VLOOKUP(D875,'[2]Lista de Produtos CLASSIFICAÇÃO'!$E$103:$F$114,2,FALSE)</f>
        <v>Aquecidos</v>
      </c>
      <c r="F875">
        <v>1500</v>
      </c>
      <c r="G875" t="str">
        <f>VLOOKUP(Tabela1[[#This Row],[Cliente]],clientes!$C$3:$D$60,2,FALSE)</f>
        <v>CARGILL</v>
      </c>
    </row>
    <row r="876" spans="1:7" x14ac:dyDescent="0.25">
      <c r="A876">
        <v>2023</v>
      </c>
      <c r="B876" t="s">
        <v>226</v>
      </c>
      <c r="C876" t="s">
        <v>167</v>
      </c>
      <c r="D876" t="s">
        <v>122</v>
      </c>
      <c r="E876" t="str">
        <f>VLOOKUP(D876,'[2]Lista de Produtos CLASSIFICAÇÃO'!$E$103:$F$114,2,FALSE)</f>
        <v>Óleo Vegetal</v>
      </c>
      <c r="F876">
        <v>61173.3321</v>
      </c>
      <c r="G876" t="str">
        <f>VLOOKUP(Tabela1[[#This Row],[Cliente]],clientes!$C$3:$D$60,2,FALSE)</f>
        <v>POOL</v>
      </c>
    </row>
    <row r="877" spans="1:7" x14ac:dyDescent="0.25">
      <c r="A877">
        <v>2023</v>
      </c>
      <c r="B877" t="s">
        <v>227</v>
      </c>
      <c r="C877" t="s">
        <v>167</v>
      </c>
      <c r="D877" t="s">
        <v>122</v>
      </c>
      <c r="E877" t="str">
        <f>VLOOKUP(D877,'[2]Lista de Produtos CLASSIFICAÇÃO'!$E$103:$F$114,2,FALSE)</f>
        <v>Óleo Vegetal</v>
      </c>
      <c r="F877">
        <v>86974.55</v>
      </c>
      <c r="G877" t="str">
        <f>VLOOKUP(Tabela1[[#This Row],[Cliente]],clientes!$C$3:$D$60,2,FALSE)</f>
        <v>POOL</v>
      </c>
    </row>
    <row r="878" spans="1:7" x14ac:dyDescent="0.25">
      <c r="A878">
        <v>2023</v>
      </c>
      <c r="B878" t="s">
        <v>228</v>
      </c>
      <c r="C878" t="s">
        <v>167</v>
      </c>
      <c r="D878" t="s">
        <v>122</v>
      </c>
      <c r="E878" t="str">
        <f>VLOOKUP(D878,'[2]Lista de Produtos CLASSIFICAÇÃO'!$E$103:$F$114,2,FALSE)</f>
        <v>Óleo Vegetal</v>
      </c>
      <c r="F878">
        <v>128930.49815</v>
      </c>
      <c r="G878" t="str">
        <f>VLOOKUP(Tabela1[[#This Row],[Cliente]],clientes!$C$3:$D$60,2,FALSE)</f>
        <v>POOL</v>
      </c>
    </row>
    <row r="879" spans="1:7" x14ac:dyDescent="0.25">
      <c r="A879">
        <v>2023</v>
      </c>
      <c r="B879" t="s">
        <v>229</v>
      </c>
      <c r="C879" t="s">
        <v>167</v>
      </c>
      <c r="D879" t="s">
        <v>122</v>
      </c>
      <c r="E879" t="str">
        <f>VLOOKUP(D879,'[2]Lista de Produtos CLASSIFICAÇÃO'!$E$103:$F$114,2,FALSE)</f>
        <v>Óleo Vegetal</v>
      </c>
      <c r="F879">
        <v>130752.1</v>
      </c>
      <c r="G879" t="str">
        <f>VLOOKUP(Tabela1[[#This Row],[Cliente]],clientes!$C$3:$D$60,2,FALSE)</f>
        <v>POOL</v>
      </c>
    </row>
    <row r="880" spans="1:7" x14ac:dyDescent="0.25">
      <c r="A880">
        <v>2023</v>
      </c>
      <c r="B880" t="s">
        <v>210</v>
      </c>
      <c r="C880" t="s">
        <v>167</v>
      </c>
      <c r="D880" t="s">
        <v>122</v>
      </c>
      <c r="E880" t="str">
        <f>VLOOKUP(D880,'[2]Lista de Produtos CLASSIFICAÇÃO'!$E$103:$F$114,2,FALSE)</f>
        <v>Óleo Vegetal</v>
      </c>
      <c r="F880">
        <v>178739.7</v>
      </c>
      <c r="G880" t="str">
        <f>VLOOKUP(Tabela1[[#This Row],[Cliente]],clientes!$C$3:$D$60,2,FALSE)</f>
        <v>POOL</v>
      </c>
    </row>
    <row r="881" spans="1:7" x14ac:dyDescent="0.25">
      <c r="A881">
        <v>2023</v>
      </c>
      <c r="B881" t="s">
        <v>211</v>
      </c>
      <c r="C881" t="s">
        <v>167</v>
      </c>
      <c r="D881" t="s">
        <v>122</v>
      </c>
      <c r="E881" t="str">
        <f>VLOOKUP(D881,'[2]Lista de Produtos CLASSIFICAÇÃO'!$E$103:$F$114,2,FALSE)</f>
        <v>Óleo Vegetal</v>
      </c>
      <c r="F881">
        <v>99025</v>
      </c>
      <c r="G881" t="str">
        <f>VLOOKUP(Tabela1[[#This Row],[Cliente]],clientes!$C$3:$D$60,2,FALSE)</f>
        <v>POOL</v>
      </c>
    </row>
    <row r="882" spans="1:7" x14ac:dyDescent="0.25">
      <c r="A882">
        <v>2023</v>
      </c>
      <c r="B882" t="s">
        <v>212</v>
      </c>
      <c r="C882" t="s">
        <v>167</v>
      </c>
      <c r="D882" t="s">
        <v>122</v>
      </c>
      <c r="E882" t="str">
        <f>VLOOKUP(D882,'[2]Lista de Produtos CLASSIFICAÇÃO'!$E$103:$F$114,2,FALSE)</f>
        <v>Óleo Vegetal</v>
      </c>
      <c r="F882">
        <v>93999.408150000003</v>
      </c>
      <c r="G882" t="str">
        <f>VLOOKUP(Tabela1[[#This Row],[Cliente]],clientes!$C$3:$D$60,2,FALSE)</f>
        <v>POOL</v>
      </c>
    </row>
    <row r="883" spans="1:7" x14ac:dyDescent="0.25">
      <c r="A883">
        <v>2023</v>
      </c>
      <c r="B883" t="s">
        <v>213</v>
      </c>
      <c r="C883" t="s">
        <v>167</v>
      </c>
      <c r="D883" t="s">
        <v>122</v>
      </c>
      <c r="E883" t="str">
        <f>VLOOKUP(D883,'[2]Lista de Produtos CLASSIFICAÇÃO'!$E$103:$F$114,2,FALSE)</f>
        <v>Óleo Vegetal</v>
      </c>
      <c r="F883">
        <v>90000</v>
      </c>
      <c r="G883" t="str">
        <f>VLOOKUP(Tabela1[[#This Row],[Cliente]],clientes!$C$3:$D$60,2,FALSE)</f>
        <v>POOL</v>
      </c>
    </row>
    <row r="884" spans="1:7" x14ac:dyDescent="0.25">
      <c r="A884">
        <v>2023</v>
      </c>
      <c r="B884" t="s">
        <v>214</v>
      </c>
      <c r="C884" t="s">
        <v>167</v>
      </c>
      <c r="D884" t="s">
        <v>122</v>
      </c>
      <c r="E884" t="str">
        <f>VLOOKUP(D884,'[2]Lista de Produtos CLASSIFICAÇÃO'!$E$103:$F$114,2,FALSE)</f>
        <v>Óleo Vegetal</v>
      </c>
      <c r="F884">
        <v>90000</v>
      </c>
      <c r="G884" t="str">
        <f>VLOOKUP(Tabela1[[#This Row],[Cliente]],clientes!$C$3:$D$60,2,FALSE)</f>
        <v>POOL</v>
      </c>
    </row>
    <row r="885" spans="1:7" x14ac:dyDescent="0.25">
      <c r="A885">
        <v>2023</v>
      </c>
      <c r="B885" t="s">
        <v>215</v>
      </c>
      <c r="C885" t="s">
        <v>167</v>
      </c>
      <c r="D885" t="s">
        <v>122</v>
      </c>
      <c r="E885" t="str">
        <f>VLOOKUP(D885,'[2]Lista de Produtos CLASSIFICAÇÃO'!$E$103:$F$114,2,FALSE)</f>
        <v>Óleo Vegetal</v>
      </c>
      <c r="F885">
        <v>90000</v>
      </c>
      <c r="G885" t="str">
        <f>VLOOKUP(Tabela1[[#This Row],[Cliente]],clientes!$C$3:$D$60,2,FALSE)</f>
        <v>POOL</v>
      </c>
    </row>
    <row r="886" spans="1:7" x14ac:dyDescent="0.25">
      <c r="A886">
        <v>2023</v>
      </c>
      <c r="B886" t="s">
        <v>230</v>
      </c>
      <c r="C886" t="s">
        <v>167</v>
      </c>
      <c r="D886" t="s">
        <v>122</v>
      </c>
      <c r="E886" t="str">
        <f>VLOOKUP(D886,'[2]Lista de Produtos CLASSIFICAÇÃO'!$E$103:$F$114,2,FALSE)</f>
        <v>Óleo Vegetal</v>
      </c>
      <c r="F886">
        <v>80000</v>
      </c>
      <c r="G886" t="str">
        <f>VLOOKUP(Tabela1[[#This Row],[Cliente]],clientes!$C$3:$D$60,2,FALSE)</f>
        <v>POOL</v>
      </c>
    </row>
    <row r="887" spans="1:7" x14ac:dyDescent="0.25">
      <c r="A887">
        <v>2023</v>
      </c>
      <c r="B887" t="s">
        <v>231</v>
      </c>
      <c r="C887" t="s">
        <v>167</v>
      </c>
      <c r="D887" t="s">
        <v>122</v>
      </c>
      <c r="E887" t="str">
        <f>VLOOKUP(D887,'[2]Lista de Produtos CLASSIFICAÇÃO'!$E$103:$F$114,2,FALSE)</f>
        <v>Óleo Vegetal</v>
      </c>
      <c r="F887">
        <v>70000</v>
      </c>
      <c r="G887" t="str">
        <f>VLOOKUP(Tabela1[[#This Row],[Cliente]],clientes!$C$3:$D$60,2,FALSE)</f>
        <v>POOL</v>
      </c>
    </row>
    <row r="888" spans="1:7" x14ac:dyDescent="0.25">
      <c r="A888">
        <v>2023</v>
      </c>
      <c r="B888" t="s">
        <v>226</v>
      </c>
      <c r="C888" t="s">
        <v>169</v>
      </c>
      <c r="D888" t="s">
        <v>22</v>
      </c>
      <c r="E888" t="str">
        <f>VLOOKUP(D888,'[2]Lista de Produtos CLASSIFICAÇÃO'!$E$103:$F$114,2,FALSE)</f>
        <v>Metanol</v>
      </c>
      <c r="F888">
        <v>45000</v>
      </c>
      <c r="G888" t="str">
        <f>VLOOKUP(Tabela1[[#This Row],[Cliente]],clientes!$C$3:$D$60,2,FALSE)</f>
        <v>METHANEX</v>
      </c>
    </row>
    <row r="889" spans="1:7" x14ac:dyDescent="0.25">
      <c r="A889">
        <v>2023</v>
      </c>
      <c r="B889" t="s">
        <v>227</v>
      </c>
      <c r="C889" t="s">
        <v>169</v>
      </c>
      <c r="D889" t="s">
        <v>22</v>
      </c>
      <c r="E889" t="str">
        <f>VLOOKUP(D889,'[2]Lista de Produtos CLASSIFICAÇÃO'!$E$103:$F$114,2,FALSE)</f>
        <v>Metanol</v>
      </c>
      <c r="F889">
        <v>45000</v>
      </c>
      <c r="G889" t="str">
        <f>VLOOKUP(Tabela1[[#This Row],[Cliente]],clientes!$C$3:$D$60,2,FALSE)</f>
        <v>METHANEX</v>
      </c>
    </row>
    <row r="890" spans="1:7" x14ac:dyDescent="0.25">
      <c r="A890">
        <v>2023</v>
      </c>
      <c r="B890" t="s">
        <v>228</v>
      </c>
      <c r="C890" t="s">
        <v>169</v>
      </c>
      <c r="D890" t="s">
        <v>22</v>
      </c>
      <c r="E890" t="str">
        <f>VLOOKUP(D890,'[2]Lista de Produtos CLASSIFICAÇÃO'!$E$103:$F$114,2,FALSE)</f>
        <v>Metanol</v>
      </c>
      <c r="F890">
        <v>45000</v>
      </c>
      <c r="G890" t="str">
        <f>VLOOKUP(Tabela1[[#This Row],[Cliente]],clientes!$C$3:$D$60,2,FALSE)</f>
        <v>METHANEX</v>
      </c>
    </row>
    <row r="891" spans="1:7" x14ac:dyDescent="0.25">
      <c r="A891">
        <v>2023</v>
      </c>
      <c r="B891" t="s">
        <v>229</v>
      </c>
      <c r="C891" t="s">
        <v>169</v>
      </c>
      <c r="D891" t="s">
        <v>22</v>
      </c>
      <c r="E891" t="str">
        <f>VLOOKUP(D891,'[2]Lista de Produtos CLASSIFICAÇÃO'!$E$103:$F$114,2,FALSE)</f>
        <v>Metanol</v>
      </c>
      <c r="F891">
        <v>45000</v>
      </c>
      <c r="G891" t="str">
        <f>VLOOKUP(Tabela1[[#This Row],[Cliente]],clientes!$C$3:$D$60,2,FALSE)</f>
        <v>METHANEX</v>
      </c>
    </row>
    <row r="892" spans="1:7" x14ac:dyDescent="0.25">
      <c r="A892">
        <v>2023</v>
      </c>
      <c r="B892" t="s">
        <v>210</v>
      </c>
      <c r="C892" t="s">
        <v>169</v>
      </c>
      <c r="D892" t="s">
        <v>22</v>
      </c>
      <c r="E892" t="str">
        <f>VLOOKUP(D892,'[2]Lista de Produtos CLASSIFICAÇÃO'!$E$103:$F$114,2,FALSE)</f>
        <v>Metanol</v>
      </c>
      <c r="F892">
        <v>45000</v>
      </c>
      <c r="G892" t="str">
        <f>VLOOKUP(Tabela1[[#This Row],[Cliente]],clientes!$C$3:$D$60,2,FALSE)</f>
        <v>METHANEX</v>
      </c>
    </row>
    <row r="893" spans="1:7" x14ac:dyDescent="0.25">
      <c r="A893">
        <v>2023</v>
      </c>
      <c r="B893" t="s">
        <v>211</v>
      </c>
      <c r="C893" t="s">
        <v>169</v>
      </c>
      <c r="D893" t="s">
        <v>22</v>
      </c>
      <c r="E893" t="str">
        <f>VLOOKUP(D893,'[2]Lista de Produtos CLASSIFICAÇÃO'!$E$103:$F$114,2,FALSE)</f>
        <v>Metanol</v>
      </c>
      <c r="F893">
        <v>45000</v>
      </c>
      <c r="G893" t="str">
        <f>VLOOKUP(Tabela1[[#This Row],[Cliente]],clientes!$C$3:$D$60,2,FALSE)</f>
        <v>METHANEX</v>
      </c>
    </row>
    <row r="894" spans="1:7" x14ac:dyDescent="0.25">
      <c r="A894">
        <v>2023</v>
      </c>
      <c r="B894" t="s">
        <v>212</v>
      </c>
      <c r="C894" t="s">
        <v>169</v>
      </c>
      <c r="D894" t="s">
        <v>22</v>
      </c>
      <c r="E894" t="str">
        <f>VLOOKUP(D894,'[2]Lista de Produtos CLASSIFICAÇÃO'!$E$103:$F$114,2,FALSE)</f>
        <v>Metanol</v>
      </c>
      <c r="F894">
        <v>45000</v>
      </c>
      <c r="G894" t="str">
        <f>VLOOKUP(Tabela1[[#This Row],[Cliente]],clientes!$C$3:$D$60,2,FALSE)</f>
        <v>METHANEX</v>
      </c>
    </row>
    <row r="895" spans="1:7" x14ac:dyDescent="0.25">
      <c r="A895">
        <v>2023</v>
      </c>
      <c r="B895" t="s">
        <v>213</v>
      </c>
      <c r="C895" t="s">
        <v>169</v>
      </c>
      <c r="D895" t="s">
        <v>22</v>
      </c>
      <c r="E895" t="str">
        <f>VLOOKUP(D895,'[2]Lista de Produtos CLASSIFICAÇÃO'!$E$103:$F$114,2,FALSE)</f>
        <v>Metanol</v>
      </c>
      <c r="F895">
        <v>45000</v>
      </c>
      <c r="G895" t="str">
        <f>VLOOKUP(Tabela1[[#This Row],[Cliente]],clientes!$C$3:$D$60,2,FALSE)</f>
        <v>METHANEX</v>
      </c>
    </row>
    <row r="896" spans="1:7" x14ac:dyDescent="0.25">
      <c r="A896">
        <v>2023</v>
      </c>
      <c r="B896" t="s">
        <v>214</v>
      </c>
      <c r="C896" t="s">
        <v>169</v>
      </c>
      <c r="D896" t="s">
        <v>22</v>
      </c>
      <c r="E896" t="str">
        <f>VLOOKUP(D896,'[2]Lista de Produtos CLASSIFICAÇÃO'!$E$103:$F$114,2,FALSE)</f>
        <v>Metanol</v>
      </c>
      <c r="F896">
        <v>45000</v>
      </c>
      <c r="G896" t="str">
        <f>VLOOKUP(Tabela1[[#This Row],[Cliente]],clientes!$C$3:$D$60,2,FALSE)</f>
        <v>METHANEX</v>
      </c>
    </row>
    <row r="897" spans="1:7" x14ac:dyDescent="0.25">
      <c r="A897">
        <v>2023</v>
      </c>
      <c r="B897" t="s">
        <v>215</v>
      </c>
      <c r="C897" t="s">
        <v>169</v>
      </c>
      <c r="D897" t="s">
        <v>22</v>
      </c>
      <c r="E897" t="str">
        <f>VLOOKUP(D897,'[2]Lista de Produtos CLASSIFICAÇÃO'!$E$103:$F$114,2,FALSE)</f>
        <v>Metanol</v>
      </c>
      <c r="F897">
        <v>45000</v>
      </c>
      <c r="G897" t="str">
        <f>VLOOKUP(Tabela1[[#This Row],[Cliente]],clientes!$C$3:$D$60,2,FALSE)</f>
        <v>METHANEX</v>
      </c>
    </row>
    <row r="898" spans="1:7" x14ac:dyDescent="0.25">
      <c r="A898">
        <v>2023</v>
      </c>
      <c r="B898" t="s">
        <v>230</v>
      </c>
      <c r="C898" t="s">
        <v>169</v>
      </c>
      <c r="D898" t="s">
        <v>22</v>
      </c>
      <c r="E898" t="str">
        <f>VLOOKUP(D898,'[2]Lista de Produtos CLASSIFICAÇÃO'!$E$103:$F$114,2,FALSE)</f>
        <v>Metanol</v>
      </c>
      <c r="F898">
        <v>45000</v>
      </c>
      <c r="G898" t="str">
        <f>VLOOKUP(Tabela1[[#This Row],[Cliente]],clientes!$C$3:$D$60,2,FALSE)</f>
        <v>METHANEX</v>
      </c>
    </row>
    <row r="899" spans="1:7" x14ac:dyDescent="0.25">
      <c r="A899">
        <v>2023</v>
      </c>
      <c r="B899" t="s">
        <v>231</v>
      </c>
      <c r="C899" t="s">
        <v>169</v>
      </c>
      <c r="D899" t="s">
        <v>22</v>
      </c>
      <c r="E899" t="str">
        <f>VLOOKUP(D899,'[2]Lista de Produtos CLASSIFICAÇÃO'!$E$103:$F$114,2,FALSE)</f>
        <v>Metanol</v>
      </c>
      <c r="F899">
        <v>45000</v>
      </c>
      <c r="G899" t="str">
        <f>VLOOKUP(Tabela1[[#This Row],[Cliente]],clientes!$C$3:$D$60,2,FALSE)</f>
        <v>METHANEX</v>
      </c>
    </row>
    <row r="900" spans="1:7" x14ac:dyDescent="0.25">
      <c r="A900">
        <v>2023</v>
      </c>
      <c r="B900" t="s">
        <v>226</v>
      </c>
      <c r="C900" t="s">
        <v>170</v>
      </c>
      <c r="D900" t="s">
        <v>22</v>
      </c>
      <c r="E900" t="str">
        <f>VLOOKUP(D900,'[2]Lista de Produtos CLASSIFICAÇÃO'!$E$103:$F$114,2,FALSE)</f>
        <v>Metanol</v>
      </c>
      <c r="F900">
        <v>13000</v>
      </c>
      <c r="G900" t="str">
        <f>VLOOKUP(Tabela1[[#This Row],[Cliente]],clientes!$C$3:$D$60,2,FALSE)</f>
        <v>MITSUBISHI</v>
      </c>
    </row>
    <row r="901" spans="1:7" x14ac:dyDescent="0.25">
      <c r="A901">
        <v>2023</v>
      </c>
      <c r="B901" t="s">
        <v>227</v>
      </c>
      <c r="C901" t="s">
        <v>170</v>
      </c>
      <c r="D901" t="s">
        <v>22</v>
      </c>
      <c r="E901" t="str">
        <f>VLOOKUP(D901,'[2]Lista de Produtos CLASSIFICAÇÃO'!$E$103:$F$114,2,FALSE)</f>
        <v>Metanol</v>
      </c>
      <c r="F901">
        <v>13000</v>
      </c>
      <c r="G901" t="str">
        <f>VLOOKUP(Tabela1[[#This Row],[Cliente]],clientes!$C$3:$D$60,2,FALSE)</f>
        <v>MITSUBISHI</v>
      </c>
    </row>
    <row r="902" spans="1:7" x14ac:dyDescent="0.25">
      <c r="A902">
        <v>2023</v>
      </c>
      <c r="B902" t="s">
        <v>228</v>
      </c>
      <c r="C902" t="s">
        <v>170</v>
      </c>
      <c r="D902" t="s">
        <v>22</v>
      </c>
      <c r="E902" t="str">
        <f>VLOOKUP(D902,'[2]Lista de Produtos CLASSIFICAÇÃO'!$E$103:$F$114,2,FALSE)</f>
        <v>Metanol</v>
      </c>
      <c r="F902">
        <v>13000</v>
      </c>
      <c r="G902" t="str">
        <f>VLOOKUP(Tabela1[[#This Row],[Cliente]],clientes!$C$3:$D$60,2,FALSE)</f>
        <v>MITSUBISHI</v>
      </c>
    </row>
    <row r="903" spans="1:7" x14ac:dyDescent="0.25">
      <c r="A903">
        <v>2023</v>
      </c>
      <c r="B903" t="s">
        <v>229</v>
      </c>
      <c r="C903" t="s">
        <v>170</v>
      </c>
      <c r="D903" t="s">
        <v>22</v>
      </c>
      <c r="E903" t="str">
        <f>VLOOKUP(D903,'[2]Lista de Produtos CLASSIFICAÇÃO'!$E$103:$F$114,2,FALSE)</f>
        <v>Metanol</v>
      </c>
      <c r="F903">
        <v>13000</v>
      </c>
      <c r="G903" t="str">
        <f>VLOOKUP(Tabela1[[#This Row],[Cliente]],clientes!$C$3:$D$60,2,FALSE)</f>
        <v>MITSUBISHI</v>
      </c>
    </row>
    <row r="904" spans="1:7" x14ac:dyDescent="0.25">
      <c r="A904">
        <v>2023</v>
      </c>
      <c r="B904" t="s">
        <v>210</v>
      </c>
      <c r="C904" t="s">
        <v>170</v>
      </c>
      <c r="D904" t="s">
        <v>22</v>
      </c>
      <c r="E904" t="str">
        <f>VLOOKUP(D904,'[2]Lista de Produtos CLASSIFICAÇÃO'!$E$103:$F$114,2,FALSE)</f>
        <v>Metanol</v>
      </c>
      <c r="F904">
        <v>13000</v>
      </c>
      <c r="G904" t="str">
        <f>VLOOKUP(Tabela1[[#This Row],[Cliente]],clientes!$C$3:$D$60,2,FALSE)</f>
        <v>MITSUBISHI</v>
      </c>
    </row>
    <row r="905" spans="1:7" x14ac:dyDescent="0.25">
      <c r="A905">
        <v>2023</v>
      </c>
      <c r="B905" t="s">
        <v>211</v>
      </c>
      <c r="C905" t="s">
        <v>170</v>
      </c>
      <c r="D905" t="s">
        <v>22</v>
      </c>
      <c r="E905" t="str">
        <f>VLOOKUP(D905,'[2]Lista de Produtos CLASSIFICAÇÃO'!$E$103:$F$114,2,FALSE)</f>
        <v>Metanol</v>
      </c>
      <c r="F905">
        <v>13000</v>
      </c>
      <c r="G905" t="str">
        <f>VLOOKUP(Tabela1[[#This Row],[Cliente]],clientes!$C$3:$D$60,2,FALSE)</f>
        <v>MITSUBISHI</v>
      </c>
    </row>
    <row r="906" spans="1:7" x14ac:dyDescent="0.25">
      <c r="A906">
        <v>2023</v>
      </c>
      <c r="B906" t="s">
        <v>212</v>
      </c>
      <c r="C906" t="s">
        <v>170</v>
      </c>
      <c r="D906" t="s">
        <v>22</v>
      </c>
      <c r="E906" t="str">
        <f>VLOOKUP(D906,'[2]Lista de Produtos CLASSIFICAÇÃO'!$E$103:$F$114,2,FALSE)</f>
        <v>Metanol</v>
      </c>
      <c r="F906">
        <v>13000</v>
      </c>
      <c r="G906" t="str">
        <f>VLOOKUP(Tabela1[[#This Row],[Cliente]],clientes!$C$3:$D$60,2,FALSE)</f>
        <v>MITSUBISHI</v>
      </c>
    </row>
    <row r="907" spans="1:7" x14ac:dyDescent="0.25">
      <c r="A907">
        <v>2023</v>
      </c>
      <c r="B907" t="s">
        <v>213</v>
      </c>
      <c r="C907" t="s">
        <v>170</v>
      </c>
      <c r="D907" t="s">
        <v>22</v>
      </c>
      <c r="E907" t="str">
        <f>VLOOKUP(D907,'[2]Lista de Produtos CLASSIFICAÇÃO'!$E$103:$F$114,2,FALSE)</f>
        <v>Metanol</v>
      </c>
      <c r="F907">
        <v>13000</v>
      </c>
      <c r="G907" t="str">
        <f>VLOOKUP(Tabela1[[#This Row],[Cliente]],clientes!$C$3:$D$60,2,FALSE)</f>
        <v>MITSUBISHI</v>
      </c>
    </row>
    <row r="908" spans="1:7" x14ac:dyDescent="0.25">
      <c r="A908">
        <v>2023</v>
      </c>
      <c r="B908" t="s">
        <v>214</v>
      </c>
      <c r="C908" t="s">
        <v>170</v>
      </c>
      <c r="D908" t="s">
        <v>22</v>
      </c>
      <c r="E908" t="str">
        <f>VLOOKUP(D908,'[2]Lista de Produtos CLASSIFICAÇÃO'!$E$103:$F$114,2,FALSE)</f>
        <v>Metanol</v>
      </c>
      <c r="F908">
        <v>13000</v>
      </c>
      <c r="G908" t="str">
        <f>VLOOKUP(Tabela1[[#This Row],[Cliente]],clientes!$C$3:$D$60,2,FALSE)</f>
        <v>MITSUBISHI</v>
      </c>
    </row>
    <row r="909" spans="1:7" x14ac:dyDescent="0.25">
      <c r="A909">
        <v>2023</v>
      </c>
      <c r="B909" t="s">
        <v>215</v>
      </c>
      <c r="C909" t="s">
        <v>170</v>
      </c>
      <c r="D909" t="s">
        <v>22</v>
      </c>
      <c r="E909" t="str">
        <f>VLOOKUP(D909,'[2]Lista de Produtos CLASSIFICAÇÃO'!$E$103:$F$114,2,FALSE)</f>
        <v>Metanol</v>
      </c>
      <c r="F909">
        <v>13000</v>
      </c>
      <c r="G909" t="str">
        <f>VLOOKUP(Tabela1[[#This Row],[Cliente]],clientes!$C$3:$D$60,2,FALSE)</f>
        <v>MITSUBISHI</v>
      </c>
    </row>
    <row r="910" spans="1:7" x14ac:dyDescent="0.25">
      <c r="A910">
        <v>2023</v>
      </c>
      <c r="B910" t="s">
        <v>230</v>
      </c>
      <c r="C910" t="s">
        <v>170</v>
      </c>
      <c r="D910" t="s">
        <v>22</v>
      </c>
      <c r="E910" t="str">
        <f>VLOOKUP(D910,'[2]Lista de Produtos CLASSIFICAÇÃO'!$E$103:$F$114,2,FALSE)</f>
        <v>Metanol</v>
      </c>
      <c r="F910">
        <v>13000</v>
      </c>
      <c r="G910" t="str">
        <f>VLOOKUP(Tabela1[[#This Row],[Cliente]],clientes!$C$3:$D$60,2,FALSE)</f>
        <v>MITSUBISHI</v>
      </c>
    </row>
    <row r="911" spans="1:7" x14ac:dyDescent="0.25">
      <c r="A911">
        <v>2023</v>
      </c>
      <c r="B911" t="s">
        <v>231</v>
      </c>
      <c r="C911" t="s">
        <v>170</v>
      </c>
      <c r="D911" t="s">
        <v>22</v>
      </c>
      <c r="E911" t="str">
        <f>VLOOKUP(D911,'[2]Lista de Produtos CLASSIFICAÇÃO'!$E$103:$F$114,2,FALSE)</f>
        <v>Metanol</v>
      </c>
      <c r="F911">
        <v>13000</v>
      </c>
      <c r="G911" t="str">
        <f>VLOOKUP(Tabela1[[#This Row],[Cliente]],clientes!$C$3:$D$60,2,FALSE)</f>
        <v>MITSUBISHI</v>
      </c>
    </row>
    <row r="912" spans="1:7" x14ac:dyDescent="0.25">
      <c r="A912">
        <v>2023</v>
      </c>
      <c r="B912" t="s">
        <v>226</v>
      </c>
      <c r="C912" t="s">
        <v>196</v>
      </c>
      <c r="D912" t="s">
        <v>22</v>
      </c>
      <c r="E912" t="str">
        <f>VLOOKUP(D912,'[2]Lista de Produtos CLASSIFICAÇÃO'!$E$103:$F$114,2,FALSE)</f>
        <v>Metanol</v>
      </c>
      <c r="F912">
        <v>24000</v>
      </c>
      <c r="G912" t="str">
        <f>VLOOKUP(Tabela1[[#This Row],[Cliente]],clientes!$C$3:$D$60,2,FALSE)</f>
        <v>SCC</v>
      </c>
    </row>
    <row r="913" spans="1:7" x14ac:dyDescent="0.25">
      <c r="A913">
        <v>2023</v>
      </c>
      <c r="B913" t="s">
        <v>227</v>
      </c>
      <c r="C913" t="s">
        <v>196</v>
      </c>
      <c r="D913" t="s">
        <v>22</v>
      </c>
      <c r="E913" t="str">
        <f>VLOOKUP(D913,'[2]Lista de Produtos CLASSIFICAÇÃO'!$E$103:$F$114,2,FALSE)</f>
        <v>Metanol</v>
      </c>
      <c r="F913">
        <v>24000</v>
      </c>
      <c r="G913" t="str">
        <f>VLOOKUP(Tabela1[[#This Row],[Cliente]],clientes!$C$3:$D$60,2,FALSE)</f>
        <v>SCC</v>
      </c>
    </row>
    <row r="914" spans="1:7" x14ac:dyDescent="0.25">
      <c r="A914">
        <v>2023</v>
      </c>
      <c r="B914" t="s">
        <v>228</v>
      </c>
      <c r="C914" t="s">
        <v>196</v>
      </c>
      <c r="D914" t="s">
        <v>22</v>
      </c>
      <c r="E914" t="str">
        <f>VLOOKUP(D914,'[2]Lista de Produtos CLASSIFICAÇÃO'!$E$103:$F$114,2,FALSE)</f>
        <v>Metanol</v>
      </c>
      <c r="F914">
        <v>24000</v>
      </c>
      <c r="G914" t="str">
        <f>VLOOKUP(Tabela1[[#This Row],[Cliente]],clientes!$C$3:$D$60,2,FALSE)</f>
        <v>SCC</v>
      </c>
    </row>
    <row r="915" spans="1:7" x14ac:dyDescent="0.25">
      <c r="A915">
        <v>2023</v>
      </c>
      <c r="B915" t="s">
        <v>229</v>
      </c>
      <c r="C915" t="s">
        <v>196</v>
      </c>
      <c r="D915" t="s">
        <v>22</v>
      </c>
      <c r="E915" t="str">
        <f>VLOOKUP(D915,'[2]Lista de Produtos CLASSIFICAÇÃO'!$E$103:$F$114,2,FALSE)</f>
        <v>Metanol</v>
      </c>
      <c r="F915">
        <v>24000</v>
      </c>
      <c r="G915" t="str">
        <f>VLOOKUP(Tabela1[[#This Row],[Cliente]],clientes!$C$3:$D$60,2,FALSE)</f>
        <v>SCC</v>
      </c>
    </row>
    <row r="916" spans="1:7" x14ac:dyDescent="0.25">
      <c r="A916">
        <v>2023</v>
      </c>
      <c r="B916" t="s">
        <v>210</v>
      </c>
      <c r="C916" t="s">
        <v>196</v>
      </c>
      <c r="D916" t="s">
        <v>22</v>
      </c>
      <c r="E916" t="str">
        <f>VLOOKUP(D916,'[2]Lista de Produtos CLASSIFICAÇÃO'!$E$103:$F$114,2,FALSE)</f>
        <v>Metanol</v>
      </c>
      <c r="F916">
        <v>24000</v>
      </c>
      <c r="G916" t="str">
        <f>VLOOKUP(Tabela1[[#This Row],[Cliente]],clientes!$C$3:$D$60,2,FALSE)</f>
        <v>SCC</v>
      </c>
    </row>
    <row r="917" spans="1:7" x14ac:dyDescent="0.25">
      <c r="A917">
        <v>2023</v>
      </c>
      <c r="B917" t="s">
        <v>211</v>
      </c>
      <c r="C917" t="s">
        <v>196</v>
      </c>
      <c r="D917" t="s">
        <v>22</v>
      </c>
      <c r="E917" t="str">
        <f>VLOOKUP(D917,'[2]Lista de Produtos CLASSIFICAÇÃO'!$E$103:$F$114,2,FALSE)</f>
        <v>Metanol</v>
      </c>
      <c r="F917">
        <v>24000</v>
      </c>
      <c r="G917" t="str">
        <f>VLOOKUP(Tabela1[[#This Row],[Cliente]],clientes!$C$3:$D$60,2,FALSE)</f>
        <v>SCC</v>
      </c>
    </row>
    <row r="918" spans="1:7" x14ac:dyDescent="0.25">
      <c r="A918">
        <v>2023</v>
      </c>
      <c r="B918" t="s">
        <v>212</v>
      </c>
      <c r="C918" t="s">
        <v>196</v>
      </c>
      <c r="D918" t="s">
        <v>22</v>
      </c>
      <c r="E918" t="str">
        <f>VLOOKUP(D918,'[2]Lista de Produtos CLASSIFICAÇÃO'!$E$103:$F$114,2,FALSE)</f>
        <v>Metanol</v>
      </c>
      <c r="F918">
        <v>24000</v>
      </c>
      <c r="G918" t="str">
        <f>VLOOKUP(Tabela1[[#This Row],[Cliente]],clientes!$C$3:$D$60,2,FALSE)</f>
        <v>SCC</v>
      </c>
    </row>
    <row r="919" spans="1:7" x14ac:dyDescent="0.25">
      <c r="A919">
        <v>2023</v>
      </c>
      <c r="B919" t="s">
        <v>213</v>
      </c>
      <c r="C919" t="s">
        <v>196</v>
      </c>
      <c r="D919" t="s">
        <v>22</v>
      </c>
      <c r="E919" t="str">
        <f>VLOOKUP(D919,'[2]Lista de Produtos CLASSIFICAÇÃO'!$E$103:$F$114,2,FALSE)</f>
        <v>Metanol</v>
      </c>
      <c r="F919">
        <v>24000</v>
      </c>
      <c r="G919" t="str">
        <f>VLOOKUP(Tabela1[[#This Row],[Cliente]],clientes!$C$3:$D$60,2,FALSE)</f>
        <v>SCC</v>
      </c>
    </row>
    <row r="920" spans="1:7" x14ac:dyDescent="0.25">
      <c r="A920">
        <v>2023</v>
      </c>
      <c r="B920" t="s">
        <v>214</v>
      </c>
      <c r="C920" t="s">
        <v>196</v>
      </c>
      <c r="D920" t="s">
        <v>22</v>
      </c>
      <c r="E920" t="str">
        <f>VLOOKUP(D920,'[2]Lista de Produtos CLASSIFICAÇÃO'!$E$103:$F$114,2,FALSE)</f>
        <v>Metanol</v>
      </c>
      <c r="F920">
        <v>24000</v>
      </c>
      <c r="G920" t="str">
        <f>VLOOKUP(Tabela1[[#This Row],[Cliente]],clientes!$C$3:$D$60,2,FALSE)</f>
        <v>SCC</v>
      </c>
    </row>
    <row r="921" spans="1:7" x14ac:dyDescent="0.25">
      <c r="A921">
        <v>2023</v>
      </c>
      <c r="B921" t="s">
        <v>215</v>
      </c>
      <c r="C921" t="s">
        <v>196</v>
      </c>
      <c r="D921" t="s">
        <v>22</v>
      </c>
      <c r="E921" t="str">
        <f>VLOOKUP(D921,'[2]Lista de Produtos CLASSIFICAÇÃO'!$E$103:$F$114,2,FALSE)</f>
        <v>Metanol</v>
      </c>
      <c r="F921">
        <v>24000</v>
      </c>
      <c r="G921" t="str">
        <f>VLOOKUP(Tabela1[[#This Row],[Cliente]],clientes!$C$3:$D$60,2,FALSE)</f>
        <v>SCC</v>
      </c>
    </row>
    <row r="922" spans="1:7" x14ac:dyDescent="0.25">
      <c r="A922">
        <v>2023</v>
      </c>
      <c r="B922" t="s">
        <v>230</v>
      </c>
      <c r="C922" t="s">
        <v>196</v>
      </c>
      <c r="D922" t="s">
        <v>22</v>
      </c>
      <c r="E922" t="str">
        <f>VLOOKUP(D922,'[2]Lista de Produtos CLASSIFICAÇÃO'!$E$103:$F$114,2,FALSE)</f>
        <v>Metanol</v>
      </c>
      <c r="F922">
        <v>24000</v>
      </c>
      <c r="G922" t="str">
        <f>VLOOKUP(Tabela1[[#This Row],[Cliente]],clientes!$C$3:$D$60,2,FALSE)</f>
        <v>SCC</v>
      </c>
    </row>
    <row r="923" spans="1:7" x14ac:dyDescent="0.25">
      <c r="A923">
        <v>2023</v>
      </c>
      <c r="B923" t="s">
        <v>231</v>
      </c>
      <c r="C923" t="s">
        <v>196</v>
      </c>
      <c r="D923" t="s">
        <v>22</v>
      </c>
      <c r="E923" t="str">
        <f>VLOOKUP(D923,'[2]Lista de Produtos CLASSIFICAÇÃO'!$E$103:$F$114,2,FALSE)</f>
        <v>Metanol</v>
      </c>
      <c r="F923">
        <v>24000</v>
      </c>
      <c r="G923" t="str">
        <f>VLOOKUP(Tabela1[[#This Row],[Cliente]],clientes!$C$3:$D$60,2,FALSE)</f>
        <v>SCC</v>
      </c>
    </row>
    <row r="924" spans="1:7" x14ac:dyDescent="0.25">
      <c r="A924">
        <v>2023</v>
      </c>
      <c r="B924" t="s">
        <v>226</v>
      </c>
      <c r="C924" t="s">
        <v>172</v>
      </c>
      <c r="D924" t="s">
        <v>124</v>
      </c>
      <c r="E924" t="str">
        <f>VLOOKUP(D924,'[2]Lista de Produtos CLASSIFICAÇÃO'!$E$103:$F$114,2,FALSE)</f>
        <v>Outros</v>
      </c>
      <c r="F924">
        <v>1400</v>
      </c>
      <c r="G924" t="str">
        <f>VLOOKUP(Tabela1[[#This Row],[Cliente]],clientes!$C$3:$D$60,2,FALSE)</f>
        <v>EVONIK</v>
      </c>
    </row>
    <row r="925" spans="1:7" x14ac:dyDescent="0.25">
      <c r="A925">
        <v>2023</v>
      </c>
      <c r="B925" t="s">
        <v>227</v>
      </c>
      <c r="C925" t="s">
        <v>172</v>
      </c>
      <c r="D925" t="s">
        <v>124</v>
      </c>
      <c r="E925" t="str">
        <f>VLOOKUP(D925,'[2]Lista de Produtos CLASSIFICAÇÃO'!$E$103:$F$114,2,FALSE)</f>
        <v>Outros</v>
      </c>
      <c r="F925">
        <v>1400</v>
      </c>
      <c r="G925" t="str">
        <f>VLOOKUP(Tabela1[[#This Row],[Cliente]],clientes!$C$3:$D$60,2,FALSE)</f>
        <v>EVONIK</v>
      </c>
    </row>
    <row r="926" spans="1:7" x14ac:dyDescent="0.25">
      <c r="A926">
        <v>2023</v>
      </c>
      <c r="B926" t="s">
        <v>228</v>
      </c>
      <c r="C926" t="s">
        <v>172</v>
      </c>
      <c r="D926" t="s">
        <v>124</v>
      </c>
      <c r="E926" t="str">
        <f>VLOOKUP(D926,'[2]Lista de Produtos CLASSIFICAÇÃO'!$E$103:$F$114,2,FALSE)</f>
        <v>Outros</v>
      </c>
      <c r="F926">
        <v>1400</v>
      </c>
      <c r="G926" t="str">
        <f>VLOOKUP(Tabela1[[#This Row],[Cliente]],clientes!$C$3:$D$60,2,FALSE)</f>
        <v>EVONIK</v>
      </c>
    </row>
    <row r="927" spans="1:7" x14ac:dyDescent="0.25">
      <c r="A927">
        <v>2023</v>
      </c>
      <c r="B927" t="s">
        <v>229</v>
      </c>
      <c r="C927" t="s">
        <v>172</v>
      </c>
      <c r="D927" t="s">
        <v>124</v>
      </c>
      <c r="E927" t="str">
        <f>VLOOKUP(D927,'[2]Lista de Produtos CLASSIFICAÇÃO'!$E$103:$F$114,2,FALSE)</f>
        <v>Outros</v>
      </c>
      <c r="F927">
        <v>1400</v>
      </c>
      <c r="G927" t="str">
        <f>VLOOKUP(Tabela1[[#This Row],[Cliente]],clientes!$C$3:$D$60,2,FALSE)</f>
        <v>EVONIK</v>
      </c>
    </row>
    <row r="928" spans="1:7" x14ac:dyDescent="0.25">
      <c r="A928">
        <v>2023</v>
      </c>
      <c r="B928" t="s">
        <v>210</v>
      </c>
      <c r="C928" t="s">
        <v>172</v>
      </c>
      <c r="D928" t="s">
        <v>124</v>
      </c>
      <c r="E928" t="str">
        <f>VLOOKUP(D928,'[2]Lista de Produtos CLASSIFICAÇÃO'!$E$103:$F$114,2,FALSE)</f>
        <v>Outros</v>
      </c>
      <c r="F928">
        <v>1400</v>
      </c>
      <c r="G928" t="str">
        <f>VLOOKUP(Tabela1[[#This Row],[Cliente]],clientes!$C$3:$D$60,2,FALSE)</f>
        <v>EVONIK</v>
      </c>
    </row>
    <row r="929" spans="1:7" x14ac:dyDescent="0.25">
      <c r="A929">
        <v>2023</v>
      </c>
      <c r="B929" t="s">
        <v>211</v>
      </c>
      <c r="C929" t="s">
        <v>172</v>
      </c>
      <c r="D929" t="s">
        <v>124</v>
      </c>
      <c r="E929" t="str">
        <f>VLOOKUP(D929,'[2]Lista de Produtos CLASSIFICAÇÃO'!$E$103:$F$114,2,FALSE)</f>
        <v>Outros</v>
      </c>
      <c r="F929">
        <v>1400</v>
      </c>
      <c r="G929" t="str">
        <f>VLOOKUP(Tabela1[[#This Row],[Cliente]],clientes!$C$3:$D$60,2,FALSE)</f>
        <v>EVONIK</v>
      </c>
    </row>
    <row r="930" spans="1:7" x14ac:dyDescent="0.25">
      <c r="A930">
        <v>2023</v>
      </c>
      <c r="B930" t="s">
        <v>212</v>
      </c>
      <c r="C930" t="s">
        <v>172</v>
      </c>
      <c r="D930" t="s">
        <v>124</v>
      </c>
      <c r="E930" t="str">
        <f>VLOOKUP(D930,'[2]Lista de Produtos CLASSIFICAÇÃO'!$E$103:$F$114,2,FALSE)</f>
        <v>Outros</v>
      </c>
      <c r="F930">
        <v>1400</v>
      </c>
      <c r="G930" t="str">
        <f>VLOOKUP(Tabela1[[#This Row],[Cliente]],clientes!$C$3:$D$60,2,FALSE)</f>
        <v>EVONIK</v>
      </c>
    </row>
    <row r="931" spans="1:7" x14ac:dyDescent="0.25">
      <c r="A931">
        <v>2023</v>
      </c>
      <c r="B931" t="s">
        <v>213</v>
      </c>
      <c r="C931" t="s">
        <v>172</v>
      </c>
      <c r="D931" t="s">
        <v>124</v>
      </c>
      <c r="E931" t="str">
        <f>VLOOKUP(D931,'[2]Lista de Produtos CLASSIFICAÇÃO'!$E$103:$F$114,2,FALSE)</f>
        <v>Outros</v>
      </c>
      <c r="F931">
        <v>1400</v>
      </c>
      <c r="G931" t="str">
        <f>VLOOKUP(Tabela1[[#This Row],[Cliente]],clientes!$C$3:$D$60,2,FALSE)</f>
        <v>EVONIK</v>
      </c>
    </row>
    <row r="932" spans="1:7" x14ac:dyDescent="0.25">
      <c r="A932">
        <v>2023</v>
      </c>
      <c r="B932" t="s">
        <v>214</v>
      </c>
      <c r="C932" t="s">
        <v>172</v>
      </c>
      <c r="D932" t="s">
        <v>124</v>
      </c>
      <c r="E932" t="str">
        <f>VLOOKUP(D932,'[2]Lista de Produtos CLASSIFICAÇÃO'!$E$103:$F$114,2,FALSE)</f>
        <v>Outros</v>
      </c>
      <c r="F932">
        <v>1400</v>
      </c>
      <c r="G932" t="str">
        <f>VLOOKUP(Tabela1[[#This Row],[Cliente]],clientes!$C$3:$D$60,2,FALSE)</f>
        <v>EVONIK</v>
      </c>
    </row>
    <row r="933" spans="1:7" x14ac:dyDescent="0.25">
      <c r="A933">
        <v>2023</v>
      </c>
      <c r="B933" t="s">
        <v>215</v>
      </c>
      <c r="C933" t="s">
        <v>172</v>
      </c>
      <c r="D933" t="s">
        <v>124</v>
      </c>
      <c r="E933" t="str">
        <f>VLOOKUP(D933,'[2]Lista de Produtos CLASSIFICAÇÃO'!$E$103:$F$114,2,FALSE)</f>
        <v>Outros</v>
      </c>
      <c r="F933">
        <v>1400</v>
      </c>
      <c r="G933" t="str">
        <f>VLOOKUP(Tabela1[[#This Row],[Cliente]],clientes!$C$3:$D$60,2,FALSE)</f>
        <v>EVONIK</v>
      </c>
    </row>
    <row r="934" spans="1:7" x14ac:dyDescent="0.25">
      <c r="A934">
        <v>2023</v>
      </c>
      <c r="B934" t="s">
        <v>230</v>
      </c>
      <c r="C934" t="s">
        <v>172</v>
      </c>
      <c r="D934" t="s">
        <v>124</v>
      </c>
      <c r="E934" t="str">
        <f>VLOOKUP(D934,'[2]Lista de Produtos CLASSIFICAÇÃO'!$E$103:$F$114,2,FALSE)</f>
        <v>Outros</v>
      </c>
      <c r="F934">
        <v>1400</v>
      </c>
      <c r="G934" t="str">
        <f>VLOOKUP(Tabela1[[#This Row],[Cliente]],clientes!$C$3:$D$60,2,FALSE)</f>
        <v>EVONIK</v>
      </c>
    </row>
    <row r="935" spans="1:7" x14ac:dyDescent="0.25">
      <c r="A935">
        <v>2023</v>
      </c>
      <c r="B935" t="s">
        <v>231</v>
      </c>
      <c r="C935" t="s">
        <v>172</v>
      </c>
      <c r="D935" t="s">
        <v>124</v>
      </c>
      <c r="E935" t="str">
        <f>VLOOKUP(D935,'[2]Lista de Produtos CLASSIFICAÇÃO'!$E$103:$F$114,2,FALSE)</f>
        <v>Outros</v>
      </c>
      <c r="F935">
        <v>1400</v>
      </c>
      <c r="G935" t="str">
        <f>VLOOKUP(Tabela1[[#This Row],[Cliente]],clientes!$C$3:$D$60,2,FALSE)</f>
        <v>EVONIK</v>
      </c>
    </row>
    <row r="936" spans="1:7" x14ac:dyDescent="0.25">
      <c r="A936">
        <v>2023</v>
      </c>
      <c r="B936" t="s">
        <v>228</v>
      </c>
      <c r="C936" t="s">
        <v>173</v>
      </c>
      <c r="D936" t="s">
        <v>22</v>
      </c>
      <c r="E936" t="str">
        <f>VLOOKUP(D936,'[2]Lista de Produtos CLASSIFICAÇÃO'!$E$103:$F$114,2,FALSE)</f>
        <v>Metanol</v>
      </c>
      <c r="F936">
        <v>5000</v>
      </c>
      <c r="G936" t="str">
        <f>VLOOKUP(Tabela1[[#This Row],[Cliente]],clientes!$C$3:$D$60,2,FALSE)</f>
        <v>YPF SOCIEDAD ANONIMA</v>
      </c>
    </row>
    <row r="937" spans="1:7" x14ac:dyDescent="0.25">
      <c r="A937">
        <v>2023</v>
      </c>
      <c r="B937" t="s">
        <v>211</v>
      </c>
      <c r="C937" t="s">
        <v>173</v>
      </c>
      <c r="D937" t="s">
        <v>22</v>
      </c>
      <c r="E937" t="str">
        <f>VLOOKUP(D937,'[2]Lista de Produtos CLASSIFICAÇÃO'!$E$103:$F$114,2,FALSE)</f>
        <v>Metanol</v>
      </c>
      <c r="F937">
        <v>5000</v>
      </c>
      <c r="G937" t="str">
        <f>VLOOKUP(Tabela1[[#This Row],[Cliente]],clientes!$C$3:$D$60,2,FALSE)</f>
        <v>YPF SOCIEDAD ANONIMA</v>
      </c>
    </row>
    <row r="938" spans="1:7" x14ac:dyDescent="0.25">
      <c r="A938">
        <v>2023</v>
      </c>
      <c r="B938" t="s">
        <v>214</v>
      </c>
      <c r="C938" t="s">
        <v>173</v>
      </c>
      <c r="D938" t="s">
        <v>22</v>
      </c>
      <c r="E938" t="str">
        <f>VLOOKUP(D938,'[2]Lista de Produtos CLASSIFICAÇÃO'!$E$103:$F$114,2,FALSE)</f>
        <v>Metanol</v>
      </c>
      <c r="F938">
        <v>5000</v>
      </c>
      <c r="G938" t="str">
        <f>VLOOKUP(Tabela1[[#This Row],[Cliente]],clientes!$C$3:$D$60,2,FALSE)</f>
        <v>YPF SOCIEDAD ANONIMA</v>
      </c>
    </row>
    <row r="939" spans="1:7" x14ac:dyDescent="0.25">
      <c r="A939">
        <v>2023</v>
      </c>
      <c r="B939" t="s">
        <v>226</v>
      </c>
      <c r="C939" t="s">
        <v>197</v>
      </c>
      <c r="D939" t="s">
        <v>85</v>
      </c>
      <c r="E939" t="e">
        <f>VLOOKUP(D939,'[2]Lista de Produtos CLASSIFICAÇÃO'!$E$103:$F$114,2,FALSE)</f>
        <v>#N/A</v>
      </c>
      <c r="F939">
        <v>1200</v>
      </c>
      <c r="G939" t="str">
        <f>VLOOKUP(Tabela1[[#This Row],[Cliente]],clientes!$C$3:$D$60,2,FALSE)</f>
        <v>DRT</v>
      </c>
    </row>
    <row r="940" spans="1:7" x14ac:dyDescent="0.25">
      <c r="A940">
        <v>2023</v>
      </c>
      <c r="B940" t="s">
        <v>210</v>
      </c>
      <c r="C940" t="s">
        <v>197</v>
      </c>
      <c r="D940" t="s">
        <v>85</v>
      </c>
      <c r="E940" t="e">
        <f>VLOOKUP(D940,'[2]Lista de Produtos CLASSIFICAÇÃO'!$E$103:$F$114,2,FALSE)</f>
        <v>#N/A</v>
      </c>
      <c r="F940">
        <v>1200</v>
      </c>
      <c r="G940" t="str">
        <f>VLOOKUP(Tabela1[[#This Row],[Cliente]],clientes!$C$3:$D$60,2,FALSE)</f>
        <v>DRT</v>
      </c>
    </row>
    <row r="941" spans="1:7" x14ac:dyDescent="0.25">
      <c r="A941">
        <v>2023</v>
      </c>
      <c r="B941" t="s">
        <v>214</v>
      </c>
      <c r="C941" t="s">
        <v>197</v>
      </c>
      <c r="D941" t="s">
        <v>85</v>
      </c>
      <c r="E941" t="e">
        <f>VLOOKUP(D941,'[2]Lista de Produtos CLASSIFICAÇÃO'!$E$103:$F$114,2,FALSE)</f>
        <v>#N/A</v>
      </c>
      <c r="F941">
        <v>1200</v>
      </c>
      <c r="G941" t="str">
        <f>VLOOKUP(Tabela1[[#This Row],[Cliente]],clientes!$C$3:$D$60,2,FALSE)</f>
        <v>DRT</v>
      </c>
    </row>
    <row r="942" spans="1:7" x14ac:dyDescent="0.25">
      <c r="A942">
        <v>2023</v>
      </c>
      <c r="B942" t="s">
        <v>210</v>
      </c>
      <c r="C942" t="s">
        <v>198</v>
      </c>
      <c r="D942" t="s">
        <v>121</v>
      </c>
      <c r="E942" t="str">
        <f>VLOOKUP(D942,'[2]Lista de Produtos CLASSIFICAÇÃO'!$E$103:$F$114,2,FALSE)</f>
        <v>Biocombustíveis</v>
      </c>
      <c r="F942">
        <v>8300</v>
      </c>
      <c r="G942" t="str">
        <f>VLOOKUP(Tabela1[[#This Row],[Cliente]],clientes!$C$3:$D$60,2,FALSE)</f>
        <v>TEREOS / INPASA / GLENCORE</v>
      </c>
    </row>
    <row r="943" spans="1:7" x14ac:dyDescent="0.25">
      <c r="A943">
        <v>2023</v>
      </c>
      <c r="B943" t="s">
        <v>211</v>
      </c>
      <c r="C943" t="s">
        <v>198</v>
      </c>
      <c r="D943" t="s">
        <v>121</v>
      </c>
      <c r="E943" t="str">
        <f>VLOOKUP(D943,'[2]Lista de Produtos CLASSIFICAÇÃO'!$E$103:$F$114,2,FALSE)</f>
        <v>Biocombustíveis</v>
      </c>
      <c r="F943">
        <v>8300</v>
      </c>
      <c r="G943" t="str">
        <f>VLOOKUP(Tabela1[[#This Row],[Cliente]],clientes!$C$3:$D$60,2,FALSE)</f>
        <v>TEREOS / INPASA / GLENCORE</v>
      </c>
    </row>
    <row r="944" spans="1:7" x14ac:dyDescent="0.25">
      <c r="A944">
        <v>2023</v>
      </c>
      <c r="B944" t="s">
        <v>212</v>
      </c>
      <c r="C944" t="s">
        <v>198</v>
      </c>
      <c r="D944" t="s">
        <v>121</v>
      </c>
      <c r="E944" t="str">
        <f>VLOOKUP(D944,'[2]Lista de Produtos CLASSIFICAÇÃO'!$E$103:$F$114,2,FALSE)</f>
        <v>Biocombustíveis</v>
      </c>
      <c r="F944">
        <v>8300</v>
      </c>
      <c r="G944" t="str">
        <f>VLOOKUP(Tabela1[[#This Row],[Cliente]],clientes!$C$3:$D$60,2,FALSE)</f>
        <v>TEREOS / INPASA / GLENCORE</v>
      </c>
    </row>
    <row r="945" spans="1:7" x14ac:dyDescent="0.25">
      <c r="A945">
        <v>2023</v>
      </c>
      <c r="B945" t="s">
        <v>213</v>
      </c>
      <c r="C945" t="s">
        <v>198</v>
      </c>
      <c r="D945" t="s">
        <v>121</v>
      </c>
      <c r="E945" t="str">
        <f>VLOOKUP(D945,'[2]Lista de Produtos CLASSIFICAÇÃO'!$E$103:$F$114,2,FALSE)</f>
        <v>Biocombustíveis</v>
      </c>
      <c r="F945">
        <v>8300</v>
      </c>
      <c r="G945" t="str">
        <f>VLOOKUP(Tabela1[[#This Row],[Cliente]],clientes!$C$3:$D$60,2,FALSE)</f>
        <v>TEREOS / INPASA / GLENCORE</v>
      </c>
    </row>
    <row r="946" spans="1:7" x14ac:dyDescent="0.25">
      <c r="A946">
        <v>2023</v>
      </c>
      <c r="B946" t="s">
        <v>214</v>
      </c>
      <c r="C946" t="s">
        <v>198</v>
      </c>
      <c r="D946" t="s">
        <v>121</v>
      </c>
      <c r="E946" t="str">
        <f>VLOOKUP(D946,'[2]Lista de Produtos CLASSIFICAÇÃO'!$E$103:$F$114,2,FALSE)</f>
        <v>Biocombustíveis</v>
      </c>
      <c r="F946">
        <v>8300</v>
      </c>
      <c r="G946" t="str">
        <f>VLOOKUP(Tabela1[[#This Row],[Cliente]],clientes!$C$3:$D$60,2,FALSE)</f>
        <v>TEREOS / INPASA / GLENCORE</v>
      </c>
    </row>
    <row r="947" spans="1:7" x14ac:dyDescent="0.25">
      <c r="A947">
        <v>2023</v>
      </c>
      <c r="B947" t="s">
        <v>215</v>
      </c>
      <c r="C947" t="s">
        <v>198</v>
      </c>
      <c r="D947" t="s">
        <v>121</v>
      </c>
      <c r="E947" t="str">
        <f>VLOOKUP(D947,'[2]Lista de Produtos CLASSIFICAÇÃO'!$E$103:$F$114,2,FALSE)</f>
        <v>Biocombustíveis</v>
      </c>
      <c r="F947">
        <v>8300</v>
      </c>
      <c r="G947" t="str">
        <f>VLOOKUP(Tabela1[[#This Row],[Cliente]],clientes!$C$3:$D$60,2,FALSE)</f>
        <v>TEREOS / INPASA / GLENCORE</v>
      </c>
    </row>
    <row r="948" spans="1:7" x14ac:dyDescent="0.25">
      <c r="A948">
        <v>2023</v>
      </c>
      <c r="B948" t="s">
        <v>226</v>
      </c>
      <c r="C948" t="s">
        <v>174</v>
      </c>
      <c r="D948" t="s">
        <v>123</v>
      </c>
      <c r="E948" t="str">
        <f>VLOOKUP(D948,'[2]Lista de Produtos CLASSIFICAÇÃO'!$E$103:$F$114,2,FALSE)</f>
        <v>Aquecidos</v>
      </c>
      <c r="F948">
        <v>5000</v>
      </c>
      <c r="G948" t="str">
        <f>VLOOKUP(Tabela1[[#This Row],[Cliente]],clientes!$C$3:$D$60,2,FALSE)</f>
        <v>CELENA</v>
      </c>
    </row>
    <row r="949" spans="1:7" x14ac:dyDescent="0.25">
      <c r="A949">
        <v>2023</v>
      </c>
      <c r="B949" t="s">
        <v>227</v>
      </c>
      <c r="C949" t="s">
        <v>174</v>
      </c>
      <c r="D949" t="s">
        <v>123</v>
      </c>
      <c r="E949" t="str">
        <f>VLOOKUP(D949,'[2]Lista de Produtos CLASSIFICAÇÃO'!$E$103:$F$114,2,FALSE)</f>
        <v>Aquecidos</v>
      </c>
      <c r="F949">
        <v>5000</v>
      </c>
      <c r="G949" t="str">
        <f>VLOOKUP(Tabela1[[#This Row],[Cliente]],clientes!$C$3:$D$60,2,FALSE)</f>
        <v>CELENA</v>
      </c>
    </row>
    <row r="950" spans="1:7" x14ac:dyDescent="0.25">
      <c r="A950">
        <v>2023</v>
      </c>
      <c r="B950" t="s">
        <v>228</v>
      </c>
      <c r="C950" t="s">
        <v>174</v>
      </c>
      <c r="D950" t="s">
        <v>123</v>
      </c>
      <c r="E950" t="str">
        <f>VLOOKUP(D950,'[2]Lista de Produtos CLASSIFICAÇÃO'!$E$103:$F$114,2,FALSE)</f>
        <v>Aquecidos</v>
      </c>
      <c r="F950">
        <v>5000</v>
      </c>
      <c r="G950" t="str">
        <f>VLOOKUP(Tabela1[[#This Row],[Cliente]],clientes!$C$3:$D$60,2,FALSE)</f>
        <v>CELENA</v>
      </c>
    </row>
    <row r="951" spans="1:7" x14ac:dyDescent="0.25">
      <c r="A951">
        <v>2023</v>
      </c>
      <c r="B951" t="s">
        <v>229</v>
      </c>
      <c r="C951" t="s">
        <v>174</v>
      </c>
      <c r="D951" t="s">
        <v>123</v>
      </c>
      <c r="E951" t="str">
        <f>VLOOKUP(D951,'[2]Lista de Produtos CLASSIFICAÇÃO'!$E$103:$F$114,2,FALSE)</f>
        <v>Aquecidos</v>
      </c>
      <c r="F951">
        <v>5000</v>
      </c>
      <c r="G951" t="str">
        <f>VLOOKUP(Tabela1[[#This Row],[Cliente]],clientes!$C$3:$D$60,2,FALSE)</f>
        <v>CELENA</v>
      </c>
    </row>
    <row r="952" spans="1:7" x14ac:dyDescent="0.25">
      <c r="A952">
        <v>2023</v>
      </c>
      <c r="B952" t="s">
        <v>210</v>
      </c>
      <c r="C952" t="s">
        <v>174</v>
      </c>
      <c r="D952" t="s">
        <v>123</v>
      </c>
      <c r="E952" t="str">
        <f>VLOOKUP(D952,'[2]Lista de Produtos CLASSIFICAÇÃO'!$E$103:$F$114,2,FALSE)</f>
        <v>Aquecidos</v>
      </c>
      <c r="F952">
        <v>5000</v>
      </c>
      <c r="G952" t="str">
        <f>VLOOKUP(Tabela1[[#This Row],[Cliente]],clientes!$C$3:$D$60,2,FALSE)</f>
        <v>CELENA</v>
      </c>
    </row>
    <row r="953" spans="1:7" x14ac:dyDescent="0.25">
      <c r="A953">
        <v>2023</v>
      </c>
      <c r="B953" t="s">
        <v>211</v>
      </c>
      <c r="C953" t="s">
        <v>174</v>
      </c>
      <c r="D953" t="s">
        <v>123</v>
      </c>
      <c r="E953" t="str">
        <f>VLOOKUP(D953,'[2]Lista de Produtos CLASSIFICAÇÃO'!$E$103:$F$114,2,FALSE)</f>
        <v>Aquecidos</v>
      </c>
      <c r="F953">
        <v>5000</v>
      </c>
      <c r="G953" t="str">
        <f>VLOOKUP(Tabela1[[#This Row],[Cliente]],clientes!$C$3:$D$60,2,FALSE)</f>
        <v>CELENA</v>
      </c>
    </row>
    <row r="954" spans="1:7" x14ac:dyDescent="0.25">
      <c r="A954">
        <v>2023</v>
      </c>
      <c r="B954" t="s">
        <v>212</v>
      </c>
      <c r="C954" t="s">
        <v>174</v>
      </c>
      <c r="D954" t="s">
        <v>123</v>
      </c>
      <c r="E954" t="str">
        <f>VLOOKUP(D954,'[2]Lista de Produtos CLASSIFICAÇÃO'!$E$103:$F$114,2,FALSE)</f>
        <v>Aquecidos</v>
      </c>
      <c r="F954">
        <v>5000</v>
      </c>
      <c r="G954" t="str">
        <f>VLOOKUP(Tabela1[[#This Row],[Cliente]],clientes!$C$3:$D$60,2,FALSE)</f>
        <v>CELENA</v>
      </c>
    </row>
    <row r="955" spans="1:7" x14ac:dyDescent="0.25">
      <c r="A955">
        <v>2023</v>
      </c>
      <c r="B955" t="s">
        <v>213</v>
      </c>
      <c r="C955" t="s">
        <v>174</v>
      </c>
      <c r="D955" t="s">
        <v>123</v>
      </c>
      <c r="E955" t="str">
        <f>VLOOKUP(D955,'[2]Lista de Produtos CLASSIFICAÇÃO'!$E$103:$F$114,2,FALSE)</f>
        <v>Aquecidos</v>
      </c>
      <c r="F955">
        <v>5000</v>
      </c>
      <c r="G955" t="str">
        <f>VLOOKUP(Tabela1[[#This Row],[Cliente]],clientes!$C$3:$D$60,2,FALSE)</f>
        <v>CELENA</v>
      </c>
    </row>
    <row r="956" spans="1:7" x14ac:dyDescent="0.25">
      <c r="A956">
        <v>2023</v>
      </c>
      <c r="B956" t="s">
        <v>214</v>
      </c>
      <c r="C956" t="s">
        <v>174</v>
      </c>
      <c r="D956" t="s">
        <v>123</v>
      </c>
      <c r="E956" t="str">
        <f>VLOOKUP(D956,'[2]Lista de Produtos CLASSIFICAÇÃO'!$E$103:$F$114,2,FALSE)</f>
        <v>Aquecidos</v>
      </c>
      <c r="F956">
        <v>5000</v>
      </c>
      <c r="G956" t="str">
        <f>VLOOKUP(Tabela1[[#This Row],[Cliente]],clientes!$C$3:$D$60,2,FALSE)</f>
        <v>CELENA</v>
      </c>
    </row>
    <row r="957" spans="1:7" x14ac:dyDescent="0.25">
      <c r="A957">
        <v>2023</v>
      </c>
      <c r="B957" t="s">
        <v>215</v>
      </c>
      <c r="C957" t="s">
        <v>174</v>
      </c>
      <c r="D957" t="s">
        <v>123</v>
      </c>
      <c r="E957" t="str">
        <f>VLOOKUP(D957,'[2]Lista de Produtos CLASSIFICAÇÃO'!$E$103:$F$114,2,FALSE)</f>
        <v>Aquecidos</v>
      </c>
      <c r="F957">
        <v>5000</v>
      </c>
      <c r="G957" t="str">
        <f>VLOOKUP(Tabela1[[#This Row],[Cliente]],clientes!$C$3:$D$60,2,FALSE)</f>
        <v>CELENA</v>
      </c>
    </row>
    <row r="958" spans="1:7" x14ac:dyDescent="0.25">
      <c r="A958">
        <v>2023</v>
      </c>
      <c r="B958" t="s">
        <v>230</v>
      </c>
      <c r="C958" t="s">
        <v>174</v>
      </c>
      <c r="D958" t="s">
        <v>123</v>
      </c>
      <c r="E958" t="str">
        <f>VLOOKUP(D958,'[2]Lista de Produtos CLASSIFICAÇÃO'!$E$103:$F$114,2,FALSE)</f>
        <v>Aquecidos</v>
      </c>
      <c r="F958">
        <v>5000</v>
      </c>
      <c r="G958" t="str">
        <f>VLOOKUP(Tabela1[[#This Row],[Cliente]],clientes!$C$3:$D$60,2,FALSE)</f>
        <v>CELENA</v>
      </c>
    </row>
    <row r="959" spans="1:7" x14ac:dyDescent="0.25">
      <c r="A959">
        <v>2023</v>
      </c>
      <c r="B959" t="s">
        <v>231</v>
      </c>
      <c r="C959" t="s">
        <v>174</v>
      </c>
      <c r="D959" t="s">
        <v>123</v>
      </c>
      <c r="E959" t="str">
        <f>VLOOKUP(D959,'[2]Lista de Produtos CLASSIFICAÇÃO'!$E$103:$F$114,2,FALSE)</f>
        <v>Aquecidos</v>
      </c>
      <c r="F959">
        <v>5000</v>
      </c>
      <c r="G959" t="str">
        <f>VLOOKUP(Tabela1[[#This Row],[Cliente]],clientes!$C$3:$D$60,2,FALSE)</f>
        <v>CELENA</v>
      </c>
    </row>
    <row r="960" spans="1:7" x14ac:dyDescent="0.25">
      <c r="A960">
        <v>2023</v>
      </c>
      <c r="B960" t="s">
        <v>226</v>
      </c>
      <c r="C960" t="s">
        <v>175</v>
      </c>
      <c r="D960" t="s">
        <v>123</v>
      </c>
      <c r="E960" t="str">
        <f>VLOOKUP(D960,'[2]Lista de Produtos CLASSIFICAÇÃO'!$E$103:$F$114,2,FALSE)</f>
        <v>Aquecidos</v>
      </c>
      <c r="F960">
        <v>1500</v>
      </c>
      <c r="G960" t="str">
        <f>VLOOKUP(Tabela1[[#This Row],[Cliente]],clientes!$C$3:$D$60,2,FALSE)</f>
        <v>AAK DO BRASIL</v>
      </c>
    </row>
    <row r="961" spans="1:7" x14ac:dyDescent="0.25">
      <c r="A961">
        <v>2023</v>
      </c>
      <c r="B961" t="s">
        <v>227</v>
      </c>
      <c r="C961" t="s">
        <v>175</v>
      </c>
      <c r="D961" t="s">
        <v>123</v>
      </c>
      <c r="E961" t="str">
        <f>VLOOKUP(D961,'[2]Lista de Produtos CLASSIFICAÇÃO'!$E$103:$F$114,2,FALSE)</f>
        <v>Aquecidos</v>
      </c>
      <c r="F961">
        <v>1500</v>
      </c>
      <c r="G961" t="str">
        <f>VLOOKUP(Tabela1[[#This Row],[Cliente]],clientes!$C$3:$D$60,2,FALSE)</f>
        <v>AAK DO BRASIL</v>
      </c>
    </row>
    <row r="962" spans="1:7" x14ac:dyDescent="0.25">
      <c r="A962">
        <v>2023</v>
      </c>
      <c r="B962" t="s">
        <v>228</v>
      </c>
      <c r="C962" t="s">
        <v>175</v>
      </c>
      <c r="D962" t="s">
        <v>123</v>
      </c>
      <c r="E962" t="str">
        <f>VLOOKUP(D962,'[2]Lista de Produtos CLASSIFICAÇÃO'!$E$103:$F$114,2,FALSE)</f>
        <v>Aquecidos</v>
      </c>
      <c r="F962">
        <v>1500</v>
      </c>
      <c r="G962" t="str">
        <f>VLOOKUP(Tabela1[[#This Row],[Cliente]],clientes!$C$3:$D$60,2,FALSE)</f>
        <v>AAK DO BRASIL</v>
      </c>
    </row>
    <row r="963" spans="1:7" x14ac:dyDescent="0.25">
      <c r="A963">
        <v>2023</v>
      </c>
      <c r="B963" t="s">
        <v>229</v>
      </c>
      <c r="C963" t="s">
        <v>175</v>
      </c>
      <c r="D963" t="s">
        <v>123</v>
      </c>
      <c r="E963" t="str">
        <f>VLOOKUP(D963,'[2]Lista de Produtos CLASSIFICAÇÃO'!$E$103:$F$114,2,FALSE)</f>
        <v>Aquecidos</v>
      </c>
      <c r="F963">
        <v>1500</v>
      </c>
      <c r="G963" t="str">
        <f>VLOOKUP(Tabela1[[#This Row],[Cliente]],clientes!$C$3:$D$60,2,FALSE)</f>
        <v>AAK DO BRASIL</v>
      </c>
    </row>
    <row r="964" spans="1:7" x14ac:dyDescent="0.25">
      <c r="A964">
        <v>2023</v>
      </c>
      <c r="B964" t="s">
        <v>210</v>
      </c>
      <c r="C964" t="s">
        <v>175</v>
      </c>
      <c r="D964" t="s">
        <v>123</v>
      </c>
      <c r="E964" t="str">
        <f>VLOOKUP(D964,'[2]Lista de Produtos CLASSIFICAÇÃO'!$E$103:$F$114,2,FALSE)</f>
        <v>Aquecidos</v>
      </c>
      <c r="F964">
        <v>1500</v>
      </c>
      <c r="G964" t="str">
        <f>VLOOKUP(Tabela1[[#This Row],[Cliente]],clientes!$C$3:$D$60,2,FALSE)</f>
        <v>AAK DO BRASIL</v>
      </c>
    </row>
    <row r="965" spans="1:7" x14ac:dyDescent="0.25">
      <c r="A965">
        <v>2023</v>
      </c>
      <c r="B965" t="s">
        <v>211</v>
      </c>
      <c r="C965" t="s">
        <v>175</v>
      </c>
      <c r="D965" t="s">
        <v>123</v>
      </c>
      <c r="E965" t="str">
        <f>VLOOKUP(D965,'[2]Lista de Produtos CLASSIFICAÇÃO'!$E$103:$F$114,2,FALSE)</f>
        <v>Aquecidos</v>
      </c>
      <c r="F965">
        <v>1500</v>
      </c>
      <c r="G965" t="str">
        <f>VLOOKUP(Tabela1[[#This Row],[Cliente]],clientes!$C$3:$D$60,2,FALSE)</f>
        <v>AAK DO BRASIL</v>
      </c>
    </row>
    <row r="966" spans="1:7" x14ac:dyDescent="0.25">
      <c r="A966">
        <v>2023</v>
      </c>
      <c r="B966" t="s">
        <v>212</v>
      </c>
      <c r="C966" t="s">
        <v>175</v>
      </c>
      <c r="D966" t="s">
        <v>123</v>
      </c>
      <c r="E966" t="str">
        <f>VLOOKUP(D966,'[2]Lista de Produtos CLASSIFICAÇÃO'!$E$103:$F$114,2,FALSE)</f>
        <v>Aquecidos</v>
      </c>
      <c r="F966">
        <v>1500</v>
      </c>
      <c r="G966" t="str">
        <f>VLOOKUP(Tabela1[[#This Row],[Cliente]],clientes!$C$3:$D$60,2,FALSE)</f>
        <v>AAK DO BRASIL</v>
      </c>
    </row>
    <row r="967" spans="1:7" x14ac:dyDescent="0.25">
      <c r="A967">
        <v>2023</v>
      </c>
      <c r="B967" t="s">
        <v>213</v>
      </c>
      <c r="C967" t="s">
        <v>175</v>
      </c>
      <c r="D967" t="s">
        <v>123</v>
      </c>
      <c r="E967" t="str">
        <f>VLOOKUP(D967,'[2]Lista de Produtos CLASSIFICAÇÃO'!$E$103:$F$114,2,FALSE)</f>
        <v>Aquecidos</v>
      </c>
      <c r="F967">
        <v>1500</v>
      </c>
      <c r="G967" t="str">
        <f>VLOOKUP(Tabela1[[#This Row],[Cliente]],clientes!$C$3:$D$60,2,FALSE)</f>
        <v>AAK DO BRASIL</v>
      </c>
    </row>
    <row r="968" spans="1:7" x14ac:dyDescent="0.25">
      <c r="A968">
        <v>2023</v>
      </c>
      <c r="B968" t="s">
        <v>214</v>
      </c>
      <c r="C968" t="s">
        <v>175</v>
      </c>
      <c r="D968" t="s">
        <v>123</v>
      </c>
      <c r="E968" t="str">
        <f>VLOOKUP(D968,'[2]Lista de Produtos CLASSIFICAÇÃO'!$E$103:$F$114,2,FALSE)</f>
        <v>Aquecidos</v>
      </c>
      <c r="F968">
        <v>1500</v>
      </c>
      <c r="G968" t="str">
        <f>VLOOKUP(Tabela1[[#This Row],[Cliente]],clientes!$C$3:$D$60,2,FALSE)</f>
        <v>AAK DO BRASIL</v>
      </c>
    </row>
    <row r="969" spans="1:7" x14ac:dyDescent="0.25">
      <c r="A969">
        <v>2023</v>
      </c>
      <c r="B969" t="s">
        <v>215</v>
      </c>
      <c r="C969" t="s">
        <v>175</v>
      </c>
      <c r="D969" t="s">
        <v>123</v>
      </c>
      <c r="E969" t="str">
        <f>VLOOKUP(D969,'[2]Lista de Produtos CLASSIFICAÇÃO'!$E$103:$F$114,2,FALSE)</f>
        <v>Aquecidos</v>
      </c>
      <c r="F969">
        <v>1500</v>
      </c>
      <c r="G969" t="str">
        <f>VLOOKUP(Tabela1[[#This Row],[Cliente]],clientes!$C$3:$D$60,2,FALSE)</f>
        <v>AAK DO BRASIL</v>
      </c>
    </row>
    <row r="970" spans="1:7" x14ac:dyDescent="0.25">
      <c r="A970">
        <v>2023</v>
      </c>
      <c r="B970" t="s">
        <v>230</v>
      </c>
      <c r="C970" t="s">
        <v>175</v>
      </c>
      <c r="D970" t="s">
        <v>123</v>
      </c>
      <c r="E970" t="str">
        <f>VLOOKUP(D970,'[2]Lista de Produtos CLASSIFICAÇÃO'!$E$103:$F$114,2,FALSE)</f>
        <v>Aquecidos</v>
      </c>
      <c r="F970">
        <v>1500</v>
      </c>
      <c r="G970" t="str">
        <f>VLOOKUP(Tabela1[[#This Row],[Cliente]],clientes!$C$3:$D$60,2,FALSE)</f>
        <v>AAK DO BRASIL</v>
      </c>
    </row>
    <row r="971" spans="1:7" x14ac:dyDescent="0.25">
      <c r="A971">
        <v>2023</v>
      </c>
      <c r="B971" t="s">
        <v>231</v>
      </c>
      <c r="C971" t="s">
        <v>175</v>
      </c>
      <c r="D971" t="s">
        <v>123</v>
      </c>
      <c r="E971" t="str">
        <f>VLOOKUP(D971,'[2]Lista de Produtos CLASSIFICAÇÃO'!$E$103:$F$114,2,FALSE)</f>
        <v>Aquecidos</v>
      </c>
      <c r="F971">
        <v>1500</v>
      </c>
      <c r="G971" t="str">
        <f>VLOOKUP(Tabela1[[#This Row],[Cliente]],clientes!$C$3:$D$60,2,FALSE)</f>
        <v>AAK DO BRASIL</v>
      </c>
    </row>
    <row r="972" spans="1:7" x14ac:dyDescent="0.25">
      <c r="A972">
        <v>2023</v>
      </c>
      <c r="B972" t="s">
        <v>228</v>
      </c>
      <c r="C972" t="s">
        <v>166</v>
      </c>
      <c r="D972" t="s">
        <v>122</v>
      </c>
      <c r="E972" t="str">
        <f>VLOOKUP(D972,'[2]Lista de Produtos CLASSIFICAÇÃO'!$E$103:$F$114,2,FALSE)</f>
        <v>Óleo Vegetal</v>
      </c>
      <c r="F972">
        <v>3000</v>
      </c>
      <c r="G972" t="str">
        <f>VLOOKUP(Tabela1[[#This Row],[Cliente]],clientes!$C$3:$D$60,2,FALSE)</f>
        <v>CARGILL</v>
      </c>
    </row>
    <row r="973" spans="1:7" x14ac:dyDescent="0.25">
      <c r="A973">
        <v>2023</v>
      </c>
      <c r="B973" t="s">
        <v>213</v>
      </c>
      <c r="C973" t="s">
        <v>166</v>
      </c>
      <c r="D973" t="s">
        <v>122</v>
      </c>
      <c r="E973" t="str">
        <f>VLOOKUP(D973,'[2]Lista de Produtos CLASSIFICAÇÃO'!$E$103:$F$114,2,FALSE)</f>
        <v>Óleo Vegetal</v>
      </c>
      <c r="F973">
        <v>3000</v>
      </c>
      <c r="G973" t="str">
        <f>VLOOKUP(Tabela1[[#This Row],[Cliente]],clientes!$C$3:$D$60,2,FALSE)</f>
        <v>CARGILL</v>
      </c>
    </row>
    <row r="974" spans="1:7" x14ac:dyDescent="0.25">
      <c r="A974">
        <v>2023</v>
      </c>
      <c r="B974" t="s">
        <v>230</v>
      </c>
      <c r="C974" t="s">
        <v>166</v>
      </c>
      <c r="D974" t="s">
        <v>122</v>
      </c>
      <c r="E974" t="str">
        <f>VLOOKUP(D974,'[2]Lista de Produtos CLASSIFICAÇÃO'!$E$103:$F$114,2,FALSE)</f>
        <v>Óleo Vegetal</v>
      </c>
      <c r="F974">
        <v>3000</v>
      </c>
      <c r="G974" t="str">
        <f>VLOOKUP(Tabela1[[#This Row],[Cliente]],clientes!$C$3:$D$60,2,FALSE)</f>
        <v>CARGILL</v>
      </c>
    </row>
    <row r="975" spans="1:7" x14ac:dyDescent="0.25">
      <c r="A975">
        <v>2023</v>
      </c>
      <c r="B975" t="s">
        <v>226</v>
      </c>
      <c r="C975" t="s">
        <v>176</v>
      </c>
      <c r="D975" t="s">
        <v>123</v>
      </c>
      <c r="E975" t="str">
        <f>VLOOKUP(D975,'[2]Lista de Produtos CLASSIFICAÇÃO'!$E$103:$F$114,2,FALSE)</f>
        <v>Aquecidos</v>
      </c>
      <c r="F975">
        <v>1500</v>
      </c>
      <c r="G975" t="str">
        <f>VLOOKUP(Tabela1[[#This Row],[Cliente]],clientes!$C$3:$D$60,2,FALSE)</f>
        <v>AGROPALMA</v>
      </c>
    </row>
    <row r="976" spans="1:7" x14ac:dyDescent="0.25">
      <c r="A976">
        <v>2023</v>
      </c>
      <c r="B976" t="s">
        <v>227</v>
      </c>
      <c r="C976" t="s">
        <v>176</v>
      </c>
      <c r="D976" t="s">
        <v>123</v>
      </c>
      <c r="E976" t="str">
        <f>VLOOKUP(D976,'[2]Lista de Produtos CLASSIFICAÇÃO'!$E$103:$F$114,2,FALSE)</f>
        <v>Aquecidos</v>
      </c>
      <c r="F976">
        <v>1500</v>
      </c>
      <c r="G976" t="str">
        <f>VLOOKUP(Tabela1[[#This Row],[Cliente]],clientes!$C$3:$D$60,2,FALSE)</f>
        <v>AGROPALMA</v>
      </c>
    </row>
    <row r="977" spans="1:7" x14ac:dyDescent="0.25">
      <c r="A977">
        <v>2023</v>
      </c>
      <c r="B977" t="s">
        <v>228</v>
      </c>
      <c r="C977" t="s">
        <v>176</v>
      </c>
      <c r="D977" t="s">
        <v>123</v>
      </c>
      <c r="E977" t="str">
        <f>VLOOKUP(D977,'[2]Lista de Produtos CLASSIFICAÇÃO'!$E$103:$F$114,2,FALSE)</f>
        <v>Aquecidos</v>
      </c>
      <c r="F977">
        <v>1500</v>
      </c>
      <c r="G977" t="str">
        <f>VLOOKUP(Tabela1[[#This Row],[Cliente]],clientes!$C$3:$D$60,2,FALSE)</f>
        <v>AGROPALMA</v>
      </c>
    </row>
    <row r="978" spans="1:7" x14ac:dyDescent="0.25">
      <c r="A978">
        <v>2023</v>
      </c>
      <c r="B978" t="s">
        <v>229</v>
      </c>
      <c r="C978" t="s">
        <v>176</v>
      </c>
      <c r="D978" t="s">
        <v>123</v>
      </c>
      <c r="E978" t="str">
        <f>VLOOKUP(D978,'[2]Lista de Produtos CLASSIFICAÇÃO'!$E$103:$F$114,2,FALSE)</f>
        <v>Aquecidos</v>
      </c>
      <c r="F978">
        <v>1500</v>
      </c>
      <c r="G978" t="str">
        <f>VLOOKUP(Tabela1[[#This Row],[Cliente]],clientes!$C$3:$D$60,2,FALSE)</f>
        <v>AGROPALMA</v>
      </c>
    </row>
    <row r="979" spans="1:7" x14ac:dyDescent="0.25">
      <c r="A979">
        <v>2023</v>
      </c>
      <c r="B979" t="s">
        <v>210</v>
      </c>
      <c r="C979" t="s">
        <v>176</v>
      </c>
      <c r="D979" t="s">
        <v>123</v>
      </c>
      <c r="E979" t="str">
        <f>VLOOKUP(D979,'[2]Lista de Produtos CLASSIFICAÇÃO'!$E$103:$F$114,2,FALSE)</f>
        <v>Aquecidos</v>
      </c>
      <c r="F979">
        <v>1500</v>
      </c>
      <c r="G979" t="str">
        <f>VLOOKUP(Tabela1[[#This Row],[Cliente]],clientes!$C$3:$D$60,2,FALSE)</f>
        <v>AGROPALMA</v>
      </c>
    </row>
    <row r="980" spans="1:7" x14ac:dyDescent="0.25">
      <c r="A980">
        <v>2023</v>
      </c>
      <c r="B980" t="s">
        <v>211</v>
      </c>
      <c r="C980" t="s">
        <v>176</v>
      </c>
      <c r="D980" t="s">
        <v>123</v>
      </c>
      <c r="E980" t="str">
        <f>VLOOKUP(D980,'[2]Lista de Produtos CLASSIFICAÇÃO'!$E$103:$F$114,2,FALSE)</f>
        <v>Aquecidos</v>
      </c>
      <c r="F980">
        <v>1500</v>
      </c>
      <c r="G980" t="str">
        <f>VLOOKUP(Tabela1[[#This Row],[Cliente]],clientes!$C$3:$D$60,2,FALSE)</f>
        <v>AGROPALMA</v>
      </c>
    </row>
    <row r="981" spans="1:7" x14ac:dyDescent="0.25">
      <c r="A981">
        <v>2023</v>
      </c>
      <c r="B981" t="s">
        <v>212</v>
      </c>
      <c r="C981" t="s">
        <v>176</v>
      </c>
      <c r="D981" t="s">
        <v>123</v>
      </c>
      <c r="E981" t="str">
        <f>VLOOKUP(D981,'[2]Lista de Produtos CLASSIFICAÇÃO'!$E$103:$F$114,2,FALSE)</f>
        <v>Aquecidos</v>
      </c>
      <c r="F981">
        <v>1500</v>
      </c>
      <c r="G981" t="str">
        <f>VLOOKUP(Tabela1[[#This Row],[Cliente]],clientes!$C$3:$D$60,2,FALSE)</f>
        <v>AGROPALMA</v>
      </c>
    </row>
    <row r="982" spans="1:7" x14ac:dyDescent="0.25">
      <c r="A982">
        <v>2023</v>
      </c>
      <c r="B982" t="s">
        <v>213</v>
      </c>
      <c r="C982" t="s">
        <v>176</v>
      </c>
      <c r="D982" t="s">
        <v>123</v>
      </c>
      <c r="E982" t="str">
        <f>VLOOKUP(D982,'[2]Lista de Produtos CLASSIFICAÇÃO'!$E$103:$F$114,2,FALSE)</f>
        <v>Aquecidos</v>
      </c>
      <c r="F982">
        <v>1500</v>
      </c>
      <c r="G982" t="str">
        <f>VLOOKUP(Tabela1[[#This Row],[Cliente]],clientes!$C$3:$D$60,2,FALSE)</f>
        <v>AGROPALMA</v>
      </c>
    </row>
    <row r="983" spans="1:7" x14ac:dyDescent="0.25">
      <c r="A983">
        <v>2023</v>
      </c>
      <c r="B983" t="s">
        <v>214</v>
      </c>
      <c r="C983" t="s">
        <v>176</v>
      </c>
      <c r="D983" t="s">
        <v>123</v>
      </c>
      <c r="E983" t="str">
        <f>VLOOKUP(D983,'[2]Lista de Produtos CLASSIFICAÇÃO'!$E$103:$F$114,2,FALSE)</f>
        <v>Aquecidos</v>
      </c>
      <c r="F983">
        <v>1500</v>
      </c>
      <c r="G983" t="str">
        <f>VLOOKUP(Tabela1[[#This Row],[Cliente]],clientes!$C$3:$D$60,2,FALSE)</f>
        <v>AGROPALMA</v>
      </c>
    </row>
    <row r="984" spans="1:7" x14ac:dyDescent="0.25">
      <c r="A984">
        <v>2023</v>
      </c>
      <c r="B984" t="s">
        <v>215</v>
      </c>
      <c r="C984" t="s">
        <v>176</v>
      </c>
      <c r="D984" t="s">
        <v>123</v>
      </c>
      <c r="E984" t="str">
        <f>VLOOKUP(D984,'[2]Lista de Produtos CLASSIFICAÇÃO'!$E$103:$F$114,2,FALSE)</f>
        <v>Aquecidos</v>
      </c>
      <c r="F984">
        <v>1500</v>
      </c>
      <c r="G984" t="str">
        <f>VLOOKUP(Tabela1[[#This Row],[Cliente]],clientes!$C$3:$D$60,2,FALSE)</f>
        <v>AGROPALMA</v>
      </c>
    </row>
    <row r="985" spans="1:7" x14ac:dyDescent="0.25">
      <c r="A985">
        <v>2023</v>
      </c>
      <c r="B985" t="s">
        <v>230</v>
      </c>
      <c r="C985" t="s">
        <v>176</v>
      </c>
      <c r="D985" t="s">
        <v>123</v>
      </c>
      <c r="E985" t="str">
        <f>VLOOKUP(D985,'[2]Lista de Produtos CLASSIFICAÇÃO'!$E$103:$F$114,2,FALSE)</f>
        <v>Aquecidos</v>
      </c>
      <c r="F985">
        <v>1500</v>
      </c>
      <c r="G985" t="str">
        <f>VLOOKUP(Tabela1[[#This Row],[Cliente]],clientes!$C$3:$D$60,2,FALSE)</f>
        <v>AGROPALMA</v>
      </c>
    </row>
    <row r="986" spans="1:7" x14ac:dyDescent="0.25">
      <c r="A986">
        <v>2023</v>
      </c>
      <c r="B986" t="s">
        <v>231</v>
      </c>
      <c r="C986" t="s">
        <v>176</v>
      </c>
      <c r="D986" t="s">
        <v>123</v>
      </c>
      <c r="E986" t="str">
        <f>VLOOKUP(D986,'[2]Lista de Produtos CLASSIFICAÇÃO'!$E$103:$F$114,2,FALSE)</f>
        <v>Aquecidos</v>
      </c>
      <c r="F986">
        <v>1500</v>
      </c>
      <c r="G986" t="str">
        <f>VLOOKUP(Tabela1[[#This Row],[Cliente]],clientes!$C$3:$D$60,2,FALSE)</f>
        <v>AGROPALMA</v>
      </c>
    </row>
    <row r="987" spans="1:7" x14ac:dyDescent="0.25">
      <c r="A987">
        <v>2023</v>
      </c>
      <c r="B987" t="s">
        <v>226</v>
      </c>
      <c r="C987" t="s">
        <v>177</v>
      </c>
      <c r="D987" t="s">
        <v>115</v>
      </c>
      <c r="E987" t="str">
        <f>VLOOKUP(D987,'[2]Lista de Produtos CLASSIFICAÇÃO'!$E$103:$F$114,2,FALSE)</f>
        <v>Soda Caustica</v>
      </c>
      <c r="F987">
        <v>3500</v>
      </c>
      <c r="G987" t="str">
        <f>VLOOKUP(Tabela1[[#This Row],[Cliente]],clientes!$C$3:$D$60,2,FALSE)</f>
        <v>BRENNTAG</v>
      </c>
    </row>
    <row r="988" spans="1:7" x14ac:dyDescent="0.25">
      <c r="A988">
        <v>2023</v>
      </c>
      <c r="B988" t="s">
        <v>227</v>
      </c>
      <c r="C988" t="s">
        <v>177</v>
      </c>
      <c r="D988" t="s">
        <v>115</v>
      </c>
      <c r="E988" t="str">
        <f>VLOOKUP(D988,'[2]Lista de Produtos CLASSIFICAÇÃO'!$E$103:$F$114,2,FALSE)</f>
        <v>Soda Caustica</v>
      </c>
      <c r="F988">
        <v>3500</v>
      </c>
      <c r="G988" t="str">
        <f>VLOOKUP(Tabela1[[#This Row],[Cliente]],clientes!$C$3:$D$60,2,FALSE)</f>
        <v>BRENNTAG</v>
      </c>
    </row>
    <row r="989" spans="1:7" x14ac:dyDescent="0.25">
      <c r="A989">
        <v>2023</v>
      </c>
      <c r="B989" t="s">
        <v>228</v>
      </c>
      <c r="C989" t="s">
        <v>177</v>
      </c>
      <c r="D989" t="s">
        <v>115</v>
      </c>
      <c r="E989" t="str">
        <f>VLOOKUP(D989,'[2]Lista de Produtos CLASSIFICAÇÃO'!$E$103:$F$114,2,FALSE)</f>
        <v>Soda Caustica</v>
      </c>
      <c r="F989">
        <v>3500</v>
      </c>
      <c r="G989" t="str">
        <f>VLOOKUP(Tabela1[[#This Row],[Cliente]],clientes!$C$3:$D$60,2,FALSE)</f>
        <v>BRENNTAG</v>
      </c>
    </row>
    <row r="990" spans="1:7" x14ac:dyDescent="0.25">
      <c r="A990">
        <v>2023</v>
      </c>
      <c r="B990" t="s">
        <v>229</v>
      </c>
      <c r="C990" t="s">
        <v>177</v>
      </c>
      <c r="D990" t="s">
        <v>115</v>
      </c>
      <c r="E990" t="str">
        <f>VLOOKUP(D990,'[2]Lista de Produtos CLASSIFICAÇÃO'!$E$103:$F$114,2,FALSE)</f>
        <v>Soda Caustica</v>
      </c>
      <c r="F990">
        <v>3500</v>
      </c>
      <c r="G990" t="str">
        <f>VLOOKUP(Tabela1[[#This Row],[Cliente]],clientes!$C$3:$D$60,2,FALSE)</f>
        <v>BRENNTAG</v>
      </c>
    </row>
    <row r="991" spans="1:7" x14ac:dyDescent="0.25">
      <c r="A991">
        <v>2023</v>
      </c>
      <c r="B991" t="s">
        <v>210</v>
      </c>
      <c r="C991" t="s">
        <v>177</v>
      </c>
      <c r="D991" t="s">
        <v>115</v>
      </c>
      <c r="E991" t="str">
        <f>VLOOKUP(D991,'[2]Lista de Produtos CLASSIFICAÇÃO'!$E$103:$F$114,2,FALSE)</f>
        <v>Soda Caustica</v>
      </c>
      <c r="F991">
        <v>3500</v>
      </c>
      <c r="G991" t="str">
        <f>VLOOKUP(Tabela1[[#This Row],[Cliente]],clientes!$C$3:$D$60,2,FALSE)</f>
        <v>BRENNTAG</v>
      </c>
    </row>
    <row r="992" spans="1:7" x14ac:dyDescent="0.25">
      <c r="A992">
        <v>2023</v>
      </c>
      <c r="B992" t="s">
        <v>211</v>
      </c>
      <c r="C992" t="s">
        <v>177</v>
      </c>
      <c r="D992" t="s">
        <v>115</v>
      </c>
      <c r="E992" t="str">
        <f>VLOOKUP(D992,'[2]Lista de Produtos CLASSIFICAÇÃO'!$E$103:$F$114,2,FALSE)</f>
        <v>Soda Caustica</v>
      </c>
      <c r="F992">
        <v>3500</v>
      </c>
      <c r="G992" t="str">
        <f>VLOOKUP(Tabela1[[#This Row],[Cliente]],clientes!$C$3:$D$60,2,FALSE)</f>
        <v>BRENNTAG</v>
      </c>
    </row>
    <row r="993" spans="1:7" x14ac:dyDescent="0.25">
      <c r="A993">
        <v>2023</v>
      </c>
      <c r="B993" t="s">
        <v>212</v>
      </c>
      <c r="C993" t="s">
        <v>177</v>
      </c>
      <c r="D993" t="s">
        <v>115</v>
      </c>
      <c r="E993" t="str">
        <f>VLOOKUP(D993,'[2]Lista de Produtos CLASSIFICAÇÃO'!$E$103:$F$114,2,FALSE)</f>
        <v>Soda Caustica</v>
      </c>
      <c r="F993">
        <v>3500</v>
      </c>
      <c r="G993" t="str">
        <f>VLOOKUP(Tabela1[[#This Row],[Cliente]],clientes!$C$3:$D$60,2,FALSE)</f>
        <v>BRENNTAG</v>
      </c>
    </row>
    <row r="994" spans="1:7" x14ac:dyDescent="0.25">
      <c r="A994">
        <v>2023</v>
      </c>
      <c r="B994" t="s">
        <v>213</v>
      </c>
      <c r="C994" t="s">
        <v>177</v>
      </c>
      <c r="D994" t="s">
        <v>115</v>
      </c>
      <c r="E994" t="str">
        <f>VLOOKUP(D994,'[2]Lista de Produtos CLASSIFICAÇÃO'!$E$103:$F$114,2,FALSE)</f>
        <v>Soda Caustica</v>
      </c>
      <c r="F994">
        <v>3500</v>
      </c>
      <c r="G994" t="str">
        <f>VLOOKUP(Tabela1[[#This Row],[Cliente]],clientes!$C$3:$D$60,2,FALSE)</f>
        <v>BRENNTAG</v>
      </c>
    </row>
    <row r="995" spans="1:7" x14ac:dyDescent="0.25">
      <c r="A995">
        <v>2023</v>
      </c>
      <c r="B995" t="s">
        <v>214</v>
      </c>
      <c r="C995" t="s">
        <v>177</v>
      </c>
      <c r="D995" t="s">
        <v>115</v>
      </c>
      <c r="E995" t="str">
        <f>VLOOKUP(D995,'[2]Lista de Produtos CLASSIFICAÇÃO'!$E$103:$F$114,2,FALSE)</f>
        <v>Soda Caustica</v>
      </c>
      <c r="F995">
        <v>3500</v>
      </c>
      <c r="G995" t="str">
        <f>VLOOKUP(Tabela1[[#This Row],[Cliente]],clientes!$C$3:$D$60,2,FALSE)</f>
        <v>BRENNTAG</v>
      </c>
    </row>
    <row r="996" spans="1:7" x14ac:dyDescent="0.25">
      <c r="A996">
        <v>2023</v>
      </c>
      <c r="B996" t="s">
        <v>215</v>
      </c>
      <c r="C996" t="s">
        <v>177</v>
      </c>
      <c r="D996" t="s">
        <v>115</v>
      </c>
      <c r="E996" t="str">
        <f>VLOOKUP(D996,'[2]Lista de Produtos CLASSIFICAÇÃO'!$E$103:$F$114,2,FALSE)</f>
        <v>Soda Caustica</v>
      </c>
      <c r="F996">
        <v>3500</v>
      </c>
      <c r="G996" t="str">
        <f>VLOOKUP(Tabela1[[#This Row],[Cliente]],clientes!$C$3:$D$60,2,FALSE)</f>
        <v>BRENNTAG</v>
      </c>
    </row>
    <row r="997" spans="1:7" x14ac:dyDescent="0.25">
      <c r="A997">
        <v>2023</v>
      </c>
      <c r="B997" t="s">
        <v>230</v>
      </c>
      <c r="C997" t="s">
        <v>177</v>
      </c>
      <c r="D997" t="s">
        <v>115</v>
      </c>
      <c r="E997" t="str">
        <f>VLOOKUP(D997,'[2]Lista de Produtos CLASSIFICAÇÃO'!$E$103:$F$114,2,FALSE)</f>
        <v>Soda Caustica</v>
      </c>
      <c r="F997">
        <v>3500</v>
      </c>
      <c r="G997" t="str">
        <f>VLOOKUP(Tabela1[[#This Row],[Cliente]],clientes!$C$3:$D$60,2,FALSE)</f>
        <v>BRENNTAG</v>
      </c>
    </row>
    <row r="998" spans="1:7" x14ac:dyDescent="0.25">
      <c r="A998">
        <v>2023</v>
      </c>
      <c r="B998" t="s">
        <v>231</v>
      </c>
      <c r="C998" t="s">
        <v>177</v>
      </c>
      <c r="D998" t="s">
        <v>115</v>
      </c>
      <c r="E998" t="str">
        <f>VLOOKUP(D998,'[2]Lista de Produtos CLASSIFICAÇÃO'!$E$103:$F$114,2,FALSE)</f>
        <v>Soda Caustica</v>
      </c>
      <c r="F998">
        <v>3500</v>
      </c>
      <c r="G998" t="str">
        <f>VLOOKUP(Tabela1[[#This Row],[Cliente]],clientes!$C$3:$D$60,2,FALSE)</f>
        <v>BRENNTAG</v>
      </c>
    </row>
    <row r="999" spans="1:7" x14ac:dyDescent="0.25">
      <c r="A999">
        <v>2023</v>
      </c>
      <c r="B999" t="s">
        <v>226</v>
      </c>
      <c r="C999" t="s">
        <v>178</v>
      </c>
      <c r="D999" t="s">
        <v>115</v>
      </c>
      <c r="E999" t="str">
        <f>VLOOKUP(D999,'[2]Lista de Produtos CLASSIFICAÇÃO'!$E$103:$F$114,2,FALSE)</f>
        <v>Soda Caustica</v>
      </c>
      <c r="F999">
        <v>20000</v>
      </c>
      <c r="G999" t="str">
        <f>VLOOKUP(Tabela1[[#This Row],[Cliente]],clientes!$C$3:$D$60,2,FALSE)</f>
        <v>OLIN BLUE CUBE</v>
      </c>
    </row>
    <row r="1000" spans="1:7" x14ac:dyDescent="0.25">
      <c r="A1000">
        <v>2023</v>
      </c>
      <c r="B1000" t="s">
        <v>227</v>
      </c>
      <c r="C1000" t="s">
        <v>178</v>
      </c>
      <c r="D1000" t="s">
        <v>115</v>
      </c>
      <c r="E1000" t="str">
        <f>VLOOKUP(D1000,'[2]Lista de Produtos CLASSIFICAÇÃO'!$E$103:$F$114,2,FALSE)</f>
        <v>Soda Caustica</v>
      </c>
      <c r="F1000">
        <v>20000</v>
      </c>
      <c r="G1000" t="str">
        <f>VLOOKUP(Tabela1[[#This Row],[Cliente]],clientes!$C$3:$D$60,2,FALSE)</f>
        <v>OLIN BLUE CUBE</v>
      </c>
    </row>
    <row r="1001" spans="1:7" x14ac:dyDescent="0.25">
      <c r="A1001">
        <v>2023</v>
      </c>
      <c r="B1001" t="s">
        <v>228</v>
      </c>
      <c r="C1001" t="s">
        <v>178</v>
      </c>
      <c r="D1001" t="s">
        <v>115</v>
      </c>
      <c r="E1001" t="str">
        <f>VLOOKUP(D1001,'[2]Lista de Produtos CLASSIFICAÇÃO'!$E$103:$F$114,2,FALSE)</f>
        <v>Soda Caustica</v>
      </c>
      <c r="F1001">
        <v>20000</v>
      </c>
      <c r="G1001" t="str">
        <f>VLOOKUP(Tabela1[[#This Row],[Cliente]],clientes!$C$3:$D$60,2,FALSE)</f>
        <v>OLIN BLUE CUBE</v>
      </c>
    </row>
    <row r="1002" spans="1:7" x14ac:dyDescent="0.25">
      <c r="A1002">
        <v>2023</v>
      </c>
      <c r="B1002" t="s">
        <v>229</v>
      </c>
      <c r="C1002" t="s">
        <v>178</v>
      </c>
      <c r="D1002" t="s">
        <v>115</v>
      </c>
      <c r="E1002" t="str">
        <f>VLOOKUP(D1002,'[2]Lista de Produtos CLASSIFICAÇÃO'!$E$103:$F$114,2,FALSE)</f>
        <v>Soda Caustica</v>
      </c>
      <c r="F1002">
        <v>20000</v>
      </c>
      <c r="G1002" t="str">
        <f>VLOOKUP(Tabela1[[#This Row],[Cliente]],clientes!$C$3:$D$60,2,FALSE)</f>
        <v>OLIN BLUE CUBE</v>
      </c>
    </row>
    <row r="1003" spans="1:7" x14ac:dyDescent="0.25">
      <c r="A1003">
        <v>2023</v>
      </c>
      <c r="B1003" t="s">
        <v>210</v>
      </c>
      <c r="C1003" t="s">
        <v>178</v>
      </c>
      <c r="D1003" t="s">
        <v>115</v>
      </c>
      <c r="E1003" t="str">
        <f>VLOOKUP(D1003,'[2]Lista de Produtos CLASSIFICAÇÃO'!$E$103:$F$114,2,FALSE)</f>
        <v>Soda Caustica</v>
      </c>
      <c r="F1003">
        <v>20000</v>
      </c>
      <c r="G1003" t="str">
        <f>VLOOKUP(Tabela1[[#This Row],[Cliente]],clientes!$C$3:$D$60,2,FALSE)</f>
        <v>OLIN BLUE CUBE</v>
      </c>
    </row>
    <row r="1004" spans="1:7" x14ac:dyDescent="0.25">
      <c r="A1004">
        <v>2023</v>
      </c>
      <c r="B1004" t="s">
        <v>211</v>
      </c>
      <c r="C1004" t="s">
        <v>178</v>
      </c>
      <c r="D1004" t="s">
        <v>115</v>
      </c>
      <c r="E1004" t="str">
        <f>VLOOKUP(D1004,'[2]Lista de Produtos CLASSIFICAÇÃO'!$E$103:$F$114,2,FALSE)</f>
        <v>Soda Caustica</v>
      </c>
      <c r="F1004">
        <v>20000</v>
      </c>
      <c r="G1004" t="str">
        <f>VLOOKUP(Tabela1[[#This Row],[Cliente]],clientes!$C$3:$D$60,2,FALSE)</f>
        <v>OLIN BLUE CUBE</v>
      </c>
    </row>
    <row r="1005" spans="1:7" x14ac:dyDescent="0.25">
      <c r="A1005">
        <v>2023</v>
      </c>
      <c r="B1005" t="s">
        <v>212</v>
      </c>
      <c r="C1005" t="s">
        <v>178</v>
      </c>
      <c r="D1005" t="s">
        <v>115</v>
      </c>
      <c r="E1005" t="str">
        <f>VLOOKUP(D1005,'[2]Lista de Produtos CLASSIFICAÇÃO'!$E$103:$F$114,2,FALSE)</f>
        <v>Soda Caustica</v>
      </c>
      <c r="F1005">
        <v>20000</v>
      </c>
      <c r="G1005" t="str">
        <f>VLOOKUP(Tabela1[[#This Row],[Cliente]],clientes!$C$3:$D$60,2,FALSE)</f>
        <v>OLIN BLUE CUBE</v>
      </c>
    </row>
    <row r="1006" spans="1:7" x14ac:dyDescent="0.25">
      <c r="A1006">
        <v>2023</v>
      </c>
      <c r="B1006" t="s">
        <v>213</v>
      </c>
      <c r="C1006" t="s">
        <v>178</v>
      </c>
      <c r="D1006" t="s">
        <v>115</v>
      </c>
      <c r="E1006" t="str">
        <f>VLOOKUP(D1006,'[2]Lista de Produtos CLASSIFICAÇÃO'!$E$103:$F$114,2,FALSE)</f>
        <v>Soda Caustica</v>
      </c>
      <c r="F1006">
        <v>20000</v>
      </c>
      <c r="G1006" t="str">
        <f>VLOOKUP(Tabela1[[#This Row],[Cliente]],clientes!$C$3:$D$60,2,FALSE)</f>
        <v>OLIN BLUE CUBE</v>
      </c>
    </row>
    <row r="1007" spans="1:7" x14ac:dyDescent="0.25">
      <c r="A1007">
        <v>2023</v>
      </c>
      <c r="B1007" t="s">
        <v>214</v>
      </c>
      <c r="C1007" t="s">
        <v>178</v>
      </c>
      <c r="D1007" t="s">
        <v>115</v>
      </c>
      <c r="E1007" t="str">
        <f>VLOOKUP(D1007,'[2]Lista de Produtos CLASSIFICAÇÃO'!$E$103:$F$114,2,FALSE)</f>
        <v>Soda Caustica</v>
      </c>
      <c r="F1007">
        <v>20000</v>
      </c>
      <c r="G1007" t="str">
        <f>VLOOKUP(Tabela1[[#This Row],[Cliente]],clientes!$C$3:$D$60,2,FALSE)</f>
        <v>OLIN BLUE CUBE</v>
      </c>
    </row>
    <row r="1008" spans="1:7" x14ac:dyDescent="0.25">
      <c r="A1008">
        <v>2023</v>
      </c>
      <c r="B1008" t="s">
        <v>215</v>
      </c>
      <c r="C1008" t="s">
        <v>178</v>
      </c>
      <c r="D1008" t="s">
        <v>115</v>
      </c>
      <c r="E1008" t="str">
        <f>VLOOKUP(D1008,'[2]Lista de Produtos CLASSIFICAÇÃO'!$E$103:$F$114,2,FALSE)</f>
        <v>Soda Caustica</v>
      </c>
      <c r="F1008">
        <v>20000</v>
      </c>
      <c r="G1008" t="str">
        <f>VLOOKUP(Tabela1[[#This Row],[Cliente]],clientes!$C$3:$D$60,2,FALSE)</f>
        <v>OLIN BLUE CUBE</v>
      </c>
    </row>
    <row r="1009" spans="1:7" x14ac:dyDescent="0.25">
      <c r="A1009">
        <v>2023</v>
      </c>
      <c r="B1009" t="s">
        <v>230</v>
      </c>
      <c r="C1009" t="s">
        <v>178</v>
      </c>
      <c r="D1009" t="s">
        <v>115</v>
      </c>
      <c r="E1009" t="str">
        <f>VLOOKUP(D1009,'[2]Lista de Produtos CLASSIFICAÇÃO'!$E$103:$F$114,2,FALSE)</f>
        <v>Soda Caustica</v>
      </c>
      <c r="F1009">
        <v>20000</v>
      </c>
      <c r="G1009" t="str">
        <f>VLOOKUP(Tabela1[[#This Row],[Cliente]],clientes!$C$3:$D$60,2,FALSE)</f>
        <v>OLIN BLUE CUBE</v>
      </c>
    </row>
    <row r="1010" spans="1:7" x14ac:dyDescent="0.25">
      <c r="A1010">
        <v>2023</v>
      </c>
      <c r="B1010" t="s">
        <v>231</v>
      </c>
      <c r="C1010" t="s">
        <v>178</v>
      </c>
      <c r="D1010" t="s">
        <v>115</v>
      </c>
      <c r="E1010" t="str">
        <f>VLOOKUP(D1010,'[2]Lista de Produtos CLASSIFICAÇÃO'!$E$103:$F$114,2,FALSE)</f>
        <v>Soda Caustica</v>
      </c>
      <c r="F1010">
        <v>20000</v>
      </c>
      <c r="G1010" t="str">
        <f>VLOOKUP(Tabela1[[#This Row],[Cliente]],clientes!$C$3:$D$60,2,FALSE)</f>
        <v>OLIN BLUE CUBE</v>
      </c>
    </row>
    <row r="1011" spans="1:7" x14ac:dyDescent="0.25">
      <c r="A1011">
        <v>2023</v>
      </c>
      <c r="B1011" t="s">
        <v>226</v>
      </c>
      <c r="C1011" t="s">
        <v>179</v>
      </c>
      <c r="D1011" t="s">
        <v>26</v>
      </c>
      <c r="E1011" t="str">
        <f>VLOOKUP(D1011,'[2]Lista de Produtos CLASSIFICAÇÃO'!$E$103:$F$114,2,FALSE)</f>
        <v>Biocombustíveis</v>
      </c>
      <c r="F1011">
        <v>4300</v>
      </c>
      <c r="G1011" t="str">
        <f>VLOOKUP(Tabela1[[#This Row],[Cliente]],clientes!$C$3:$D$60,2,FALSE)</f>
        <v>BSBIOS</v>
      </c>
    </row>
    <row r="1012" spans="1:7" x14ac:dyDescent="0.25">
      <c r="A1012">
        <v>2023</v>
      </c>
      <c r="B1012" t="s">
        <v>227</v>
      </c>
      <c r="C1012" t="s">
        <v>179</v>
      </c>
      <c r="D1012" t="s">
        <v>26</v>
      </c>
      <c r="E1012" t="str">
        <f>VLOOKUP(D1012,'[2]Lista de Produtos CLASSIFICAÇÃO'!$E$103:$F$114,2,FALSE)</f>
        <v>Biocombustíveis</v>
      </c>
      <c r="F1012">
        <v>4300</v>
      </c>
      <c r="G1012" t="str">
        <f>VLOOKUP(Tabela1[[#This Row],[Cliente]],clientes!$C$3:$D$60,2,FALSE)</f>
        <v>BSBIOS</v>
      </c>
    </row>
    <row r="1013" spans="1:7" x14ac:dyDescent="0.25">
      <c r="A1013">
        <v>2023</v>
      </c>
      <c r="B1013" t="s">
        <v>228</v>
      </c>
      <c r="C1013" t="s">
        <v>179</v>
      </c>
      <c r="D1013" t="s">
        <v>26</v>
      </c>
      <c r="E1013" t="str">
        <f>VLOOKUP(D1013,'[2]Lista de Produtos CLASSIFICAÇÃO'!$E$103:$F$114,2,FALSE)</f>
        <v>Biocombustíveis</v>
      </c>
      <c r="F1013">
        <v>4300</v>
      </c>
      <c r="G1013" t="str">
        <f>VLOOKUP(Tabela1[[#This Row],[Cliente]],clientes!$C$3:$D$60,2,FALSE)</f>
        <v>BSBIOS</v>
      </c>
    </row>
    <row r="1014" spans="1:7" x14ac:dyDescent="0.25">
      <c r="A1014">
        <v>2023</v>
      </c>
      <c r="B1014" t="s">
        <v>229</v>
      </c>
      <c r="C1014" t="s">
        <v>179</v>
      </c>
      <c r="D1014" t="s">
        <v>26</v>
      </c>
      <c r="E1014" t="str">
        <f>VLOOKUP(D1014,'[2]Lista de Produtos CLASSIFICAÇÃO'!$E$103:$F$114,2,FALSE)</f>
        <v>Biocombustíveis</v>
      </c>
      <c r="F1014">
        <v>4300</v>
      </c>
      <c r="G1014" t="str">
        <f>VLOOKUP(Tabela1[[#This Row],[Cliente]],clientes!$C$3:$D$60,2,FALSE)</f>
        <v>BSBIOS</v>
      </c>
    </row>
    <row r="1015" spans="1:7" x14ac:dyDescent="0.25">
      <c r="A1015">
        <v>2023</v>
      </c>
      <c r="B1015" t="s">
        <v>210</v>
      </c>
      <c r="C1015" t="s">
        <v>179</v>
      </c>
      <c r="D1015" t="s">
        <v>26</v>
      </c>
      <c r="E1015" t="str">
        <f>VLOOKUP(D1015,'[2]Lista de Produtos CLASSIFICAÇÃO'!$E$103:$F$114,2,FALSE)</f>
        <v>Biocombustíveis</v>
      </c>
      <c r="F1015">
        <v>4300</v>
      </c>
      <c r="G1015" t="str">
        <f>VLOOKUP(Tabela1[[#This Row],[Cliente]],clientes!$C$3:$D$60,2,FALSE)</f>
        <v>BSBIOS</v>
      </c>
    </row>
    <row r="1016" spans="1:7" x14ac:dyDescent="0.25">
      <c r="A1016">
        <v>2023</v>
      </c>
      <c r="B1016" t="s">
        <v>211</v>
      </c>
      <c r="C1016" t="s">
        <v>179</v>
      </c>
      <c r="D1016" t="s">
        <v>26</v>
      </c>
      <c r="E1016" t="str">
        <f>VLOOKUP(D1016,'[2]Lista de Produtos CLASSIFICAÇÃO'!$E$103:$F$114,2,FALSE)</f>
        <v>Biocombustíveis</v>
      </c>
      <c r="F1016">
        <v>4300</v>
      </c>
      <c r="G1016" t="str">
        <f>VLOOKUP(Tabela1[[#This Row],[Cliente]],clientes!$C$3:$D$60,2,FALSE)</f>
        <v>BSBIOS</v>
      </c>
    </row>
    <row r="1017" spans="1:7" x14ac:dyDescent="0.25">
      <c r="A1017">
        <v>2023</v>
      </c>
      <c r="B1017" t="s">
        <v>212</v>
      </c>
      <c r="C1017" t="s">
        <v>179</v>
      </c>
      <c r="D1017" t="s">
        <v>26</v>
      </c>
      <c r="E1017" t="str">
        <f>VLOOKUP(D1017,'[2]Lista de Produtos CLASSIFICAÇÃO'!$E$103:$F$114,2,FALSE)</f>
        <v>Biocombustíveis</v>
      </c>
      <c r="F1017">
        <v>4300</v>
      </c>
      <c r="G1017" t="str">
        <f>VLOOKUP(Tabela1[[#This Row],[Cliente]],clientes!$C$3:$D$60,2,FALSE)</f>
        <v>BSBIOS</v>
      </c>
    </row>
    <row r="1018" spans="1:7" x14ac:dyDescent="0.25">
      <c r="A1018">
        <v>2023</v>
      </c>
      <c r="B1018" t="s">
        <v>213</v>
      </c>
      <c r="C1018" t="s">
        <v>179</v>
      </c>
      <c r="D1018" t="s">
        <v>26</v>
      </c>
      <c r="E1018" t="str">
        <f>VLOOKUP(D1018,'[2]Lista de Produtos CLASSIFICAÇÃO'!$E$103:$F$114,2,FALSE)</f>
        <v>Biocombustíveis</v>
      </c>
      <c r="F1018">
        <v>4300</v>
      </c>
      <c r="G1018" t="str">
        <f>VLOOKUP(Tabela1[[#This Row],[Cliente]],clientes!$C$3:$D$60,2,FALSE)</f>
        <v>BSBIOS</v>
      </c>
    </row>
    <row r="1019" spans="1:7" x14ac:dyDescent="0.25">
      <c r="A1019">
        <v>2023</v>
      </c>
      <c r="B1019" t="s">
        <v>214</v>
      </c>
      <c r="C1019" t="s">
        <v>179</v>
      </c>
      <c r="D1019" t="s">
        <v>26</v>
      </c>
      <c r="E1019" t="str">
        <f>VLOOKUP(D1019,'[2]Lista de Produtos CLASSIFICAÇÃO'!$E$103:$F$114,2,FALSE)</f>
        <v>Biocombustíveis</v>
      </c>
      <c r="F1019">
        <v>4300</v>
      </c>
      <c r="G1019" t="str">
        <f>VLOOKUP(Tabela1[[#This Row],[Cliente]],clientes!$C$3:$D$60,2,FALSE)</f>
        <v>BSBIOS</v>
      </c>
    </row>
    <row r="1020" spans="1:7" x14ac:dyDescent="0.25">
      <c r="A1020">
        <v>2023</v>
      </c>
      <c r="B1020" t="s">
        <v>215</v>
      </c>
      <c r="C1020" t="s">
        <v>179</v>
      </c>
      <c r="D1020" t="s">
        <v>26</v>
      </c>
      <c r="E1020" t="str">
        <f>VLOOKUP(D1020,'[2]Lista de Produtos CLASSIFICAÇÃO'!$E$103:$F$114,2,FALSE)</f>
        <v>Biocombustíveis</v>
      </c>
      <c r="F1020">
        <v>4300</v>
      </c>
      <c r="G1020" t="str">
        <f>VLOOKUP(Tabela1[[#This Row],[Cliente]],clientes!$C$3:$D$60,2,FALSE)</f>
        <v>BSBIOS</v>
      </c>
    </row>
    <row r="1021" spans="1:7" x14ac:dyDescent="0.25">
      <c r="A1021">
        <v>2023</v>
      </c>
      <c r="B1021" t="s">
        <v>230</v>
      </c>
      <c r="C1021" t="s">
        <v>179</v>
      </c>
      <c r="D1021" t="s">
        <v>26</v>
      </c>
      <c r="E1021" t="str">
        <f>VLOOKUP(D1021,'[2]Lista de Produtos CLASSIFICAÇÃO'!$E$103:$F$114,2,FALSE)</f>
        <v>Biocombustíveis</v>
      </c>
      <c r="F1021">
        <v>4300</v>
      </c>
      <c r="G1021" t="str">
        <f>VLOOKUP(Tabela1[[#This Row],[Cliente]],clientes!$C$3:$D$60,2,FALSE)</f>
        <v>BSBIOS</v>
      </c>
    </row>
    <row r="1022" spans="1:7" x14ac:dyDescent="0.25">
      <c r="A1022">
        <v>2023</v>
      </c>
      <c r="B1022" t="s">
        <v>231</v>
      </c>
      <c r="C1022" t="s">
        <v>179</v>
      </c>
      <c r="D1022" t="s">
        <v>26</v>
      </c>
      <c r="E1022" t="str">
        <f>VLOOKUP(D1022,'[2]Lista de Produtos CLASSIFICAÇÃO'!$E$103:$F$114,2,FALSE)</f>
        <v>Biocombustíveis</v>
      </c>
      <c r="F1022">
        <v>4300</v>
      </c>
      <c r="G1022" t="str">
        <f>VLOOKUP(Tabela1[[#This Row],[Cliente]],clientes!$C$3:$D$60,2,FALSE)</f>
        <v>BSBIOS</v>
      </c>
    </row>
    <row r="1023" spans="1:7" x14ac:dyDescent="0.25">
      <c r="A1023">
        <v>2023</v>
      </c>
      <c r="B1023" t="s">
        <v>227</v>
      </c>
      <c r="C1023" t="s">
        <v>180</v>
      </c>
      <c r="D1023" t="s">
        <v>30</v>
      </c>
      <c r="E1023" t="str">
        <f>VLOOKUP(D1023,'[2]Lista de Produtos CLASSIFICAÇÃO'!$E$103:$F$114,2,FALSE)</f>
        <v>Outros</v>
      </c>
      <c r="F1023">
        <v>2000</v>
      </c>
      <c r="G1023" t="str">
        <f>VLOOKUP(Tabela1[[#This Row],[Cliente]],clientes!$C$3:$D$60,2,FALSE)</f>
        <v>TRICHEM</v>
      </c>
    </row>
    <row r="1024" spans="1:7" x14ac:dyDescent="0.25">
      <c r="A1024">
        <v>2023</v>
      </c>
      <c r="B1024" t="s">
        <v>229</v>
      </c>
      <c r="C1024" t="s">
        <v>180</v>
      </c>
      <c r="D1024" t="s">
        <v>30</v>
      </c>
      <c r="E1024" t="str">
        <f>VLOOKUP(D1024,'[2]Lista de Produtos CLASSIFICAÇÃO'!$E$103:$F$114,2,FALSE)</f>
        <v>Outros</v>
      </c>
      <c r="F1024">
        <v>2000</v>
      </c>
      <c r="G1024" t="str">
        <f>VLOOKUP(Tabela1[[#This Row],[Cliente]],clientes!$C$3:$D$60,2,FALSE)</f>
        <v>TRICHEM</v>
      </c>
    </row>
    <row r="1025" spans="1:7" x14ac:dyDescent="0.25">
      <c r="A1025">
        <v>2023</v>
      </c>
      <c r="B1025" t="s">
        <v>212</v>
      </c>
      <c r="C1025" t="s">
        <v>180</v>
      </c>
      <c r="D1025" t="s">
        <v>30</v>
      </c>
      <c r="E1025" t="str">
        <f>VLOOKUP(D1025,'[2]Lista de Produtos CLASSIFICAÇÃO'!$E$103:$F$114,2,FALSE)</f>
        <v>Outros</v>
      </c>
      <c r="F1025">
        <v>2000</v>
      </c>
      <c r="G1025" t="str">
        <f>VLOOKUP(Tabela1[[#This Row],[Cliente]],clientes!$C$3:$D$60,2,FALSE)</f>
        <v>TRICHEM</v>
      </c>
    </row>
    <row r="1026" spans="1:7" x14ac:dyDescent="0.25">
      <c r="A1026">
        <v>2023</v>
      </c>
      <c r="B1026" t="s">
        <v>215</v>
      </c>
      <c r="C1026" t="s">
        <v>180</v>
      </c>
      <c r="D1026" t="s">
        <v>30</v>
      </c>
      <c r="E1026" t="str">
        <f>VLOOKUP(D1026,'[2]Lista de Produtos CLASSIFICAÇÃO'!$E$103:$F$114,2,FALSE)</f>
        <v>Outros</v>
      </c>
      <c r="F1026">
        <v>2000</v>
      </c>
      <c r="G1026" t="str">
        <f>VLOOKUP(Tabela1[[#This Row],[Cliente]],clientes!$C$3:$D$60,2,FALSE)</f>
        <v>TRICHEM</v>
      </c>
    </row>
    <row r="1027" spans="1:7" x14ac:dyDescent="0.25">
      <c r="A1027">
        <v>2023</v>
      </c>
      <c r="B1027" t="s">
        <v>226</v>
      </c>
      <c r="C1027" t="s">
        <v>181</v>
      </c>
      <c r="D1027" t="s">
        <v>123</v>
      </c>
      <c r="E1027" t="str">
        <f>VLOOKUP(D1027,'[2]Lista de Produtos CLASSIFICAÇÃO'!$E$103:$F$114,2,FALSE)</f>
        <v>Aquecidos</v>
      </c>
      <c r="F1027">
        <v>1400</v>
      </c>
      <c r="G1027" t="str">
        <f>VLOOKUP(Tabela1[[#This Row],[Cliente]],clientes!$C$3:$D$60,2,FALSE)</f>
        <v>COAMO</v>
      </c>
    </row>
    <row r="1028" spans="1:7" x14ac:dyDescent="0.25">
      <c r="A1028">
        <v>2023</v>
      </c>
      <c r="B1028" t="s">
        <v>227</v>
      </c>
      <c r="C1028" t="s">
        <v>181</v>
      </c>
      <c r="D1028" t="s">
        <v>123</v>
      </c>
      <c r="E1028" t="str">
        <f>VLOOKUP(D1028,'[2]Lista de Produtos CLASSIFICAÇÃO'!$E$103:$F$114,2,FALSE)</f>
        <v>Aquecidos</v>
      </c>
      <c r="F1028">
        <v>1400</v>
      </c>
      <c r="G1028" t="str">
        <f>VLOOKUP(Tabela1[[#This Row],[Cliente]],clientes!$C$3:$D$60,2,FALSE)</f>
        <v>COAMO</v>
      </c>
    </row>
    <row r="1029" spans="1:7" x14ac:dyDescent="0.25">
      <c r="A1029">
        <v>2023</v>
      </c>
      <c r="B1029" t="s">
        <v>228</v>
      </c>
      <c r="C1029" t="s">
        <v>181</v>
      </c>
      <c r="D1029" t="s">
        <v>123</v>
      </c>
      <c r="E1029" t="str">
        <f>VLOOKUP(D1029,'[2]Lista de Produtos CLASSIFICAÇÃO'!$E$103:$F$114,2,FALSE)</f>
        <v>Aquecidos</v>
      </c>
      <c r="F1029">
        <v>1400</v>
      </c>
      <c r="G1029" t="str">
        <f>VLOOKUP(Tabela1[[#This Row],[Cliente]],clientes!$C$3:$D$60,2,FALSE)</f>
        <v>COAMO</v>
      </c>
    </row>
    <row r="1030" spans="1:7" x14ac:dyDescent="0.25">
      <c r="A1030">
        <v>2023</v>
      </c>
      <c r="B1030" t="s">
        <v>229</v>
      </c>
      <c r="C1030" t="s">
        <v>181</v>
      </c>
      <c r="D1030" t="s">
        <v>123</v>
      </c>
      <c r="E1030" t="str">
        <f>VLOOKUP(D1030,'[2]Lista de Produtos CLASSIFICAÇÃO'!$E$103:$F$114,2,FALSE)</f>
        <v>Aquecidos</v>
      </c>
      <c r="F1030">
        <v>1400</v>
      </c>
      <c r="G1030" t="str">
        <f>VLOOKUP(Tabela1[[#This Row],[Cliente]],clientes!$C$3:$D$60,2,FALSE)</f>
        <v>COAMO</v>
      </c>
    </row>
    <row r="1031" spans="1:7" x14ac:dyDescent="0.25">
      <c r="A1031">
        <v>2023</v>
      </c>
      <c r="B1031" t="s">
        <v>210</v>
      </c>
      <c r="C1031" t="s">
        <v>181</v>
      </c>
      <c r="D1031" t="s">
        <v>123</v>
      </c>
      <c r="E1031" t="str">
        <f>VLOOKUP(D1031,'[2]Lista de Produtos CLASSIFICAÇÃO'!$E$103:$F$114,2,FALSE)</f>
        <v>Aquecidos</v>
      </c>
      <c r="F1031">
        <v>1400</v>
      </c>
      <c r="G1031" t="str">
        <f>VLOOKUP(Tabela1[[#This Row],[Cliente]],clientes!$C$3:$D$60,2,FALSE)</f>
        <v>COAMO</v>
      </c>
    </row>
    <row r="1032" spans="1:7" x14ac:dyDescent="0.25">
      <c r="A1032">
        <v>2023</v>
      </c>
      <c r="B1032" t="s">
        <v>211</v>
      </c>
      <c r="C1032" t="s">
        <v>181</v>
      </c>
      <c r="D1032" t="s">
        <v>123</v>
      </c>
      <c r="E1032" t="str">
        <f>VLOOKUP(D1032,'[2]Lista de Produtos CLASSIFICAÇÃO'!$E$103:$F$114,2,FALSE)</f>
        <v>Aquecidos</v>
      </c>
      <c r="F1032">
        <v>1400</v>
      </c>
      <c r="G1032" t="str">
        <f>VLOOKUP(Tabela1[[#This Row],[Cliente]],clientes!$C$3:$D$60,2,FALSE)</f>
        <v>COAMO</v>
      </c>
    </row>
    <row r="1033" spans="1:7" x14ac:dyDescent="0.25">
      <c r="A1033">
        <v>2023</v>
      </c>
      <c r="B1033" t="s">
        <v>212</v>
      </c>
      <c r="C1033" t="s">
        <v>181</v>
      </c>
      <c r="D1033" t="s">
        <v>123</v>
      </c>
      <c r="E1033" t="str">
        <f>VLOOKUP(D1033,'[2]Lista de Produtos CLASSIFICAÇÃO'!$E$103:$F$114,2,FALSE)</f>
        <v>Aquecidos</v>
      </c>
      <c r="F1033">
        <v>1400</v>
      </c>
      <c r="G1033" t="str">
        <f>VLOOKUP(Tabela1[[#This Row],[Cliente]],clientes!$C$3:$D$60,2,FALSE)</f>
        <v>COAMO</v>
      </c>
    </row>
    <row r="1034" spans="1:7" x14ac:dyDescent="0.25">
      <c r="A1034">
        <v>2023</v>
      </c>
      <c r="B1034" t="s">
        <v>213</v>
      </c>
      <c r="C1034" t="s">
        <v>181</v>
      </c>
      <c r="D1034" t="s">
        <v>123</v>
      </c>
      <c r="E1034" t="str">
        <f>VLOOKUP(D1034,'[2]Lista de Produtos CLASSIFICAÇÃO'!$E$103:$F$114,2,FALSE)</f>
        <v>Aquecidos</v>
      </c>
      <c r="F1034">
        <v>1400</v>
      </c>
      <c r="G1034" t="str">
        <f>VLOOKUP(Tabela1[[#This Row],[Cliente]],clientes!$C$3:$D$60,2,FALSE)</f>
        <v>COAMO</v>
      </c>
    </row>
    <row r="1035" spans="1:7" x14ac:dyDescent="0.25">
      <c r="A1035">
        <v>2023</v>
      </c>
      <c r="B1035" t="s">
        <v>214</v>
      </c>
      <c r="C1035" t="s">
        <v>181</v>
      </c>
      <c r="D1035" t="s">
        <v>123</v>
      </c>
      <c r="E1035" t="str">
        <f>VLOOKUP(D1035,'[2]Lista de Produtos CLASSIFICAÇÃO'!$E$103:$F$114,2,FALSE)</f>
        <v>Aquecidos</v>
      </c>
      <c r="F1035">
        <v>1400</v>
      </c>
      <c r="G1035" t="str">
        <f>VLOOKUP(Tabela1[[#This Row],[Cliente]],clientes!$C$3:$D$60,2,FALSE)</f>
        <v>COAMO</v>
      </c>
    </row>
    <row r="1036" spans="1:7" x14ac:dyDescent="0.25">
      <c r="A1036">
        <v>2023</v>
      </c>
      <c r="B1036" t="s">
        <v>215</v>
      </c>
      <c r="C1036" t="s">
        <v>181</v>
      </c>
      <c r="D1036" t="s">
        <v>123</v>
      </c>
      <c r="E1036" t="str">
        <f>VLOOKUP(D1036,'[2]Lista de Produtos CLASSIFICAÇÃO'!$E$103:$F$114,2,FALSE)</f>
        <v>Aquecidos</v>
      </c>
      <c r="F1036">
        <v>1400</v>
      </c>
      <c r="G1036" t="str">
        <f>VLOOKUP(Tabela1[[#This Row],[Cliente]],clientes!$C$3:$D$60,2,FALSE)</f>
        <v>COAMO</v>
      </c>
    </row>
    <row r="1037" spans="1:7" x14ac:dyDescent="0.25">
      <c r="A1037">
        <v>2023</v>
      </c>
      <c r="B1037" t="s">
        <v>230</v>
      </c>
      <c r="C1037" t="s">
        <v>181</v>
      </c>
      <c r="D1037" t="s">
        <v>123</v>
      </c>
      <c r="E1037" t="str">
        <f>VLOOKUP(D1037,'[2]Lista de Produtos CLASSIFICAÇÃO'!$E$103:$F$114,2,FALSE)</f>
        <v>Aquecidos</v>
      </c>
      <c r="F1037">
        <v>1400</v>
      </c>
      <c r="G1037" t="str">
        <f>VLOOKUP(Tabela1[[#This Row],[Cliente]],clientes!$C$3:$D$60,2,FALSE)</f>
        <v>COAMO</v>
      </c>
    </row>
    <row r="1038" spans="1:7" x14ac:dyDescent="0.25">
      <c r="A1038">
        <v>2023</v>
      </c>
      <c r="B1038" t="s">
        <v>231</v>
      </c>
      <c r="C1038" t="s">
        <v>181</v>
      </c>
      <c r="D1038" t="s">
        <v>123</v>
      </c>
      <c r="E1038" t="str">
        <f>VLOOKUP(D1038,'[2]Lista de Produtos CLASSIFICAÇÃO'!$E$103:$F$114,2,FALSE)</f>
        <v>Aquecidos</v>
      </c>
      <c r="F1038">
        <v>1400</v>
      </c>
      <c r="G1038" t="str">
        <f>VLOOKUP(Tabela1[[#This Row],[Cliente]],clientes!$C$3:$D$60,2,FALSE)</f>
        <v>COAMO</v>
      </c>
    </row>
    <row r="1039" spans="1:7" x14ac:dyDescent="0.25">
      <c r="A1039">
        <v>2023</v>
      </c>
      <c r="B1039" t="s">
        <v>226</v>
      </c>
      <c r="C1039" t="s">
        <v>182</v>
      </c>
      <c r="D1039" t="s">
        <v>120</v>
      </c>
      <c r="E1039" t="str">
        <f>VLOOKUP(D1039,'[2]Lista de Produtos CLASSIFICAÇÃO'!$E$103:$F$114,2,FALSE)</f>
        <v>Derivados</v>
      </c>
      <c r="F1039">
        <v>8300</v>
      </c>
      <c r="G1039" t="str">
        <f>VLOOKUP(Tabela1[[#This Row],[Cliente]],clientes!$C$3:$D$60,2,FALSE)</f>
        <v>ATEM</v>
      </c>
    </row>
    <row r="1040" spans="1:7" x14ac:dyDescent="0.25">
      <c r="A1040">
        <v>2023</v>
      </c>
      <c r="B1040" t="s">
        <v>227</v>
      </c>
      <c r="C1040" t="s">
        <v>182</v>
      </c>
      <c r="D1040" t="s">
        <v>120</v>
      </c>
      <c r="E1040" t="str">
        <f>VLOOKUP(D1040,'[2]Lista de Produtos CLASSIFICAÇÃO'!$E$103:$F$114,2,FALSE)</f>
        <v>Derivados</v>
      </c>
      <c r="F1040">
        <v>8300</v>
      </c>
      <c r="G1040" t="str">
        <f>VLOOKUP(Tabela1[[#This Row],[Cliente]],clientes!$C$3:$D$60,2,FALSE)</f>
        <v>ATEM</v>
      </c>
    </row>
    <row r="1041" spans="1:7" x14ac:dyDescent="0.25">
      <c r="A1041">
        <v>2023</v>
      </c>
      <c r="B1041" t="s">
        <v>228</v>
      </c>
      <c r="C1041" t="s">
        <v>182</v>
      </c>
      <c r="D1041" t="s">
        <v>120</v>
      </c>
      <c r="E1041" t="str">
        <f>VLOOKUP(D1041,'[2]Lista de Produtos CLASSIFICAÇÃO'!$E$103:$F$114,2,FALSE)</f>
        <v>Derivados</v>
      </c>
      <c r="F1041">
        <v>8300</v>
      </c>
      <c r="G1041" t="str">
        <f>VLOOKUP(Tabela1[[#This Row],[Cliente]],clientes!$C$3:$D$60,2,FALSE)</f>
        <v>ATEM</v>
      </c>
    </row>
    <row r="1042" spans="1:7" x14ac:dyDescent="0.25">
      <c r="A1042">
        <v>2023</v>
      </c>
      <c r="B1042" t="s">
        <v>229</v>
      </c>
      <c r="C1042" t="s">
        <v>182</v>
      </c>
      <c r="D1042" t="s">
        <v>120</v>
      </c>
      <c r="E1042" t="str">
        <f>VLOOKUP(D1042,'[2]Lista de Produtos CLASSIFICAÇÃO'!$E$103:$F$114,2,FALSE)</f>
        <v>Derivados</v>
      </c>
      <c r="F1042">
        <v>8300</v>
      </c>
      <c r="G1042" t="str">
        <f>VLOOKUP(Tabela1[[#This Row],[Cliente]],clientes!$C$3:$D$60,2,FALSE)</f>
        <v>ATEM</v>
      </c>
    </row>
    <row r="1043" spans="1:7" x14ac:dyDescent="0.25">
      <c r="A1043">
        <v>2023</v>
      </c>
      <c r="B1043" t="s">
        <v>210</v>
      </c>
      <c r="C1043" t="s">
        <v>182</v>
      </c>
      <c r="D1043" t="s">
        <v>120</v>
      </c>
      <c r="E1043" t="str">
        <f>VLOOKUP(D1043,'[2]Lista de Produtos CLASSIFICAÇÃO'!$E$103:$F$114,2,FALSE)</f>
        <v>Derivados</v>
      </c>
      <c r="F1043">
        <v>8300</v>
      </c>
      <c r="G1043" t="str">
        <f>VLOOKUP(Tabela1[[#This Row],[Cliente]],clientes!$C$3:$D$60,2,FALSE)</f>
        <v>ATEM</v>
      </c>
    </row>
    <row r="1044" spans="1:7" x14ac:dyDescent="0.25">
      <c r="A1044">
        <v>2023</v>
      </c>
      <c r="B1044" t="s">
        <v>211</v>
      </c>
      <c r="C1044" t="s">
        <v>182</v>
      </c>
      <c r="D1044" t="s">
        <v>120</v>
      </c>
      <c r="E1044" t="str">
        <f>VLOOKUP(D1044,'[2]Lista de Produtos CLASSIFICAÇÃO'!$E$103:$F$114,2,FALSE)</f>
        <v>Derivados</v>
      </c>
      <c r="F1044">
        <v>8300</v>
      </c>
      <c r="G1044" t="str">
        <f>VLOOKUP(Tabela1[[#This Row],[Cliente]],clientes!$C$3:$D$60,2,FALSE)</f>
        <v>ATEM</v>
      </c>
    </row>
    <row r="1045" spans="1:7" x14ac:dyDescent="0.25">
      <c r="A1045">
        <v>2023</v>
      </c>
      <c r="B1045" t="s">
        <v>212</v>
      </c>
      <c r="C1045" t="s">
        <v>182</v>
      </c>
      <c r="D1045" t="s">
        <v>120</v>
      </c>
      <c r="E1045" t="str">
        <f>VLOOKUP(D1045,'[2]Lista de Produtos CLASSIFICAÇÃO'!$E$103:$F$114,2,FALSE)</f>
        <v>Derivados</v>
      </c>
      <c r="F1045">
        <v>8300</v>
      </c>
      <c r="G1045" t="str">
        <f>VLOOKUP(Tabela1[[#This Row],[Cliente]],clientes!$C$3:$D$60,2,FALSE)</f>
        <v>ATEM</v>
      </c>
    </row>
    <row r="1046" spans="1:7" x14ac:dyDescent="0.25">
      <c r="A1046">
        <v>2023</v>
      </c>
      <c r="B1046" t="s">
        <v>213</v>
      </c>
      <c r="C1046" t="s">
        <v>182</v>
      </c>
      <c r="D1046" t="s">
        <v>120</v>
      </c>
      <c r="E1046" t="str">
        <f>VLOOKUP(D1046,'[2]Lista de Produtos CLASSIFICAÇÃO'!$E$103:$F$114,2,FALSE)</f>
        <v>Derivados</v>
      </c>
      <c r="F1046">
        <v>8300</v>
      </c>
      <c r="G1046" t="str">
        <f>VLOOKUP(Tabela1[[#This Row],[Cliente]],clientes!$C$3:$D$60,2,FALSE)</f>
        <v>ATEM</v>
      </c>
    </row>
    <row r="1047" spans="1:7" x14ac:dyDescent="0.25">
      <c r="A1047">
        <v>2023</v>
      </c>
      <c r="B1047" t="s">
        <v>214</v>
      </c>
      <c r="C1047" t="s">
        <v>182</v>
      </c>
      <c r="D1047" t="s">
        <v>120</v>
      </c>
      <c r="E1047" t="str">
        <f>VLOOKUP(D1047,'[2]Lista de Produtos CLASSIFICAÇÃO'!$E$103:$F$114,2,FALSE)</f>
        <v>Derivados</v>
      </c>
      <c r="F1047">
        <v>8300</v>
      </c>
      <c r="G1047" t="str">
        <f>VLOOKUP(Tabela1[[#This Row],[Cliente]],clientes!$C$3:$D$60,2,FALSE)</f>
        <v>ATEM</v>
      </c>
    </row>
    <row r="1048" spans="1:7" x14ac:dyDescent="0.25">
      <c r="A1048">
        <v>2023</v>
      </c>
      <c r="B1048" t="s">
        <v>215</v>
      </c>
      <c r="C1048" t="s">
        <v>182</v>
      </c>
      <c r="D1048" t="s">
        <v>120</v>
      </c>
      <c r="E1048" t="str">
        <f>VLOOKUP(D1048,'[2]Lista de Produtos CLASSIFICAÇÃO'!$E$103:$F$114,2,FALSE)</f>
        <v>Derivados</v>
      </c>
      <c r="F1048">
        <v>8300</v>
      </c>
      <c r="G1048" t="str">
        <f>VLOOKUP(Tabela1[[#This Row],[Cliente]],clientes!$C$3:$D$60,2,FALSE)</f>
        <v>ATEM</v>
      </c>
    </row>
    <row r="1049" spans="1:7" x14ac:dyDescent="0.25">
      <c r="A1049">
        <v>2023</v>
      </c>
      <c r="B1049" t="s">
        <v>230</v>
      </c>
      <c r="C1049" t="s">
        <v>182</v>
      </c>
      <c r="D1049" t="s">
        <v>120</v>
      </c>
      <c r="E1049" t="str">
        <f>VLOOKUP(D1049,'[2]Lista de Produtos CLASSIFICAÇÃO'!$E$103:$F$114,2,FALSE)</f>
        <v>Derivados</v>
      </c>
      <c r="F1049">
        <v>8300</v>
      </c>
      <c r="G1049" t="str">
        <f>VLOOKUP(Tabela1[[#This Row],[Cliente]],clientes!$C$3:$D$60,2,FALSE)</f>
        <v>ATEM</v>
      </c>
    </row>
    <row r="1050" spans="1:7" x14ac:dyDescent="0.25">
      <c r="A1050">
        <v>2023</v>
      </c>
      <c r="B1050" t="s">
        <v>231</v>
      </c>
      <c r="C1050" t="s">
        <v>182</v>
      </c>
      <c r="D1050" t="s">
        <v>120</v>
      </c>
      <c r="E1050" t="str">
        <f>VLOOKUP(D1050,'[2]Lista de Produtos CLASSIFICAÇÃO'!$E$103:$F$114,2,FALSE)</f>
        <v>Derivados</v>
      </c>
      <c r="F1050">
        <v>8300</v>
      </c>
      <c r="G1050" t="str">
        <f>VLOOKUP(Tabela1[[#This Row],[Cliente]],clientes!$C$3:$D$60,2,FALSE)</f>
        <v>ATEM</v>
      </c>
    </row>
    <row r="1051" spans="1:7" x14ac:dyDescent="0.25">
      <c r="A1051" s="10">
        <v>2024</v>
      </c>
      <c r="B1051" s="10" t="s">
        <v>143</v>
      </c>
      <c r="C1051" s="10" t="s">
        <v>155</v>
      </c>
      <c r="D1051" s="10" t="s">
        <v>16</v>
      </c>
      <c r="E1051" s="25" t="str">
        <f>VLOOKUP(D1051,'[2]Lista de Produtos CLASSIFICAÇÃO'!$E$103:$F$114,2,FALSE)</f>
        <v>Outros</v>
      </c>
      <c r="F1051" s="61">
        <v>4700</v>
      </c>
      <c r="G1051" t="str">
        <f>VLOOKUP(Tabela1[[#This Row],[Cliente]],clientes!$C$3:$D$60,2,FALSE)</f>
        <v>ADISSEO</v>
      </c>
    </row>
    <row r="1052" spans="1:7" x14ac:dyDescent="0.25">
      <c r="A1052" s="10">
        <v>2024</v>
      </c>
      <c r="B1052" s="10" t="s">
        <v>143</v>
      </c>
      <c r="C1052" s="10" t="s">
        <v>156</v>
      </c>
      <c r="D1052" s="10" t="s">
        <v>123</v>
      </c>
      <c r="E1052" s="25" t="str">
        <f>VLOOKUP(D1052,'[2]Lista de Produtos CLASSIFICAÇÃO'!$E$103:$F$114,2,FALSE)</f>
        <v>Aquecidos</v>
      </c>
      <c r="F1052" s="61">
        <v>1500</v>
      </c>
      <c r="G1052" t="str">
        <f>VLOOKUP(Tabela1[[#This Row],[Cliente]],clientes!$C$3:$D$60,2,FALSE)</f>
        <v>BUNGE</v>
      </c>
    </row>
    <row r="1053" spans="1:7" x14ac:dyDescent="0.25">
      <c r="A1053" s="10">
        <v>2024</v>
      </c>
      <c r="B1053" s="10" t="s">
        <v>143</v>
      </c>
      <c r="C1053" s="10" t="s">
        <v>157</v>
      </c>
      <c r="D1053" s="10" t="s">
        <v>122</v>
      </c>
      <c r="E1053" s="25" t="str">
        <f>VLOOKUP(D1053,'[2]Lista de Produtos CLASSIFICAÇÃO'!$E$103:$F$114,2,FALSE)</f>
        <v>Óleo Vegetal</v>
      </c>
      <c r="F1053" s="61">
        <v>3000</v>
      </c>
      <c r="G1053" t="str">
        <f>VLOOKUP(Tabela1[[#This Row],[Cliente]],clientes!$C$3:$D$60,2,FALSE)</f>
        <v>ADM</v>
      </c>
    </row>
    <row r="1054" spans="1:7" x14ac:dyDescent="0.25">
      <c r="A1054" s="10">
        <v>2024</v>
      </c>
      <c r="B1054" s="10" t="s">
        <v>143</v>
      </c>
      <c r="C1054" s="10" t="s">
        <v>158</v>
      </c>
      <c r="D1054" s="10" t="s">
        <v>120</v>
      </c>
      <c r="E1054" s="25" t="str">
        <f>VLOOKUP(D1054,'[2]Lista de Produtos CLASSIFICAÇÃO'!$E$103:$F$114,2,FALSE)</f>
        <v>Derivados</v>
      </c>
      <c r="F1054" s="61">
        <v>86859</v>
      </c>
      <c r="G1054" t="str">
        <f>VLOOKUP(Tabela1[[#This Row],[Cliente]],clientes!$C$3:$D$60,2,FALSE)</f>
        <v>IPIRANGA</v>
      </c>
    </row>
    <row r="1055" spans="1:7" x14ac:dyDescent="0.25">
      <c r="A1055" s="10">
        <v>2024</v>
      </c>
      <c r="B1055" s="10" t="s">
        <v>143</v>
      </c>
      <c r="C1055" s="10" t="s">
        <v>159</v>
      </c>
      <c r="D1055" s="10" t="s">
        <v>120</v>
      </c>
      <c r="E1055" s="25" t="str">
        <f>VLOOKUP(D1055,'[2]Lista de Produtos CLASSIFICAÇÃO'!$E$103:$F$114,2,FALSE)</f>
        <v>Derivados</v>
      </c>
      <c r="F1055" s="61">
        <v>30000</v>
      </c>
      <c r="G1055" t="str">
        <f>VLOOKUP(Tabela1[[#This Row],[Cliente]],clientes!$C$3:$D$60,2,FALSE)</f>
        <v>RAIZEN</v>
      </c>
    </row>
    <row r="1056" spans="1:7" x14ac:dyDescent="0.25">
      <c r="A1056" s="10">
        <v>2024</v>
      </c>
      <c r="B1056" s="10" t="s">
        <v>143</v>
      </c>
      <c r="C1056" s="10" t="s">
        <v>160</v>
      </c>
      <c r="D1056" s="10" t="s">
        <v>120</v>
      </c>
      <c r="E1056" s="25" t="str">
        <f>VLOOKUP(D1056,'[2]Lista de Produtos CLASSIFICAÇÃO'!$E$103:$F$114,2,FALSE)</f>
        <v>Derivados</v>
      </c>
      <c r="F1056" s="61">
        <v>15000</v>
      </c>
      <c r="G1056" t="str">
        <f>VLOOKUP(Tabela1[[#This Row],[Cliente]],clientes!$C$3:$D$60,2,FALSE)</f>
        <v>VIBRA</v>
      </c>
    </row>
    <row r="1057" spans="1:7" x14ac:dyDescent="0.25">
      <c r="A1057" s="10">
        <v>2024</v>
      </c>
      <c r="B1057" s="10" t="s">
        <v>143</v>
      </c>
      <c r="C1057" s="10" t="s">
        <v>161</v>
      </c>
      <c r="D1057" s="10" t="s">
        <v>120</v>
      </c>
      <c r="E1057" s="25" t="str">
        <f>VLOOKUP(D1057,'[2]Lista de Produtos CLASSIFICAÇÃO'!$E$103:$F$114,2,FALSE)</f>
        <v>Derivados</v>
      </c>
      <c r="F1057" s="61">
        <v>44820</v>
      </c>
      <c r="G1057" t="str">
        <f>VLOOKUP(Tabela1[[#This Row],[Cliente]],clientes!$C$3:$D$60,2,FALSE)</f>
        <v>SUL PLATA</v>
      </c>
    </row>
    <row r="1058" spans="1:7" x14ac:dyDescent="0.25">
      <c r="A1058" s="10">
        <v>2024</v>
      </c>
      <c r="B1058" s="10" t="s">
        <v>143</v>
      </c>
      <c r="C1058" s="10" t="s">
        <v>162</v>
      </c>
      <c r="D1058" s="10" t="s">
        <v>115</v>
      </c>
      <c r="E1058" s="25" t="str">
        <f>VLOOKUP(D1058,'[2]Lista de Produtos CLASSIFICAÇÃO'!$E$103:$F$114,2,FALSE)</f>
        <v>Soda Caustica</v>
      </c>
      <c r="F1058" s="61">
        <v>1500</v>
      </c>
      <c r="G1058" t="str">
        <f>VLOOKUP(Tabela1[[#This Row],[Cliente]],clientes!$C$3:$D$60,2,FALSE)</f>
        <v>JBS</v>
      </c>
    </row>
    <row r="1059" spans="1:7" x14ac:dyDescent="0.25">
      <c r="A1059" s="10">
        <v>2024</v>
      </c>
      <c r="B1059" s="10" t="s">
        <v>143</v>
      </c>
      <c r="C1059" s="10" t="s">
        <v>163</v>
      </c>
      <c r="D1059" s="10" t="s">
        <v>115</v>
      </c>
      <c r="E1059" s="25" t="str">
        <f>VLOOKUP(D1059,'[2]Lista de Produtos CLASSIFICAÇÃO'!$E$103:$F$114,2,FALSE)</f>
        <v>Soda Caustica</v>
      </c>
      <c r="F1059" s="61">
        <v>1500</v>
      </c>
      <c r="G1059" t="str">
        <f>VLOOKUP(Tabela1[[#This Row],[Cliente]],clientes!$C$3:$D$60,2,FALSE)</f>
        <v>TRICON ENERGY</v>
      </c>
    </row>
    <row r="1060" spans="1:7" x14ac:dyDescent="0.25">
      <c r="A1060" s="10">
        <v>2024</v>
      </c>
      <c r="B1060" s="10" t="s">
        <v>143</v>
      </c>
      <c r="C1060" s="10" t="s">
        <v>164</v>
      </c>
      <c r="D1060" s="10" t="s">
        <v>115</v>
      </c>
      <c r="E1060" s="25" t="str">
        <f>VLOOKUP(D1060,'[2]Lista de Produtos CLASSIFICAÇÃO'!$E$103:$F$114,2,FALSE)</f>
        <v>Soda Caustica</v>
      </c>
      <c r="F1060" s="61">
        <v>3400</v>
      </c>
      <c r="G1060" t="str">
        <f>VLOOKUP(Tabela1[[#This Row],[Cliente]],clientes!$C$3:$D$60,2,FALSE)</f>
        <v>BRASKEM</v>
      </c>
    </row>
    <row r="1061" spans="1:7" x14ac:dyDescent="0.25">
      <c r="A1061" s="10">
        <v>2024</v>
      </c>
      <c r="B1061" s="10" t="s">
        <v>143</v>
      </c>
      <c r="C1061" s="10" t="s">
        <v>165</v>
      </c>
      <c r="D1061" s="10" t="s">
        <v>123</v>
      </c>
      <c r="E1061" s="25" t="str">
        <f>VLOOKUP(D1061,'[2]Lista de Produtos CLASSIFICAÇÃO'!$E$103:$F$114,2,FALSE)</f>
        <v>Aquecidos</v>
      </c>
      <c r="F1061" s="61">
        <v>4000</v>
      </c>
      <c r="G1061" t="str">
        <f>VLOOKUP(Tabela1[[#This Row],[Cliente]],clientes!$C$3:$D$60,2,FALSE)</f>
        <v>BRF</v>
      </c>
    </row>
    <row r="1062" spans="1:7" x14ac:dyDescent="0.25">
      <c r="A1062" s="10">
        <v>2024</v>
      </c>
      <c r="B1062" s="10" t="s">
        <v>143</v>
      </c>
      <c r="C1062" s="10" t="s">
        <v>162</v>
      </c>
      <c r="D1062" s="10" t="s">
        <v>123</v>
      </c>
      <c r="E1062" s="25" t="str">
        <f>VLOOKUP(D1062,'[2]Lista de Produtos CLASSIFICAÇÃO'!$E$103:$F$114,2,FALSE)</f>
        <v>Aquecidos</v>
      </c>
      <c r="F1062" s="61">
        <v>2400</v>
      </c>
      <c r="G1062" t="str">
        <f>VLOOKUP(Tabela1[[#This Row],[Cliente]],clientes!$C$3:$D$60,2,FALSE)</f>
        <v>JBS</v>
      </c>
    </row>
    <row r="1063" spans="1:7" x14ac:dyDescent="0.25">
      <c r="A1063" s="10">
        <v>2024</v>
      </c>
      <c r="B1063" s="10" t="s">
        <v>143</v>
      </c>
      <c r="C1063" s="10" t="s">
        <v>166</v>
      </c>
      <c r="D1063" s="10" t="s">
        <v>123</v>
      </c>
      <c r="E1063" s="25" t="str">
        <f>VLOOKUP(D1063,'[2]Lista de Produtos CLASSIFICAÇÃO'!$E$103:$F$114,2,FALSE)</f>
        <v>Aquecidos</v>
      </c>
      <c r="F1063" s="61">
        <v>1500</v>
      </c>
      <c r="G1063" t="str">
        <f>VLOOKUP(Tabela1[[#This Row],[Cliente]],clientes!$C$3:$D$60,2,FALSE)</f>
        <v>CARGILL</v>
      </c>
    </row>
    <row r="1064" spans="1:7" x14ac:dyDescent="0.25">
      <c r="A1064" s="10">
        <v>2024</v>
      </c>
      <c r="B1064" s="10" t="s">
        <v>143</v>
      </c>
      <c r="C1064" s="10" t="s">
        <v>167</v>
      </c>
      <c r="D1064" s="10" t="s">
        <v>122</v>
      </c>
      <c r="E1064" s="25" t="str">
        <f>VLOOKUP(D1064,'[2]Lista de Produtos CLASSIFICAÇÃO'!$E$103:$F$114,2,FALSE)</f>
        <v>Óleo Vegetal</v>
      </c>
      <c r="F1064" s="61">
        <v>94397.6</v>
      </c>
      <c r="G1064" t="str">
        <f>VLOOKUP(Tabela1[[#This Row],[Cliente]],clientes!$C$3:$D$60,2,FALSE)</f>
        <v>POOL</v>
      </c>
    </row>
    <row r="1065" spans="1:7" x14ac:dyDescent="0.25">
      <c r="A1065" s="10">
        <v>2024</v>
      </c>
      <c r="B1065" s="10" t="s">
        <v>143</v>
      </c>
      <c r="C1065" s="10" t="s">
        <v>168</v>
      </c>
      <c r="D1065" s="10" t="s">
        <v>122</v>
      </c>
      <c r="E1065" s="25" t="str">
        <f>VLOOKUP(D1065,'[2]Lista de Produtos CLASSIFICAÇÃO'!$E$103:$F$114,2,FALSE)</f>
        <v>Óleo Vegetal</v>
      </c>
      <c r="F1065" s="61"/>
      <c r="G1065" t="str">
        <f>VLOOKUP(Tabela1[[#This Row],[Cliente]],clientes!$C$3:$D$60,2,FALSE)</f>
        <v>POOL EXCEDENTE</v>
      </c>
    </row>
    <row r="1066" spans="1:7" x14ac:dyDescent="0.25">
      <c r="A1066" s="10">
        <v>2024</v>
      </c>
      <c r="B1066" s="10" t="s">
        <v>143</v>
      </c>
      <c r="C1066" s="10" t="s">
        <v>169</v>
      </c>
      <c r="D1066" s="10" t="s">
        <v>22</v>
      </c>
      <c r="E1066" s="25" t="str">
        <f>VLOOKUP(D1066,'[2]Lista de Produtos CLASSIFICAÇÃO'!$E$103:$F$114,2,FALSE)</f>
        <v>Metanol</v>
      </c>
      <c r="F1066" s="61">
        <v>67000</v>
      </c>
      <c r="G1066" t="str">
        <f>VLOOKUP(Tabela1[[#This Row],[Cliente]],clientes!$C$3:$D$60,2,FALSE)</f>
        <v>METHANEX</v>
      </c>
    </row>
    <row r="1067" spans="1:7" x14ac:dyDescent="0.25">
      <c r="A1067" s="10">
        <v>2024</v>
      </c>
      <c r="B1067" s="10" t="s">
        <v>143</v>
      </c>
      <c r="C1067" s="10" t="s">
        <v>170</v>
      </c>
      <c r="D1067" s="10" t="s">
        <v>22</v>
      </c>
      <c r="E1067" s="25" t="str">
        <f>VLOOKUP(D1067,'[2]Lista de Produtos CLASSIFICAÇÃO'!$E$103:$F$114,2,FALSE)</f>
        <v>Metanol</v>
      </c>
      <c r="F1067" s="61">
        <v>15000</v>
      </c>
      <c r="G1067" t="str">
        <f>VLOOKUP(Tabela1[[#This Row],[Cliente]],clientes!$C$3:$D$60,2,FALSE)</f>
        <v>MITSUBISHI</v>
      </c>
    </row>
    <row r="1068" spans="1:7" x14ac:dyDescent="0.25">
      <c r="A1068" s="10">
        <v>2024</v>
      </c>
      <c r="B1068" s="10" t="s">
        <v>143</v>
      </c>
      <c r="C1068" s="10" t="s">
        <v>171</v>
      </c>
      <c r="D1068" s="10" t="s">
        <v>22</v>
      </c>
      <c r="E1068" s="25" t="str">
        <f>VLOOKUP(D1068,'[2]Lista de Produtos CLASSIFICAÇÃO'!$E$103:$F$114,2,FALSE)</f>
        <v>Metanol</v>
      </c>
      <c r="F1068" s="61">
        <v>23000</v>
      </c>
      <c r="G1068" t="str">
        <f>VLOOKUP(Tabela1[[#This Row],[Cliente]],clientes!$C$3:$D$60,2,FALSE)</f>
        <v>VALENZ</v>
      </c>
    </row>
    <row r="1069" spans="1:7" x14ac:dyDescent="0.25">
      <c r="A1069" s="10">
        <v>2024</v>
      </c>
      <c r="B1069" s="10" t="s">
        <v>143</v>
      </c>
      <c r="C1069" s="10" t="s">
        <v>172</v>
      </c>
      <c r="D1069" s="10" t="s">
        <v>124</v>
      </c>
      <c r="E1069" s="25" t="str">
        <f>VLOOKUP(D1069,'[2]Lista de Produtos CLASSIFICAÇÃO'!$E$103:$F$114,2,FALSE)</f>
        <v>Outros</v>
      </c>
      <c r="F1069" s="61">
        <v>1200</v>
      </c>
      <c r="G1069" t="str">
        <f>VLOOKUP(Tabela1[[#This Row],[Cliente]],clientes!$C$3:$D$60,2,FALSE)</f>
        <v>EVONIK</v>
      </c>
    </row>
    <row r="1070" spans="1:7" x14ac:dyDescent="0.25">
      <c r="A1070" s="10">
        <v>2024</v>
      </c>
      <c r="B1070" s="10" t="s">
        <v>143</v>
      </c>
      <c r="C1070" s="10" t="s">
        <v>173</v>
      </c>
      <c r="D1070" s="10" t="s">
        <v>22</v>
      </c>
      <c r="E1070" s="25" t="str">
        <f>VLOOKUP(D1070,'[2]Lista de Produtos CLASSIFICAÇÃO'!$E$103:$F$114,2,FALSE)</f>
        <v>Metanol</v>
      </c>
      <c r="F1070" s="61"/>
      <c r="G1070" t="str">
        <f>VLOOKUP(Tabela1[[#This Row],[Cliente]],clientes!$C$3:$D$60,2,FALSE)</f>
        <v>YPF SOCIEDAD ANONIMA</v>
      </c>
    </row>
    <row r="1071" spans="1:7" x14ac:dyDescent="0.25">
      <c r="A1071" s="10">
        <v>2024</v>
      </c>
      <c r="B1071" s="10" t="s">
        <v>143</v>
      </c>
      <c r="C1071" s="10" t="s">
        <v>174</v>
      </c>
      <c r="D1071" s="10" t="s">
        <v>123</v>
      </c>
      <c r="E1071" s="25" t="str">
        <f>VLOOKUP(D1071,'[2]Lista de Produtos CLASSIFICAÇÃO'!$E$103:$F$114,2,FALSE)</f>
        <v>Aquecidos</v>
      </c>
      <c r="F1071" s="61">
        <v>2000</v>
      </c>
      <c r="G1071" t="str">
        <f>VLOOKUP(Tabela1[[#This Row],[Cliente]],clientes!$C$3:$D$60,2,FALSE)</f>
        <v>CELENA</v>
      </c>
    </row>
    <row r="1072" spans="1:7" x14ac:dyDescent="0.25">
      <c r="A1072" s="10">
        <v>2024</v>
      </c>
      <c r="B1072" s="10" t="s">
        <v>143</v>
      </c>
      <c r="C1072" s="10" t="s">
        <v>175</v>
      </c>
      <c r="D1072" s="10" t="s">
        <v>123</v>
      </c>
      <c r="E1072" s="25" t="str">
        <f>VLOOKUP(D1072,'[2]Lista de Produtos CLASSIFICAÇÃO'!$E$103:$F$114,2,FALSE)</f>
        <v>Aquecidos</v>
      </c>
      <c r="F1072" s="61">
        <v>1700</v>
      </c>
      <c r="G1072" t="str">
        <f>VLOOKUP(Tabela1[[#This Row],[Cliente]],clientes!$C$3:$D$60,2,FALSE)</f>
        <v>AAK DO BRASIL</v>
      </c>
    </row>
    <row r="1073" spans="1:7" x14ac:dyDescent="0.25">
      <c r="A1073" s="10">
        <v>2024</v>
      </c>
      <c r="B1073" s="10" t="s">
        <v>143</v>
      </c>
      <c r="C1073" s="10" t="s">
        <v>166</v>
      </c>
      <c r="D1073" s="10" t="s">
        <v>122</v>
      </c>
      <c r="E1073" s="25" t="str">
        <f>VLOOKUP(D1073,'[2]Lista de Produtos CLASSIFICAÇÃO'!$E$103:$F$114,2,FALSE)</f>
        <v>Óleo Vegetal</v>
      </c>
      <c r="F1073" s="61">
        <v>4500</v>
      </c>
      <c r="G1073" t="str">
        <f>VLOOKUP(Tabela1[[#This Row],[Cliente]],clientes!$C$3:$D$60,2,FALSE)</f>
        <v>CARGILL</v>
      </c>
    </row>
    <row r="1074" spans="1:7" x14ac:dyDescent="0.25">
      <c r="A1074" s="10">
        <v>2024</v>
      </c>
      <c r="B1074" s="10" t="s">
        <v>143</v>
      </c>
      <c r="C1074" s="10" t="s">
        <v>176</v>
      </c>
      <c r="D1074" s="10" t="s">
        <v>123</v>
      </c>
      <c r="E1074" s="25" t="str">
        <f>VLOOKUP(D1074,'[2]Lista de Produtos CLASSIFICAÇÃO'!$E$103:$F$114,2,FALSE)</f>
        <v>Aquecidos</v>
      </c>
      <c r="F1074" s="61">
        <v>2150</v>
      </c>
      <c r="G1074" t="str">
        <f>VLOOKUP(Tabela1[[#This Row],[Cliente]],clientes!$C$3:$D$60,2,FALSE)</f>
        <v>AGROPALMA</v>
      </c>
    </row>
    <row r="1075" spans="1:7" x14ac:dyDescent="0.25">
      <c r="A1075" s="10">
        <v>2024</v>
      </c>
      <c r="B1075" s="10" t="s">
        <v>143</v>
      </c>
      <c r="C1075" s="10" t="s">
        <v>177</v>
      </c>
      <c r="D1075" s="10" t="s">
        <v>115</v>
      </c>
      <c r="E1075" s="25" t="str">
        <f>VLOOKUP(D1075,'[2]Lista de Produtos CLASSIFICAÇÃO'!$E$103:$F$114,2,FALSE)</f>
        <v>Soda Caustica</v>
      </c>
      <c r="F1075" s="61">
        <v>3000</v>
      </c>
      <c r="G1075" t="str">
        <f>VLOOKUP(Tabela1[[#This Row],[Cliente]],clientes!$C$3:$D$60,2,FALSE)</f>
        <v>BRENNTAG</v>
      </c>
    </row>
    <row r="1076" spans="1:7" x14ac:dyDescent="0.25">
      <c r="A1076" s="10">
        <v>2024</v>
      </c>
      <c r="B1076" s="10" t="s">
        <v>143</v>
      </c>
      <c r="C1076" s="10" t="s">
        <v>178</v>
      </c>
      <c r="D1076" s="10" t="s">
        <v>115</v>
      </c>
      <c r="E1076" s="25" t="str">
        <f>VLOOKUP(D1076,'[2]Lista de Produtos CLASSIFICAÇÃO'!$E$103:$F$114,2,FALSE)</f>
        <v>Soda Caustica</v>
      </c>
      <c r="F1076" s="61">
        <v>15000</v>
      </c>
      <c r="G1076" t="str">
        <f>VLOOKUP(Tabela1[[#This Row],[Cliente]],clientes!$C$3:$D$60,2,FALSE)</f>
        <v>OLIN BLUE CUBE</v>
      </c>
    </row>
    <row r="1077" spans="1:7" x14ac:dyDescent="0.25">
      <c r="A1077" s="10">
        <v>2024</v>
      </c>
      <c r="B1077" s="10" t="s">
        <v>143</v>
      </c>
      <c r="C1077" s="10" t="s">
        <v>179</v>
      </c>
      <c r="D1077" s="10" t="s">
        <v>26</v>
      </c>
      <c r="E1077" s="25" t="str">
        <f>VLOOKUP(D1077,'[2]Lista de Produtos CLASSIFICAÇÃO'!$E$103:$F$114,2,FALSE)</f>
        <v>Biocombustíveis</v>
      </c>
      <c r="F1077" s="61">
        <v>4000</v>
      </c>
      <c r="G1077" t="str">
        <f>VLOOKUP(Tabela1[[#This Row],[Cliente]],clientes!$C$3:$D$60,2,FALSE)</f>
        <v>BSBIOS</v>
      </c>
    </row>
    <row r="1078" spans="1:7" x14ac:dyDescent="0.25">
      <c r="A1078" s="10">
        <v>2024</v>
      </c>
      <c r="B1078" s="10" t="s">
        <v>143</v>
      </c>
      <c r="C1078" s="10" t="s">
        <v>180</v>
      </c>
      <c r="D1078" s="10" t="s">
        <v>30</v>
      </c>
      <c r="E1078" s="25" t="str">
        <f>VLOOKUP(D1078,'[2]Lista de Produtos CLASSIFICAÇÃO'!$E$103:$F$114,2,FALSE)</f>
        <v>Outros</v>
      </c>
      <c r="F1078" s="61"/>
      <c r="G1078" t="str">
        <f>VLOOKUP(Tabela1[[#This Row],[Cliente]],clientes!$C$3:$D$60,2,FALSE)</f>
        <v>TRICHEM</v>
      </c>
    </row>
    <row r="1079" spans="1:7" x14ac:dyDescent="0.25">
      <c r="A1079" s="10">
        <v>2024</v>
      </c>
      <c r="B1079" s="10" t="s">
        <v>143</v>
      </c>
      <c r="C1079" s="10" t="s">
        <v>181</v>
      </c>
      <c r="D1079" s="10" t="s">
        <v>123</v>
      </c>
      <c r="E1079" s="25" t="str">
        <f>VLOOKUP(D1079,'[2]Lista de Produtos CLASSIFICAÇÃO'!$E$103:$F$114,2,FALSE)</f>
        <v>Aquecidos</v>
      </c>
      <c r="F1079" s="61">
        <v>1600</v>
      </c>
      <c r="G1079" t="str">
        <f>VLOOKUP(Tabela1[[#This Row],[Cliente]],clientes!$C$3:$D$60,2,FALSE)</f>
        <v>COAMO</v>
      </c>
    </row>
    <row r="1080" spans="1:7" x14ac:dyDescent="0.25">
      <c r="A1080" s="10">
        <v>2024</v>
      </c>
      <c r="B1080" s="10" t="s">
        <v>143</v>
      </c>
      <c r="C1080" s="10" t="s">
        <v>182</v>
      </c>
      <c r="D1080" s="10" t="s">
        <v>120</v>
      </c>
      <c r="E1080" s="25" t="str">
        <f>VLOOKUP(D1080,'[2]Lista de Produtos CLASSIFICAÇÃO'!$E$103:$F$114,2,FALSE)</f>
        <v>Derivados</v>
      </c>
      <c r="F1080" s="61">
        <v>8300</v>
      </c>
      <c r="G1080" t="str">
        <f>VLOOKUP(Tabela1[[#This Row],[Cliente]],clientes!$C$3:$D$60,2,FALSE)</f>
        <v>ATEM</v>
      </c>
    </row>
    <row r="1081" spans="1:7" x14ac:dyDescent="0.25">
      <c r="A1081" s="10">
        <v>2024</v>
      </c>
      <c r="B1081" s="10" t="s">
        <v>143</v>
      </c>
      <c r="C1081" s="10" t="s">
        <v>174</v>
      </c>
      <c r="D1081" s="10" t="s">
        <v>123</v>
      </c>
      <c r="E1081" s="25" t="str">
        <f>VLOOKUP(D1081,'[2]Lista de Produtos CLASSIFICAÇÃO'!$E$103:$F$114,2,FALSE)</f>
        <v>Aquecidos</v>
      </c>
      <c r="F1081" s="61"/>
      <c r="G1081" t="str">
        <f>VLOOKUP(Tabela1[[#This Row],[Cliente]],clientes!$C$3:$D$60,2,FALSE)</f>
        <v>CELENA</v>
      </c>
    </row>
    <row r="1082" spans="1:7" x14ac:dyDescent="0.25">
      <c r="A1082" s="10">
        <v>2024</v>
      </c>
      <c r="B1082" s="10" t="s">
        <v>143</v>
      </c>
      <c r="C1082" s="10" t="s">
        <v>173</v>
      </c>
      <c r="D1082" s="10" t="s">
        <v>183</v>
      </c>
      <c r="E1082" s="25" t="str">
        <f>VLOOKUP(D1082,'[2]Lista de Produtos CLASSIFICAÇÃO'!$E$103:$F$114,2,FALSE)</f>
        <v>Outros</v>
      </c>
      <c r="F1082" s="61">
        <v>1100</v>
      </c>
      <c r="G1082" t="str">
        <f>VLOOKUP(Tabela1[[#This Row],[Cliente]],clientes!$C$3:$D$60,2,FALSE)</f>
        <v>YPF SOCIEDAD ANONIMA</v>
      </c>
    </row>
    <row r="1083" spans="1:7" x14ac:dyDescent="0.25">
      <c r="A1083" s="10">
        <v>2024</v>
      </c>
      <c r="B1083" s="10" t="s">
        <v>143</v>
      </c>
      <c r="C1083" s="10" t="s">
        <v>184</v>
      </c>
      <c r="D1083" s="10" t="s">
        <v>122</v>
      </c>
      <c r="E1083" s="25" t="str">
        <f>VLOOKUP(D1083,'[2]Lista de Produtos CLASSIFICAÇÃO'!$E$103:$F$114,2,FALSE)</f>
        <v>Óleo Vegetal</v>
      </c>
      <c r="F1083" s="61">
        <v>2500</v>
      </c>
      <c r="G1083" t="str">
        <f>VLOOKUP(Tabela1[[#This Row],[Cliente]],clientes!$C$3:$D$60,2,FALSE)</f>
        <v>INGREDION</v>
      </c>
    </row>
    <row r="1084" spans="1:7" x14ac:dyDescent="0.25">
      <c r="A1084" s="10">
        <v>2024</v>
      </c>
      <c r="B1084" s="10" t="s">
        <v>143</v>
      </c>
      <c r="C1084" s="10" t="s">
        <v>185</v>
      </c>
      <c r="D1084" s="10" t="s">
        <v>120</v>
      </c>
      <c r="E1084" s="25" t="str">
        <f>VLOOKUP(D1084,'[2]Lista de Produtos CLASSIFICAÇÃO'!$E$103:$F$114,2,FALSE)</f>
        <v>Derivados</v>
      </c>
      <c r="F1084" s="61">
        <v>12450</v>
      </c>
      <c r="G1084" t="str">
        <f>VLOOKUP(Tabela1[[#This Row],[Cliente]],clientes!$C$3:$D$60,2,FALSE)</f>
        <v>CIAPETRO</v>
      </c>
    </row>
    <row r="1085" spans="1:7" x14ac:dyDescent="0.25">
      <c r="A1085" s="10">
        <v>2024</v>
      </c>
      <c r="B1085" s="10" t="s">
        <v>143</v>
      </c>
      <c r="C1085" s="10" t="s">
        <v>186</v>
      </c>
      <c r="D1085" s="10" t="s">
        <v>22</v>
      </c>
      <c r="E1085" s="25" t="str">
        <f>VLOOKUP(D1085,'[2]Lista de Produtos CLASSIFICAÇÃO'!$E$103:$F$114,2,FALSE)</f>
        <v>Metanol</v>
      </c>
      <c r="F1085" s="61"/>
      <c r="G1085" t="str">
        <f>VLOOKUP(Tabela1[[#This Row],[Cliente]],clientes!$C$3:$D$60,2,FALSE)</f>
        <v>OQ TRADING</v>
      </c>
    </row>
    <row r="1086" spans="1:7" x14ac:dyDescent="0.25">
      <c r="A1086" s="10">
        <v>2024</v>
      </c>
      <c r="B1086" s="10" t="s">
        <v>143</v>
      </c>
      <c r="C1086" s="10" t="s">
        <v>187</v>
      </c>
      <c r="D1086" s="10" t="s">
        <v>121</v>
      </c>
      <c r="E1086" s="25" t="str">
        <f>VLOOKUP(D1086,'[2]Lista de Produtos CLASSIFICAÇÃO'!$E$103:$F$114,2,FALSE)</f>
        <v>Biocombustíveis</v>
      </c>
      <c r="F1086" s="61">
        <v>8000</v>
      </c>
      <c r="G1086" t="str">
        <f>VLOOKUP(Tabela1[[#This Row],[Cliente]],clientes!$C$3:$D$60,2,FALSE)</f>
        <v>TEREOS / INPASA / GLENCORE / FS</v>
      </c>
    </row>
    <row r="1087" spans="1:7" x14ac:dyDescent="0.25">
      <c r="A1087" s="10">
        <v>2024</v>
      </c>
      <c r="B1087" s="10" t="s">
        <v>143</v>
      </c>
      <c r="C1087" s="10" t="s">
        <v>188</v>
      </c>
      <c r="D1087" s="10" t="s">
        <v>123</v>
      </c>
      <c r="E1087" s="25" t="str">
        <f>VLOOKUP(D1087,'[2]Lista de Produtos CLASSIFICAÇÃO'!$E$103:$F$114,2,FALSE)</f>
        <v>Aquecidos</v>
      </c>
      <c r="F1087" s="61">
        <v>3250</v>
      </c>
      <c r="G1087" t="str">
        <f>VLOOKUP(Tabela1[[#This Row],[Cliente]],clientes!$C$3:$D$60,2,FALSE)</f>
        <v>ARES MERCHANTS PTE LIMITE</v>
      </c>
    </row>
    <row r="1088" spans="1:7" x14ac:dyDescent="0.25">
      <c r="A1088" s="10">
        <v>2024</v>
      </c>
      <c r="B1088" s="10" t="s">
        <v>143</v>
      </c>
      <c r="C1088" s="10" t="s">
        <v>18</v>
      </c>
      <c r="D1088" s="10" t="s">
        <v>17</v>
      </c>
      <c r="E1088" s="25" t="str">
        <f>VLOOKUP(D1088,'[2]Lista de Produtos CLASSIFICAÇÃO'!$E$103:$F$114,2,FALSE)</f>
        <v>Acostagem</v>
      </c>
      <c r="F1088" s="61"/>
      <c r="G1088" t="str">
        <f>VLOOKUP(Tabela1[[#This Row],[Cliente]],clientes!$C$3:$D$60,2,FALSE)</f>
        <v>ACOSTAGEM</v>
      </c>
    </row>
    <row r="1089" spans="1:7" x14ac:dyDescent="0.25">
      <c r="A1089" s="10">
        <v>2024</v>
      </c>
      <c r="B1089" s="10" t="s">
        <v>143</v>
      </c>
      <c r="C1089" s="10" t="s">
        <v>189</v>
      </c>
      <c r="D1089" s="10" t="s">
        <v>123</v>
      </c>
      <c r="E1089" s="25" t="str">
        <f>VLOOKUP(D1089,'[2]Lista de Produtos CLASSIFICAÇÃO'!$E$103:$F$114,2,FALSE)</f>
        <v>Aquecidos</v>
      </c>
      <c r="F1089" s="61">
        <v>2789</v>
      </c>
      <c r="G1089" t="str">
        <f>VLOOKUP(Tabela1[[#This Row],[Cliente]],clientes!$C$3:$D$60,2,FALSE)</f>
        <v>ICOF</v>
      </c>
    </row>
    <row r="1090" spans="1:7" x14ac:dyDescent="0.25">
      <c r="A1090" s="10">
        <v>2024</v>
      </c>
      <c r="B1090" s="10" t="s">
        <v>190</v>
      </c>
      <c r="C1090" s="10" t="s">
        <v>155</v>
      </c>
      <c r="D1090" s="10" t="s">
        <v>16</v>
      </c>
      <c r="E1090" s="25" t="str">
        <f>VLOOKUP(D1090,'[2]Lista de Produtos CLASSIFICAÇÃO'!$E$103:$F$114,2,FALSE)</f>
        <v>Outros</v>
      </c>
      <c r="F1090" s="61">
        <v>4700</v>
      </c>
      <c r="G1090" t="str">
        <f>VLOOKUP(Tabela1[[#This Row],[Cliente]],clientes!$C$3:$D$60,2,FALSE)</f>
        <v>ADISSEO</v>
      </c>
    </row>
    <row r="1091" spans="1:7" x14ac:dyDescent="0.25">
      <c r="A1091" s="10">
        <v>2024</v>
      </c>
      <c r="B1091" s="10" t="s">
        <v>190</v>
      </c>
      <c r="C1091" s="10" t="s">
        <v>156</v>
      </c>
      <c r="D1091" s="10" t="s">
        <v>123</v>
      </c>
      <c r="E1091" s="25" t="str">
        <f>VLOOKUP(D1091,'[2]Lista de Produtos CLASSIFICAÇÃO'!$E$103:$F$114,2,FALSE)</f>
        <v>Aquecidos</v>
      </c>
      <c r="F1091" s="61">
        <v>1500</v>
      </c>
      <c r="G1091" t="str">
        <f>VLOOKUP(Tabela1[[#This Row],[Cliente]],clientes!$C$3:$D$60,2,FALSE)</f>
        <v>BUNGE</v>
      </c>
    </row>
    <row r="1092" spans="1:7" x14ac:dyDescent="0.25">
      <c r="A1092" s="10">
        <v>2024</v>
      </c>
      <c r="B1092" s="10" t="s">
        <v>190</v>
      </c>
      <c r="C1092" s="10" t="s">
        <v>157</v>
      </c>
      <c r="D1092" s="10" t="s">
        <v>122</v>
      </c>
      <c r="E1092" s="25" t="str">
        <f>VLOOKUP(D1092,'[2]Lista de Produtos CLASSIFICAÇÃO'!$E$103:$F$114,2,FALSE)</f>
        <v>Óleo Vegetal</v>
      </c>
      <c r="F1092" s="61">
        <v>3000</v>
      </c>
      <c r="G1092" t="str">
        <f>VLOOKUP(Tabela1[[#This Row],[Cliente]],clientes!$C$3:$D$60,2,FALSE)</f>
        <v>ADM</v>
      </c>
    </row>
    <row r="1093" spans="1:7" x14ac:dyDescent="0.25">
      <c r="A1093" s="10">
        <v>2024</v>
      </c>
      <c r="B1093" s="10" t="s">
        <v>190</v>
      </c>
      <c r="C1093" s="10" t="s">
        <v>158</v>
      </c>
      <c r="D1093" s="10" t="s">
        <v>120</v>
      </c>
      <c r="E1093" s="25" t="str">
        <f>VLOOKUP(D1093,'[2]Lista de Produtos CLASSIFICAÇÃO'!$E$103:$F$114,2,FALSE)</f>
        <v>Derivados</v>
      </c>
      <c r="F1093" s="61">
        <v>86859</v>
      </c>
      <c r="G1093" t="str">
        <f>VLOOKUP(Tabela1[[#This Row],[Cliente]],clientes!$C$3:$D$60,2,FALSE)</f>
        <v>IPIRANGA</v>
      </c>
    </row>
    <row r="1094" spans="1:7" x14ac:dyDescent="0.25">
      <c r="A1094" s="10">
        <v>2024</v>
      </c>
      <c r="B1094" s="10" t="s">
        <v>190</v>
      </c>
      <c r="C1094" s="10" t="s">
        <v>159</v>
      </c>
      <c r="D1094" s="10" t="s">
        <v>120</v>
      </c>
      <c r="E1094" s="25" t="str">
        <f>VLOOKUP(D1094,'[2]Lista de Produtos CLASSIFICAÇÃO'!$E$103:$F$114,2,FALSE)</f>
        <v>Derivados</v>
      </c>
      <c r="F1094" s="61">
        <v>30000</v>
      </c>
      <c r="G1094" t="str">
        <f>VLOOKUP(Tabela1[[#This Row],[Cliente]],clientes!$C$3:$D$60,2,FALSE)</f>
        <v>RAIZEN</v>
      </c>
    </row>
    <row r="1095" spans="1:7" x14ac:dyDescent="0.25">
      <c r="A1095" s="10">
        <v>2024</v>
      </c>
      <c r="B1095" s="10" t="s">
        <v>190</v>
      </c>
      <c r="C1095" s="10" t="s">
        <v>160</v>
      </c>
      <c r="D1095" s="10" t="s">
        <v>120</v>
      </c>
      <c r="E1095" s="25" t="str">
        <f>VLOOKUP(D1095,'[2]Lista de Produtos CLASSIFICAÇÃO'!$E$103:$F$114,2,FALSE)</f>
        <v>Derivados</v>
      </c>
      <c r="F1095" s="61">
        <v>15000</v>
      </c>
      <c r="G1095" t="str">
        <f>VLOOKUP(Tabela1[[#This Row],[Cliente]],clientes!$C$3:$D$60,2,FALSE)</f>
        <v>VIBRA</v>
      </c>
    </row>
    <row r="1096" spans="1:7" x14ac:dyDescent="0.25">
      <c r="A1096" s="10">
        <v>2024</v>
      </c>
      <c r="B1096" s="10" t="s">
        <v>190</v>
      </c>
      <c r="C1096" s="10" t="s">
        <v>161</v>
      </c>
      <c r="D1096" s="10" t="s">
        <v>120</v>
      </c>
      <c r="E1096" s="25" t="str">
        <f>VLOOKUP(D1096,'[2]Lista de Produtos CLASSIFICAÇÃO'!$E$103:$F$114,2,FALSE)</f>
        <v>Derivados</v>
      </c>
      <c r="F1096" s="61">
        <v>44820</v>
      </c>
      <c r="G1096" t="str">
        <f>VLOOKUP(Tabela1[[#This Row],[Cliente]],clientes!$C$3:$D$60,2,FALSE)</f>
        <v>SUL PLATA</v>
      </c>
    </row>
    <row r="1097" spans="1:7" x14ac:dyDescent="0.25">
      <c r="A1097" s="10">
        <v>2024</v>
      </c>
      <c r="B1097" s="10" t="s">
        <v>190</v>
      </c>
      <c r="C1097" s="10" t="s">
        <v>162</v>
      </c>
      <c r="D1097" s="10" t="s">
        <v>115</v>
      </c>
      <c r="E1097" s="25" t="str">
        <f>VLOOKUP(D1097,'[2]Lista de Produtos CLASSIFICAÇÃO'!$E$103:$F$114,2,FALSE)</f>
        <v>Soda Caustica</v>
      </c>
      <c r="F1097" s="61">
        <v>1500</v>
      </c>
      <c r="G1097" t="str">
        <f>VLOOKUP(Tabela1[[#This Row],[Cliente]],clientes!$C$3:$D$60,2,FALSE)</f>
        <v>JBS</v>
      </c>
    </row>
    <row r="1098" spans="1:7" x14ac:dyDescent="0.25">
      <c r="A1098" s="10">
        <v>2024</v>
      </c>
      <c r="B1098" s="10" t="s">
        <v>190</v>
      </c>
      <c r="C1098" s="10" t="s">
        <v>163</v>
      </c>
      <c r="D1098" s="10" t="s">
        <v>115</v>
      </c>
      <c r="E1098" s="25" t="str">
        <f>VLOOKUP(D1098,'[2]Lista de Produtos CLASSIFICAÇÃO'!$E$103:$F$114,2,FALSE)</f>
        <v>Soda Caustica</v>
      </c>
      <c r="F1098" s="61">
        <v>1500</v>
      </c>
      <c r="G1098" t="str">
        <f>VLOOKUP(Tabela1[[#This Row],[Cliente]],clientes!$C$3:$D$60,2,FALSE)</f>
        <v>TRICON ENERGY</v>
      </c>
    </row>
    <row r="1099" spans="1:7" x14ac:dyDescent="0.25">
      <c r="A1099" s="10">
        <v>2024</v>
      </c>
      <c r="B1099" s="10" t="s">
        <v>190</v>
      </c>
      <c r="C1099" s="10" t="s">
        <v>164</v>
      </c>
      <c r="D1099" s="10" t="s">
        <v>115</v>
      </c>
      <c r="E1099" s="25" t="str">
        <f>VLOOKUP(D1099,'[2]Lista de Produtos CLASSIFICAÇÃO'!$E$103:$F$114,2,FALSE)</f>
        <v>Soda Caustica</v>
      </c>
      <c r="F1099" s="61">
        <v>3400</v>
      </c>
      <c r="G1099" t="str">
        <f>VLOOKUP(Tabela1[[#This Row],[Cliente]],clientes!$C$3:$D$60,2,FALSE)</f>
        <v>BRASKEM</v>
      </c>
    </row>
    <row r="1100" spans="1:7" x14ac:dyDescent="0.25">
      <c r="A1100" s="10">
        <v>2024</v>
      </c>
      <c r="B1100" s="10" t="s">
        <v>190</v>
      </c>
      <c r="C1100" s="10" t="s">
        <v>165</v>
      </c>
      <c r="D1100" s="10" t="s">
        <v>123</v>
      </c>
      <c r="E1100" s="25" t="str">
        <f>VLOOKUP(D1100,'[2]Lista de Produtos CLASSIFICAÇÃO'!$E$103:$F$114,2,FALSE)</f>
        <v>Aquecidos</v>
      </c>
      <c r="F1100" s="61">
        <v>4000</v>
      </c>
      <c r="G1100" t="str">
        <f>VLOOKUP(Tabela1[[#This Row],[Cliente]],clientes!$C$3:$D$60,2,FALSE)</f>
        <v>BRF</v>
      </c>
    </row>
    <row r="1101" spans="1:7" x14ac:dyDescent="0.25">
      <c r="A1101" s="10">
        <v>2024</v>
      </c>
      <c r="B1101" s="10" t="s">
        <v>190</v>
      </c>
      <c r="C1101" s="10" t="s">
        <v>162</v>
      </c>
      <c r="D1101" s="10" t="s">
        <v>123</v>
      </c>
      <c r="E1101" s="25" t="str">
        <f>VLOOKUP(D1101,'[2]Lista de Produtos CLASSIFICAÇÃO'!$E$103:$F$114,2,FALSE)</f>
        <v>Aquecidos</v>
      </c>
      <c r="F1101" s="61">
        <v>2400</v>
      </c>
      <c r="G1101" t="str">
        <f>VLOOKUP(Tabela1[[#This Row],[Cliente]],clientes!$C$3:$D$60,2,FALSE)</f>
        <v>JBS</v>
      </c>
    </row>
    <row r="1102" spans="1:7" x14ac:dyDescent="0.25">
      <c r="A1102" s="10">
        <v>2024</v>
      </c>
      <c r="B1102" s="10" t="s">
        <v>190</v>
      </c>
      <c r="C1102" s="10" t="s">
        <v>166</v>
      </c>
      <c r="D1102" s="10" t="s">
        <v>123</v>
      </c>
      <c r="E1102" s="25" t="str">
        <f>VLOOKUP(D1102,'[2]Lista de Produtos CLASSIFICAÇÃO'!$E$103:$F$114,2,FALSE)</f>
        <v>Aquecidos</v>
      </c>
      <c r="F1102" s="61">
        <v>1500</v>
      </c>
      <c r="G1102" t="str">
        <f>VLOOKUP(Tabela1[[#This Row],[Cliente]],clientes!$C$3:$D$60,2,FALSE)</f>
        <v>CARGILL</v>
      </c>
    </row>
    <row r="1103" spans="1:7" x14ac:dyDescent="0.25">
      <c r="A1103" s="10">
        <v>2024</v>
      </c>
      <c r="B1103" s="10" t="s">
        <v>190</v>
      </c>
      <c r="C1103" s="10" t="s">
        <v>167</v>
      </c>
      <c r="D1103" s="10" t="s">
        <v>122</v>
      </c>
      <c r="E1103" s="25" t="str">
        <f>VLOOKUP(D1103,'[2]Lista de Produtos CLASSIFICAÇÃO'!$E$103:$F$114,2,FALSE)</f>
        <v>Óleo Vegetal</v>
      </c>
      <c r="F1103" s="61">
        <v>164295.12</v>
      </c>
      <c r="G1103" t="str">
        <f>VLOOKUP(Tabela1[[#This Row],[Cliente]],clientes!$C$3:$D$60,2,FALSE)</f>
        <v>POOL</v>
      </c>
    </row>
    <row r="1104" spans="1:7" x14ac:dyDescent="0.25">
      <c r="A1104" s="10">
        <v>2024</v>
      </c>
      <c r="B1104" s="10" t="s">
        <v>190</v>
      </c>
      <c r="C1104" s="10" t="s">
        <v>168</v>
      </c>
      <c r="D1104" s="10" t="s">
        <v>122</v>
      </c>
      <c r="E1104" s="25" t="str">
        <f>VLOOKUP(D1104,'[2]Lista de Produtos CLASSIFICAÇÃO'!$E$103:$F$114,2,FALSE)</f>
        <v>Óleo Vegetal</v>
      </c>
      <c r="F1104" s="61">
        <v>2000</v>
      </c>
      <c r="G1104" t="str">
        <f>VLOOKUP(Tabela1[[#This Row],[Cliente]],clientes!$C$3:$D$60,2,FALSE)</f>
        <v>POOL EXCEDENTE</v>
      </c>
    </row>
    <row r="1105" spans="1:7" x14ac:dyDescent="0.25">
      <c r="A1105" s="10">
        <v>2024</v>
      </c>
      <c r="B1105" s="10" t="s">
        <v>190</v>
      </c>
      <c r="C1105" s="10" t="s">
        <v>169</v>
      </c>
      <c r="D1105" s="10" t="s">
        <v>22</v>
      </c>
      <c r="E1105" s="25" t="str">
        <f>VLOOKUP(D1105,'[2]Lista de Produtos CLASSIFICAÇÃO'!$E$103:$F$114,2,FALSE)</f>
        <v>Metanol</v>
      </c>
      <c r="F1105" s="61">
        <v>67000</v>
      </c>
      <c r="G1105" t="str">
        <f>VLOOKUP(Tabela1[[#This Row],[Cliente]],clientes!$C$3:$D$60,2,FALSE)</f>
        <v>METHANEX</v>
      </c>
    </row>
    <row r="1106" spans="1:7" x14ac:dyDescent="0.25">
      <c r="A1106" s="10">
        <v>2024</v>
      </c>
      <c r="B1106" s="10" t="s">
        <v>190</v>
      </c>
      <c r="C1106" s="10" t="s">
        <v>170</v>
      </c>
      <c r="D1106" s="10" t="s">
        <v>22</v>
      </c>
      <c r="E1106" s="25" t="str">
        <f>VLOOKUP(D1106,'[2]Lista de Produtos CLASSIFICAÇÃO'!$E$103:$F$114,2,FALSE)</f>
        <v>Metanol</v>
      </c>
      <c r="F1106" s="61">
        <v>15000</v>
      </c>
      <c r="G1106" t="str">
        <f>VLOOKUP(Tabela1[[#This Row],[Cliente]],clientes!$C$3:$D$60,2,FALSE)</f>
        <v>MITSUBISHI</v>
      </c>
    </row>
    <row r="1107" spans="1:7" x14ac:dyDescent="0.25">
      <c r="A1107" s="10">
        <v>2024</v>
      </c>
      <c r="B1107" s="10" t="s">
        <v>190</v>
      </c>
      <c r="C1107" s="10" t="s">
        <v>171</v>
      </c>
      <c r="D1107" s="10" t="s">
        <v>22</v>
      </c>
      <c r="E1107" s="25" t="str">
        <f>VLOOKUP(D1107,'[2]Lista de Produtos CLASSIFICAÇÃO'!$E$103:$F$114,2,FALSE)</f>
        <v>Metanol</v>
      </c>
      <c r="F1107" s="61">
        <v>23000</v>
      </c>
      <c r="G1107" t="str">
        <f>VLOOKUP(Tabela1[[#This Row],[Cliente]],clientes!$C$3:$D$60,2,FALSE)</f>
        <v>VALENZ</v>
      </c>
    </row>
    <row r="1108" spans="1:7" x14ac:dyDescent="0.25">
      <c r="A1108" s="10">
        <v>2024</v>
      </c>
      <c r="B1108" s="10" t="s">
        <v>190</v>
      </c>
      <c r="C1108" s="10" t="s">
        <v>172</v>
      </c>
      <c r="D1108" s="10" t="s">
        <v>124</v>
      </c>
      <c r="E1108" s="25" t="str">
        <f>VLOOKUP(D1108,'[2]Lista de Produtos CLASSIFICAÇÃO'!$E$103:$F$114,2,FALSE)</f>
        <v>Outros</v>
      </c>
      <c r="F1108" s="61">
        <v>1200</v>
      </c>
      <c r="G1108" t="str">
        <f>VLOOKUP(Tabela1[[#This Row],[Cliente]],clientes!$C$3:$D$60,2,FALSE)</f>
        <v>EVONIK</v>
      </c>
    </row>
    <row r="1109" spans="1:7" x14ac:dyDescent="0.25">
      <c r="A1109" s="10">
        <v>2024</v>
      </c>
      <c r="B1109" s="10" t="s">
        <v>190</v>
      </c>
      <c r="C1109" s="10" t="s">
        <v>173</v>
      </c>
      <c r="D1109" s="10" t="s">
        <v>22</v>
      </c>
      <c r="E1109" s="25" t="str">
        <f>VLOOKUP(D1109,'[2]Lista de Produtos CLASSIFICAÇÃO'!$E$103:$F$114,2,FALSE)</f>
        <v>Metanol</v>
      </c>
      <c r="F1109" s="61"/>
      <c r="G1109" t="str">
        <f>VLOOKUP(Tabela1[[#This Row],[Cliente]],clientes!$C$3:$D$60,2,FALSE)</f>
        <v>YPF SOCIEDAD ANONIMA</v>
      </c>
    </row>
    <row r="1110" spans="1:7" x14ac:dyDescent="0.25">
      <c r="A1110" s="10">
        <v>2024</v>
      </c>
      <c r="B1110" s="10" t="s">
        <v>190</v>
      </c>
      <c r="C1110" s="10" t="s">
        <v>174</v>
      </c>
      <c r="D1110" s="10" t="s">
        <v>123</v>
      </c>
      <c r="E1110" s="25" t="str">
        <f>VLOOKUP(D1110,'[2]Lista de Produtos CLASSIFICAÇÃO'!$E$103:$F$114,2,FALSE)</f>
        <v>Aquecidos</v>
      </c>
      <c r="F1110" s="61">
        <v>2000</v>
      </c>
      <c r="G1110" t="str">
        <f>VLOOKUP(Tabela1[[#This Row],[Cliente]],clientes!$C$3:$D$60,2,FALSE)</f>
        <v>CELENA</v>
      </c>
    </row>
    <row r="1111" spans="1:7" x14ac:dyDescent="0.25">
      <c r="A1111" s="10">
        <v>2024</v>
      </c>
      <c r="B1111" s="10" t="s">
        <v>190</v>
      </c>
      <c r="C1111" s="10" t="s">
        <v>175</v>
      </c>
      <c r="D1111" s="10" t="s">
        <v>123</v>
      </c>
      <c r="E1111" s="25" t="str">
        <f>VLOOKUP(D1111,'[2]Lista de Produtos CLASSIFICAÇÃO'!$E$103:$F$114,2,FALSE)</f>
        <v>Aquecidos</v>
      </c>
      <c r="F1111" s="61">
        <v>1700</v>
      </c>
      <c r="G1111" t="str">
        <f>VLOOKUP(Tabela1[[#This Row],[Cliente]],clientes!$C$3:$D$60,2,FALSE)</f>
        <v>AAK DO BRASIL</v>
      </c>
    </row>
    <row r="1112" spans="1:7" x14ac:dyDescent="0.25">
      <c r="A1112" s="10">
        <v>2024</v>
      </c>
      <c r="B1112" s="10" t="s">
        <v>190</v>
      </c>
      <c r="C1112" s="10" t="s">
        <v>166</v>
      </c>
      <c r="D1112" s="10" t="s">
        <v>122</v>
      </c>
      <c r="E1112" s="25" t="str">
        <f>VLOOKUP(D1112,'[2]Lista de Produtos CLASSIFICAÇÃO'!$E$103:$F$114,2,FALSE)</f>
        <v>Óleo Vegetal</v>
      </c>
      <c r="F1112" s="61"/>
      <c r="G1112" t="str">
        <f>VLOOKUP(Tabela1[[#This Row],[Cliente]],clientes!$C$3:$D$60,2,FALSE)</f>
        <v>CARGILL</v>
      </c>
    </row>
    <row r="1113" spans="1:7" x14ac:dyDescent="0.25">
      <c r="A1113" s="10">
        <v>2024</v>
      </c>
      <c r="B1113" s="10" t="s">
        <v>190</v>
      </c>
      <c r="C1113" s="10" t="s">
        <v>176</v>
      </c>
      <c r="D1113" s="10" t="s">
        <v>123</v>
      </c>
      <c r="E1113" s="25" t="str">
        <f>VLOOKUP(D1113,'[2]Lista de Produtos CLASSIFICAÇÃO'!$E$103:$F$114,2,FALSE)</f>
        <v>Aquecidos</v>
      </c>
      <c r="F1113" s="61">
        <v>2150</v>
      </c>
      <c r="G1113" t="str">
        <f>VLOOKUP(Tabela1[[#This Row],[Cliente]],clientes!$C$3:$D$60,2,FALSE)</f>
        <v>AGROPALMA</v>
      </c>
    </row>
    <row r="1114" spans="1:7" x14ac:dyDescent="0.25">
      <c r="A1114" s="10">
        <v>2024</v>
      </c>
      <c r="B1114" s="10" t="s">
        <v>190</v>
      </c>
      <c r="C1114" s="10" t="s">
        <v>177</v>
      </c>
      <c r="D1114" s="10" t="s">
        <v>115</v>
      </c>
      <c r="E1114" s="25" t="str">
        <f>VLOOKUP(D1114,'[2]Lista de Produtos CLASSIFICAÇÃO'!$E$103:$F$114,2,FALSE)</f>
        <v>Soda Caustica</v>
      </c>
      <c r="F1114" s="61">
        <v>3000</v>
      </c>
      <c r="G1114" t="str">
        <f>VLOOKUP(Tabela1[[#This Row],[Cliente]],clientes!$C$3:$D$60,2,FALSE)</f>
        <v>BRENNTAG</v>
      </c>
    </row>
    <row r="1115" spans="1:7" x14ac:dyDescent="0.25">
      <c r="A1115" s="10">
        <v>2024</v>
      </c>
      <c r="B1115" s="10" t="s">
        <v>190</v>
      </c>
      <c r="C1115" s="10" t="s">
        <v>178</v>
      </c>
      <c r="D1115" s="10" t="s">
        <v>115</v>
      </c>
      <c r="E1115" s="25" t="str">
        <f>VLOOKUP(D1115,'[2]Lista de Produtos CLASSIFICAÇÃO'!$E$103:$F$114,2,FALSE)</f>
        <v>Soda Caustica</v>
      </c>
      <c r="F1115" s="61">
        <v>15000</v>
      </c>
      <c r="G1115" t="str">
        <f>VLOOKUP(Tabela1[[#This Row],[Cliente]],clientes!$C$3:$D$60,2,FALSE)</f>
        <v>OLIN BLUE CUBE</v>
      </c>
    </row>
    <row r="1116" spans="1:7" x14ac:dyDescent="0.25">
      <c r="A1116" s="10">
        <v>2024</v>
      </c>
      <c r="B1116" s="10" t="s">
        <v>190</v>
      </c>
      <c r="C1116" s="10" t="s">
        <v>179</v>
      </c>
      <c r="D1116" s="10" t="s">
        <v>26</v>
      </c>
      <c r="E1116" s="25" t="str">
        <f>VLOOKUP(D1116,'[2]Lista de Produtos CLASSIFICAÇÃO'!$E$103:$F$114,2,FALSE)</f>
        <v>Biocombustíveis</v>
      </c>
      <c r="F1116" s="61">
        <v>4000</v>
      </c>
      <c r="G1116" t="str">
        <f>VLOOKUP(Tabela1[[#This Row],[Cliente]],clientes!$C$3:$D$60,2,FALSE)</f>
        <v>BSBIOS</v>
      </c>
    </row>
    <row r="1117" spans="1:7" x14ac:dyDescent="0.25">
      <c r="A1117" s="10">
        <v>2024</v>
      </c>
      <c r="B1117" s="10" t="s">
        <v>190</v>
      </c>
      <c r="C1117" s="10" t="s">
        <v>180</v>
      </c>
      <c r="D1117" s="10" t="s">
        <v>30</v>
      </c>
      <c r="E1117" s="25" t="str">
        <f>VLOOKUP(D1117,'[2]Lista de Produtos CLASSIFICAÇÃO'!$E$103:$F$114,2,FALSE)</f>
        <v>Outros</v>
      </c>
      <c r="F1117" s="61"/>
      <c r="G1117" t="str">
        <f>VLOOKUP(Tabela1[[#This Row],[Cliente]],clientes!$C$3:$D$60,2,FALSE)</f>
        <v>TRICHEM</v>
      </c>
    </row>
    <row r="1118" spans="1:7" x14ac:dyDescent="0.25">
      <c r="A1118" s="10">
        <v>2024</v>
      </c>
      <c r="B1118" s="10" t="s">
        <v>190</v>
      </c>
      <c r="C1118" s="10" t="s">
        <v>181</v>
      </c>
      <c r="D1118" s="10" t="s">
        <v>123</v>
      </c>
      <c r="E1118" s="25" t="str">
        <f>VLOOKUP(D1118,'[2]Lista de Produtos CLASSIFICAÇÃO'!$E$103:$F$114,2,FALSE)</f>
        <v>Aquecidos</v>
      </c>
      <c r="F1118" s="61">
        <v>1600</v>
      </c>
      <c r="G1118" t="str">
        <f>VLOOKUP(Tabela1[[#This Row],[Cliente]],clientes!$C$3:$D$60,2,FALSE)</f>
        <v>COAMO</v>
      </c>
    </row>
    <row r="1119" spans="1:7" x14ac:dyDescent="0.25">
      <c r="A1119" s="10">
        <v>2024</v>
      </c>
      <c r="B1119" s="10" t="s">
        <v>190</v>
      </c>
      <c r="C1119" s="10" t="s">
        <v>182</v>
      </c>
      <c r="D1119" s="10" t="s">
        <v>120</v>
      </c>
      <c r="E1119" s="25" t="str">
        <f>VLOOKUP(D1119,'[2]Lista de Produtos CLASSIFICAÇÃO'!$E$103:$F$114,2,FALSE)</f>
        <v>Derivados</v>
      </c>
      <c r="F1119" s="61">
        <v>8300</v>
      </c>
      <c r="G1119" t="str">
        <f>VLOOKUP(Tabela1[[#This Row],[Cliente]],clientes!$C$3:$D$60,2,FALSE)</f>
        <v>ATEM</v>
      </c>
    </row>
    <row r="1120" spans="1:7" x14ac:dyDescent="0.25">
      <c r="A1120" s="10">
        <v>2024</v>
      </c>
      <c r="B1120" s="10" t="s">
        <v>190</v>
      </c>
      <c r="C1120" s="10" t="s">
        <v>174</v>
      </c>
      <c r="D1120" s="10" t="s">
        <v>123</v>
      </c>
      <c r="E1120" s="25" t="str">
        <f>VLOOKUP(D1120,'[2]Lista de Produtos CLASSIFICAÇÃO'!$E$103:$F$114,2,FALSE)</f>
        <v>Aquecidos</v>
      </c>
      <c r="F1120" s="61">
        <v>18000</v>
      </c>
      <c r="G1120" t="str">
        <f>VLOOKUP(Tabela1[[#This Row],[Cliente]],clientes!$C$3:$D$60,2,FALSE)</f>
        <v>CELENA</v>
      </c>
    </row>
    <row r="1121" spans="1:7" x14ac:dyDescent="0.25">
      <c r="A1121" s="10">
        <v>2024</v>
      </c>
      <c r="B1121" s="10" t="s">
        <v>190</v>
      </c>
      <c r="C1121" s="10" t="s">
        <v>173</v>
      </c>
      <c r="D1121" s="10" t="s">
        <v>183</v>
      </c>
      <c r="E1121" s="25" t="str">
        <f>VLOOKUP(D1121,'[2]Lista de Produtos CLASSIFICAÇÃO'!$E$103:$F$114,2,FALSE)</f>
        <v>Outros</v>
      </c>
      <c r="F1121" s="61"/>
      <c r="G1121" t="str">
        <f>VLOOKUP(Tabela1[[#This Row],[Cliente]],clientes!$C$3:$D$60,2,FALSE)</f>
        <v>YPF SOCIEDAD ANONIMA</v>
      </c>
    </row>
    <row r="1122" spans="1:7" x14ac:dyDescent="0.25">
      <c r="A1122" s="10">
        <v>2024</v>
      </c>
      <c r="B1122" s="10" t="s">
        <v>190</v>
      </c>
      <c r="C1122" s="10" t="s">
        <v>184</v>
      </c>
      <c r="D1122" s="10" t="s">
        <v>122</v>
      </c>
      <c r="E1122" s="25" t="str">
        <f>VLOOKUP(D1122,'[2]Lista de Produtos CLASSIFICAÇÃO'!$E$103:$F$114,2,FALSE)</f>
        <v>Óleo Vegetal</v>
      </c>
      <c r="F1122" s="61"/>
      <c r="G1122" t="str">
        <f>VLOOKUP(Tabela1[[#This Row],[Cliente]],clientes!$C$3:$D$60,2,FALSE)</f>
        <v>INGREDION</v>
      </c>
    </row>
    <row r="1123" spans="1:7" x14ac:dyDescent="0.25">
      <c r="A1123" s="10">
        <v>2024</v>
      </c>
      <c r="B1123" s="10" t="s">
        <v>190</v>
      </c>
      <c r="C1123" s="10" t="s">
        <v>185</v>
      </c>
      <c r="D1123" s="10" t="s">
        <v>120</v>
      </c>
      <c r="E1123" s="25" t="str">
        <f>VLOOKUP(D1123,'[2]Lista de Produtos CLASSIFICAÇÃO'!$E$103:$F$114,2,FALSE)</f>
        <v>Derivados</v>
      </c>
      <c r="F1123" s="61">
        <v>12450</v>
      </c>
      <c r="G1123" t="str">
        <f>VLOOKUP(Tabela1[[#This Row],[Cliente]],clientes!$C$3:$D$60,2,FALSE)</f>
        <v>CIAPETRO</v>
      </c>
    </row>
    <row r="1124" spans="1:7" x14ac:dyDescent="0.25">
      <c r="A1124" s="10">
        <v>2024</v>
      </c>
      <c r="B1124" s="10" t="s">
        <v>190</v>
      </c>
      <c r="C1124" s="10" t="s">
        <v>186</v>
      </c>
      <c r="D1124" s="10" t="s">
        <v>22</v>
      </c>
      <c r="E1124" s="25" t="str">
        <f>VLOOKUP(D1124,'[2]Lista de Produtos CLASSIFICAÇÃO'!$E$103:$F$114,2,FALSE)</f>
        <v>Metanol</v>
      </c>
      <c r="F1124" s="61">
        <v>5000</v>
      </c>
      <c r="G1124" t="str">
        <f>VLOOKUP(Tabela1[[#This Row],[Cliente]],clientes!$C$3:$D$60,2,FALSE)</f>
        <v>OQ TRADING</v>
      </c>
    </row>
    <row r="1125" spans="1:7" x14ac:dyDescent="0.25">
      <c r="A1125" s="10">
        <v>2024</v>
      </c>
      <c r="B1125" s="10" t="s">
        <v>190</v>
      </c>
      <c r="C1125" s="10" t="s">
        <v>187</v>
      </c>
      <c r="D1125" s="10" t="s">
        <v>121</v>
      </c>
      <c r="E1125" s="25" t="str">
        <f>VLOOKUP(D1125,'[2]Lista de Produtos CLASSIFICAÇÃO'!$E$103:$F$114,2,FALSE)</f>
        <v>Biocombustíveis</v>
      </c>
      <c r="F1125" s="61">
        <v>8000</v>
      </c>
      <c r="G1125" t="str">
        <f>VLOOKUP(Tabela1[[#This Row],[Cliente]],clientes!$C$3:$D$60,2,FALSE)</f>
        <v>TEREOS / INPASA / GLENCORE / FS</v>
      </c>
    </row>
    <row r="1126" spans="1:7" x14ac:dyDescent="0.25">
      <c r="A1126" s="10">
        <v>2024</v>
      </c>
      <c r="B1126" s="10" t="s">
        <v>190</v>
      </c>
      <c r="C1126" s="10" t="s">
        <v>188</v>
      </c>
      <c r="D1126" s="10" t="s">
        <v>123</v>
      </c>
      <c r="E1126" s="25" t="str">
        <f>VLOOKUP(D1126,'[2]Lista de Produtos CLASSIFICAÇÃO'!$E$103:$F$114,2,FALSE)</f>
        <v>Aquecidos</v>
      </c>
      <c r="F1126" s="61">
        <v>3250</v>
      </c>
      <c r="G1126" t="str">
        <f>VLOOKUP(Tabela1[[#This Row],[Cliente]],clientes!$C$3:$D$60,2,FALSE)</f>
        <v>ARES MERCHANTS PTE LIMITE</v>
      </c>
    </row>
    <row r="1127" spans="1:7" x14ac:dyDescent="0.25">
      <c r="A1127" s="10">
        <v>2024</v>
      </c>
      <c r="B1127" s="10" t="s">
        <v>190</v>
      </c>
      <c r="C1127" s="10" t="s">
        <v>18</v>
      </c>
      <c r="D1127" s="10" t="s">
        <v>17</v>
      </c>
      <c r="E1127" s="25" t="str">
        <f>VLOOKUP(D1127,'[2]Lista de Produtos CLASSIFICAÇÃO'!$E$103:$F$114,2,FALSE)</f>
        <v>Acostagem</v>
      </c>
      <c r="F1127" s="61"/>
      <c r="G1127" t="str">
        <f>VLOOKUP(Tabela1[[#This Row],[Cliente]],clientes!$C$3:$D$60,2,FALSE)</f>
        <v>ACOSTAGEM</v>
      </c>
    </row>
    <row r="1128" spans="1:7" x14ac:dyDescent="0.25">
      <c r="A1128" s="10">
        <v>2024</v>
      </c>
      <c r="B1128" s="10" t="s">
        <v>190</v>
      </c>
      <c r="C1128" s="10" t="s">
        <v>189</v>
      </c>
      <c r="D1128" s="10" t="s">
        <v>123</v>
      </c>
      <c r="E1128" s="25" t="str">
        <f>VLOOKUP(D1128,'[2]Lista de Produtos CLASSIFICAÇÃO'!$E$103:$F$114,2,FALSE)</f>
        <v>Aquecidos</v>
      </c>
      <c r="F1128" s="61">
        <v>2789</v>
      </c>
      <c r="G1128" t="str">
        <f>VLOOKUP(Tabela1[[#This Row],[Cliente]],clientes!$C$3:$D$60,2,FALSE)</f>
        <v>ICOF</v>
      </c>
    </row>
    <row r="1129" spans="1:7" x14ac:dyDescent="0.25">
      <c r="A1129" s="10">
        <v>2024</v>
      </c>
      <c r="B1129" s="10" t="s">
        <v>133</v>
      </c>
      <c r="C1129" s="10" t="s">
        <v>155</v>
      </c>
      <c r="D1129" s="10" t="s">
        <v>16</v>
      </c>
      <c r="E1129" s="25" t="str">
        <f>VLOOKUP(D1129,'[2]Lista de Produtos CLASSIFICAÇÃO'!$E$103:$F$114,2,FALSE)</f>
        <v>Outros</v>
      </c>
      <c r="F1129" s="61">
        <v>4700</v>
      </c>
      <c r="G1129" t="str">
        <f>VLOOKUP(Tabela1[[#This Row],[Cliente]],clientes!$C$3:$D$60,2,FALSE)</f>
        <v>ADISSEO</v>
      </c>
    </row>
    <row r="1130" spans="1:7" x14ac:dyDescent="0.25">
      <c r="A1130" s="10">
        <v>2024</v>
      </c>
      <c r="B1130" s="10" t="s">
        <v>133</v>
      </c>
      <c r="C1130" s="10" t="s">
        <v>156</v>
      </c>
      <c r="D1130" s="10" t="s">
        <v>123</v>
      </c>
      <c r="E1130" s="25" t="str">
        <f>VLOOKUP(D1130,'[2]Lista de Produtos CLASSIFICAÇÃO'!$E$103:$F$114,2,FALSE)</f>
        <v>Aquecidos</v>
      </c>
      <c r="F1130" s="61">
        <v>1500</v>
      </c>
      <c r="G1130" t="str">
        <f>VLOOKUP(Tabela1[[#This Row],[Cliente]],clientes!$C$3:$D$60,2,FALSE)</f>
        <v>BUNGE</v>
      </c>
    </row>
    <row r="1131" spans="1:7" x14ac:dyDescent="0.25">
      <c r="A1131" s="10">
        <v>2024</v>
      </c>
      <c r="B1131" s="10" t="s">
        <v>133</v>
      </c>
      <c r="C1131" s="10" t="s">
        <v>157</v>
      </c>
      <c r="D1131" s="10" t="s">
        <v>122</v>
      </c>
      <c r="E1131" s="25" t="str">
        <f>VLOOKUP(D1131,'[2]Lista de Produtos CLASSIFICAÇÃO'!$E$103:$F$114,2,FALSE)</f>
        <v>Óleo Vegetal</v>
      </c>
      <c r="F1131" s="61">
        <v>3000</v>
      </c>
      <c r="G1131" t="str">
        <f>VLOOKUP(Tabela1[[#This Row],[Cliente]],clientes!$C$3:$D$60,2,FALSE)</f>
        <v>ADM</v>
      </c>
    </row>
    <row r="1132" spans="1:7" x14ac:dyDescent="0.25">
      <c r="A1132" s="10">
        <v>2024</v>
      </c>
      <c r="B1132" s="10" t="s">
        <v>133</v>
      </c>
      <c r="C1132" s="10" t="s">
        <v>158</v>
      </c>
      <c r="D1132" s="10" t="s">
        <v>120</v>
      </c>
      <c r="E1132" s="25" t="str">
        <f>VLOOKUP(D1132,'[2]Lista de Produtos CLASSIFICAÇÃO'!$E$103:$F$114,2,FALSE)</f>
        <v>Derivados</v>
      </c>
      <c r="F1132" s="61">
        <v>86859</v>
      </c>
      <c r="G1132" t="str">
        <f>VLOOKUP(Tabela1[[#This Row],[Cliente]],clientes!$C$3:$D$60,2,FALSE)</f>
        <v>IPIRANGA</v>
      </c>
    </row>
    <row r="1133" spans="1:7" x14ac:dyDescent="0.25">
      <c r="A1133" s="10">
        <v>2024</v>
      </c>
      <c r="B1133" s="10" t="s">
        <v>133</v>
      </c>
      <c r="C1133" s="10" t="s">
        <v>159</v>
      </c>
      <c r="D1133" s="10" t="s">
        <v>120</v>
      </c>
      <c r="E1133" s="25" t="str">
        <f>VLOOKUP(D1133,'[2]Lista de Produtos CLASSIFICAÇÃO'!$E$103:$F$114,2,FALSE)</f>
        <v>Derivados</v>
      </c>
      <c r="F1133" s="61">
        <v>30000</v>
      </c>
      <c r="G1133" t="str">
        <f>VLOOKUP(Tabela1[[#This Row],[Cliente]],clientes!$C$3:$D$60,2,FALSE)</f>
        <v>RAIZEN</v>
      </c>
    </row>
    <row r="1134" spans="1:7" x14ac:dyDescent="0.25">
      <c r="A1134" s="10">
        <v>2024</v>
      </c>
      <c r="B1134" s="10" t="s">
        <v>133</v>
      </c>
      <c r="C1134" s="10" t="s">
        <v>160</v>
      </c>
      <c r="D1134" s="10" t="s">
        <v>120</v>
      </c>
      <c r="E1134" s="25" t="str">
        <f>VLOOKUP(D1134,'[2]Lista de Produtos CLASSIFICAÇÃO'!$E$103:$F$114,2,FALSE)</f>
        <v>Derivados</v>
      </c>
      <c r="F1134" s="61">
        <v>15000</v>
      </c>
      <c r="G1134" t="str">
        <f>VLOOKUP(Tabela1[[#This Row],[Cliente]],clientes!$C$3:$D$60,2,FALSE)</f>
        <v>VIBRA</v>
      </c>
    </row>
    <row r="1135" spans="1:7" x14ac:dyDescent="0.25">
      <c r="A1135" s="10">
        <v>2024</v>
      </c>
      <c r="B1135" s="10" t="s">
        <v>133</v>
      </c>
      <c r="C1135" s="10" t="s">
        <v>161</v>
      </c>
      <c r="D1135" s="10" t="s">
        <v>120</v>
      </c>
      <c r="E1135" s="25" t="str">
        <f>VLOOKUP(D1135,'[2]Lista de Produtos CLASSIFICAÇÃO'!$E$103:$F$114,2,FALSE)</f>
        <v>Derivados</v>
      </c>
      <c r="F1135" s="61">
        <v>44820</v>
      </c>
      <c r="G1135" t="str">
        <f>VLOOKUP(Tabela1[[#This Row],[Cliente]],clientes!$C$3:$D$60,2,FALSE)</f>
        <v>SUL PLATA</v>
      </c>
    </row>
    <row r="1136" spans="1:7" x14ac:dyDescent="0.25">
      <c r="A1136" s="10">
        <v>2024</v>
      </c>
      <c r="B1136" s="10" t="s">
        <v>133</v>
      </c>
      <c r="C1136" s="10" t="s">
        <v>162</v>
      </c>
      <c r="D1136" s="10" t="s">
        <v>115</v>
      </c>
      <c r="E1136" s="25" t="str">
        <f>VLOOKUP(D1136,'[2]Lista de Produtos CLASSIFICAÇÃO'!$E$103:$F$114,2,FALSE)</f>
        <v>Soda Caustica</v>
      </c>
      <c r="F1136" s="61">
        <v>1500</v>
      </c>
      <c r="G1136" t="str">
        <f>VLOOKUP(Tabela1[[#This Row],[Cliente]],clientes!$C$3:$D$60,2,FALSE)</f>
        <v>JBS</v>
      </c>
    </row>
    <row r="1137" spans="1:7" x14ac:dyDescent="0.25">
      <c r="A1137" s="10">
        <v>2024</v>
      </c>
      <c r="B1137" s="10" t="s">
        <v>133</v>
      </c>
      <c r="C1137" s="10" t="s">
        <v>163</v>
      </c>
      <c r="D1137" s="10" t="s">
        <v>115</v>
      </c>
      <c r="E1137" s="25" t="str">
        <f>VLOOKUP(D1137,'[2]Lista de Produtos CLASSIFICAÇÃO'!$E$103:$F$114,2,FALSE)</f>
        <v>Soda Caustica</v>
      </c>
      <c r="F1137" s="61">
        <v>1500</v>
      </c>
      <c r="G1137" t="str">
        <f>VLOOKUP(Tabela1[[#This Row],[Cliente]],clientes!$C$3:$D$60,2,FALSE)</f>
        <v>TRICON ENERGY</v>
      </c>
    </row>
    <row r="1138" spans="1:7" x14ac:dyDescent="0.25">
      <c r="A1138" s="10">
        <v>2024</v>
      </c>
      <c r="B1138" s="10" t="s">
        <v>133</v>
      </c>
      <c r="C1138" s="10" t="s">
        <v>164</v>
      </c>
      <c r="D1138" s="10" t="s">
        <v>115</v>
      </c>
      <c r="E1138" s="25" t="str">
        <f>VLOOKUP(D1138,'[2]Lista de Produtos CLASSIFICAÇÃO'!$E$103:$F$114,2,FALSE)</f>
        <v>Soda Caustica</v>
      </c>
      <c r="F1138" s="61">
        <v>3400</v>
      </c>
      <c r="G1138" t="str">
        <f>VLOOKUP(Tabela1[[#This Row],[Cliente]],clientes!$C$3:$D$60,2,FALSE)</f>
        <v>BRASKEM</v>
      </c>
    </row>
    <row r="1139" spans="1:7" x14ac:dyDescent="0.25">
      <c r="A1139" s="10">
        <v>2024</v>
      </c>
      <c r="B1139" s="10" t="s">
        <v>133</v>
      </c>
      <c r="C1139" s="10" t="s">
        <v>165</v>
      </c>
      <c r="D1139" s="10" t="s">
        <v>123</v>
      </c>
      <c r="E1139" s="25" t="str">
        <f>VLOOKUP(D1139,'[2]Lista de Produtos CLASSIFICAÇÃO'!$E$103:$F$114,2,FALSE)</f>
        <v>Aquecidos</v>
      </c>
      <c r="F1139" s="61">
        <v>4000</v>
      </c>
      <c r="G1139" t="str">
        <f>VLOOKUP(Tabela1[[#This Row],[Cliente]],clientes!$C$3:$D$60,2,FALSE)</f>
        <v>BRF</v>
      </c>
    </row>
    <row r="1140" spans="1:7" x14ac:dyDescent="0.25">
      <c r="A1140" s="10">
        <v>2024</v>
      </c>
      <c r="B1140" s="10" t="s">
        <v>133</v>
      </c>
      <c r="C1140" s="10" t="s">
        <v>162</v>
      </c>
      <c r="D1140" s="10" t="s">
        <v>123</v>
      </c>
      <c r="E1140" s="25" t="str">
        <f>VLOOKUP(D1140,'[2]Lista de Produtos CLASSIFICAÇÃO'!$E$103:$F$114,2,FALSE)</f>
        <v>Aquecidos</v>
      </c>
      <c r="F1140" s="61">
        <v>2400</v>
      </c>
      <c r="G1140" t="str">
        <f>VLOOKUP(Tabela1[[#This Row],[Cliente]],clientes!$C$3:$D$60,2,FALSE)</f>
        <v>JBS</v>
      </c>
    </row>
    <row r="1141" spans="1:7" x14ac:dyDescent="0.25">
      <c r="A1141" s="10">
        <v>2024</v>
      </c>
      <c r="B1141" s="10" t="s">
        <v>133</v>
      </c>
      <c r="C1141" s="10" t="s">
        <v>166</v>
      </c>
      <c r="D1141" s="10" t="s">
        <v>123</v>
      </c>
      <c r="E1141" s="25" t="str">
        <f>VLOOKUP(D1141,'[2]Lista de Produtos CLASSIFICAÇÃO'!$E$103:$F$114,2,FALSE)</f>
        <v>Aquecidos</v>
      </c>
      <c r="F1141" s="61">
        <v>1500</v>
      </c>
      <c r="G1141" t="str">
        <f>VLOOKUP(Tabela1[[#This Row],[Cliente]],clientes!$C$3:$D$60,2,FALSE)</f>
        <v>CARGILL</v>
      </c>
    </row>
    <row r="1142" spans="1:7" x14ac:dyDescent="0.25">
      <c r="A1142" s="10">
        <v>2024</v>
      </c>
      <c r="B1142" s="10" t="s">
        <v>133</v>
      </c>
      <c r="C1142" s="10" t="s">
        <v>167</v>
      </c>
      <c r="D1142" s="10" t="s">
        <v>122</v>
      </c>
      <c r="E1142" s="25" t="str">
        <f>VLOOKUP(D1142,'[2]Lista de Produtos CLASSIFICAÇÃO'!$E$103:$F$114,2,FALSE)</f>
        <v>Óleo Vegetal</v>
      </c>
      <c r="F1142" s="61">
        <v>137958.48000000001</v>
      </c>
      <c r="G1142" t="str">
        <f>VLOOKUP(Tabela1[[#This Row],[Cliente]],clientes!$C$3:$D$60,2,FALSE)</f>
        <v>POOL</v>
      </c>
    </row>
    <row r="1143" spans="1:7" x14ac:dyDescent="0.25">
      <c r="A1143" s="10">
        <v>2024</v>
      </c>
      <c r="B1143" s="10" t="s">
        <v>133</v>
      </c>
      <c r="C1143" s="10" t="s">
        <v>168</v>
      </c>
      <c r="D1143" s="10" t="s">
        <v>122</v>
      </c>
      <c r="E1143" s="25" t="str">
        <f>VLOOKUP(D1143,'[2]Lista de Produtos CLASSIFICAÇÃO'!$E$103:$F$114,2,FALSE)</f>
        <v>Óleo Vegetal</v>
      </c>
      <c r="F1143" s="61"/>
      <c r="G1143" t="str">
        <f>VLOOKUP(Tabela1[[#This Row],[Cliente]],clientes!$C$3:$D$60,2,FALSE)</f>
        <v>POOL EXCEDENTE</v>
      </c>
    </row>
    <row r="1144" spans="1:7" x14ac:dyDescent="0.25">
      <c r="A1144" s="10">
        <v>2024</v>
      </c>
      <c r="B1144" s="10" t="s">
        <v>133</v>
      </c>
      <c r="C1144" s="10" t="s">
        <v>169</v>
      </c>
      <c r="D1144" s="10" t="s">
        <v>22</v>
      </c>
      <c r="E1144" s="25" t="str">
        <f>VLOOKUP(D1144,'[2]Lista de Produtos CLASSIFICAÇÃO'!$E$103:$F$114,2,FALSE)</f>
        <v>Metanol</v>
      </c>
      <c r="F1144" s="61">
        <v>67000</v>
      </c>
      <c r="G1144" t="str">
        <f>VLOOKUP(Tabela1[[#This Row],[Cliente]],clientes!$C$3:$D$60,2,FALSE)</f>
        <v>METHANEX</v>
      </c>
    </row>
    <row r="1145" spans="1:7" x14ac:dyDescent="0.25">
      <c r="A1145" s="10">
        <v>2024</v>
      </c>
      <c r="B1145" s="10" t="s">
        <v>133</v>
      </c>
      <c r="C1145" s="10" t="s">
        <v>170</v>
      </c>
      <c r="D1145" s="10" t="s">
        <v>22</v>
      </c>
      <c r="E1145" s="25" t="str">
        <f>VLOOKUP(D1145,'[2]Lista de Produtos CLASSIFICAÇÃO'!$E$103:$F$114,2,FALSE)</f>
        <v>Metanol</v>
      </c>
      <c r="F1145" s="61">
        <v>15000</v>
      </c>
      <c r="G1145" t="str">
        <f>VLOOKUP(Tabela1[[#This Row],[Cliente]],clientes!$C$3:$D$60,2,FALSE)</f>
        <v>MITSUBISHI</v>
      </c>
    </row>
    <row r="1146" spans="1:7" x14ac:dyDescent="0.25">
      <c r="A1146" s="10">
        <v>2024</v>
      </c>
      <c r="B1146" s="10" t="s">
        <v>133</v>
      </c>
      <c r="C1146" s="10" t="s">
        <v>171</v>
      </c>
      <c r="D1146" s="10" t="s">
        <v>22</v>
      </c>
      <c r="E1146" s="25" t="str">
        <f>VLOOKUP(D1146,'[2]Lista de Produtos CLASSIFICAÇÃO'!$E$103:$F$114,2,FALSE)</f>
        <v>Metanol</v>
      </c>
      <c r="F1146" s="61">
        <v>23000</v>
      </c>
      <c r="G1146" t="str">
        <f>VLOOKUP(Tabela1[[#This Row],[Cliente]],clientes!$C$3:$D$60,2,FALSE)</f>
        <v>VALENZ</v>
      </c>
    </row>
    <row r="1147" spans="1:7" x14ac:dyDescent="0.25">
      <c r="A1147" s="10">
        <v>2024</v>
      </c>
      <c r="B1147" s="10" t="s">
        <v>133</v>
      </c>
      <c r="C1147" s="10" t="s">
        <v>172</v>
      </c>
      <c r="D1147" s="10" t="s">
        <v>124</v>
      </c>
      <c r="E1147" s="25" t="str">
        <f>VLOOKUP(D1147,'[2]Lista de Produtos CLASSIFICAÇÃO'!$E$103:$F$114,2,FALSE)</f>
        <v>Outros</v>
      </c>
      <c r="F1147" s="61">
        <v>1200</v>
      </c>
      <c r="G1147" t="str">
        <f>VLOOKUP(Tabela1[[#This Row],[Cliente]],clientes!$C$3:$D$60,2,FALSE)</f>
        <v>EVONIK</v>
      </c>
    </row>
    <row r="1148" spans="1:7" x14ac:dyDescent="0.25">
      <c r="A1148" s="10">
        <v>2024</v>
      </c>
      <c r="B1148" s="10" t="s">
        <v>133</v>
      </c>
      <c r="C1148" s="10" t="s">
        <v>173</v>
      </c>
      <c r="D1148" s="10" t="s">
        <v>22</v>
      </c>
      <c r="E1148" s="25" t="str">
        <f>VLOOKUP(D1148,'[2]Lista de Produtos CLASSIFICAÇÃO'!$E$103:$F$114,2,FALSE)</f>
        <v>Metanol</v>
      </c>
      <c r="F1148" s="61">
        <v>5000</v>
      </c>
      <c r="G1148" t="str">
        <f>VLOOKUP(Tabela1[[#This Row],[Cliente]],clientes!$C$3:$D$60,2,FALSE)</f>
        <v>YPF SOCIEDAD ANONIMA</v>
      </c>
    </row>
    <row r="1149" spans="1:7" x14ac:dyDescent="0.25">
      <c r="A1149" s="10">
        <v>2024</v>
      </c>
      <c r="B1149" s="10" t="s">
        <v>133</v>
      </c>
      <c r="C1149" s="10" t="s">
        <v>174</v>
      </c>
      <c r="D1149" s="10" t="s">
        <v>123</v>
      </c>
      <c r="E1149" s="25" t="str">
        <f>VLOOKUP(D1149,'[2]Lista de Produtos CLASSIFICAÇÃO'!$E$103:$F$114,2,FALSE)</f>
        <v>Aquecidos</v>
      </c>
      <c r="F1149" s="61">
        <v>2000</v>
      </c>
      <c r="G1149" t="str">
        <f>VLOOKUP(Tabela1[[#This Row],[Cliente]],clientes!$C$3:$D$60,2,FALSE)</f>
        <v>CELENA</v>
      </c>
    </row>
    <row r="1150" spans="1:7" x14ac:dyDescent="0.25">
      <c r="A1150" s="10">
        <v>2024</v>
      </c>
      <c r="B1150" s="10" t="s">
        <v>133</v>
      </c>
      <c r="C1150" s="10" t="s">
        <v>175</v>
      </c>
      <c r="D1150" s="10" t="s">
        <v>123</v>
      </c>
      <c r="E1150" s="25" t="str">
        <f>VLOOKUP(D1150,'[2]Lista de Produtos CLASSIFICAÇÃO'!$E$103:$F$114,2,FALSE)</f>
        <v>Aquecidos</v>
      </c>
      <c r="F1150" s="61">
        <v>1700</v>
      </c>
      <c r="G1150" t="str">
        <f>VLOOKUP(Tabela1[[#This Row],[Cliente]],clientes!$C$3:$D$60,2,FALSE)</f>
        <v>AAK DO BRASIL</v>
      </c>
    </row>
    <row r="1151" spans="1:7" x14ac:dyDescent="0.25">
      <c r="A1151" s="10">
        <v>2024</v>
      </c>
      <c r="B1151" s="10" t="s">
        <v>133</v>
      </c>
      <c r="C1151" s="10" t="s">
        <v>166</v>
      </c>
      <c r="D1151" s="10" t="s">
        <v>122</v>
      </c>
      <c r="E1151" s="25" t="str">
        <f>VLOOKUP(D1151,'[2]Lista de Produtos CLASSIFICAÇÃO'!$E$103:$F$114,2,FALSE)</f>
        <v>Óleo Vegetal</v>
      </c>
      <c r="F1151" s="61"/>
      <c r="G1151" t="str">
        <f>VLOOKUP(Tabela1[[#This Row],[Cliente]],clientes!$C$3:$D$60,2,FALSE)</f>
        <v>CARGILL</v>
      </c>
    </row>
    <row r="1152" spans="1:7" x14ac:dyDescent="0.25">
      <c r="A1152" s="10">
        <v>2024</v>
      </c>
      <c r="B1152" s="10" t="s">
        <v>133</v>
      </c>
      <c r="C1152" s="10" t="s">
        <v>176</v>
      </c>
      <c r="D1152" s="10" t="s">
        <v>123</v>
      </c>
      <c r="E1152" s="25" t="str">
        <f>VLOOKUP(D1152,'[2]Lista de Produtos CLASSIFICAÇÃO'!$E$103:$F$114,2,FALSE)</f>
        <v>Aquecidos</v>
      </c>
      <c r="F1152" s="61">
        <v>2150</v>
      </c>
      <c r="G1152" t="str">
        <f>VLOOKUP(Tabela1[[#This Row],[Cliente]],clientes!$C$3:$D$60,2,FALSE)</f>
        <v>AGROPALMA</v>
      </c>
    </row>
    <row r="1153" spans="1:7" x14ac:dyDescent="0.25">
      <c r="A1153" s="10">
        <v>2024</v>
      </c>
      <c r="B1153" s="10" t="s">
        <v>133</v>
      </c>
      <c r="C1153" s="10" t="s">
        <v>177</v>
      </c>
      <c r="D1153" s="10" t="s">
        <v>115</v>
      </c>
      <c r="E1153" s="25" t="str">
        <f>VLOOKUP(D1153,'[2]Lista de Produtos CLASSIFICAÇÃO'!$E$103:$F$114,2,FALSE)</f>
        <v>Soda Caustica</v>
      </c>
      <c r="F1153" s="61">
        <v>3000</v>
      </c>
      <c r="G1153" t="str">
        <f>VLOOKUP(Tabela1[[#This Row],[Cliente]],clientes!$C$3:$D$60,2,FALSE)</f>
        <v>BRENNTAG</v>
      </c>
    </row>
    <row r="1154" spans="1:7" x14ac:dyDescent="0.25">
      <c r="A1154" s="10">
        <v>2024</v>
      </c>
      <c r="B1154" s="10" t="s">
        <v>133</v>
      </c>
      <c r="C1154" s="10" t="s">
        <v>178</v>
      </c>
      <c r="D1154" s="10" t="s">
        <v>115</v>
      </c>
      <c r="E1154" s="25" t="str">
        <f>VLOOKUP(D1154,'[2]Lista de Produtos CLASSIFICAÇÃO'!$E$103:$F$114,2,FALSE)</f>
        <v>Soda Caustica</v>
      </c>
      <c r="F1154" s="61">
        <v>15000</v>
      </c>
      <c r="G1154" t="str">
        <f>VLOOKUP(Tabela1[[#This Row],[Cliente]],clientes!$C$3:$D$60,2,FALSE)</f>
        <v>OLIN BLUE CUBE</v>
      </c>
    </row>
    <row r="1155" spans="1:7" x14ac:dyDescent="0.25">
      <c r="A1155" s="10">
        <v>2024</v>
      </c>
      <c r="B1155" s="10" t="s">
        <v>133</v>
      </c>
      <c r="C1155" s="10" t="s">
        <v>179</v>
      </c>
      <c r="D1155" s="10" t="s">
        <v>26</v>
      </c>
      <c r="E1155" s="25" t="str">
        <f>VLOOKUP(D1155,'[2]Lista de Produtos CLASSIFICAÇÃO'!$E$103:$F$114,2,FALSE)</f>
        <v>Biocombustíveis</v>
      </c>
      <c r="F1155" s="61">
        <v>4000</v>
      </c>
      <c r="G1155" t="str">
        <f>VLOOKUP(Tabela1[[#This Row],[Cliente]],clientes!$C$3:$D$60,2,FALSE)</f>
        <v>BSBIOS</v>
      </c>
    </row>
    <row r="1156" spans="1:7" x14ac:dyDescent="0.25">
      <c r="A1156" s="10">
        <v>2024</v>
      </c>
      <c r="B1156" s="10" t="s">
        <v>133</v>
      </c>
      <c r="C1156" s="10" t="s">
        <v>180</v>
      </c>
      <c r="D1156" s="10" t="s">
        <v>30</v>
      </c>
      <c r="E1156" s="25" t="str">
        <f>VLOOKUP(D1156,'[2]Lista de Produtos CLASSIFICAÇÃO'!$E$103:$F$114,2,FALSE)</f>
        <v>Outros</v>
      </c>
      <c r="F1156" s="61"/>
      <c r="G1156" t="str">
        <f>VLOOKUP(Tabela1[[#This Row],[Cliente]],clientes!$C$3:$D$60,2,FALSE)</f>
        <v>TRICHEM</v>
      </c>
    </row>
    <row r="1157" spans="1:7" x14ac:dyDescent="0.25">
      <c r="A1157" s="10">
        <v>2024</v>
      </c>
      <c r="B1157" s="10" t="s">
        <v>133</v>
      </c>
      <c r="C1157" s="10" t="s">
        <v>181</v>
      </c>
      <c r="D1157" s="10" t="s">
        <v>123</v>
      </c>
      <c r="E1157" s="25" t="str">
        <f>VLOOKUP(D1157,'[2]Lista de Produtos CLASSIFICAÇÃO'!$E$103:$F$114,2,FALSE)</f>
        <v>Aquecidos</v>
      </c>
      <c r="F1157" s="61">
        <v>1600</v>
      </c>
      <c r="G1157" t="str">
        <f>VLOOKUP(Tabela1[[#This Row],[Cliente]],clientes!$C$3:$D$60,2,FALSE)</f>
        <v>COAMO</v>
      </c>
    </row>
    <row r="1158" spans="1:7" x14ac:dyDescent="0.25">
      <c r="A1158" s="10">
        <v>2024</v>
      </c>
      <c r="B1158" s="10" t="s">
        <v>133</v>
      </c>
      <c r="C1158" s="10" t="s">
        <v>182</v>
      </c>
      <c r="D1158" s="10" t="s">
        <v>120</v>
      </c>
      <c r="E1158" s="25" t="str">
        <f>VLOOKUP(D1158,'[2]Lista de Produtos CLASSIFICAÇÃO'!$E$103:$F$114,2,FALSE)</f>
        <v>Derivados</v>
      </c>
      <c r="F1158" s="61">
        <v>8300</v>
      </c>
      <c r="G1158" t="str">
        <f>VLOOKUP(Tabela1[[#This Row],[Cliente]],clientes!$C$3:$D$60,2,FALSE)</f>
        <v>ATEM</v>
      </c>
    </row>
    <row r="1159" spans="1:7" x14ac:dyDescent="0.25">
      <c r="A1159" s="10">
        <v>2024</v>
      </c>
      <c r="B1159" s="10" t="s">
        <v>133</v>
      </c>
      <c r="C1159" s="10" t="s">
        <v>174</v>
      </c>
      <c r="D1159" s="10" t="s">
        <v>123</v>
      </c>
      <c r="E1159" s="25" t="str">
        <f>VLOOKUP(D1159,'[2]Lista de Produtos CLASSIFICAÇÃO'!$E$103:$F$114,2,FALSE)</f>
        <v>Aquecidos</v>
      </c>
      <c r="F1159" s="61"/>
      <c r="G1159" t="str">
        <f>VLOOKUP(Tabela1[[#This Row],[Cliente]],clientes!$C$3:$D$60,2,FALSE)</f>
        <v>CELENA</v>
      </c>
    </row>
    <row r="1160" spans="1:7" x14ac:dyDescent="0.25">
      <c r="A1160" s="10">
        <v>2024</v>
      </c>
      <c r="B1160" s="10" t="s">
        <v>133</v>
      </c>
      <c r="C1160" s="10" t="s">
        <v>173</v>
      </c>
      <c r="D1160" s="10" t="s">
        <v>183</v>
      </c>
      <c r="E1160" s="25" t="str">
        <f>VLOOKUP(D1160,'[2]Lista de Produtos CLASSIFICAÇÃO'!$E$103:$F$114,2,FALSE)</f>
        <v>Outros</v>
      </c>
      <c r="F1160" s="61"/>
      <c r="G1160" t="str">
        <f>VLOOKUP(Tabela1[[#This Row],[Cliente]],clientes!$C$3:$D$60,2,FALSE)</f>
        <v>YPF SOCIEDAD ANONIMA</v>
      </c>
    </row>
    <row r="1161" spans="1:7" x14ac:dyDescent="0.25">
      <c r="A1161" s="10">
        <v>2024</v>
      </c>
      <c r="B1161" s="10" t="s">
        <v>133</v>
      </c>
      <c r="C1161" s="10" t="s">
        <v>184</v>
      </c>
      <c r="D1161" s="10" t="s">
        <v>122</v>
      </c>
      <c r="E1161" s="25" t="str">
        <f>VLOOKUP(D1161,'[2]Lista de Produtos CLASSIFICAÇÃO'!$E$103:$F$114,2,FALSE)</f>
        <v>Óleo Vegetal</v>
      </c>
      <c r="F1161" s="61">
        <v>2500</v>
      </c>
      <c r="G1161" t="str">
        <f>VLOOKUP(Tabela1[[#This Row],[Cliente]],clientes!$C$3:$D$60,2,FALSE)</f>
        <v>INGREDION</v>
      </c>
    </row>
    <row r="1162" spans="1:7" x14ac:dyDescent="0.25">
      <c r="A1162" s="10">
        <v>2024</v>
      </c>
      <c r="B1162" s="10" t="s">
        <v>133</v>
      </c>
      <c r="C1162" s="10" t="s">
        <v>185</v>
      </c>
      <c r="D1162" s="10" t="s">
        <v>120</v>
      </c>
      <c r="E1162" s="25" t="str">
        <f>VLOOKUP(D1162,'[2]Lista de Produtos CLASSIFICAÇÃO'!$E$103:$F$114,2,FALSE)</f>
        <v>Derivados</v>
      </c>
      <c r="F1162" s="61">
        <v>12450</v>
      </c>
      <c r="G1162" t="str">
        <f>VLOOKUP(Tabela1[[#This Row],[Cliente]],clientes!$C$3:$D$60,2,FALSE)</f>
        <v>CIAPETRO</v>
      </c>
    </row>
    <row r="1163" spans="1:7" x14ac:dyDescent="0.25">
      <c r="A1163" s="10">
        <v>2024</v>
      </c>
      <c r="B1163" s="10" t="s">
        <v>133</v>
      </c>
      <c r="C1163" s="10" t="s">
        <v>186</v>
      </c>
      <c r="D1163" s="10" t="s">
        <v>22</v>
      </c>
      <c r="E1163" s="25" t="str">
        <f>VLOOKUP(D1163,'[2]Lista de Produtos CLASSIFICAÇÃO'!$E$103:$F$114,2,FALSE)</f>
        <v>Metanol</v>
      </c>
      <c r="F1163" s="61"/>
      <c r="G1163" t="str">
        <f>VLOOKUP(Tabela1[[#This Row],[Cliente]],clientes!$C$3:$D$60,2,FALSE)</f>
        <v>OQ TRADING</v>
      </c>
    </row>
    <row r="1164" spans="1:7" x14ac:dyDescent="0.25">
      <c r="A1164" s="10">
        <v>2024</v>
      </c>
      <c r="B1164" s="10" t="s">
        <v>133</v>
      </c>
      <c r="C1164" s="10" t="s">
        <v>187</v>
      </c>
      <c r="D1164" s="10" t="s">
        <v>121</v>
      </c>
      <c r="E1164" s="25" t="str">
        <f>VLOOKUP(D1164,'[2]Lista de Produtos CLASSIFICAÇÃO'!$E$103:$F$114,2,FALSE)</f>
        <v>Biocombustíveis</v>
      </c>
      <c r="F1164" s="61">
        <v>8000</v>
      </c>
      <c r="G1164" t="str">
        <f>VLOOKUP(Tabela1[[#This Row],[Cliente]],clientes!$C$3:$D$60,2,FALSE)</f>
        <v>TEREOS / INPASA / GLENCORE / FS</v>
      </c>
    </row>
    <row r="1165" spans="1:7" x14ac:dyDescent="0.25">
      <c r="A1165" s="10">
        <v>2024</v>
      </c>
      <c r="B1165" s="10" t="s">
        <v>133</v>
      </c>
      <c r="C1165" s="10" t="s">
        <v>188</v>
      </c>
      <c r="D1165" s="10" t="s">
        <v>123</v>
      </c>
      <c r="E1165" s="25" t="str">
        <f>VLOOKUP(D1165,'[2]Lista de Produtos CLASSIFICAÇÃO'!$E$103:$F$114,2,FALSE)</f>
        <v>Aquecidos</v>
      </c>
      <c r="F1165" s="61">
        <v>3250</v>
      </c>
      <c r="G1165" t="str">
        <f>VLOOKUP(Tabela1[[#This Row],[Cliente]],clientes!$C$3:$D$60,2,FALSE)</f>
        <v>ARES MERCHANTS PTE LIMITE</v>
      </c>
    </row>
    <row r="1166" spans="1:7" x14ac:dyDescent="0.25">
      <c r="A1166" s="10">
        <v>2024</v>
      </c>
      <c r="B1166" s="10" t="s">
        <v>133</v>
      </c>
      <c r="C1166" s="10" t="s">
        <v>18</v>
      </c>
      <c r="D1166" s="10" t="s">
        <v>17</v>
      </c>
      <c r="E1166" s="25" t="str">
        <f>VLOOKUP(D1166,'[2]Lista de Produtos CLASSIFICAÇÃO'!$E$103:$F$114,2,FALSE)</f>
        <v>Acostagem</v>
      </c>
      <c r="F1166" s="61"/>
      <c r="G1166" t="str">
        <f>VLOOKUP(Tabela1[[#This Row],[Cliente]],clientes!$C$3:$D$60,2,FALSE)</f>
        <v>ACOSTAGEM</v>
      </c>
    </row>
    <row r="1167" spans="1:7" x14ac:dyDescent="0.25">
      <c r="A1167" s="10">
        <v>2024</v>
      </c>
      <c r="B1167" s="10" t="s">
        <v>133</v>
      </c>
      <c r="C1167" s="10" t="s">
        <v>189</v>
      </c>
      <c r="D1167" s="10" t="s">
        <v>123</v>
      </c>
      <c r="E1167" s="25" t="str">
        <f>VLOOKUP(D1167,'[2]Lista de Produtos CLASSIFICAÇÃO'!$E$103:$F$114,2,FALSE)</f>
        <v>Aquecidos</v>
      </c>
      <c r="F1167" s="61">
        <v>2789</v>
      </c>
      <c r="G1167" t="str">
        <f>VLOOKUP(Tabela1[[#This Row],[Cliente]],clientes!$C$3:$D$60,2,FALSE)</f>
        <v>ICOF</v>
      </c>
    </row>
    <row r="1168" spans="1:7" x14ac:dyDescent="0.25">
      <c r="A1168" s="10">
        <v>2024</v>
      </c>
      <c r="B1168" s="10" t="s">
        <v>134</v>
      </c>
      <c r="C1168" s="10" t="s">
        <v>155</v>
      </c>
      <c r="D1168" s="10" t="s">
        <v>16</v>
      </c>
      <c r="E1168" s="25" t="str">
        <f>VLOOKUP(D1168,'[2]Lista de Produtos CLASSIFICAÇÃO'!$E$103:$F$114,2,FALSE)</f>
        <v>Outros</v>
      </c>
      <c r="F1168" s="61">
        <v>4700</v>
      </c>
      <c r="G1168" t="str">
        <f>VLOOKUP(Tabela1[[#This Row],[Cliente]],clientes!$C$3:$D$60,2,FALSE)</f>
        <v>ADISSEO</v>
      </c>
    </row>
    <row r="1169" spans="1:7" x14ac:dyDescent="0.25">
      <c r="A1169" s="10">
        <v>2024</v>
      </c>
      <c r="B1169" s="10" t="s">
        <v>134</v>
      </c>
      <c r="C1169" s="10" t="s">
        <v>156</v>
      </c>
      <c r="D1169" s="10" t="s">
        <v>123</v>
      </c>
      <c r="E1169" s="25" t="str">
        <f>VLOOKUP(D1169,'[2]Lista de Produtos CLASSIFICAÇÃO'!$E$103:$F$114,2,FALSE)</f>
        <v>Aquecidos</v>
      </c>
      <c r="F1169" s="61">
        <v>1500</v>
      </c>
      <c r="G1169" t="str">
        <f>VLOOKUP(Tabela1[[#This Row],[Cliente]],clientes!$C$3:$D$60,2,FALSE)</f>
        <v>BUNGE</v>
      </c>
    </row>
    <row r="1170" spans="1:7" x14ac:dyDescent="0.25">
      <c r="A1170" s="10">
        <v>2024</v>
      </c>
      <c r="B1170" s="10" t="s">
        <v>134</v>
      </c>
      <c r="C1170" s="10" t="s">
        <v>157</v>
      </c>
      <c r="D1170" s="10" t="s">
        <v>122</v>
      </c>
      <c r="E1170" s="25" t="str">
        <f>VLOOKUP(D1170,'[2]Lista de Produtos CLASSIFICAÇÃO'!$E$103:$F$114,2,FALSE)</f>
        <v>Óleo Vegetal</v>
      </c>
      <c r="F1170" s="61">
        <v>3000</v>
      </c>
      <c r="G1170" t="str">
        <f>VLOOKUP(Tabela1[[#This Row],[Cliente]],clientes!$C$3:$D$60,2,FALSE)</f>
        <v>ADM</v>
      </c>
    </row>
    <row r="1171" spans="1:7" x14ac:dyDescent="0.25">
      <c r="A1171" s="10">
        <v>2024</v>
      </c>
      <c r="B1171" s="10" t="s">
        <v>134</v>
      </c>
      <c r="C1171" s="10" t="s">
        <v>158</v>
      </c>
      <c r="D1171" s="10" t="s">
        <v>120</v>
      </c>
      <c r="E1171" s="25" t="str">
        <f>VLOOKUP(D1171,'[2]Lista de Produtos CLASSIFICAÇÃO'!$E$103:$F$114,2,FALSE)</f>
        <v>Derivados</v>
      </c>
      <c r="F1171" s="61">
        <v>86859</v>
      </c>
      <c r="G1171" t="str">
        <f>VLOOKUP(Tabela1[[#This Row],[Cliente]],clientes!$C$3:$D$60,2,FALSE)</f>
        <v>IPIRANGA</v>
      </c>
    </row>
    <row r="1172" spans="1:7" x14ac:dyDescent="0.25">
      <c r="A1172" s="10">
        <v>2024</v>
      </c>
      <c r="B1172" s="10" t="s">
        <v>134</v>
      </c>
      <c r="C1172" s="10" t="s">
        <v>159</v>
      </c>
      <c r="D1172" s="10" t="s">
        <v>120</v>
      </c>
      <c r="E1172" s="25" t="str">
        <f>VLOOKUP(D1172,'[2]Lista de Produtos CLASSIFICAÇÃO'!$E$103:$F$114,2,FALSE)</f>
        <v>Derivados</v>
      </c>
      <c r="F1172" s="61">
        <v>30000</v>
      </c>
      <c r="G1172" t="str">
        <f>VLOOKUP(Tabela1[[#This Row],[Cliente]],clientes!$C$3:$D$60,2,FALSE)</f>
        <v>RAIZEN</v>
      </c>
    </row>
    <row r="1173" spans="1:7" x14ac:dyDescent="0.25">
      <c r="A1173" s="10">
        <v>2024</v>
      </c>
      <c r="B1173" s="10" t="s">
        <v>134</v>
      </c>
      <c r="C1173" s="10" t="s">
        <v>160</v>
      </c>
      <c r="D1173" s="10" t="s">
        <v>120</v>
      </c>
      <c r="E1173" s="25" t="str">
        <f>VLOOKUP(D1173,'[2]Lista de Produtos CLASSIFICAÇÃO'!$E$103:$F$114,2,FALSE)</f>
        <v>Derivados</v>
      </c>
      <c r="F1173" s="61">
        <v>15000</v>
      </c>
      <c r="G1173" t="str">
        <f>VLOOKUP(Tabela1[[#This Row],[Cliente]],clientes!$C$3:$D$60,2,FALSE)</f>
        <v>VIBRA</v>
      </c>
    </row>
    <row r="1174" spans="1:7" x14ac:dyDescent="0.25">
      <c r="A1174" s="10">
        <v>2024</v>
      </c>
      <c r="B1174" s="10" t="s">
        <v>134</v>
      </c>
      <c r="C1174" s="10" t="s">
        <v>161</v>
      </c>
      <c r="D1174" s="10" t="s">
        <v>120</v>
      </c>
      <c r="E1174" s="25" t="str">
        <f>VLOOKUP(D1174,'[2]Lista de Produtos CLASSIFICAÇÃO'!$E$103:$F$114,2,FALSE)</f>
        <v>Derivados</v>
      </c>
      <c r="F1174" s="61">
        <v>44820</v>
      </c>
      <c r="G1174" t="str">
        <f>VLOOKUP(Tabela1[[#This Row],[Cliente]],clientes!$C$3:$D$60,2,FALSE)</f>
        <v>SUL PLATA</v>
      </c>
    </row>
    <row r="1175" spans="1:7" x14ac:dyDescent="0.25">
      <c r="A1175" s="10">
        <v>2024</v>
      </c>
      <c r="B1175" s="10" t="s">
        <v>134</v>
      </c>
      <c r="C1175" s="10" t="s">
        <v>162</v>
      </c>
      <c r="D1175" s="10" t="s">
        <v>115</v>
      </c>
      <c r="E1175" s="25" t="str">
        <f>VLOOKUP(D1175,'[2]Lista de Produtos CLASSIFICAÇÃO'!$E$103:$F$114,2,FALSE)</f>
        <v>Soda Caustica</v>
      </c>
      <c r="F1175" s="61">
        <v>1500</v>
      </c>
      <c r="G1175" t="str">
        <f>VLOOKUP(Tabela1[[#This Row],[Cliente]],clientes!$C$3:$D$60,2,FALSE)</f>
        <v>JBS</v>
      </c>
    </row>
    <row r="1176" spans="1:7" x14ac:dyDescent="0.25">
      <c r="A1176" s="10">
        <v>2024</v>
      </c>
      <c r="B1176" s="10" t="s">
        <v>134</v>
      </c>
      <c r="C1176" s="10" t="s">
        <v>163</v>
      </c>
      <c r="D1176" s="10" t="s">
        <v>115</v>
      </c>
      <c r="E1176" s="25" t="str">
        <f>VLOOKUP(D1176,'[2]Lista de Produtos CLASSIFICAÇÃO'!$E$103:$F$114,2,FALSE)</f>
        <v>Soda Caustica</v>
      </c>
      <c r="F1176" s="61">
        <v>1500</v>
      </c>
      <c r="G1176" t="str">
        <f>VLOOKUP(Tabela1[[#This Row],[Cliente]],clientes!$C$3:$D$60,2,FALSE)</f>
        <v>TRICON ENERGY</v>
      </c>
    </row>
    <row r="1177" spans="1:7" x14ac:dyDescent="0.25">
      <c r="A1177" s="10">
        <v>2024</v>
      </c>
      <c r="B1177" s="10" t="s">
        <v>134</v>
      </c>
      <c r="C1177" s="10" t="s">
        <v>164</v>
      </c>
      <c r="D1177" s="10" t="s">
        <v>115</v>
      </c>
      <c r="E1177" s="25" t="str">
        <f>VLOOKUP(D1177,'[2]Lista de Produtos CLASSIFICAÇÃO'!$E$103:$F$114,2,FALSE)</f>
        <v>Soda Caustica</v>
      </c>
      <c r="F1177" s="61">
        <v>3400</v>
      </c>
      <c r="G1177" t="str">
        <f>VLOOKUP(Tabela1[[#This Row],[Cliente]],clientes!$C$3:$D$60,2,FALSE)</f>
        <v>BRASKEM</v>
      </c>
    </row>
    <row r="1178" spans="1:7" x14ac:dyDescent="0.25">
      <c r="A1178" s="10">
        <v>2024</v>
      </c>
      <c r="B1178" s="10" t="s">
        <v>134</v>
      </c>
      <c r="C1178" s="10" t="s">
        <v>165</v>
      </c>
      <c r="D1178" s="10" t="s">
        <v>123</v>
      </c>
      <c r="E1178" s="25" t="str">
        <f>VLOOKUP(D1178,'[2]Lista de Produtos CLASSIFICAÇÃO'!$E$103:$F$114,2,FALSE)</f>
        <v>Aquecidos</v>
      </c>
      <c r="F1178" s="61">
        <v>4000</v>
      </c>
      <c r="G1178" t="str">
        <f>VLOOKUP(Tabela1[[#This Row],[Cliente]],clientes!$C$3:$D$60,2,FALSE)</f>
        <v>BRF</v>
      </c>
    </row>
    <row r="1179" spans="1:7" x14ac:dyDescent="0.25">
      <c r="A1179" s="10">
        <v>2024</v>
      </c>
      <c r="B1179" s="10" t="s">
        <v>134</v>
      </c>
      <c r="C1179" s="10" t="s">
        <v>162</v>
      </c>
      <c r="D1179" s="10" t="s">
        <v>123</v>
      </c>
      <c r="E1179" s="25" t="str">
        <f>VLOOKUP(D1179,'[2]Lista de Produtos CLASSIFICAÇÃO'!$E$103:$F$114,2,FALSE)</f>
        <v>Aquecidos</v>
      </c>
      <c r="F1179" s="61">
        <v>2400</v>
      </c>
      <c r="G1179" t="str">
        <f>VLOOKUP(Tabela1[[#This Row],[Cliente]],clientes!$C$3:$D$60,2,FALSE)</f>
        <v>JBS</v>
      </c>
    </row>
    <row r="1180" spans="1:7" x14ac:dyDescent="0.25">
      <c r="A1180" s="10">
        <v>2024</v>
      </c>
      <c r="B1180" s="10" t="s">
        <v>134</v>
      </c>
      <c r="C1180" s="10" t="s">
        <v>166</v>
      </c>
      <c r="D1180" s="10" t="s">
        <v>123</v>
      </c>
      <c r="E1180" s="25" t="str">
        <f>VLOOKUP(D1180,'[2]Lista de Produtos CLASSIFICAÇÃO'!$E$103:$F$114,2,FALSE)</f>
        <v>Aquecidos</v>
      </c>
      <c r="F1180" s="61">
        <v>1500</v>
      </c>
      <c r="G1180" t="str">
        <f>VLOOKUP(Tabela1[[#This Row],[Cliente]],clientes!$C$3:$D$60,2,FALSE)</f>
        <v>CARGILL</v>
      </c>
    </row>
    <row r="1181" spans="1:7" x14ac:dyDescent="0.25">
      <c r="A1181" s="10">
        <v>2024</v>
      </c>
      <c r="B1181" s="10" t="s">
        <v>134</v>
      </c>
      <c r="C1181" s="10" t="s">
        <v>167</v>
      </c>
      <c r="D1181" s="10" t="s">
        <v>122</v>
      </c>
      <c r="E1181" s="25" t="str">
        <f>VLOOKUP(D1181,'[2]Lista de Produtos CLASSIFICAÇÃO'!$E$103:$F$114,2,FALSE)</f>
        <v>Óleo Vegetal</v>
      </c>
      <c r="F1181" s="61">
        <v>121082.72</v>
      </c>
      <c r="G1181" t="str">
        <f>VLOOKUP(Tabela1[[#This Row],[Cliente]],clientes!$C$3:$D$60,2,FALSE)</f>
        <v>POOL</v>
      </c>
    </row>
    <row r="1182" spans="1:7" x14ac:dyDescent="0.25">
      <c r="A1182" s="10">
        <v>2024</v>
      </c>
      <c r="B1182" s="10" t="s">
        <v>134</v>
      </c>
      <c r="C1182" s="10" t="s">
        <v>168</v>
      </c>
      <c r="D1182" s="10" t="s">
        <v>122</v>
      </c>
      <c r="E1182" s="25" t="str">
        <f>VLOOKUP(D1182,'[2]Lista de Produtos CLASSIFICAÇÃO'!$E$103:$F$114,2,FALSE)</f>
        <v>Óleo Vegetal</v>
      </c>
      <c r="F1182" s="61">
        <v>2000</v>
      </c>
      <c r="G1182" t="str">
        <f>VLOOKUP(Tabela1[[#This Row],[Cliente]],clientes!$C$3:$D$60,2,FALSE)</f>
        <v>POOL EXCEDENTE</v>
      </c>
    </row>
    <row r="1183" spans="1:7" x14ac:dyDescent="0.25">
      <c r="A1183" s="10">
        <v>2024</v>
      </c>
      <c r="B1183" s="10" t="s">
        <v>134</v>
      </c>
      <c r="C1183" s="10" t="s">
        <v>169</v>
      </c>
      <c r="D1183" s="10" t="s">
        <v>22</v>
      </c>
      <c r="E1183" s="25" t="str">
        <f>VLOOKUP(D1183,'[2]Lista de Produtos CLASSIFICAÇÃO'!$E$103:$F$114,2,FALSE)</f>
        <v>Metanol</v>
      </c>
      <c r="F1183" s="61">
        <v>67000</v>
      </c>
      <c r="G1183" t="str">
        <f>VLOOKUP(Tabela1[[#This Row],[Cliente]],clientes!$C$3:$D$60,2,FALSE)</f>
        <v>METHANEX</v>
      </c>
    </row>
    <row r="1184" spans="1:7" x14ac:dyDescent="0.25">
      <c r="A1184" s="10">
        <v>2024</v>
      </c>
      <c r="B1184" s="10" t="s">
        <v>134</v>
      </c>
      <c r="C1184" s="10" t="s">
        <v>170</v>
      </c>
      <c r="D1184" s="10" t="s">
        <v>22</v>
      </c>
      <c r="E1184" s="25" t="str">
        <f>VLOOKUP(D1184,'[2]Lista de Produtos CLASSIFICAÇÃO'!$E$103:$F$114,2,FALSE)</f>
        <v>Metanol</v>
      </c>
      <c r="F1184" s="61">
        <v>15000</v>
      </c>
      <c r="G1184" t="str">
        <f>VLOOKUP(Tabela1[[#This Row],[Cliente]],clientes!$C$3:$D$60,2,FALSE)</f>
        <v>MITSUBISHI</v>
      </c>
    </row>
    <row r="1185" spans="1:7" x14ac:dyDescent="0.25">
      <c r="A1185" s="10">
        <v>2024</v>
      </c>
      <c r="B1185" s="10" t="s">
        <v>134</v>
      </c>
      <c r="C1185" s="10" t="s">
        <v>171</v>
      </c>
      <c r="D1185" s="10" t="s">
        <v>22</v>
      </c>
      <c r="E1185" s="25" t="str">
        <f>VLOOKUP(D1185,'[2]Lista de Produtos CLASSIFICAÇÃO'!$E$103:$F$114,2,FALSE)</f>
        <v>Metanol</v>
      </c>
      <c r="F1185" s="61">
        <v>23000</v>
      </c>
      <c r="G1185" t="str">
        <f>VLOOKUP(Tabela1[[#This Row],[Cliente]],clientes!$C$3:$D$60,2,FALSE)</f>
        <v>VALENZ</v>
      </c>
    </row>
    <row r="1186" spans="1:7" x14ac:dyDescent="0.25">
      <c r="A1186" s="10">
        <v>2024</v>
      </c>
      <c r="B1186" s="10" t="s">
        <v>134</v>
      </c>
      <c r="C1186" s="10" t="s">
        <v>172</v>
      </c>
      <c r="D1186" s="10" t="s">
        <v>124</v>
      </c>
      <c r="E1186" s="25" t="str">
        <f>VLOOKUP(D1186,'[2]Lista de Produtos CLASSIFICAÇÃO'!$E$103:$F$114,2,FALSE)</f>
        <v>Outros</v>
      </c>
      <c r="F1186" s="61">
        <v>1200</v>
      </c>
      <c r="G1186" t="str">
        <f>VLOOKUP(Tabela1[[#This Row],[Cliente]],clientes!$C$3:$D$60,2,FALSE)</f>
        <v>EVONIK</v>
      </c>
    </row>
    <row r="1187" spans="1:7" x14ac:dyDescent="0.25">
      <c r="A1187" s="10">
        <v>2024</v>
      </c>
      <c r="B1187" s="10" t="s">
        <v>134</v>
      </c>
      <c r="C1187" s="10" t="s">
        <v>173</v>
      </c>
      <c r="D1187" s="10" t="s">
        <v>22</v>
      </c>
      <c r="E1187" s="25" t="str">
        <f>VLOOKUP(D1187,'[2]Lista de Produtos CLASSIFICAÇÃO'!$E$103:$F$114,2,FALSE)</f>
        <v>Metanol</v>
      </c>
      <c r="F1187" s="61"/>
      <c r="G1187" t="str">
        <f>VLOOKUP(Tabela1[[#This Row],[Cliente]],clientes!$C$3:$D$60,2,FALSE)</f>
        <v>YPF SOCIEDAD ANONIMA</v>
      </c>
    </row>
    <row r="1188" spans="1:7" x14ac:dyDescent="0.25">
      <c r="A1188" s="10">
        <v>2024</v>
      </c>
      <c r="B1188" s="10" t="s">
        <v>134</v>
      </c>
      <c r="C1188" s="10" t="s">
        <v>174</v>
      </c>
      <c r="D1188" s="10" t="s">
        <v>123</v>
      </c>
      <c r="E1188" s="25" t="str">
        <f>VLOOKUP(D1188,'[2]Lista de Produtos CLASSIFICAÇÃO'!$E$103:$F$114,2,FALSE)</f>
        <v>Aquecidos</v>
      </c>
      <c r="F1188" s="61">
        <v>2000</v>
      </c>
      <c r="G1188" t="str">
        <f>VLOOKUP(Tabela1[[#This Row],[Cliente]],clientes!$C$3:$D$60,2,FALSE)</f>
        <v>CELENA</v>
      </c>
    </row>
    <row r="1189" spans="1:7" x14ac:dyDescent="0.25">
      <c r="A1189" s="10">
        <v>2024</v>
      </c>
      <c r="B1189" s="10" t="s">
        <v>134</v>
      </c>
      <c r="C1189" s="10" t="s">
        <v>175</v>
      </c>
      <c r="D1189" s="10" t="s">
        <v>123</v>
      </c>
      <c r="E1189" s="25" t="str">
        <f>VLOOKUP(D1189,'[2]Lista de Produtos CLASSIFICAÇÃO'!$E$103:$F$114,2,FALSE)</f>
        <v>Aquecidos</v>
      </c>
      <c r="F1189" s="61">
        <v>1700</v>
      </c>
      <c r="G1189" t="str">
        <f>VLOOKUP(Tabela1[[#This Row],[Cliente]],clientes!$C$3:$D$60,2,FALSE)</f>
        <v>AAK DO BRASIL</v>
      </c>
    </row>
    <row r="1190" spans="1:7" x14ac:dyDescent="0.25">
      <c r="A1190" s="10">
        <v>2024</v>
      </c>
      <c r="B1190" s="10" t="s">
        <v>134</v>
      </c>
      <c r="C1190" s="10" t="s">
        <v>166</v>
      </c>
      <c r="D1190" s="10" t="s">
        <v>122</v>
      </c>
      <c r="E1190" s="25" t="str">
        <f>VLOOKUP(D1190,'[2]Lista de Produtos CLASSIFICAÇÃO'!$E$103:$F$114,2,FALSE)</f>
        <v>Óleo Vegetal</v>
      </c>
      <c r="F1190" s="61">
        <v>4500</v>
      </c>
      <c r="G1190" t="str">
        <f>VLOOKUP(Tabela1[[#This Row],[Cliente]],clientes!$C$3:$D$60,2,FALSE)</f>
        <v>CARGILL</v>
      </c>
    </row>
    <row r="1191" spans="1:7" x14ac:dyDescent="0.25">
      <c r="A1191" s="10">
        <v>2024</v>
      </c>
      <c r="B1191" s="10" t="s">
        <v>134</v>
      </c>
      <c r="C1191" s="10" t="s">
        <v>176</v>
      </c>
      <c r="D1191" s="10" t="s">
        <v>123</v>
      </c>
      <c r="E1191" s="25" t="str">
        <f>VLOOKUP(D1191,'[2]Lista de Produtos CLASSIFICAÇÃO'!$E$103:$F$114,2,FALSE)</f>
        <v>Aquecidos</v>
      </c>
      <c r="F1191" s="61">
        <v>2150</v>
      </c>
      <c r="G1191" t="str">
        <f>VLOOKUP(Tabela1[[#This Row],[Cliente]],clientes!$C$3:$D$60,2,FALSE)</f>
        <v>AGROPALMA</v>
      </c>
    </row>
    <row r="1192" spans="1:7" x14ac:dyDescent="0.25">
      <c r="A1192" s="10">
        <v>2024</v>
      </c>
      <c r="B1192" s="10" t="s">
        <v>134</v>
      </c>
      <c r="C1192" s="10" t="s">
        <v>177</v>
      </c>
      <c r="D1192" s="10" t="s">
        <v>115</v>
      </c>
      <c r="E1192" s="25" t="str">
        <f>VLOOKUP(D1192,'[2]Lista de Produtos CLASSIFICAÇÃO'!$E$103:$F$114,2,FALSE)</f>
        <v>Soda Caustica</v>
      </c>
      <c r="F1192" s="61">
        <v>3000</v>
      </c>
      <c r="G1192" t="str">
        <f>VLOOKUP(Tabela1[[#This Row],[Cliente]],clientes!$C$3:$D$60,2,FALSE)</f>
        <v>BRENNTAG</v>
      </c>
    </row>
    <row r="1193" spans="1:7" x14ac:dyDescent="0.25">
      <c r="A1193" s="10">
        <v>2024</v>
      </c>
      <c r="B1193" s="10" t="s">
        <v>134</v>
      </c>
      <c r="C1193" s="10" t="s">
        <v>178</v>
      </c>
      <c r="D1193" s="10" t="s">
        <v>115</v>
      </c>
      <c r="E1193" s="25" t="str">
        <f>VLOOKUP(D1193,'[2]Lista de Produtos CLASSIFICAÇÃO'!$E$103:$F$114,2,FALSE)</f>
        <v>Soda Caustica</v>
      </c>
      <c r="F1193" s="61">
        <v>15000</v>
      </c>
      <c r="G1193" t="str">
        <f>VLOOKUP(Tabela1[[#This Row],[Cliente]],clientes!$C$3:$D$60,2,FALSE)</f>
        <v>OLIN BLUE CUBE</v>
      </c>
    </row>
    <row r="1194" spans="1:7" x14ac:dyDescent="0.25">
      <c r="A1194" s="10">
        <v>2024</v>
      </c>
      <c r="B1194" s="10" t="s">
        <v>134</v>
      </c>
      <c r="C1194" s="10" t="s">
        <v>179</v>
      </c>
      <c r="D1194" s="10" t="s">
        <v>26</v>
      </c>
      <c r="E1194" s="25" t="str">
        <f>VLOOKUP(D1194,'[2]Lista de Produtos CLASSIFICAÇÃO'!$E$103:$F$114,2,FALSE)</f>
        <v>Biocombustíveis</v>
      </c>
      <c r="F1194" s="61">
        <v>4000</v>
      </c>
      <c r="G1194" t="str">
        <f>VLOOKUP(Tabela1[[#This Row],[Cliente]],clientes!$C$3:$D$60,2,FALSE)</f>
        <v>BSBIOS</v>
      </c>
    </row>
    <row r="1195" spans="1:7" x14ac:dyDescent="0.25">
      <c r="A1195" s="10">
        <v>2024</v>
      </c>
      <c r="B1195" s="10" t="s">
        <v>134</v>
      </c>
      <c r="C1195" s="10" t="s">
        <v>180</v>
      </c>
      <c r="D1195" s="10" t="s">
        <v>30</v>
      </c>
      <c r="E1195" s="25" t="str">
        <f>VLOOKUP(D1195,'[2]Lista de Produtos CLASSIFICAÇÃO'!$E$103:$F$114,2,FALSE)</f>
        <v>Outros</v>
      </c>
      <c r="F1195" s="61"/>
      <c r="G1195" t="str">
        <f>VLOOKUP(Tabela1[[#This Row],[Cliente]],clientes!$C$3:$D$60,2,FALSE)</f>
        <v>TRICHEM</v>
      </c>
    </row>
    <row r="1196" spans="1:7" x14ac:dyDescent="0.25">
      <c r="A1196" s="10">
        <v>2024</v>
      </c>
      <c r="B1196" s="10" t="s">
        <v>134</v>
      </c>
      <c r="C1196" s="10" t="s">
        <v>181</v>
      </c>
      <c r="D1196" s="10" t="s">
        <v>123</v>
      </c>
      <c r="E1196" s="25" t="str">
        <f>VLOOKUP(D1196,'[2]Lista de Produtos CLASSIFICAÇÃO'!$E$103:$F$114,2,FALSE)</f>
        <v>Aquecidos</v>
      </c>
      <c r="F1196" s="61">
        <v>1600</v>
      </c>
      <c r="G1196" t="str">
        <f>VLOOKUP(Tabela1[[#This Row],[Cliente]],clientes!$C$3:$D$60,2,FALSE)</f>
        <v>COAMO</v>
      </c>
    </row>
    <row r="1197" spans="1:7" x14ac:dyDescent="0.25">
      <c r="A1197" s="10">
        <v>2024</v>
      </c>
      <c r="B1197" s="10" t="s">
        <v>134</v>
      </c>
      <c r="C1197" s="10" t="s">
        <v>182</v>
      </c>
      <c r="D1197" s="10" t="s">
        <v>120</v>
      </c>
      <c r="E1197" s="25" t="str">
        <f>VLOOKUP(D1197,'[2]Lista de Produtos CLASSIFICAÇÃO'!$E$103:$F$114,2,FALSE)</f>
        <v>Derivados</v>
      </c>
      <c r="F1197" s="61"/>
      <c r="G1197" t="str">
        <f>VLOOKUP(Tabela1[[#This Row],[Cliente]],clientes!$C$3:$D$60,2,FALSE)</f>
        <v>ATEM</v>
      </c>
    </row>
    <row r="1198" spans="1:7" x14ac:dyDescent="0.25">
      <c r="A1198" s="10">
        <v>2024</v>
      </c>
      <c r="B1198" s="10" t="s">
        <v>134</v>
      </c>
      <c r="C1198" s="10" t="s">
        <v>174</v>
      </c>
      <c r="D1198" s="10" t="s">
        <v>123</v>
      </c>
      <c r="E1198" s="25" t="str">
        <f>VLOOKUP(D1198,'[2]Lista de Produtos CLASSIFICAÇÃO'!$E$103:$F$114,2,FALSE)</f>
        <v>Aquecidos</v>
      </c>
      <c r="F1198" s="61">
        <v>18000</v>
      </c>
      <c r="G1198" t="str">
        <f>VLOOKUP(Tabela1[[#This Row],[Cliente]],clientes!$C$3:$D$60,2,FALSE)</f>
        <v>CELENA</v>
      </c>
    </row>
    <row r="1199" spans="1:7" x14ac:dyDescent="0.25">
      <c r="A1199" s="10">
        <v>2024</v>
      </c>
      <c r="B1199" s="10" t="s">
        <v>134</v>
      </c>
      <c r="C1199" s="10" t="s">
        <v>173</v>
      </c>
      <c r="D1199" s="10" t="s">
        <v>183</v>
      </c>
      <c r="E1199" s="25" t="str">
        <f>VLOOKUP(D1199,'[2]Lista de Produtos CLASSIFICAÇÃO'!$E$103:$F$114,2,FALSE)</f>
        <v>Outros</v>
      </c>
      <c r="F1199" s="61">
        <v>1100</v>
      </c>
      <c r="G1199" t="str">
        <f>VLOOKUP(Tabela1[[#This Row],[Cliente]],clientes!$C$3:$D$60,2,FALSE)</f>
        <v>YPF SOCIEDAD ANONIMA</v>
      </c>
    </row>
    <row r="1200" spans="1:7" x14ac:dyDescent="0.25">
      <c r="A1200" s="10">
        <v>2024</v>
      </c>
      <c r="B1200" s="10" t="s">
        <v>134</v>
      </c>
      <c r="C1200" s="10" t="s">
        <v>184</v>
      </c>
      <c r="D1200" s="10" t="s">
        <v>122</v>
      </c>
      <c r="E1200" s="25" t="str">
        <f>VLOOKUP(D1200,'[2]Lista de Produtos CLASSIFICAÇÃO'!$E$103:$F$114,2,FALSE)</f>
        <v>Óleo Vegetal</v>
      </c>
      <c r="F1200" s="61"/>
      <c r="G1200" t="str">
        <f>VLOOKUP(Tabela1[[#This Row],[Cliente]],clientes!$C$3:$D$60,2,FALSE)</f>
        <v>INGREDION</v>
      </c>
    </row>
    <row r="1201" spans="1:7" x14ac:dyDescent="0.25">
      <c r="A1201" s="10">
        <v>2024</v>
      </c>
      <c r="B1201" s="10" t="s">
        <v>134</v>
      </c>
      <c r="C1201" s="10" t="s">
        <v>185</v>
      </c>
      <c r="D1201" s="10" t="s">
        <v>120</v>
      </c>
      <c r="E1201" s="25" t="str">
        <f>VLOOKUP(D1201,'[2]Lista de Produtos CLASSIFICAÇÃO'!$E$103:$F$114,2,FALSE)</f>
        <v>Derivados</v>
      </c>
      <c r="F1201" s="61">
        <v>12450</v>
      </c>
      <c r="G1201" t="str">
        <f>VLOOKUP(Tabela1[[#This Row],[Cliente]],clientes!$C$3:$D$60,2,FALSE)</f>
        <v>CIAPETRO</v>
      </c>
    </row>
    <row r="1202" spans="1:7" x14ac:dyDescent="0.25">
      <c r="A1202" s="10">
        <v>2024</v>
      </c>
      <c r="B1202" s="10" t="s">
        <v>134</v>
      </c>
      <c r="C1202" s="10" t="s">
        <v>186</v>
      </c>
      <c r="D1202" s="10" t="s">
        <v>22</v>
      </c>
      <c r="E1202" s="25" t="str">
        <f>VLOOKUP(D1202,'[2]Lista de Produtos CLASSIFICAÇÃO'!$E$103:$F$114,2,FALSE)</f>
        <v>Metanol</v>
      </c>
      <c r="F1202" s="61">
        <v>5000</v>
      </c>
      <c r="G1202" t="str">
        <f>VLOOKUP(Tabela1[[#This Row],[Cliente]],clientes!$C$3:$D$60,2,FALSE)</f>
        <v>OQ TRADING</v>
      </c>
    </row>
    <row r="1203" spans="1:7" x14ac:dyDescent="0.25">
      <c r="A1203" s="10">
        <v>2024</v>
      </c>
      <c r="B1203" s="10" t="s">
        <v>134</v>
      </c>
      <c r="C1203" s="10" t="s">
        <v>187</v>
      </c>
      <c r="D1203" s="10" t="s">
        <v>121</v>
      </c>
      <c r="E1203" s="25" t="str">
        <f>VLOOKUP(D1203,'[2]Lista de Produtos CLASSIFICAÇÃO'!$E$103:$F$114,2,FALSE)</f>
        <v>Biocombustíveis</v>
      </c>
      <c r="F1203" s="61">
        <v>8000</v>
      </c>
      <c r="G1203" t="str">
        <f>VLOOKUP(Tabela1[[#This Row],[Cliente]],clientes!$C$3:$D$60,2,FALSE)</f>
        <v>TEREOS / INPASA / GLENCORE / FS</v>
      </c>
    </row>
    <row r="1204" spans="1:7" x14ac:dyDescent="0.25">
      <c r="A1204" s="10">
        <v>2024</v>
      </c>
      <c r="B1204" s="10" t="s">
        <v>134</v>
      </c>
      <c r="C1204" s="10" t="s">
        <v>188</v>
      </c>
      <c r="D1204" s="10" t="s">
        <v>123</v>
      </c>
      <c r="E1204" s="25" t="str">
        <f>VLOOKUP(D1204,'[2]Lista de Produtos CLASSIFICAÇÃO'!$E$103:$F$114,2,FALSE)</f>
        <v>Aquecidos</v>
      </c>
      <c r="F1204" s="61">
        <v>3250</v>
      </c>
      <c r="G1204" t="str">
        <f>VLOOKUP(Tabela1[[#This Row],[Cliente]],clientes!$C$3:$D$60,2,FALSE)</f>
        <v>ARES MERCHANTS PTE LIMITE</v>
      </c>
    </row>
    <row r="1205" spans="1:7" x14ac:dyDescent="0.25">
      <c r="A1205" s="10">
        <v>2024</v>
      </c>
      <c r="B1205" s="10" t="s">
        <v>134</v>
      </c>
      <c r="C1205" s="10" t="s">
        <v>18</v>
      </c>
      <c r="D1205" s="10" t="s">
        <v>17</v>
      </c>
      <c r="E1205" s="25" t="str">
        <f>VLOOKUP(D1205,'[2]Lista de Produtos CLASSIFICAÇÃO'!$E$103:$F$114,2,FALSE)</f>
        <v>Acostagem</v>
      </c>
      <c r="F1205" s="61"/>
      <c r="G1205" t="str">
        <f>VLOOKUP(Tabela1[[#This Row],[Cliente]],clientes!$C$3:$D$60,2,FALSE)</f>
        <v>ACOSTAGEM</v>
      </c>
    </row>
    <row r="1206" spans="1:7" x14ac:dyDescent="0.25">
      <c r="A1206" s="10">
        <v>2024</v>
      </c>
      <c r="B1206" s="10" t="s">
        <v>134</v>
      </c>
      <c r="C1206" s="10" t="s">
        <v>189</v>
      </c>
      <c r="D1206" s="10" t="s">
        <v>123</v>
      </c>
      <c r="E1206" s="25" t="str">
        <f>VLOOKUP(D1206,'[2]Lista de Produtos CLASSIFICAÇÃO'!$E$103:$F$114,2,FALSE)</f>
        <v>Aquecidos</v>
      </c>
      <c r="F1206" s="61">
        <v>2789</v>
      </c>
      <c r="G1206" t="str">
        <f>VLOOKUP(Tabela1[[#This Row],[Cliente]],clientes!$C$3:$D$60,2,FALSE)</f>
        <v>ICOF</v>
      </c>
    </row>
    <row r="1207" spans="1:7" x14ac:dyDescent="0.25">
      <c r="A1207" s="10">
        <v>2024</v>
      </c>
      <c r="B1207" s="10" t="s">
        <v>135</v>
      </c>
      <c r="C1207" s="10" t="s">
        <v>155</v>
      </c>
      <c r="D1207" s="10" t="s">
        <v>16</v>
      </c>
      <c r="E1207" s="25" t="str">
        <f>VLOOKUP(D1207,'[2]Lista de Produtos CLASSIFICAÇÃO'!$E$103:$F$114,2,FALSE)</f>
        <v>Outros</v>
      </c>
      <c r="F1207" s="61">
        <v>4700</v>
      </c>
      <c r="G1207" t="str">
        <f>VLOOKUP(Tabela1[[#This Row],[Cliente]],clientes!$C$3:$D$60,2,FALSE)</f>
        <v>ADISSEO</v>
      </c>
    </row>
    <row r="1208" spans="1:7" x14ac:dyDescent="0.25">
      <c r="A1208" s="10">
        <v>2024</v>
      </c>
      <c r="B1208" s="10" t="s">
        <v>135</v>
      </c>
      <c r="C1208" s="10" t="s">
        <v>156</v>
      </c>
      <c r="D1208" s="10" t="s">
        <v>123</v>
      </c>
      <c r="E1208" s="25" t="str">
        <f>VLOOKUP(D1208,'[2]Lista de Produtos CLASSIFICAÇÃO'!$E$103:$F$114,2,FALSE)</f>
        <v>Aquecidos</v>
      </c>
      <c r="F1208" s="61">
        <v>1500</v>
      </c>
      <c r="G1208" t="str">
        <f>VLOOKUP(Tabela1[[#This Row],[Cliente]],clientes!$C$3:$D$60,2,FALSE)</f>
        <v>BUNGE</v>
      </c>
    </row>
    <row r="1209" spans="1:7" x14ac:dyDescent="0.25">
      <c r="A1209" s="10">
        <v>2024</v>
      </c>
      <c r="B1209" s="10" t="s">
        <v>135</v>
      </c>
      <c r="C1209" s="10" t="s">
        <v>157</v>
      </c>
      <c r="D1209" s="10" t="s">
        <v>122</v>
      </c>
      <c r="E1209" s="25" t="str">
        <f>VLOOKUP(D1209,'[2]Lista de Produtos CLASSIFICAÇÃO'!$E$103:$F$114,2,FALSE)</f>
        <v>Óleo Vegetal</v>
      </c>
      <c r="F1209" s="61">
        <v>3000</v>
      </c>
      <c r="G1209" t="str">
        <f>VLOOKUP(Tabela1[[#This Row],[Cliente]],clientes!$C$3:$D$60,2,FALSE)</f>
        <v>ADM</v>
      </c>
    </row>
    <row r="1210" spans="1:7" x14ac:dyDescent="0.25">
      <c r="A1210" s="10">
        <v>2024</v>
      </c>
      <c r="B1210" s="10" t="s">
        <v>135</v>
      </c>
      <c r="C1210" s="10" t="s">
        <v>158</v>
      </c>
      <c r="D1210" s="10" t="s">
        <v>120</v>
      </c>
      <c r="E1210" s="25" t="str">
        <f>VLOOKUP(D1210,'[2]Lista de Produtos CLASSIFICAÇÃO'!$E$103:$F$114,2,FALSE)</f>
        <v>Derivados</v>
      </c>
      <c r="F1210" s="61">
        <v>86859</v>
      </c>
      <c r="G1210" t="str">
        <f>VLOOKUP(Tabela1[[#This Row],[Cliente]],clientes!$C$3:$D$60,2,FALSE)</f>
        <v>IPIRANGA</v>
      </c>
    </row>
    <row r="1211" spans="1:7" x14ac:dyDescent="0.25">
      <c r="A1211" s="10">
        <v>2024</v>
      </c>
      <c r="B1211" s="10" t="s">
        <v>135</v>
      </c>
      <c r="C1211" s="10" t="s">
        <v>159</v>
      </c>
      <c r="D1211" s="10" t="s">
        <v>120</v>
      </c>
      <c r="E1211" s="25" t="str">
        <f>VLOOKUP(D1211,'[2]Lista de Produtos CLASSIFICAÇÃO'!$E$103:$F$114,2,FALSE)</f>
        <v>Derivados</v>
      </c>
      <c r="F1211" s="61">
        <v>30000</v>
      </c>
      <c r="G1211" t="str">
        <f>VLOOKUP(Tabela1[[#This Row],[Cliente]],clientes!$C$3:$D$60,2,FALSE)</f>
        <v>RAIZEN</v>
      </c>
    </row>
    <row r="1212" spans="1:7" x14ac:dyDescent="0.25">
      <c r="A1212" s="10">
        <v>2024</v>
      </c>
      <c r="B1212" s="10" t="s">
        <v>135</v>
      </c>
      <c r="C1212" s="10" t="s">
        <v>160</v>
      </c>
      <c r="D1212" s="10" t="s">
        <v>120</v>
      </c>
      <c r="E1212" s="25" t="str">
        <f>VLOOKUP(D1212,'[2]Lista de Produtos CLASSIFICAÇÃO'!$E$103:$F$114,2,FALSE)</f>
        <v>Derivados</v>
      </c>
      <c r="F1212" s="61">
        <v>15000</v>
      </c>
      <c r="G1212" t="str">
        <f>VLOOKUP(Tabela1[[#This Row],[Cliente]],clientes!$C$3:$D$60,2,FALSE)</f>
        <v>VIBRA</v>
      </c>
    </row>
    <row r="1213" spans="1:7" x14ac:dyDescent="0.25">
      <c r="A1213" s="10">
        <v>2024</v>
      </c>
      <c r="B1213" s="10" t="s">
        <v>135</v>
      </c>
      <c r="C1213" s="10" t="s">
        <v>161</v>
      </c>
      <c r="D1213" s="10" t="s">
        <v>120</v>
      </c>
      <c r="E1213" s="25" t="str">
        <f>VLOOKUP(D1213,'[2]Lista de Produtos CLASSIFICAÇÃO'!$E$103:$F$114,2,FALSE)</f>
        <v>Derivados</v>
      </c>
      <c r="F1213" s="61">
        <v>44820</v>
      </c>
      <c r="G1213" t="str">
        <f>VLOOKUP(Tabela1[[#This Row],[Cliente]],clientes!$C$3:$D$60,2,FALSE)</f>
        <v>SUL PLATA</v>
      </c>
    </row>
    <row r="1214" spans="1:7" x14ac:dyDescent="0.25">
      <c r="A1214" s="10">
        <v>2024</v>
      </c>
      <c r="B1214" s="10" t="s">
        <v>135</v>
      </c>
      <c r="C1214" s="10" t="s">
        <v>162</v>
      </c>
      <c r="D1214" s="10" t="s">
        <v>115</v>
      </c>
      <c r="E1214" s="25" t="str">
        <f>VLOOKUP(D1214,'[2]Lista de Produtos CLASSIFICAÇÃO'!$E$103:$F$114,2,FALSE)</f>
        <v>Soda Caustica</v>
      </c>
      <c r="F1214" s="61">
        <v>1500</v>
      </c>
      <c r="G1214" t="str">
        <f>VLOOKUP(Tabela1[[#This Row],[Cliente]],clientes!$C$3:$D$60,2,FALSE)</f>
        <v>JBS</v>
      </c>
    </row>
    <row r="1215" spans="1:7" x14ac:dyDescent="0.25">
      <c r="A1215" s="10">
        <v>2024</v>
      </c>
      <c r="B1215" s="10" t="s">
        <v>135</v>
      </c>
      <c r="C1215" s="10" t="s">
        <v>163</v>
      </c>
      <c r="D1215" s="10" t="s">
        <v>115</v>
      </c>
      <c r="E1215" s="25" t="str">
        <f>VLOOKUP(D1215,'[2]Lista de Produtos CLASSIFICAÇÃO'!$E$103:$F$114,2,FALSE)</f>
        <v>Soda Caustica</v>
      </c>
      <c r="F1215" s="61">
        <v>1500</v>
      </c>
      <c r="G1215" t="str">
        <f>VLOOKUP(Tabela1[[#This Row],[Cliente]],clientes!$C$3:$D$60,2,FALSE)</f>
        <v>TRICON ENERGY</v>
      </c>
    </row>
    <row r="1216" spans="1:7" x14ac:dyDescent="0.25">
      <c r="A1216" s="10">
        <v>2024</v>
      </c>
      <c r="B1216" s="10" t="s">
        <v>135</v>
      </c>
      <c r="C1216" s="10" t="s">
        <v>164</v>
      </c>
      <c r="D1216" s="10" t="s">
        <v>115</v>
      </c>
      <c r="E1216" s="25" t="str">
        <f>VLOOKUP(D1216,'[2]Lista de Produtos CLASSIFICAÇÃO'!$E$103:$F$114,2,FALSE)</f>
        <v>Soda Caustica</v>
      </c>
      <c r="F1216" s="61">
        <v>3400</v>
      </c>
      <c r="G1216" t="str">
        <f>VLOOKUP(Tabela1[[#This Row],[Cliente]],clientes!$C$3:$D$60,2,FALSE)</f>
        <v>BRASKEM</v>
      </c>
    </row>
    <row r="1217" spans="1:7" x14ac:dyDescent="0.25">
      <c r="A1217" s="10">
        <v>2024</v>
      </c>
      <c r="B1217" s="10" t="s">
        <v>135</v>
      </c>
      <c r="C1217" s="10" t="s">
        <v>165</v>
      </c>
      <c r="D1217" s="10" t="s">
        <v>123</v>
      </c>
      <c r="E1217" s="25" t="str">
        <f>VLOOKUP(D1217,'[2]Lista de Produtos CLASSIFICAÇÃO'!$E$103:$F$114,2,FALSE)</f>
        <v>Aquecidos</v>
      </c>
      <c r="F1217" s="61">
        <v>4000</v>
      </c>
      <c r="G1217" t="str">
        <f>VLOOKUP(Tabela1[[#This Row],[Cliente]],clientes!$C$3:$D$60,2,FALSE)</f>
        <v>BRF</v>
      </c>
    </row>
    <row r="1218" spans="1:7" x14ac:dyDescent="0.25">
      <c r="A1218" s="10">
        <v>2024</v>
      </c>
      <c r="B1218" s="10" t="s">
        <v>135</v>
      </c>
      <c r="C1218" s="10" t="s">
        <v>162</v>
      </c>
      <c r="D1218" s="10" t="s">
        <v>123</v>
      </c>
      <c r="E1218" s="25" t="str">
        <f>VLOOKUP(D1218,'[2]Lista de Produtos CLASSIFICAÇÃO'!$E$103:$F$114,2,FALSE)</f>
        <v>Aquecidos</v>
      </c>
      <c r="F1218" s="61">
        <v>2400</v>
      </c>
      <c r="G1218" t="str">
        <f>VLOOKUP(Tabela1[[#This Row],[Cliente]],clientes!$C$3:$D$60,2,FALSE)</f>
        <v>JBS</v>
      </c>
    </row>
    <row r="1219" spans="1:7" x14ac:dyDescent="0.25">
      <c r="A1219" s="10">
        <v>2024</v>
      </c>
      <c r="B1219" s="10" t="s">
        <v>135</v>
      </c>
      <c r="C1219" s="10" t="s">
        <v>166</v>
      </c>
      <c r="D1219" s="10" t="s">
        <v>123</v>
      </c>
      <c r="E1219" s="25" t="str">
        <f>VLOOKUP(D1219,'[2]Lista de Produtos CLASSIFICAÇÃO'!$E$103:$F$114,2,FALSE)</f>
        <v>Aquecidos</v>
      </c>
      <c r="F1219" s="61">
        <v>1500</v>
      </c>
      <c r="G1219" t="str">
        <f>VLOOKUP(Tabela1[[#This Row],[Cliente]],clientes!$C$3:$D$60,2,FALSE)</f>
        <v>CARGILL</v>
      </c>
    </row>
    <row r="1220" spans="1:7" x14ac:dyDescent="0.25">
      <c r="A1220" s="10">
        <v>2024</v>
      </c>
      <c r="B1220" s="10" t="s">
        <v>135</v>
      </c>
      <c r="C1220" s="10" t="s">
        <v>167</v>
      </c>
      <c r="D1220" s="10" t="s">
        <v>122</v>
      </c>
      <c r="E1220" s="25" t="str">
        <f>VLOOKUP(D1220,'[2]Lista de Produtos CLASSIFICAÇÃO'!$E$103:$F$114,2,FALSE)</f>
        <v>Óleo Vegetal</v>
      </c>
      <c r="F1220" s="61">
        <v>135073.84</v>
      </c>
      <c r="G1220" t="str">
        <f>VLOOKUP(Tabela1[[#This Row],[Cliente]],clientes!$C$3:$D$60,2,FALSE)</f>
        <v>POOL</v>
      </c>
    </row>
    <row r="1221" spans="1:7" x14ac:dyDescent="0.25">
      <c r="A1221" s="10">
        <v>2024</v>
      </c>
      <c r="B1221" s="10" t="s">
        <v>135</v>
      </c>
      <c r="C1221" s="10" t="s">
        <v>168</v>
      </c>
      <c r="D1221" s="10" t="s">
        <v>122</v>
      </c>
      <c r="E1221" s="25" t="str">
        <f>VLOOKUP(D1221,'[2]Lista de Produtos CLASSIFICAÇÃO'!$E$103:$F$114,2,FALSE)</f>
        <v>Óleo Vegetal</v>
      </c>
      <c r="F1221" s="61"/>
      <c r="G1221" t="str">
        <f>VLOOKUP(Tabela1[[#This Row],[Cliente]],clientes!$C$3:$D$60,2,FALSE)</f>
        <v>POOL EXCEDENTE</v>
      </c>
    </row>
    <row r="1222" spans="1:7" x14ac:dyDescent="0.25">
      <c r="A1222" s="10">
        <v>2024</v>
      </c>
      <c r="B1222" s="10" t="s">
        <v>135</v>
      </c>
      <c r="C1222" s="10" t="s">
        <v>169</v>
      </c>
      <c r="D1222" s="10" t="s">
        <v>22</v>
      </c>
      <c r="E1222" s="25" t="str">
        <f>VLOOKUP(D1222,'[2]Lista de Produtos CLASSIFICAÇÃO'!$E$103:$F$114,2,FALSE)</f>
        <v>Metanol</v>
      </c>
      <c r="F1222" s="61">
        <v>67000</v>
      </c>
      <c r="G1222" t="str">
        <f>VLOOKUP(Tabela1[[#This Row],[Cliente]],clientes!$C$3:$D$60,2,FALSE)</f>
        <v>METHANEX</v>
      </c>
    </row>
    <row r="1223" spans="1:7" x14ac:dyDescent="0.25">
      <c r="A1223" s="10">
        <v>2024</v>
      </c>
      <c r="B1223" s="10" t="s">
        <v>135</v>
      </c>
      <c r="C1223" s="10" t="s">
        <v>170</v>
      </c>
      <c r="D1223" s="10" t="s">
        <v>22</v>
      </c>
      <c r="E1223" s="25" t="str">
        <f>VLOOKUP(D1223,'[2]Lista de Produtos CLASSIFICAÇÃO'!$E$103:$F$114,2,FALSE)</f>
        <v>Metanol</v>
      </c>
      <c r="F1223" s="61">
        <v>15000</v>
      </c>
      <c r="G1223" t="str">
        <f>VLOOKUP(Tabela1[[#This Row],[Cliente]],clientes!$C$3:$D$60,2,FALSE)</f>
        <v>MITSUBISHI</v>
      </c>
    </row>
    <row r="1224" spans="1:7" x14ac:dyDescent="0.25">
      <c r="A1224" s="10">
        <v>2024</v>
      </c>
      <c r="B1224" s="10" t="s">
        <v>135</v>
      </c>
      <c r="C1224" s="10" t="s">
        <v>171</v>
      </c>
      <c r="D1224" s="10" t="s">
        <v>22</v>
      </c>
      <c r="E1224" s="25" t="str">
        <f>VLOOKUP(D1224,'[2]Lista de Produtos CLASSIFICAÇÃO'!$E$103:$F$114,2,FALSE)</f>
        <v>Metanol</v>
      </c>
      <c r="F1224" s="61">
        <v>23000</v>
      </c>
      <c r="G1224" t="str">
        <f>VLOOKUP(Tabela1[[#This Row],[Cliente]],clientes!$C$3:$D$60,2,FALSE)</f>
        <v>VALENZ</v>
      </c>
    </row>
    <row r="1225" spans="1:7" x14ac:dyDescent="0.25">
      <c r="A1225" s="10">
        <v>2024</v>
      </c>
      <c r="B1225" s="10" t="s">
        <v>135</v>
      </c>
      <c r="C1225" s="10" t="s">
        <v>172</v>
      </c>
      <c r="D1225" s="10" t="s">
        <v>124</v>
      </c>
      <c r="E1225" s="25" t="str">
        <f>VLOOKUP(D1225,'[2]Lista de Produtos CLASSIFICAÇÃO'!$E$103:$F$114,2,FALSE)</f>
        <v>Outros</v>
      </c>
      <c r="F1225" s="61">
        <v>1200</v>
      </c>
      <c r="G1225" t="str">
        <f>VLOOKUP(Tabela1[[#This Row],[Cliente]],clientes!$C$3:$D$60,2,FALSE)</f>
        <v>EVONIK</v>
      </c>
    </row>
    <row r="1226" spans="1:7" x14ac:dyDescent="0.25">
      <c r="A1226" s="10">
        <v>2024</v>
      </c>
      <c r="B1226" s="10" t="s">
        <v>135</v>
      </c>
      <c r="C1226" s="10" t="s">
        <v>173</v>
      </c>
      <c r="D1226" s="10" t="s">
        <v>22</v>
      </c>
      <c r="E1226" s="25" t="str">
        <f>VLOOKUP(D1226,'[2]Lista de Produtos CLASSIFICAÇÃO'!$E$103:$F$114,2,FALSE)</f>
        <v>Metanol</v>
      </c>
      <c r="F1226" s="61"/>
      <c r="G1226" t="str">
        <f>VLOOKUP(Tabela1[[#This Row],[Cliente]],clientes!$C$3:$D$60,2,FALSE)</f>
        <v>YPF SOCIEDAD ANONIMA</v>
      </c>
    </row>
    <row r="1227" spans="1:7" x14ac:dyDescent="0.25">
      <c r="A1227" s="10">
        <v>2024</v>
      </c>
      <c r="B1227" s="10" t="s">
        <v>135</v>
      </c>
      <c r="C1227" s="10" t="s">
        <v>174</v>
      </c>
      <c r="D1227" s="10" t="s">
        <v>123</v>
      </c>
      <c r="E1227" s="25" t="str">
        <f>VLOOKUP(D1227,'[2]Lista de Produtos CLASSIFICAÇÃO'!$E$103:$F$114,2,FALSE)</f>
        <v>Aquecidos</v>
      </c>
      <c r="F1227" s="61">
        <v>2000</v>
      </c>
      <c r="G1227" t="str">
        <f>VLOOKUP(Tabela1[[#This Row],[Cliente]],clientes!$C$3:$D$60,2,FALSE)</f>
        <v>CELENA</v>
      </c>
    </row>
    <row r="1228" spans="1:7" x14ac:dyDescent="0.25">
      <c r="A1228" s="10">
        <v>2024</v>
      </c>
      <c r="B1228" s="10" t="s">
        <v>135</v>
      </c>
      <c r="C1228" s="10" t="s">
        <v>175</v>
      </c>
      <c r="D1228" s="10" t="s">
        <v>123</v>
      </c>
      <c r="E1228" s="25" t="str">
        <f>VLOOKUP(D1228,'[2]Lista de Produtos CLASSIFICAÇÃO'!$E$103:$F$114,2,FALSE)</f>
        <v>Aquecidos</v>
      </c>
      <c r="F1228" s="61">
        <v>1700</v>
      </c>
      <c r="G1228" t="str">
        <f>VLOOKUP(Tabela1[[#This Row],[Cliente]],clientes!$C$3:$D$60,2,FALSE)</f>
        <v>AAK DO BRASIL</v>
      </c>
    </row>
    <row r="1229" spans="1:7" x14ac:dyDescent="0.25">
      <c r="A1229" s="10">
        <v>2024</v>
      </c>
      <c r="B1229" s="10" t="s">
        <v>135</v>
      </c>
      <c r="C1229" s="10" t="s">
        <v>166</v>
      </c>
      <c r="D1229" s="10" t="s">
        <v>122</v>
      </c>
      <c r="E1229" s="25" t="str">
        <f>VLOOKUP(D1229,'[2]Lista de Produtos CLASSIFICAÇÃO'!$E$103:$F$114,2,FALSE)</f>
        <v>Óleo Vegetal</v>
      </c>
      <c r="F1229" s="61"/>
      <c r="G1229" t="str">
        <f>VLOOKUP(Tabela1[[#This Row],[Cliente]],clientes!$C$3:$D$60,2,FALSE)</f>
        <v>CARGILL</v>
      </c>
    </row>
    <row r="1230" spans="1:7" x14ac:dyDescent="0.25">
      <c r="A1230" s="10">
        <v>2024</v>
      </c>
      <c r="B1230" s="10" t="s">
        <v>135</v>
      </c>
      <c r="C1230" s="10" t="s">
        <v>176</v>
      </c>
      <c r="D1230" s="10" t="s">
        <v>123</v>
      </c>
      <c r="E1230" s="25" t="str">
        <f>VLOOKUP(D1230,'[2]Lista de Produtos CLASSIFICAÇÃO'!$E$103:$F$114,2,FALSE)</f>
        <v>Aquecidos</v>
      </c>
      <c r="F1230" s="61">
        <v>2150</v>
      </c>
      <c r="G1230" t="str">
        <f>VLOOKUP(Tabela1[[#This Row],[Cliente]],clientes!$C$3:$D$60,2,FALSE)</f>
        <v>AGROPALMA</v>
      </c>
    </row>
    <row r="1231" spans="1:7" x14ac:dyDescent="0.25">
      <c r="A1231" s="10">
        <v>2024</v>
      </c>
      <c r="B1231" s="10" t="s">
        <v>135</v>
      </c>
      <c r="C1231" s="10" t="s">
        <v>177</v>
      </c>
      <c r="D1231" s="10" t="s">
        <v>115</v>
      </c>
      <c r="E1231" s="25" t="str">
        <f>VLOOKUP(D1231,'[2]Lista de Produtos CLASSIFICAÇÃO'!$E$103:$F$114,2,FALSE)</f>
        <v>Soda Caustica</v>
      </c>
      <c r="F1231" s="61">
        <v>3000</v>
      </c>
      <c r="G1231" t="str">
        <f>VLOOKUP(Tabela1[[#This Row],[Cliente]],clientes!$C$3:$D$60,2,FALSE)</f>
        <v>BRENNTAG</v>
      </c>
    </row>
    <row r="1232" spans="1:7" x14ac:dyDescent="0.25">
      <c r="A1232" s="10">
        <v>2024</v>
      </c>
      <c r="B1232" s="10" t="s">
        <v>135</v>
      </c>
      <c r="C1232" s="10" t="s">
        <v>178</v>
      </c>
      <c r="D1232" s="10" t="s">
        <v>115</v>
      </c>
      <c r="E1232" s="25" t="str">
        <f>VLOOKUP(D1232,'[2]Lista de Produtos CLASSIFICAÇÃO'!$E$103:$F$114,2,FALSE)</f>
        <v>Soda Caustica</v>
      </c>
      <c r="F1232" s="61">
        <v>15000</v>
      </c>
      <c r="G1232" t="str">
        <f>VLOOKUP(Tabela1[[#This Row],[Cliente]],clientes!$C$3:$D$60,2,FALSE)</f>
        <v>OLIN BLUE CUBE</v>
      </c>
    </row>
    <row r="1233" spans="1:7" x14ac:dyDescent="0.25">
      <c r="A1233" s="10">
        <v>2024</v>
      </c>
      <c r="B1233" s="10" t="s">
        <v>135</v>
      </c>
      <c r="C1233" s="10" t="s">
        <v>179</v>
      </c>
      <c r="D1233" s="10" t="s">
        <v>26</v>
      </c>
      <c r="E1233" s="25" t="str">
        <f>VLOOKUP(D1233,'[2]Lista de Produtos CLASSIFICAÇÃO'!$E$103:$F$114,2,FALSE)</f>
        <v>Biocombustíveis</v>
      </c>
      <c r="F1233" s="61">
        <v>4000</v>
      </c>
      <c r="G1233" t="str">
        <f>VLOOKUP(Tabela1[[#This Row],[Cliente]],clientes!$C$3:$D$60,2,FALSE)</f>
        <v>BSBIOS</v>
      </c>
    </row>
    <row r="1234" spans="1:7" x14ac:dyDescent="0.25">
      <c r="A1234" s="10">
        <v>2024</v>
      </c>
      <c r="B1234" s="10" t="s">
        <v>135</v>
      </c>
      <c r="C1234" s="10" t="s">
        <v>180</v>
      </c>
      <c r="D1234" s="10" t="s">
        <v>30</v>
      </c>
      <c r="E1234" s="25" t="str">
        <f>VLOOKUP(D1234,'[2]Lista de Produtos CLASSIFICAÇÃO'!$E$103:$F$114,2,FALSE)</f>
        <v>Outros</v>
      </c>
      <c r="F1234" s="61"/>
      <c r="G1234" t="str">
        <f>VLOOKUP(Tabela1[[#This Row],[Cliente]],clientes!$C$3:$D$60,2,FALSE)</f>
        <v>TRICHEM</v>
      </c>
    </row>
    <row r="1235" spans="1:7" x14ac:dyDescent="0.25">
      <c r="A1235" s="10">
        <v>2024</v>
      </c>
      <c r="B1235" s="10" t="s">
        <v>135</v>
      </c>
      <c r="C1235" s="10" t="s">
        <v>181</v>
      </c>
      <c r="D1235" s="10" t="s">
        <v>123</v>
      </c>
      <c r="E1235" s="25" t="str">
        <f>VLOOKUP(D1235,'[2]Lista de Produtos CLASSIFICAÇÃO'!$E$103:$F$114,2,FALSE)</f>
        <v>Aquecidos</v>
      </c>
      <c r="F1235" s="61">
        <v>1600</v>
      </c>
      <c r="G1235" t="str">
        <f>VLOOKUP(Tabela1[[#This Row],[Cliente]],clientes!$C$3:$D$60,2,FALSE)</f>
        <v>COAMO</v>
      </c>
    </row>
    <row r="1236" spans="1:7" x14ac:dyDescent="0.25">
      <c r="A1236" s="10">
        <v>2024</v>
      </c>
      <c r="B1236" s="10" t="s">
        <v>135</v>
      </c>
      <c r="C1236" s="10" t="s">
        <v>182</v>
      </c>
      <c r="D1236" s="10" t="s">
        <v>120</v>
      </c>
      <c r="E1236" s="25" t="str">
        <f>VLOOKUP(D1236,'[2]Lista de Produtos CLASSIFICAÇÃO'!$E$103:$F$114,2,FALSE)</f>
        <v>Derivados</v>
      </c>
      <c r="F1236" s="61"/>
      <c r="G1236" t="str">
        <f>VLOOKUP(Tabela1[[#This Row],[Cliente]],clientes!$C$3:$D$60,2,FALSE)</f>
        <v>ATEM</v>
      </c>
    </row>
    <row r="1237" spans="1:7" x14ac:dyDescent="0.25">
      <c r="A1237" s="10">
        <v>2024</v>
      </c>
      <c r="B1237" s="10" t="s">
        <v>135</v>
      </c>
      <c r="C1237" s="10" t="s">
        <v>174</v>
      </c>
      <c r="D1237" s="10" t="s">
        <v>123</v>
      </c>
      <c r="E1237" s="25" t="str">
        <f>VLOOKUP(D1237,'[2]Lista de Produtos CLASSIFICAÇÃO'!$E$103:$F$114,2,FALSE)</f>
        <v>Aquecidos</v>
      </c>
      <c r="F1237" s="61"/>
      <c r="G1237" t="str">
        <f>VLOOKUP(Tabela1[[#This Row],[Cliente]],clientes!$C$3:$D$60,2,FALSE)</f>
        <v>CELENA</v>
      </c>
    </row>
    <row r="1238" spans="1:7" x14ac:dyDescent="0.25">
      <c r="A1238" s="10">
        <v>2024</v>
      </c>
      <c r="B1238" s="10" t="s">
        <v>135</v>
      </c>
      <c r="C1238" s="10" t="s">
        <v>173</v>
      </c>
      <c r="D1238" s="10" t="s">
        <v>183</v>
      </c>
      <c r="E1238" s="25" t="str">
        <f>VLOOKUP(D1238,'[2]Lista de Produtos CLASSIFICAÇÃO'!$E$103:$F$114,2,FALSE)</f>
        <v>Outros</v>
      </c>
      <c r="F1238" s="61"/>
      <c r="G1238" t="str">
        <f>VLOOKUP(Tabela1[[#This Row],[Cliente]],clientes!$C$3:$D$60,2,FALSE)</f>
        <v>YPF SOCIEDAD ANONIMA</v>
      </c>
    </row>
    <row r="1239" spans="1:7" x14ac:dyDescent="0.25">
      <c r="A1239" s="10">
        <v>2024</v>
      </c>
      <c r="B1239" s="10" t="s">
        <v>135</v>
      </c>
      <c r="C1239" s="10" t="s">
        <v>184</v>
      </c>
      <c r="D1239" s="10" t="s">
        <v>122</v>
      </c>
      <c r="E1239" s="25" t="str">
        <f>VLOOKUP(D1239,'[2]Lista de Produtos CLASSIFICAÇÃO'!$E$103:$F$114,2,FALSE)</f>
        <v>Óleo Vegetal</v>
      </c>
      <c r="F1239" s="61">
        <v>2500</v>
      </c>
      <c r="G1239" t="str">
        <f>VLOOKUP(Tabela1[[#This Row],[Cliente]],clientes!$C$3:$D$60,2,FALSE)</f>
        <v>INGREDION</v>
      </c>
    </row>
    <row r="1240" spans="1:7" x14ac:dyDescent="0.25">
      <c r="A1240" s="10">
        <v>2024</v>
      </c>
      <c r="B1240" s="10" t="s">
        <v>135</v>
      </c>
      <c r="C1240" s="10" t="s">
        <v>185</v>
      </c>
      <c r="D1240" s="10" t="s">
        <v>120</v>
      </c>
      <c r="E1240" s="25" t="str">
        <f>VLOOKUP(D1240,'[2]Lista de Produtos CLASSIFICAÇÃO'!$E$103:$F$114,2,FALSE)</f>
        <v>Derivados</v>
      </c>
      <c r="F1240" s="61">
        <v>12450</v>
      </c>
      <c r="G1240" t="str">
        <f>VLOOKUP(Tabela1[[#This Row],[Cliente]],clientes!$C$3:$D$60,2,FALSE)</f>
        <v>CIAPETRO</v>
      </c>
    </row>
    <row r="1241" spans="1:7" x14ac:dyDescent="0.25">
      <c r="A1241" s="10">
        <v>2024</v>
      </c>
      <c r="B1241" s="10" t="s">
        <v>135</v>
      </c>
      <c r="C1241" s="10" t="s">
        <v>186</v>
      </c>
      <c r="D1241" s="10" t="s">
        <v>22</v>
      </c>
      <c r="E1241" s="25" t="str">
        <f>VLOOKUP(D1241,'[2]Lista de Produtos CLASSIFICAÇÃO'!$E$103:$F$114,2,FALSE)</f>
        <v>Metanol</v>
      </c>
      <c r="F1241" s="61"/>
      <c r="G1241" t="str">
        <f>VLOOKUP(Tabela1[[#This Row],[Cliente]],clientes!$C$3:$D$60,2,FALSE)</f>
        <v>OQ TRADING</v>
      </c>
    </row>
    <row r="1242" spans="1:7" x14ac:dyDescent="0.25">
      <c r="A1242" s="10">
        <v>2024</v>
      </c>
      <c r="B1242" s="10" t="s">
        <v>135</v>
      </c>
      <c r="C1242" s="10" t="s">
        <v>187</v>
      </c>
      <c r="D1242" s="10" t="s">
        <v>121</v>
      </c>
      <c r="E1242" s="25" t="str">
        <f>VLOOKUP(D1242,'[2]Lista de Produtos CLASSIFICAÇÃO'!$E$103:$F$114,2,FALSE)</f>
        <v>Biocombustíveis</v>
      </c>
      <c r="F1242" s="61">
        <v>8000</v>
      </c>
      <c r="G1242" t="str">
        <f>VLOOKUP(Tabela1[[#This Row],[Cliente]],clientes!$C$3:$D$60,2,FALSE)</f>
        <v>TEREOS / INPASA / GLENCORE / FS</v>
      </c>
    </row>
    <row r="1243" spans="1:7" x14ac:dyDescent="0.25">
      <c r="A1243" s="10">
        <v>2024</v>
      </c>
      <c r="B1243" s="10" t="s">
        <v>135</v>
      </c>
      <c r="C1243" s="10" t="s">
        <v>188</v>
      </c>
      <c r="D1243" s="10" t="s">
        <v>123</v>
      </c>
      <c r="E1243" s="25" t="str">
        <f>VLOOKUP(D1243,'[2]Lista de Produtos CLASSIFICAÇÃO'!$E$103:$F$114,2,FALSE)</f>
        <v>Aquecidos</v>
      </c>
      <c r="F1243" s="61">
        <v>3250</v>
      </c>
      <c r="G1243" t="str">
        <f>VLOOKUP(Tabela1[[#This Row],[Cliente]],clientes!$C$3:$D$60,2,FALSE)</f>
        <v>ARES MERCHANTS PTE LIMITE</v>
      </c>
    </row>
    <row r="1244" spans="1:7" x14ac:dyDescent="0.25">
      <c r="A1244" s="10">
        <v>2024</v>
      </c>
      <c r="B1244" s="10" t="s">
        <v>135</v>
      </c>
      <c r="C1244" s="10" t="s">
        <v>18</v>
      </c>
      <c r="D1244" s="10" t="s">
        <v>17</v>
      </c>
      <c r="E1244" s="25" t="str">
        <f>VLOOKUP(D1244,'[2]Lista de Produtos CLASSIFICAÇÃO'!$E$103:$F$114,2,FALSE)</f>
        <v>Acostagem</v>
      </c>
      <c r="F1244" s="61"/>
      <c r="G1244" t="str">
        <f>VLOOKUP(Tabela1[[#This Row],[Cliente]],clientes!$C$3:$D$60,2,FALSE)</f>
        <v>ACOSTAGEM</v>
      </c>
    </row>
    <row r="1245" spans="1:7" x14ac:dyDescent="0.25">
      <c r="A1245" s="10">
        <v>2024</v>
      </c>
      <c r="B1245" s="10" t="s">
        <v>135</v>
      </c>
      <c r="C1245" s="10" t="s">
        <v>189</v>
      </c>
      <c r="D1245" s="10" t="s">
        <v>123</v>
      </c>
      <c r="E1245" s="25" t="str">
        <f>VLOOKUP(D1245,'[2]Lista de Produtos CLASSIFICAÇÃO'!$E$103:$F$114,2,FALSE)</f>
        <v>Aquecidos</v>
      </c>
      <c r="F1245" s="61">
        <v>2789</v>
      </c>
      <c r="G1245" t="str">
        <f>VLOOKUP(Tabela1[[#This Row],[Cliente]],clientes!$C$3:$D$60,2,FALSE)</f>
        <v>ICOF</v>
      </c>
    </row>
    <row r="1246" spans="1:7" x14ac:dyDescent="0.25">
      <c r="A1246" s="10">
        <v>2024</v>
      </c>
      <c r="B1246" s="10" t="s">
        <v>136</v>
      </c>
      <c r="C1246" s="10" t="s">
        <v>155</v>
      </c>
      <c r="D1246" s="10" t="s">
        <v>16</v>
      </c>
      <c r="E1246" s="25" t="str">
        <f>VLOOKUP(D1246,'[2]Lista de Produtos CLASSIFICAÇÃO'!$E$103:$F$114,2,FALSE)</f>
        <v>Outros</v>
      </c>
      <c r="F1246" s="61">
        <v>4700</v>
      </c>
      <c r="G1246" t="str">
        <f>VLOOKUP(Tabela1[[#This Row],[Cliente]],clientes!$C$3:$D$60,2,FALSE)</f>
        <v>ADISSEO</v>
      </c>
    </row>
    <row r="1247" spans="1:7" x14ac:dyDescent="0.25">
      <c r="A1247" s="10">
        <v>2024</v>
      </c>
      <c r="B1247" s="10" t="s">
        <v>136</v>
      </c>
      <c r="C1247" s="10" t="s">
        <v>156</v>
      </c>
      <c r="D1247" s="10" t="s">
        <v>123</v>
      </c>
      <c r="E1247" s="25" t="str">
        <f>VLOOKUP(D1247,'[2]Lista de Produtos CLASSIFICAÇÃO'!$E$103:$F$114,2,FALSE)</f>
        <v>Aquecidos</v>
      </c>
      <c r="F1247" s="61">
        <v>1500</v>
      </c>
      <c r="G1247" t="str">
        <f>VLOOKUP(Tabela1[[#This Row],[Cliente]],clientes!$C$3:$D$60,2,FALSE)</f>
        <v>BUNGE</v>
      </c>
    </row>
    <row r="1248" spans="1:7" x14ac:dyDescent="0.25">
      <c r="A1248" s="10">
        <v>2024</v>
      </c>
      <c r="B1248" s="10" t="s">
        <v>136</v>
      </c>
      <c r="C1248" s="10" t="s">
        <v>157</v>
      </c>
      <c r="D1248" s="10" t="s">
        <v>122</v>
      </c>
      <c r="E1248" s="25" t="str">
        <f>VLOOKUP(D1248,'[2]Lista de Produtos CLASSIFICAÇÃO'!$E$103:$F$114,2,FALSE)</f>
        <v>Óleo Vegetal</v>
      </c>
      <c r="F1248" s="61">
        <v>3000</v>
      </c>
      <c r="G1248" t="str">
        <f>VLOOKUP(Tabela1[[#This Row],[Cliente]],clientes!$C$3:$D$60,2,FALSE)</f>
        <v>ADM</v>
      </c>
    </row>
    <row r="1249" spans="1:7" x14ac:dyDescent="0.25">
      <c r="A1249" s="10">
        <v>2024</v>
      </c>
      <c r="B1249" s="10" t="s">
        <v>136</v>
      </c>
      <c r="C1249" s="10" t="s">
        <v>158</v>
      </c>
      <c r="D1249" s="10" t="s">
        <v>120</v>
      </c>
      <c r="E1249" s="25" t="str">
        <f>VLOOKUP(D1249,'[2]Lista de Produtos CLASSIFICAÇÃO'!$E$103:$F$114,2,FALSE)</f>
        <v>Derivados</v>
      </c>
      <c r="F1249" s="61">
        <v>86859</v>
      </c>
      <c r="G1249" t="str">
        <f>VLOOKUP(Tabela1[[#This Row],[Cliente]],clientes!$C$3:$D$60,2,FALSE)</f>
        <v>IPIRANGA</v>
      </c>
    </row>
    <row r="1250" spans="1:7" x14ac:dyDescent="0.25">
      <c r="A1250" s="10">
        <v>2024</v>
      </c>
      <c r="B1250" s="10" t="s">
        <v>136</v>
      </c>
      <c r="C1250" s="10" t="s">
        <v>159</v>
      </c>
      <c r="D1250" s="10" t="s">
        <v>120</v>
      </c>
      <c r="E1250" s="25" t="str">
        <f>VLOOKUP(D1250,'[2]Lista de Produtos CLASSIFICAÇÃO'!$E$103:$F$114,2,FALSE)</f>
        <v>Derivados</v>
      </c>
      <c r="F1250" s="61">
        <v>30000</v>
      </c>
      <c r="G1250" t="str">
        <f>VLOOKUP(Tabela1[[#This Row],[Cliente]],clientes!$C$3:$D$60,2,FALSE)</f>
        <v>RAIZEN</v>
      </c>
    </row>
    <row r="1251" spans="1:7" x14ac:dyDescent="0.25">
      <c r="A1251" s="10">
        <v>2024</v>
      </c>
      <c r="B1251" s="10" t="s">
        <v>136</v>
      </c>
      <c r="C1251" s="10" t="s">
        <v>160</v>
      </c>
      <c r="D1251" s="10" t="s">
        <v>120</v>
      </c>
      <c r="E1251" s="25" t="str">
        <f>VLOOKUP(D1251,'[2]Lista de Produtos CLASSIFICAÇÃO'!$E$103:$F$114,2,FALSE)</f>
        <v>Derivados</v>
      </c>
      <c r="F1251" s="61">
        <v>15000</v>
      </c>
      <c r="G1251" t="str">
        <f>VLOOKUP(Tabela1[[#This Row],[Cliente]],clientes!$C$3:$D$60,2,FALSE)</f>
        <v>VIBRA</v>
      </c>
    </row>
    <row r="1252" spans="1:7" x14ac:dyDescent="0.25">
      <c r="A1252" s="10">
        <v>2024</v>
      </c>
      <c r="B1252" s="10" t="s">
        <v>136</v>
      </c>
      <c r="C1252" s="10" t="s">
        <v>161</v>
      </c>
      <c r="D1252" s="10" t="s">
        <v>120</v>
      </c>
      <c r="E1252" s="25" t="str">
        <f>VLOOKUP(D1252,'[2]Lista de Produtos CLASSIFICAÇÃO'!$E$103:$F$114,2,FALSE)</f>
        <v>Derivados</v>
      </c>
      <c r="F1252" s="61">
        <v>44820</v>
      </c>
      <c r="G1252" t="str">
        <f>VLOOKUP(Tabela1[[#This Row],[Cliente]],clientes!$C$3:$D$60,2,FALSE)</f>
        <v>SUL PLATA</v>
      </c>
    </row>
    <row r="1253" spans="1:7" x14ac:dyDescent="0.25">
      <c r="A1253" s="10">
        <v>2024</v>
      </c>
      <c r="B1253" s="10" t="s">
        <v>136</v>
      </c>
      <c r="C1253" s="10" t="s">
        <v>162</v>
      </c>
      <c r="D1253" s="10" t="s">
        <v>115</v>
      </c>
      <c r="E1253" s="25" t="str">
        <f>VLOOKUP(D1253,'[2]Lista de Produtos CLASSIFICAÇÃO'!$E$103:$F$114,2,FALSE)</f>
        <v>Soda Caustica</v>
      </c>
      <c r="F1253" s="61">
        <v>1500</v>
      </c>
      <c r="G1253" t="str">
        <f>VLOOKUP(Tabela1[[#This Row],[Cliente]],clientes!$C$3:$D$60,2,FALSE)</f>
        <v>JBS</v>
      </c>
    </row>
    <row r="1254" spans="1:7" x14ac:dyDescent="0.25">
      <c r="A1254" s="10">
        <v>2024</v>
      </c>
      <c r="B1254" s="10" t="s">
        <v>136</v>
      </c>
      <c r="C1254" s="10" t="s">
        <v>163</v>
      </c>
      <c r="D1254" s="10" t="s">
        <v>115</v>
      </c>
      <c r="E1254" s="25" t="str">
        <f>VLOOKUP(D1254,'[2]Lista de Produtos CLASSIFICAÇÃO'!$E$103:$F$114,2,FALSE)</f>
        <v>Soda Caustica</v>
      </c>
      <c r="F1254" s="61">
        <v>1500</v>
      </c>
      <c r="G1254" t="str">
        <f>VLOOKUP(Tabela1[[#This Row],[Cliente]],clientes!$C$3:$D$60,2,FALSE)</f>
        <v>TRICON ENERGY</v>
      </c>
    </row>
    <row r="1255" spans="1:7" x14ac:dyDescent="0.25">
      <c r="A1255" s="10">
        <v>2024</v>
      </c>
      <c r="B1255" s="10" t="s">
        <v>136</v>
      </c>
      <c r="C1255" s="10" t="s">
        <v>164</v>
      </c>
      <c r="D1255" s="10" t="s">
        <v>115</v>
      </c>
      <c r="E1255" s="25" t="str">
        <f>VLOOKUP(D1255,'[2]Lista de Produtos CLASSIFICAÇÃO'!$E$103:$F$114,2,FALSE)</f>
        <v>Soda Caustica</v>
      </c>
      <c r="F1255" s="61">
        <v>3400</v>
      </c>
      <c r="G1255" t="str">
        <f>VLOOKUP(Tabela1[[#This Row],[Cliente]],clientes!$C$3:$D$60,2,FALSE)</f>
        <v>BRASKEM</v>
      </c>
    </row>
    <row r="1256" spans="1:7" x14ac:dyDescent="0.25">
      <c r="A1256" s="10">
        <v>2024</v>
      </c>
      <c r="B1256" s="10" t="s">
        <v>136</v>
      </c>
      <c r="C1256" s="10" t="s">
        <v>165</v>
      </c>
      <c r="D1256" s="10" t="s">
        <v>123</v>
      </c>
      <c r="E1256" s="25" t="str">
        <f>VLOOKUP(D1256,'[2]Lista de Produtos CLASSIFICAÇÃO'!$E$103:$F$114,2,FALSE)</f>
        <v>Aquecidos</v>
      </c>
      <c r="F1256" s="61">
        <v>4000</v>
      </c>
      <c r="G1256" t="str">
        <f>VLOOKUP(Tabela1[[#This Row],[Cliente]],clientes!$C$3:$D$60,2,FALSE)</f>
        <v>BRF</v>
      </c>
    </row>
    <row r="1257" spans="1:7" x14ac:dyDescent="0.25">
      <c r="A1257" s="10">
        <v>2024</v>
      </c>
      <c r="B1257" s="10" t="s">
        <v>136</v>
      </c>
      <c r="C1257" s="10" t="s">
        <v>162</v>
      </c>
      <c r="D1257" s="10" t="s">
        <v>123</v>
      </c>
      <c r="E1257" s="25" t="str">
        <f>VLOOKUP(D1257,'[2]Lista de Produtos CLASSIFICAÇÃO'!$E$103:$F$114,2,FALSE)</f>
        <v>Aquecidos</v>
      </c>
      <c r="F1257" s="61">
        <v>2400</v>
      </c>
      <c r="G1257" t="str">
        <f>VLOOKUP(Tabela1[[#This Row],[Cliente]],clientes!$C$3:$D$60,2,FALSE)</f>
        <v>JBS</v>
      </c>
    </row>
    <row r="1258" spans="1:7" x14ac:dyDescent="0.25">
      <c r="A1258" s="10">
        <v>2024</v>
      </c>
      <c r="B1258" s="10" t="s">
        <v>136</v>
      </c>
      <c r="C1258" s="10" t="s">
        <v>166</v>
      </c>
      <c r="D1258" s="10" t="s">
        <v>123</v>
      </c>
      <c r="E1258" s="25" t="str">
        <f>VLOOKUP(D1258,'[2]Lista de Produtos CLASSIFICAÇÃO'!$E$103:$F$114,2,FALSE)</f>
        <v>Aquecidos</v>
      </c>
      <c r="F1258" s="61">
        <v>1500</v>
      </c>
      <c r="G1258" t="str">
        <f>VLOOKUP(Tabela1[[#This Row],[Cliente]],clientes!$C$3:$D$60,2,FALSE)</f>
        <v>CARGILL</v>
      </c>
    </row>
    <row r="1259" spans="1:7" x14ac:dyDescent="0.25">
      <c r="A1259" s="10">
        <v>2024</v>
      </c>
      <c r="B1259" s="10" t="s">
        <v>136</v>
      </c>
      <c r="C1259" s="10" t="s">
        <v>167</v>
      </c>
      <c r="D1259" s="10" t="s">
        <v>122</v>
      </c>
      <c r="E1259" s="25" t="str">
        <f>VLOOKUP(D1259,'[2]Lista de Produtos CLASSIFICAÇÃO'!$E$103:$F$114,2,FALSE)</f>
        <v>Óleo Vegetal</v>
      </c>
      <c r="F1259" s="61">
        <v>114426.4</v>
      </c>
      <c r="G1259" t="str">
        <f>VLOOKUP(Tabela1[[#This Row],[Cliente]],clientes!$C$3:$D$60,2,FALSE)</f>
        <v>POOL</v>
      </c>
    </row>
    <row r="1260" spans="1:7" x14ac:dyDescent="0.25">
      <c r="A1260" s="10">
        <v>2024</v>
      </c>
      <c r="B1260" s="10" t="s">
        <v>136</v>
      </c>
      <c r="C1260" s="10" t="s">
        <v>168</v>
      </c>
      <c r="D1260" s="10" t="s">
        <v>122</v>
      </c>
      <c r="E1260" s="25" t="str">
        <f>VLOOKUP(D1260,'[2]Lista de Produtos CLASSIFICAÇÃO'!$E$103:$F$114,2,FALSE)</f>
        <v>Óleo Vegetal</v>
      </c>
      <c r="F1260" s="61"/>
      <c r="G1260" t="str">
        <f>VLOOKUP(Tabela1[[#This Row],[Cliente]],clientes!$C$3:$D$60,2,FALSE)</f>
        <v>POOL EXCEDENTE</v>
      </c>
    </row>
    <row r="1261" spans="1:7" x14ac:dyDescent="0.25">
      <c r="A1261" s="10">
        <v>2024</v>
      </c>
      <c r="B1261" s="10" t="s">
        <v>136</v>
      </c>
      <c r="C1261" s="10" t="s">
        <v>169</v>
      </c>
      <c r="D1261" s="10" t="s">
        <v>22</v>
      </c>
      <c r="E1261" s="25" t="str">
        <f>VLOOKUP(D1261,'[2]Lista de Produtos CLASSIFICAÇÃO'!$E$103:$F$114,2,FALSE)</f>
        <v>Metanol</v>
      </c>
      <c r="F1261" s="61">
        <v>67000</v>
      </c>
      <c r="G1261" t="str">
        <f>VLOOKUP(Tabela1[[#This Row],[Cliente]],clientes!$C$3:$D$60,2,FALSE)</f>
        <v>METHANEX</v>
      </c>
    </row>
    <row r="1262" spans="1:7" x14ac:dyDescent="0.25">
      <c r="A1262" s="10">
        <v>2024</v>
      </c>
      <c r="B1262" s="10" t="s">
        <v>136</v>
      </c>
      <c r="C1262" s="10" t="s">
        <v>170</v>
      </c>
      <c r="D1262" s="10" t="s">
        <v>22</v>
      </c>
      <c r="E1262" s="25" t="str">
        <f>VLOOKUP(D1262,'[2]Lista de Produtos CLASSIFICAÇÃO'!$E$103:$F$114,2,FALSE)</f>
        <v>Metanol</v>
      </c>
      <c r="F1262" s="61">
        <v>15000</v>
      </c>
      <c r="G1262" t="str">
        <f>VLOOKUP(Tabela1[[#This Row],[Cliente]],clientes!$C$3:$D$60,2,FALSE)</f>
        <v>MITSUBISHI</v>
      </c>
    </row>
    <row r="1263" spans="1:7" x14ac:dyDescent="0.25">
      <c r="A1263" s="10">
        <v>2024</v>
      </c>
      <c r="B1263" s="10" t="s">
        <v>136</v>
      </c>
      <c r="C1263" s="10" t="s">
        <v>171</v>
      </c>
      <c r="D1263" s="10" t="s">
        <v>22</v>
      </c>
      <c r="E1263" s="25" t="str">
        <f>VLOOKUP(D1263,'[2]Lista de Produtos CLASSIFICAÇÃO'!$E$103:$F$114,2,FALSE)</f>
        <v>Metanol</v>
      </c>
      <c r="F1263" s="61">
        <v>23000</v>
      </c>
      <c r="G1263" t="str">
        <f>VLOOKUP(Tabela1[[#This Row],[Cliente]],clientes!$C$3:$D$60,2,FALSE)</f>
        <v>VALENZ</v>
      </c>
    </row>
    <row r="1264" spans="1:7" x14ac:dyDescent="0.25">
      <c r="A1264" s="10">
        <v>2024</v>
      </c>
      <c r="B1264" s="10" t="s">
        <v>136</v>
      </c>
      <c r="C1264" s="10" t="s">
        <v>172</v>
      </c>
      <c r="D1264" s="10" t="s">
        <v>124</v>
      </c>
      <c r="E1264" s="25" t="str">
        <f>VLOOKUP(D1264,'[2]Lista de Produtos CLASSIFICAÇÃO'!$E$103:$F$114,2,FALSE)</f>
        <v>Outros</v>
      </c>
      <c r="F1264" s="61">
        <v>1200</v>
      </c>
      <c r="G1264" t="str">
        <f>VLOOKUP(Tabela1[[#This Row],[Cliente]],clientes!$C$3:$D$60,2,FALSE)</f>
        <v>EVONIK</v>
      </c>
    </row>
    <row r="1265" spans="1:7" x14ac:dyDescent="0.25">
      <c r="A1265" s="10">
        <v>2024</v>
      </c>
      <c r="B1265" s="10" t="s">
        <v>136</v>
      </c>
      <c r="C1265" s="10" t="s">
        <v>173</v>
      </c>
      <c r="D1265" s="10" t="s">
        <v>22</v>
      </c>
      <c r="E1265" s="25" t="str">
        <f>VLOOKUP(D1265,'[2]Lista de Produtos CLASSIFICAÇÃO'!$E$103:$F$114,2,FALSE)</f>
        <v>Metanol</v>
      </c>
      <c r="F1265" s="61">
        <v>5000</v>
      </c>
      <c r="G1265" t="str">
        <f>VLOOKUP(Tabela1[[#This Row],[Cliente]],clientes!$C$3:$D$60,2,FALSE)</f>
        <v>YPF SOCIEDAD ANONIMA</v>
      </c>
    </row>
    <row r="1266" spans="1:7" x14ac:dyDescent="0.25">
      <c r="A1266" s="10">
        <v>2024</v>
      </c>
      <c r="B1266" s="10" t="s">
        <v>136</v>
      </c>
      <c r="C1266" s="10" t="s">
        <v>174</v>
      </c>
      <c r="D1266" s="10" t="s">
        <v>123</v>
      </c>
      <c r="E1266" s="25" t="str">
        <f>VLOOKUP(D1266,'[2]Lista de Produtos CLASSIFICAÇÃO'!$E$103:$F$114,2,FALSE)</f>
        <v>Aquecidos</v>
      </c>
      <c r="F1266" s="61">
        <v>2000</v>
      </c>
      <c r="G1266" t="str">
        <f>VLOOKUP(Tabela1[[#This Row],[Cliente]],clientes!$C$3:$D$60,2,FALSE)</f>
        <v>CELENA</v>
      </c>
    </row>
    <row r="1267" spans="1:7" x14ac:dyDescent="0.25">
      <c r="A1267" s="10">
        <v>2024</v>
      </c>
      <c r="B1267" s="10" t="s">
        <v>136</v>
      </c>
      <c r="C1267" s="10" t="s">
        <v>175</v>
      </c>
      <c r="D1267" s="10" t="s">
        <v>123</v>
      </c>
      <c r="E1267" s="25" t="str">
        <f>VLOOKUP(D1267,'[2]Lista de Produtos CLASSIFICAÇÃO'!$E$103:$F$114,2,FALSE)</f>
        <v>Aquecidos</v>
      </c>
      <c r="F1267" s="61">
        <v>1700</v>
      </c>
      <c r="G1267" t="str">
        <f>VLOOKUP(Tabela1[[#This Row],[Cliente]],clientes!$C$3:$D$60,2,FALSE)</f>
        <v>AAK DO BRASIL</v>
      </c>
    </row>
    <row r="1268" spans="1:7" x14ac:dyDescent="0.25">
      <c r="A1268" s="10">
        <v>2024</v>
      </c>
      <c r="B1268" s="10" t="s">
        <v>136</v>
      </c>
      <c r="C1268" s="10" t="s">
        <v>166</v>
      </c>
      <c r="D1268" s="10" t="s">
        <v>122</v>
      </c>
      <c r="E1268" s="25" t="str">
        <f>VLOOKUP(D1268,'[2]Lista de Produtos CLASSIFICAÇÃO'!$E$103:$F$114,2,FALSE)</f>
        <v>Óleo Vegetal</v>
      </c>
      <c r="F1268" s="61"/>
      <c r="G1268" t="str">
        <f>VLOOKUP(Tabela1[[#This Row],[Cliente]],clientes!$C$3:$D$60,2,FALSE)</f>
        <v>CARGILL</v>
      </c>
    </row>
    <row r="1269" spans="1:7" x14ac:dyDescent="0.25">
      <c r="A1269" s="10">
        <v>2024</v>
      </c>
      <c r="B1269" s="10" t="s">
        <v>136</v>
      </c>
      <c r="C1269" s="10" t="s">
        <v>176</v>
      </c>
      <c r="D1269" s="10" t="s">
        <v>123</v>
      </c>
      <c r="E1269" s="25" t="str">
        <f>VLOOKUP(D1269,'[2]Lista de Produtos CLASSIFICAÇÃO'!$E$103:$F$114,2,FALSE)</f>
        <v>Aquecidos</v>
      </c>
      <c r="F1269" s="61">
        <v>2150</v>
      </c>
      <c r="G1269" t="str">
        <f>VLOOKUP(Tabela1[[#This Row],[Cliente]],clientes!$C$3:$D$60,2,FALSE)</f>
        <v>AGROPALMA</v>
      </c>
    </row>
    <row r="1270" spans="1:7" x14ac:dyDescent="0.25">
      <c r="A1270" s="10">
        <v>2024</v>
      </c>
      <c r="B1270" s="10" t="s">
        <v>136</v>
      </c>
      <c r="C1270" s="10" t="s">
        <v>177</v>
      </c>
      <c r="D1270" s="10" t="s">
        <v>115</v>
      </c>
      <c r="E1270" s="25" t="str">
        <f>VLOOKUP(D1270,'[2]Lista de Produtos CLASSIFICAÇÃO'!$E$103:$F$114,2,FALSE)</f>
        <v>Soda Caustica</v>
      </c>
      <c r="F1270" s="61">
        <v>3000</v>
      </c>
      <c r="G1270" t="str">
        <f>VLOOKUP(Tabela1[[#This Row],[Cliente]],clientes!$C$3:$D$60,2,FALSE)</f>
        <v>BRENNTAG</v>
      </c>
    </row>
    <row r="1271" spans="1:7" x14ac:dyDescent="0.25">
      <c r="A1271" s="10">
        <v>2024</v>
      </c>
      <c r="B1271" s="10" t="s">
        <v>136</v>
      </c>
      <c r="C1271" s="10" t="s">
        <v>178</v>
      </c>
      <c r="D1271" s="10" t="s">
        <v>115</v>
      </c>
      <c r="E1271" s="25" t="str">
        <f>VLOOKUP(D1271,'[2]Lista de Produtos CLASSIFICAÇÃO'!$E$103:$F$114,2,FALSE)</f>
        <v>Soda Caustica</v>
      </c>
      <c r="F1271" s="61">
        <v>15000</v>
      </c>
      <c r="G1271" t="str">
        <f>VLOOKUP(Tabela1[[#This Row],[Cliente]],clientes!$C$3:$D$60,2,FALSE)</f>
        <v>OLIN BLUE CUBE</v>
      </c>
    </row>
    <row r="1272" spans="1:7" x14ac:dyDescent="0.25">
      <c r="A1272" s="10">
        <v>2024</v>
      </c>
      <c r="B1272" s="10" t="s">
        <v>136</v>
      </c>
      <c r="C1272" s="10" t="s">
        <v>179</v>
      </c>
      <c r="D1272" s="10" t="s">
        <v>26</v>
      </c>
      <c r="E1272" s="25" t="str">
        <f>VLOOKUP(D1272,'[2]Lista de Produtos CLASSIFICAÇÃO'!$E$103:$F$114,2,FALSE)</f>
        <v>Biocombustíveis</v>
      </c>
      <c r="F1272" s="61">
        <v>4000</v>
      </c>
      <c r="G1272" t="str">
        <f>VLOOKUP(Tabela1[[#This Row],[Cliente]],clientes!$C$3:$D$60,2,FALSE)</f>
        <v>BSBIOS</v>
      </c>
    </row>
    <row r="1273" spans="1:7" x14ac:dyDescent="0.25">
      <c r="A1273" s="10">
        <v>2024</v>
      </c>
      <c r="B1273" s="10" t="s">
        <v>136</v>
      </c>
      <c r="C1273" s="10" t="s">
        <v>180</v>
      </c>
      <c r="D1273" s="10" t="s">
        <v>30</v>
      </c>
      <c r="E1273" s="25" t="str">
        <f>VLOOKUP(D1273,'[2]Lista de Produtos CLASSIFICAÇÃO'!$E$103:$F$114,2,FALSE)</f>
        <v>Outros</v>
      </c>
      <c r="F1273" s="61"/>
      <c r="G1273" t="str">
        <f>VLOOKUP(Tabela1[[#This Row],[Cliente]],clientes!$C$3:$D$60,2,FALSE)</f>
        <v>TRICHEM</v>
      </c>
    </row>
    <row r="1274" spans="1:7" x14ac:dyDescent="0.25">
      <c r="A1274" s="10">
        <v>2024</v>
      </c>
      <c r="B1274" s="10" t="s">
        <v>136</v>
      </c>
      <c r="C1274" s="10" t="s">
        <v>181</v>
      </c>
      <c r="D1274" s="10" t="s">
        <v>123</v>
      </c>
      <c r="E1274" s="25" t="str">
        <f>VLOOKUP(D1274,'[2]Lista de Produtos CLASSIFICAÇÃO'!$E$103:$F$114,2,FALSE)</f>
        <v>Aquecidos</v>
      </c>
      <c r="F1274" s="61">
        <v>1600</v>
      </c>
      <c r="G1274" t="str">
        <f>VLOOKUP(Tabela1[[#This Row],[Cliente]],clientes!$C$3:$D$60,2,FALSE)</f>
        <v>COAMO</v>
      </c>
    </row>
    <row r="1275" spans="1:7" x14ac:dyDescent="0.25">
      <c r="A1275" s="10">
        <v>2024</v>
      </c>
      <c r="B1275" s="10" t="s">
        <v>136</v>
      </c>
      <c r="C1275" s="10" t="s">
        <v>182</v>
      </c>
      <c r="D1275" s="10" t="s">
        <v>120</v>
      </c>
      <c r="E1275" s="25" t="str">
        <f>VLOOKUP(D1275,'[2]Lista de Produtos CLASSIFICAÇÃO'!$E$103:$F$114,2,FALSE)</f>
        <v>Derivados</v>
      </c>
      <c r="F1275" s="61"/>
      <c r="G1275" t="str">
        <f>VLOOKUP(Tabela1[[#This Row],[Cliente]],clientes!$C$3:$D$60,2,FALSE)</f>
        <v>ATEM</v>
      </c>
    </row>
    <row r="1276" spans="1:7" x14ac:dyDescent="0.25">
      <c r="A1276" s="10">
        <v>2024</v>
      </c>
      <c r="B1276" s="10" t="s">
        <v>136</v>
      </c>
      <c r="C1276" s="10" t="s">
        <v>174</v>
      </c>
      <c r="D1276" s="10" t="s">
        <v>123</v>
      </c>
      <c r="E1276" s="25" t="str">
        <f>VLOOKUP(D1276,'[2]Lista de Produtos CLASSIFICAÇÃO'!$E$103:$F$114,2,FALSE)</f>
        <v>Aquecidos</v>
      </c>
      <c r="F1276" s="61">
        <v>18000</v>
      </c>
      <c r="G1276" t="str">
        <f>VLOOKUP(Tabela1[[#This Row],[Cliente]],clientes!$C$3:$D$60,2,FALSE)</f>
        <v>CELENA</v>
      </c>
    </row>
    <row r="1277" spans="1:7" x14ac:dyDescent="0.25">
      <c r="A1277" s="10">
        <v>2024</v>
      </c>
      <c r="B1277" s="10" t="s">
        <v>136</v>
      </c>
      <c r="C1277" s="10" t="s">
        <v>173</v>
      </c>
      <c r="D1277" s="10" t="s">
        <v>183</v>
      </c>
      <c r="E1277" s="25" t="str">
        <f>VLOOKUP(D1277,'[2]Lista de Produtos CLASSIFICAÇÃO'!$E$103:$F$114,2,FALSE)</f>
        <v>Outros</v>
      </c>
      <c r="F1277" s="61"/>
      <c r="G1277" t="str">
        <f>VLOOKUP(Tabela1[[#This Row],[Cliente]],clientes!$C$3:$D$60,2,FALSE)</f>
        <v>YPF SOCIEDAD ANONIMA</v>
      </c>
    </row>
    <row r="1278" spans="1:7" x14ac:dyDescent="0.25">
      <c r="A1278" s="10">
        <v>2024</v>
      </c>
      <c r="B1278" s="10" t="s">
        <v>136</v>
      </c>
      <c r="C1278" s="10" t="s">
        <v>184</v>
      </c>
      <c r="D1278" s="10" t="s">
        <v>122</v>
      </c>
      <c r="E1278" s="25" t="str">
        <f>VLOOKUP(D1278,'[2]Lista de Produtos CLASSIFICAÇÃO'!$E$103:$F$114,2,FALSE)</f>
        <v>Óleo Vegetal</v>
      </c>
      <c r="F1278" s="61"/>
      <c r="G1278" t="str">
        <f>VLOOKUP(Tabela1[[#This Row],[Cliente]],clientes!$C$3:$D$60,2,FALSE)</f>
        <v>INGREDION</v>
      </c>
    </row>
    <row r="1279" spans="1:7" x14ac:dyDescent="0.25">
      <c r="A1279" s="10">
        <v>2024</v>
      </c>
      <c r="B1279" s="10" t="s">
        <v>136</v>
      </c>
      <c r="C1279" s="10" t="s">
        <v>185</v>
      </c>
      <c r="D1279" s="10" t="s">
        <v>120</v>
      </c>
      <c r="E1279" s="25" t="str">
        <f>VLOOKUP(D1279,'[2]Lista de Produtos CLASSIFICAÇÃO'!$E$103:$F$114,2,FALSE)</f>
        <v>Derivados</v>
      </c>
      <c r="F1279" s="61">
        <v>12450</v>
      </c>
      <c r="G1279" t="str">
        <f>VLOOKUP(Tabela1[[#This Row],[Cliente]],clientes!$C$3:$D$60,2,FALSE)</f>
        <v>CIAPETRO</v>
      </c>
    </row>
    <row r="1280" spans="1:7" x14ac:dyDescent="0.25">
      <c r="A1280" s="10">
        <v>2024</v>
      </c>
      <c r="B1280" s="10" t="s">
        <v>136</v>
      </c>
      <c r="C1280" s="10" t="s">
        <v>186</v>
      </c>
      <c r="D1280" s="10" t="s">
        <v>22</v>
      </c>
      <c r="E1280" s="25" t="str">
        <f>VLOOKUP(D1280,'[2]Lista de Produtos CLASSIFICAÇÃO'!$E$103:$F$114,2,FALSE)</f>
        <v>Metanol</v>
      </c>
      <c r="F1280" s="61">
        <v>5000</v>
      </c>
      <c r="G1280" t="str">
        <f>VLOOKUP(Tabela1[[#This Row],[Cliente]],clientes!$C$3:$D$60,2,FALSE)</f>
        <v>OQ TRADING</v>
      </c>
    </row>
    <row r="1281" spans="1:7" x14ac:dyDescent="0.25">
      <c r="A1281" s="10">
        <v>2024</v>
      </c>
      <c r="B1281" s="10" t="s">
        <v>136</v>
      </c>
      <c r="C1281" s="10" t="s">
        <v>187</v>
      </c>
      <c r="D1281" s="10" t="s">
        <v>121</v>
      </c>
      <c r="E1281" s="25" t="str">
        <f>VLOOKUP(D1281,'[2]Lista de Produtos CLASSIFICAÇÃO'!$E$103:$F$114,2,FALSE)</f>
        <v>Biocombustíveis</v>
      </c>
      <c r="F1281" s="61">
        <v>8000</v>
      </c>
      <c r="G1281" t="str">
        <f>VLOOKUP(Tabela1[[#This Row],[Cliente]],clientes!$C$3:$D$60,2,FALSE)</f>
        <v>TEREOS / INPASA / GLENCORE / FS</v>
      </c>
    </row>
    <row r="1282" spans="1:7" x14ac:dyDescent="0.25">
      <c r="A1282" s="10">
        <v>2024</v>
      </c>
      <c r="B1282" s="10" t="s">
        <v>136</v>
      </c>
      <c r="C1282" s="10" t="s">
        <v>188</v>
      </c>
      <c r="D1282" s="10" t="s">
        <v>123</v>
      </c>
      <c r="E1282" s="25" t="str">
        <f>VLOOKUP(D1282,'[2]Lista de Produtos CLASSIFICAÇÃO'!$E$103:$F$114,2,FALSE)</f>
        <v>Aquecidos</v>
      </c>
      <c r="F1282" s="61">
        <v>3250</v>
      </c>
      <c r="G1282" t="str">
        <f>VLOOKUP(Tabela1[[#This Row],[Cliente]],clientes!$C$3:$D$60,2,FALSE)</f>
        <v>ARES MERCHANTS PTE LIMITE</v>
      </c>
    </row>
    <row r="1283" spans="1:7" x14ac:dyDescent="0.25">
      <c r="A1283" s="10">
        <v>2024</v>
      </c>
      <c r="B1283" s="10" t="s">
        <v>136</v>
      </c>
      <c r="C1283" s="10" t="s">
        <v>18</v>
      </c>
      <c r="D1283" s="10" t="s">
        <v>17</v>
      </c>
      <c r="E1283" s="25" t="str">
        <f>VLOOKUP(D1283,'[2]Lista de Produtos CLASSIFICAÇÃO'!$E$103:$F$114,2,FALSE)</f>
        <v>Acostagem</v>
      </c>
      <c r="F1283" s="61"/>
      <c r="G1283" t="str">
        <f>VLOOKUP(Tabela1[[#This Row],[Cliente]],clientes!$C$3:$D$60,2,FALSE)</f>
        <v>ACOSTAGEM</v>
      </c>
    </row>
    <row r="1284" spans="1:7" x14ac:dyDescent="0.25">
      <c r="A1284" s="10">
        <v>2024</v>
      </c>
      <c r="B1284" s="10" t="s">
        <v>136</v>
      </c>
      <c r="C1284" s="10" t="s">
        <v>189</v>
      </c>
      <c r="D1284" s="10" t="s">
        <v>123</v>
      </c>
      <c r="E1284" s="25" t="str">
        <f>VLOOKUP(D1284,'[2]Lista de Produtos CLASSIFICAÇÃO'!$E$103:$F$114,2,FALSE)</f>
        <v>Aquecidos</v>
      </c>
      <c r="F1284" s="61">
        <v>2789</v>
      </c>
      <c r="G1284" t="str">
        <f>VLOOKUP(Tabela1[[#This Row],[Cliente]],clientes!$C$3:$D$60,2,FALSE)</f>
        <v>ICOF</v>
      </c>
    </row>
    <row r="1285" spans="1:7" x14ac:dyDescent="0.25">
      <c r="A1285" s="10">
        <v>2024</v>
      </c>
      <c r="B1285" s="10" t="s">
        <v>137</v>
      </c>
      <c r="C1285" s="10" t="s">
        <v>155</v>
      </c>
      <c r="D1285" s="10" t="s">
        <v>16</v>
      </c>
      <c r="E1285" s="25" t="str">
        <f>VLOOKUP(D1285,'[2]Lista de Produtos CLASSIFICAÇÃO'!$E$103:$F$114,2,FALSE)</f>
        <v>Outros</v>
      </c>
      <c r="F1285" s="61">
        <v>4700</v>
      </c>
      <c r="G1285" t="str">
        <f>VLOOKUP(Tabela1[[#This Row],[Cliente]],clientes!$C$3:$D$60,2,FALSE)</f>
        <v>ADISSEO</v>
      </c>
    </row>
    <row r="1286" spans="1:7" x14ac:dyDescent="0.25">
      <c r="A1286" s="10">
        <v>2024</v>
      </c>
      <c r="B1286" s="10" t="s">
        <v>137</v>
      </c>
      <c r="C1286" s="10" t="s">
        <v>156</v>
      </c>
      <c r="D1286" s="10" t="s">
        <v>123</v>
      </c>
      <c r="E1286" s="25" t="str">
        <f>VLOOKUP(D1286,'[2]Lista de Produtos CLASSIFICAÇÃO'!$E$103:$F$114,2,FALSE)</f>
        <v>Aquecidos</v>
      </c>
      <c r="F1286" s="61">
        <v>1500</v>
      </c>
      <c r="G1286" t="str">
        <f>VLOOKUP(Tabela1[[#This Row],[Cliente]],clientes!$C$3:$D$60,2,FALSE)</f>
        <v>BUNGE</v>
      </c>
    </row>
    <row r="1287" spans="1:7" x14ac:dyDescent="0.25">
      <c r="A1287" s="10">
        <v>2024</v>
      </c>
      <c r="B1287" s="10" t="s">
        <v>137</v>
      </c>
      <c r="C1287" s="10" t="s">
        <v>157</v>
      </c>
      <c r="D1287" s="10" t="s">
        <v>122</v>
      </c>
      <c r="E1287" s="25" t="str">
        <f>VLOOKUP(D1287,'[2]Lista de Produtos CLASSIFICAÇÃO'!$E$103:$F$114,2,FALSE)</f>
        <v>Óleo Vegetal</v>
      </c>
      <c r="F1287" s="61">
        <v>3000</v>
      </c>
      <c r="G1287" t="str">
        <f>VLOOKUP(Tabela1[[#This Row],[Cliente]],clientes!$C$3:$D$60,2,FALSE)</f>
        <v>ADM</v>
      </c>
    </row>
    <row r="1288" spans="1:7" x14ac:dyDescent="0.25">
      <c r="A1288" s="10">
        <v>2024</v>
      </c>
      <c r="B1288" s="10" t="s">
        <v>137</v>
      </c>
      <c r="C1288" s="10" t="s">
        <v>158</v>
      </c>
      <c r="D1288" s="10" t="s">
        <v>120</v>
      </c>
      <c r="E1288" s="25" t="str">
        <f>VLOOKUP(D1288,'[2]Lista de Produtos CLASSIFICAÇÃO'!$E$103:$F$114,2,FALSE)</f>
        <v>Derivados</v>
      </c>
      <c r="F1288" s="61">
        <v>86859</v>
      </c>
      <c r="G1288" t="str">
        <f>VLOOKUP(Tabela1[[#This Row],[Cliente]],clientes!$C$3:$D$60,2,FALSE)</f>
        <v>IPIRANGA</v>
      </c>
    </row>
    <row r="1289" spans="1:7" x14ac:dyDescent="0.25">
      <c r="A1289" s="10">
        <v>2024</v>
      </c>
      <c r="B1289" s="10" t="s">
        <v>137</v>
      </c>
      <c r="C1289" s="10" t="s">
        <v>159</v>
      </c>
      <c r="D1289" s="10" t="s">
        <v>120</v>
      </c>
      <c r="E1289" s="25" t="str">
        <f>VLOOKUP(D1289,'[2]Lista de Produtos CLASSIFICAÇÃO'!$E$103:$F$114,2,FALSE)</f>
        <v>Derivados</v>
      </c>
      <c r="F1289" s="61">
        <v>30000</v>
      </c>
      <c r="G1289" t="str">
        <f>VLOOKUP(Tabela1[[#This Row],[Cliente]],clientes!$C$3:$D$60,2,FALSE)</f>
        <v>RAIZEN</v>
      </c>
    </row>
    <row r="1290" spans="1:7" x14ac:dyDescent="0.25">
      <c r="A1290" s="10">
        <v>2024</v>
      </c>
      <c r="B1290" s="10" t="s">
        <v>137</v>
      </c>
      <c r="C1290" s="10" t="s">
        <v>160</v>
      </c>
      <c r="D1290" s="10" t="s">
        <v>120</v>
      </c>
      <c r="E1290" s="25" t="str">
        <f>VLOOKUP(D1290,'[2]Lista de Produtos CLASSIFICAÇÃO'!$E$103:$F$114,2,FALSE)</f>
        <v>Derivados</v>
      </c>
      <c r="F1290" s="61">
        <v>15000</v>
      </c>
      <c r="G1290" t="str">
        <f>VLOOKUP(Tabela1[[#This Row],[Cliente]],clientes!$C$3:$D$60,2,FALSE)</f>
        <v>VIBRA</v>
      </c>
    </row>
    <row r="1291" spans="1:7" x14ac:dyDescent="0.25">
      <c r="A1291" s="10">
        <v>2024</v>
      </c>
      <c r="B1291" s="10" t="s">
        <v>137</v>
      </c>
      <c r="C1291" s="10" t="s">
        <v>161</v>
      </c>
      <c r="D1291" s="10" t="s">
        <v>120</v>
      </c>
      <c r="E1291" s="25" t="str">
        <f>VLOOKUP(D1291,'[2]Lista de Produtos CLASSIFICAÇÃO'!$E$103:$F$114,2,FALSE)</f>
        <v>Derivados</v>
      </c>
      <c r="F1291" s="61">
        <v>44820</v>
      </c>
      <c r="G1291" t="str">
        <f>VLOOKUP(Tabela1[[#This Row],[Cliente]],clientes!$C$3:$D$60,2,FALSE)</f>
        <v>SUL PLATA</v>
      </c>
    </row>
    <row r="1292" spans="1:7" x14ac:dyDescent="0.25">
      <c r="A1292" s="10">
        <v>2024</v>
      </c>
      <c r="B1292" s="10" t="s">
        <v>137</v>
      </c>
      <c r="C1292" s="10" t="s">
        <v>162</v>
      </c>
      <c r="D1292" s="10" t="s">
        <v>115</v>
      </c>
      <c r="E1292" s="25" t="str">
        <f>VLOOKUP(D1292,'[2]Lista de Produtos CLASSIFICAÇÃO'!$E$103:$F$114,2,FALSE)</f>
        <v>Soda Caustica</v>
      </c>
      <c r="F1292" s="61">
        <v>1500</v>
      </c>
      <c r="G1292" t="str">
        <f>VLOOKUP(Tabela1[[#This Row],[Cliente]],clientes!$C$3:$D$60,2,FALSE)</f>
        <v>JBS</v>
      </c>
    </row>
    <row r="1293" spans="1:7" x14ac:dyDescent="0.25">
      <c r="A1293" s="10">
        <v>2024</v>
      </c>
      <c r="B1293" s="10" t="s">
        <v>137</v>
      </c>
      <c r="C1293" s="10" t="s">
        <v>163</v>
      </c>
      <c r="D1293" s="10" t="s">
        <v>115</v>
      </c>
      <c r="E1293" s="25" t="str">
        <f>VLOOKUP(D1293,'[2]Lista de Produtos CLASSIFICAÇÃO'!$E$103:$F$114,2,FALSE)</f>
        <v>Soda Caustica</v>
      </c>
      <c r="F1293" s="61">
        <v>1500</v>
      </c>
      <c r="G1293" t="str">
        <f>VLOOKUP(Tabela1[[#This Row],[Cliente]],clientes!$C$3:$D$60,2,FALSE)</f>
        <v>TRICON ENERGY</v>
      </c>
    </row>
    <row r="1294" spans="1:7" x14ac:dyDescent="0.25">
      <c r="A1294" s="10">
        <v>2024</v>
      </c>
      <c r="B1294" s="10" t="s">
        <v>137</v>
      </c>
      <c r="C1294" s="10" t="s">
        <v>164</v>
      </c>
      <c r="D1294" s="10" t="s">
        <v>115</v>
      </c>
      <c r="E1294" s="25" t="str">
        <f>VLOOKUP(D1294,'[2]Lista de Produtos CLASSIFICAÇÃO'!$E$103:$F$114,2,FALSE)</f>
        <v>Soda Caustica</v>
      </c>
      <c r="F1294" s="61">
        <v>3400</v>
      </c>
      <c r="G1294" t="str">
        <f>VLOOKUP(Tabela1[[#This Row],[Cliente]],clientes!$C$3:$D$60,2,FALSE)</f>
        <v>BRASKEM</v>
      </c>
    </row>
    <row r="1295" spans="1:7" x14ac:dyDescent="0.25">
      <c r="A1295" s="10">
        <v>2024</v>
      </c>
      <c r="B1295" s="10" t="s">
        <v>137</v>
      </c>
      <c r="C1295" s="10" t="s">
        <v>165</v>
      </c>
      <c r="D1295" s="10" t="s">
        <v>123</v>
      </c>
      <c r="E1295" s="25" t="str">
        <f>VLOOKUP(D1295,'[2]Lista de Produtos CLASSIFICAÇÃO'!$E$103:$F$114,2,FALSE)</f>
        <v>Aquecidos</v>
      </c>
      <c r="F1295" s="61">
        <v>4000</v>
      </c>
      <c r="G1295" t="str">
        <f>VLOOKUP(Tabela1[[#This Row],[Cliente]],clientes!$C$3:$D$60,2,FALSE)</f>
        <v>BRF</v>
      </c>
    </row>
    <row r="1296" spans="1:7" x14ac:dyDescent="0.25">
      <c r="A1296" s="10">
        <v>2024</v>
      </c>
      <c r="B1296" s="10" t="s">
        <v>137</v>
      </c>
      <c r="C1296" s="10" t="s">
        <v>162</v>
      </c>
      <c r="D1296" s="10" t="s">
        <v>123</v>
      </c>
      <c r="E1296" s="25" t="str">
        <f>VLOOKUP(D1296,'[2]Lista de Produtos CLASSIFICAÇÃO'!$E$103:$F$114,2,FALSE)</f>
        <v>Aquecidos</v>
      </c>
      <c r="F1296" s="61">
        <v>2400</v>
      </c>
      <c r="G1296" t="str">
        <f>VLOOKUP(Tabela1[[#This Row],[Cliente]],clientes!$C$3:$D$60,2,FALSE)</f>
        <v>JBS</v>
      </c>
    </row>
    <row r="1297" spans="1:7" x14ac:dyDescent="0.25">
      <c r="A1297" s="10">
        <v>2024</v>
      </c>
      <c r="B1297" s="10" t="s">
        <v>137</v>
      </c>
      <c r="C1297" s="10" t="s">
        <v>166</v>
      </c>
      <c r="D1297" s="10" t="s">
        <v>123</v>
      </c>
      <c r="E1297" s="25" t="str">
        <f>VLOOKUP(D1297,'[2]Lista de Produtos CLASSIFICAÇÃO'!$E$103:$F$114,2,FALSE)</f>
        <v>Aquecidos</v>
      </c>
      <c r="F1297" s="61">
        <v>1500</v>
      </c>
      <c r="G1297" t="str">
        <f>VLOOKUP(Tabela1[[#This Row],[Cliente]],clientes!$C$3:$D$60,2,FALSE)</f>
        <v>CARGILL</v>
      </c>
    </row>
    <row r="1298" spans="1:7" x14ac:dyDescent="0.25">
      <c r="A1298" s="10">
        <v>2024</v>
      </c>
      <c r="B1298" s="10" t="s">
        <v>137</v>
      </c>
      <c r="C1298" s="10" t="s">
        <v>167</v>
      </c>
      <c r="D1298" s="10" t="s">
        <v>122</v>
      </c>
      <c r="E1298" s="25" t="str">
        <f>VLOOKUP(D1298,'[2]Lista de Produtos CLASSIFICAÇÃO'!$E$103:$F$114,2,FALSE)</f>
        <v>Óleo Vegetal</v>
      </c>
      <c r="F1298" s="61">
        <v>83118.64</v>
      </c>
      <c r="G1298" t="str">
        <f>VLOOKUP(Tabela1[[#This Row],[Cliente]],clientes!$C$3:$D$60,2,FALSE)</f>
        <v>POOL</v>
      </c>
    </row>
    <row r="1299" spans="1:7" x14ac:dyDescent="0.25">
      <c r="A1299" s="10">
        <v>2024</v>
      </c>
      <c r="B1299" s="10" t="s">
        <v>137</v>
      </c>
      <c r="C1299" s="10" t="s">
        <v>168</v>
      </c>
      <c r="D1299" s="10" t="s">
        <v>122</v>
      </c>
      <c r="E1299" s="25" t="str">
        <f>VLOOKUP(D1299,'[2]Lista de Produtos CLASSIFICAÇÃO'!$E$103:$F$114,2,FALSE)</f>
        <v>Óleo Vegetal</v>
      </c>
      <c r="F1299" s="61">
        <v>2000</v>
      </c>
      <c r="G1299" t="str">
        <f>VLOOKUP(Tabela1[[#This Row],[Cliente]],clientes!$C$3:$D$60,2,FALSE)</f>
        <v>POOL EXCEDENTE</v>
      </c>
    </row>
    <row r="1300" spans="1:7" x14ac:dyDescent="0.25">
      <c r="A1300" s="10">
        <v>2024</v>
      </c>
      <c r="B1300" s="10" t="s">
        <v>137</v>
      </c>
      <c r="C1300" s="10" t="s">
        <v>169</v>
      </c>
      <c r="D1300" s="10" t="s">
        <v>22</v>
      </c>
      <c r="E1300" s="25" t="str">
        <f>VLOOKUP(D1300,'[2]Lista de Produtos CLASSIFICAÇÃO'!$E$103:$F$114,2,FALSE)</f>
        <v>Metanol</v>
      </c>
      <c r="F1300" s="61">
        <v>67000</v>
      </c>
      <c r="G1300" t="str">
        <f>VLOOKUP(Tabela1[[#This Row],[Cliente]],clientes!$C$3:$D$60,2,FALSE)</f>
        <v>METHANEX</v>
      </c>
    </row>
    <row r="1301" spans="1:7" x14ac:dyDescent="0.25">
      <c r="A1301" s="10">
        <v>2024</v>
      </c>
      <c r="B1301" s="10" t="s">
        <v>137</v>
      </c>
      <c r="C1301" s="10" t="s">
        <v>170</v>
      </c>
      <c r="D1301" s="10" t="s">
        <v>22</v>
      </c>
      <c r="E1301" s="25" t="str">
        <f>VLOOKUP(D1301,'[2]Lista de Produtos CLASSIFICAÇÃO'!$E$103:$F$114,2,FALSE)</f>
        <v>Metanol</v>
      </c>
      <c r="F1301" s="61">
        <v>15000</v>
      </c>
      <c r="G1301" t="str">
        <f>VLOOKUP(Tabela1[[#This Row],[Cliente]],clientes!$C$3:$D$60,2,FALSE)</f>
        <v>MITSUBISHI</v>
      </c>
    </row>
    <row r="1302" spans="1:7" x14ac:dyDescent="0.25">
      <c r="A1302" s="10">
        <v>2024</v>
      </c>
      <c r="B1302" s="10" t="s">
        <v>137</v>
      </c>
      <c r="C1302" s="10" t="s">
        <v>171</v>
      </c>
      <c r="D1302" s="10" t="s">
        <v>22</v>
      </c>
      <c r="E1302" s="25" t="str">
        <f>VLOOKUP(D1302,'[2]Lista de Produtos CLASSIFICAÇÃO'!$E$103:$F$114,2,FALSE)</f>
        <v>Metanol</v>
      </c>
      <c r="F1302" s="61">
        <v>23000</v>
      </c>
      <c r="G1302" t="str">
        <f>VLOOKUP(Tabela1[[#This Row],[Cliente]],clientes!$C$3:$D$60,2,FALSE)</f>
        <v>VALENZ</v>
      </c>
    </row>
    <row r="1303" spans="1:7" x14ac:dyDescent="0.25">
      <c r="A1303" s="10">
        <v>2024</v>
      </c>
      <c r="B1303" s="10" t="s">
        <v>137</v>
      </c>
      <c r="C1303" s="10" t="s">
        <v>172</v>
      </c>
      <c r="D1303" s="10" t="s">
        <v>124</v>
      </c>
      <c r="E1303" s="25" t="str">
        <f>VLOOKUP(D1303,'[2]Lista de Produtos CLASSIFICAÇÃO'!$E$103:$F$114,2,FALSE)</f>
        <v>Outros</v>
      </c>
      <c r="F1303" s="61">
        <v>1200</v>
      </c>
      <c r="G1303" t="str">
        <f>VLOOKUP(Tabela1[[#This Row],[Cliente]],clientes!$C$3:$D$60,2,FALSE)</f>
        <v>EVONIK</v>
      </c>
    </row>
    <row r="1304" spans="1:7" x14ac:dyDescent="0.25">
      <c r="A1304" s="10">
        <v>2024</v>
      </c>
      <c r="B1304" s="10" t="s">
        <v>137</v>
      </c>
      <c r="C1304" s="10" t="s">
        <v>173</v>
      </c>
      <c r="D1304" s="10" t="s">
        <v>22</v>
      </c>
      <c r="E1304" s="25" t="str">
        <f>VLOOKUP(D1304,'[2]Lista de Produtos CLASSIFICAÇÃO'!$E$103:$F$114,2,FALSE)</f>
        <v>Metanol</v>
      </c>
      <c r="F1304" s="61"/>
      <c r="G1304" t="str">
        <f>VLOOKUP(Tabela1[[#This Row],[Cliente]],clientes!$C$3:$D$60,2,FALSE)</f>
        <v>YPF SOCIEDAD ANONIMA</v>
      </c>
    </row>
    <row r="1305" spans="1:7" x14ac:dyDescent="0.25">
      <c r="A1305" s="10">
        <v>2024</v>
      </c>
      <c r="B1305" s="10" t="s">
        <v>137</v>
      </c>
      <c r="C1305" s="10" t="s">
        <v>174</v>
      </c>
      <c r="D1305" s="10" t="s">
        <v>123</v>
      </c>
      <c r="E1305" s="25" t="str">
        <f>VLOOKUP(D1305,'[2]Lista de Produtos CLASSIFICAÇÃO'!$E$103:$F$114,2,FALSE)</f>
        <v>Aquecidos</v>
      </c>
      <c r="F1305" s="61">
        <v>2000</v>
      </c>
      <c r="G1305" t="str">
        <f>VLOOKUP(Tabela1[[#This Row],[Cliente]],clientes!$C$3:$D$60,2,FALSE)</f>
        <v>CELENA</v>
      </c>
    </row>
    <row r="1306" spans="1:7" x14ac:dyDescent="0.25">
      <c r="A1306" s="10">
        <v>2024</v>
      </c>
      <c r="B1306" s="10" t="s">
        <v>137</v>
      </c>
      <c r="C1306" s="10" t="s">
        <v>175</v>
      </c>
      <c r="D1306" s="10" t="s">
        <v>123</v>
      </c>
      <c r="E1306" s="25" t="str">
        <f>VLOOKUP(D1306,'[2]Lista de Produtos CLASSIFICAÇÃO'!$E$103:$F$114,2,FALSE)</f>
        <v>Aquecidos</v>
      </c>
      <c r="F1306" s="61">
        <v>1700</v>
      </c>
      <c r="G1306" t="str">
        <f>VLOOKUP(Tabela1[[#This Row],[Cliente]],clientes!$C$3:$D$60,2,FALSE)</f>
        <v>AAK DO BRASIL</v>
      </c>
    </row>
    <row r="1307" spans="1:7" x14ac:dyDescent="0.25">
      <c r="A1307" s="10">
        <v>2024</v>
      </c>
      <c r="B1307" s="10" t="s">
        <v>137</v>
      </c>
      <c r="C1307" s="10" t="s">
        <v>166</v>
      </c>
      <c r="D1307" s="10" t="s">
        <v>122</v>
      </c>
      <c r="E1307" s="25" t="str">
        <f>VLOOKUP(D1307,'[2]Lista de Produtos CLASSIFICAÇÃO'!$E$103:$F$114,2,FALSE)</f>
        <v>Óleo Vegetal</v>
      </c>
      <c r="F1307" s="61">
        <v>4500</v>
      </c>
      <c r="G1307" t="str">
        <f>VLOOKUP(Tabela1[[#This Row],[Cliente]],clientes!$C$3:$D$60,2,FALSE)</f>
        <v>CARGILL</v>
      </c>
    </row>
    <row r="1308" spans="1:7" x14ac:dyDescent="0.25">
      <c r="A1308" s="10">
        <v>2024</v>
      </c>
      <c r="B1308" s="10" t="s">
        <v>137</v>
      </c>
      <c r="C1308" s="10" t="s">
        <v>176</v>
      </c>
      <c r="D1308" s="10" t="s">
        <v>123</v>
      </c>
      <c r="E1308" s="25" t="str">
        <f>VLOOKUP(D1308,'[2]Lista de Produtos CLASSIFICAÇÃO'!$E$103:$F$114,2,FALSE)</f>
        <v>Aquecidos</v>
      </c>
      <c r="F1308" s="61">
        <v>2150</v>
      </c>
      <c r="G1308" t="str">
        <f>VLOOKUP(Tabela1[[#This Row],[Cliente]],clientes!$C$3:$D$60,2,FALSE)</f>
        <v>AGROPALMA</v>
      </c>
    </row>
    <row r="1309" spans="1:7" x14ac:dyDescent="0.25">
      <c r="A1309" s="10">
        <v>2024</v>
      </c>
      <c r="B1309" s="10" t="s">
        <v>137</v>
      </c>
      <c r="C1309" s="10" t="s">
        <v>177</v>
      </c>
      <c r="D1309" s="10" t="s">
        <v>115</v>
      </c>
      <c r="E1309" s="25" t="str">
        <f>VLOOKUP(D1309,'[2]Lista de Produtos CLASSIFICAÇÃO'!$E$103:$F$114,2,FALSE)</f>
        <v>Soda Caustica</v>
      </c>
      <c r="F1309" s="61">
        <v>3000</v>
      </c>
      <c r="G1309" t="str">
        <f>VLOOKUP(Tabela1[[#This Row],[Cliente]],clientes!$C$3:$D$60,2,FALSE)</f>
        <v>BRENNTAG</v>
      </c>
    </row>
    <row r="1310" spans="1:7" x14ac:dyDescent="0.25">
      <c r="A1310" s="10">
        <v>2024</v>
      </c>
      <c r="B1310" s="10" t="s">
        <v>137</v>
      </c>
      <c r="C1310" s="10" t="s">
        <v>178</v>
      </c>
      <c r="D1310" s="10" t="s">
        <v>115</v>
      </c>
      <c r="E1310" s="25" t="str">
        <f>VLOOKUP(D1310,'[2]Lista de Produtos CLASSIFICAÇÃO'!$E$103:$F$114,2,FALSE)</f>
        <v>Soda Caustica</v>
      </c>
      <c r="F1310" s="61">
        <v>15000</v>
      </c>
      <c r="G1310" t="str">
        <f>VLOOKUP(Tabela1[[#This Row],[Cliente]],clientes!$C$3:$D$60,2,FALSE)</f>
        <v>OLIN BLUE CUBE</v>
      </c>
    </row>
    <row r="1311" spans="1:7" x14ac:dyDescent="0.25">
      <c r="A1311" s="10">
        <v>2024</v>
      </c>
      <c r="B1311" s="10" t="s">
        <v>137</v>
      </c>
      <c r="C1311" s="10" t="s">
        <v>179</v>
      </c>
      <c r="D1311" s="10" t="s">
        <v>26</v>
      </c>
      <c r="E1311" s="25" t="str">
        <f>VLOOKUP(D1311,'[2]Lista de Produtos CLASSIFICAÇÃO'!$E$103:$F$114,2,FALSE)</f>
        <v>Biocombustíveis</v>
      </c>
      <c r="F1311" s="61">
        <v>4000</v>
      </c>
      <c r="G1311" t="str">
        <f>VLOOKUP(Tabela1[[#This Row],[Cliente]],clientes!$C$3:$D$60,2,FALSE)</f>
        <v>BSBIOS</v>
      </c>
    </row>
    <row r="1312" spans="1:7" x14ac:dyDescent="0.25">
      <c r="A1312" s="10">
        <v>2024</v>
      </c>
      <c r="B1312" s="10" t="s">
        <v>137</v>
      </c>
      <c r="C1312" s="10" t="s">
        <v>180</v>
      </c>
      <c r="D1312" s="10" t="s">
        <v>30</v>
      </c>
      <c r="E1312" s="25" t="str">
        <f>VLOOKUP(D1312,'[2]Lista de Produtos CLASSIFICAÇÃO'!$E$103:$F$114,2,FALSE)</f>
        <v>Outros</v>
      </c>
      <c r="F1312" s="61"/>
      <c r="G1312" t="str">
        <f>VLOOKUP(Tabela1[[#This Row],[Cliente]],clientes!$C$3:$D$60,2,FALSE)</f>
        <v>TRICHEM</v>
      </c>
    </row>
    <row r="1313" spans="1:7" x14ac:dyDescent="0.25">
      <c r="A1313" s="10">
        <v>2024</v>
      </c>
      <c r="B1313" s="10" t="s">
        <v>137</v>
      </c>
      <c r="C1313" s="10" t="s">
        <v>181</v>
      </c>
      <c r="D1313" s="10" t="s">
        <v>123</v>
      </c>
      <c r="E1313" s="25" t="str">
        <f>VLOOKUP(D1313,'[2]Lista de Produtos CLASSIFICAÇÃO'!$E$103:$F$114,2,FALSE)</f>
        <v>Aquecidos</v>
      </c>
      <c r="F1313" s="61">
        <v>1600</v>
      </c>
      <c r="G1313" t="str">
        <f>VLOOKUP(Tabela1[[#This Row],[Cliente]],clientes!$C$3:$D$60,2,FALSE)</f>
        <v>COAMO</v>
      </c>
    </row>
    <row r="1314" spans="1:7" x14ac:dyDescent="0.25">
      <c r="A1314" s="10">
        <v>2024</v>
      </c>
      <c r="B1314" s="10" t="s">
        <v>137</v>
      </c>
      <c r="C1314" s="10" t="s">
        <v>182</v>
      </c>
      <c r="D1314" s="10" t="s">
        <v>120</v>
      </c>
      <c r="E1314" s="25" t="str">
        <f>VLOOKUP(D1314,'[2]Lista de Produtos CLASSIFICAÇÃO'!$E$103:$F$114,2,FALSE)</f>
        <v>Derivados</v>
      </c>
      <c r="F1314" s="61"/>
      <c r="G1314" t="str">
        <f>VLOOKUP(Tabela1[[#This Row],[Cliente]],clientes!$C$3:$D$60,2,FALSE)</f>
        <v>ATEM</v>
      </c>
    </row>
    <row r="1315" spans="1:7" x14ac:dyDescent="0.25">
      <c r="A1315" s="10">
        <v>2024</v>
      </c>
      <c r="B1315" s="10" t="s">
        <v>137</v>
      </c>
      <c r="C1315" s="10" t="s">
        <v>174</v>
      </c>
      <c r="D1315" s="10" t="s">
        <v>123</v>
      </c>
      <c r="E1315" s="25" t="str">
        <f>VLOOKUP(D1315,'[2]Lista de Produtos CLASSIFICAÇÃO'!$E$103:$F$114,2,FALSE)</f>
        <v>Aquecidos</v>
      </c>
      <c r="F1315" s="61"/>
      <c r="G1315" t="str">
        <f>VLOOKUP(Tabela1[[#This Row],[Cliente]],clientes!$C$3:$D$60,2,FALSE)</f>
        <v>CELENA</v>
      </c>
    </row>
    <row r="1316" spans="1:7" x14ac:dyDescent="0.25">
      <c r="A1316" s="10">
        <v>2024</v>
      </c>
      <c r="B1316" s="10" t="s">
        <v>137</v>
      </c>
      <c r="C1316" s="10" t="s">
        <v>173</v>
      </c>
      <c r="D1316" s="10" t="s">
        <v>183</v>
      </c>
      <c r="E1316" s="25" t="str">
        <f>VLOOKUP(D1316,'[2]Lista de Produtos CLASSIFICAÇÃO'!$E$103:$F$114,2,FALSE)</f>
        <v>Outros</v>
      </c>
      <c r="F1316" s="61">
        <v>1100</v>
      </c>
      <c r="G1316" t="str">
        <f>VLOOKUP(Tabela1[[#This Row],[Cliente]],clientes!$C$3:$D$60,2,FALSE)</f>
        <v>YPF SOCIEDAD ANONIMA</v>
      </c>
    </row>
    <row r="1317" spans="1:7" x14ac:dyDescent="0.25">
      <c r="A1317" s="10">
        <v>2024</v>
      </c>
      <c r="B1317" s="10" t="s">
        <v>137</v>
      </c>
      <c r="C1317" s="10" t="s">
        <v>184</v>
      </c>
      <c r="D1317" s="10" t="s">
        <v>122</v>
      </c>
      <c r="E1317" s="25" t="str">
        <f>VLOOKUP(D1317,'[2]Lista de Produtos CLASSIFICAÇÃO'!$E$103:$F$114,2,FALSE)</f>
        <v>Óleo Vegetal</v>
      </c>
      <c r="F1317" s="61">
        <v>2500</v>
      </c>
      <c r="G1317" t="str">
        <f>VLOOKUP(Tabela1[[#This Row],[Cliente]],clientes!$C$3:$D$60,2,FALSE)</f>
        <v>INGREDION</v>
      </c>
    </row>
    <row r="1318" spans="1:7" x14ac:dyDescent="0.25">
      <c r="A1318" s="10">
        <v>2024</v>
      </c>
      <c r="B1318" s="10" t="s">
        <v>137</v>
      </c>
      <c r="C1318" s="10" t="s">
        <v>185</v>
      </c>
      <c r="D1318" s="10" t="s">
        <v>120</v>
      </c>
      <c r="E1318" s="25" t="str">
        <f>VLOOKUP(D1318,'[2]Lista de Produtos CLASSIFICAÇÃO'!$E$103:$F$114,2,FALSE)</f>
        <v>Derivados</v>
      </c>
      <c r="F1318" s="61">
        <v>12450</v>
      </c>
      <c r="G1318" t="str">
        <f>VLOOKUP(Tabela1[[#This Row],[Cliente]],clientes!$C$3:$D$60,2,FALSE)</f>
        <v>CIAPETRO</v>
      </c>
    </row>
    <row r="1319" spans="1:7" x14ac:dyDescent="0.25">
      <c r="A1319" s="10">
        <v>2024</v>
      </c>
      <c r="B1319" s="10" t="s">
        <v>137</v>
      </c>
      <c r="C1319" s="10" t="s">
        <v>186</v>
      </c>
      <c r="D1319" s="10" t="s">
        <v>22</v>
      </c>
      <c r="E1319" s="25" t="str">
        <f>VLOOKUP(D1319,'[2]Lista de Produtos CLASSIFICAÇÃO'!$E$103:$F$114,2,FALSE)</f>
        <v>Metanol</v>
      </c>
      <c r="F1319" s="61"/>
      <c r="G1319" t="str">
        <f>VLOOKUP(Tabela1[[#This Row],[Cliente]],clientes!$C$3:$D$60,2,FALSE)</f>
        <v>OQ TRADING</v>
      </c>
    </row>
    <row r="1320" spans="1:7" x14ac:dyDescent="0.25">
      <c r="A1320" s="10">
        <v>2024</v>
      </c>
      <c r="B1320" s="10" t="s">
        <v>137</v>
      </c>
      <c r="C1320" s="10" t="s">
        <v>187</v>
      </c>
      <c r="D1320" s="10" t="s">
        <v>121</v>
      </c>
      <c r="E1320" s="25" t="str">
        <f>VLOOKUP(D1320,'[2]Lista de Produtos CLASSIFICAÇÃO'!$E$103:$F$114,2,FALSE)</f>
        <v>Biocombustíveis</v>
      </c>
      <c r="F1320" s="61">
        <v>8000</v>
      </c>
      <c r="G1320" t="str">
        <f>VLOOKUP(Tabela1[[#This Row],[Cliente]],clientes!$C$3:$D$60,2,FALSE)</f>
        <v>TEREOS / INPASA / GLENCORE / FS</v>
      </c>
    </row>
    <row r="1321" spans="1:7" x14ac:dyDescent="0.25">
      <c r="A1321" s="10">
        <v>2024</v>
      </c>
      <c r="B1321" s="10" t="s">
        <v>137</v>
      </c>
      <c r="C1321" s="10" t="s">
        <v>188</v>
      </c>
      <c r="D1321" s="10" t="s">
        <v>123</v>
      </c>
      <c r="E1321" s="25" t="str">
        <f>VLOOKUP(D1321,'[2]Lista de Produtos CLASSIFICAÇÃO'!$E$103:$F$114,2,FALSE)</f>
        <v>Aquecidos</v>
      </c>
      <c r="F1321" s="61">
        <v>3250</v>
      </c>
      <c r="G1321" t="str">
        <f>VLOOKUP(Tabela1[[#This Row],[Cliente]],clientes!$C$3:$D$60,2,FALSE)</f>
        <v>ARES MERCHANTS PTE LIMITE</v>
      </c>
    </row>
    <row r="1322" spans="1:7" x14ac:dyDescent="0.25">
      <c r="A1322" s="10">
        <v>2024</v>
      </c>
      <c r="B1322" s="10" t="s">
        <v>137</v>
      </c>
      <c r="C1322" s="10" t="s">
        <v>18</v>
      </c>
      <c r="D1322" s="10" t="s">
        <v>17</v>
      </c>
      <c r="E1322" s="25" t="str">
        <f>VLOOKUP(D1322,'[2]Lista de Produtos CLASSIFICAÇÃO'!$E$103:$F$114,2,FALSE)</f>
        <v>Acostagem</v>
      </c>
      <c r="F1322" s="61"/>
      <c r="G1322" t="str">
        <f>VLOOKUP(Tabela1[[#This Row],[Cliente]],clientes!$C$3:$D$60,2,FALSE)</f>
        <v>ACOSTAGEM</v>
      </c>
    </row>
    <row r="1323" spans="1:7" x14ac:dyDescent="0.25">
      <c r="A1323" s="10">
        <v>2024</v>
      </c>
      <c r="B1323" s="10" t="s">
        <v>137</v>
      </c>
      <c r="C1323" s="10" t="s">
        <v>189</v>
      </c>
      <c r="D1323" s="10" t="s">
        <v>123</v>
      </c>
      <c r="E1323" s="25" t="str">
        <f>VLOOKUP(D1323,'[2]Lista de Produtos CLASSIFICAÇÃO'!$E$103:$F$114,2,FALSE)</f>
        <v>Aquecidos</v>
      </c>
      <c r="F1323" s="61">
        <v>2789</v>
      </c>
      <c r="G1323" t="str">
        <f>VLOOKUP(Tabela1[[#This Row],[Cliente]],clientes!$C$3:$D$60,2,FALSE)</f>
        <v>ICOF</v>
      </c>
    </row>
    <row r="1324" spans="1:7" x14ac:dyDescent="0.25">
      <c r="A1324" s="10">
        <v>2024</v>
      </c>
      <c r="B1324" s="10" t="s">
        <v>138</v>
      </c>
      <c r="C1324" s="10" t="s">
        <v>155</v>
      </c>
      <c r="D1324" s="10" t="s">
        <v>16</v>
      </c>
      <c r="E1324" s="25" t="str">
        <f>VLOOKUP(D1324,'[2]Lista de Produtos CLASSIFICAÇÃO'!$E$103:$F$114,2,FALSE)</f>
        <v>Outros</v>
      </c>
      <c r="F1324" s="61">
        <v>4700</v>
      </c>
      <c r="G1324" t="str">
        <f>VLOOKUP(Tabela1[[#This Row],[Cliente]],clientes!$C$3:$D$60,2,FALSE)</f>
        <v>ADISSEO</v>
      </c>
    </row>
    <row r="1325" spans="1:7" x14ac:dyDescent="0.25">
      <c r="A1325" s="10">
        <v>2024</v>
      </c>
      <c r="B1325" s="10" t="s">
        <v>138</v>
      </c>
      <c r="C1325" s="10" t="s">
        <v>156</v>
      </c>
      <c r="D1325" s="10" t="s">
        <v>123</v>
      </c>
      <c r="E1325" s="25" t="str">
        <f>VLOOKUP(D1325,'[2]Lista de Produtos CLASSIFICAÇÃO'!$E$103:$F$114,2,FALSE)</f>
        <v>Aquecidos</v>
      </c>
      <c r="F1325" s="61">
        <v>1500</v>
      </c>
      <c r="G1325" t="str">
        <f>VLOOKUP(Tabela1[[#This Row],[Cliente]],clientes!$C$3:$D$60,2,FALSE)</f>
        <v>BUNGE</v>
      </c>
    </row>
    <row r="1326" spans="1:7" x14ac:dyDescent="0.25">
      <c r="A1326" s="10">
        <v>2024</v>
      </c>
      <c r="B1326" s="10" t="s">
        <v>138</v>
      </c>
      <c r="C1326" s="10" t="s">
        <v>157</v>
      </c>
      <c r="D1326" s="10" t="s">
        <v>122</v>
      </c>
      <c r="E1326" s="25" t="str">
        <f>VLOOKUP(D1326,'[2]Lista de Produtos CLASSIFICAÇÃO'!$E$103:$F$114,2,FALSE)</f>
        <v>Óleo Vegetal</v>
      </c>
      <c r="F1326" s="61">
        <v>3000</v>
      </c>
      <c r="G1326" t="str">
        <f>VLOOKUP(Tabela1[[#This Row],[Cliente]],clientes!$C$3:$D$60,2,FALSE)</f>
        <v>ADM</v>
      </c>
    </row>
    <row r="1327" spans="1:7" x14ac:dyDescent="0.25">
      <c r="A1327" s="10">
        <v>2024</v>
      </c>
      <c r="B1327" s="10" t="s">
        <v>138</v>
      </c>
      <c r="C1327" s="10" t="s">
        <v>158</v>
      </c>
      <c r="D1327" s="10" t="s">
        <v>120</v>
      </c>
      <c r="E1327" s="25" t="str">
        <f>VLOOKUP(D1327,'[2]Lista de Produtos CLASSIFICAÇÃO'!$E$103:$F$114,2,FALSE)</f>
        <v>Derivados</v>
      </c>
      <c r="F1327" s="61">
        <v>86859</v>
      </c>
      <c r="G1327" t="str">
        <f>VLOOKUP(Tabela1[[#This Row],[Cliente]],clientes!$C$3:$D$60,2,FALSE)</f>
        <v>IPIRANGA</v>
      </c>
    </row>
    <row r="1328" spans="1:7" x14ac:dyDescent="0.25">
      <c r="A1328" s="10">
        <v>2024</v>
      </c>
      <c r="B1328" s="10" t="s">
        <v>138</v>
      </c>
      <c r="C1328" s="10" t="s">
        <v>159</v>
      </c>
      <c r="D1328" s="10" t="s">
        <v>120</v>
      </c>
      <c r="E1328" s="25" t="str">
        <f>VLOOKUP(D1328,'[2]Lista de Produtos CLASSIFICAÇÃO'!$E$103:$F$114,2,FALSE)</f>
        <v>Derivados</v>
      </c>
      <c r="F1328" s="61">
        <v>30000</v>
      </c>
      <c r="G1328" t="str">
        <f>VLOOKUP(Tabela1[[#This Row],[Cliente]],clientes!$C$3:$D$60,2,FALSE)</f>
        <v>RAIZEN</v>
      </c>
    </row>
    <row r="1329" spans="1:7" x14ac:dyDescent="0.25">
      <c r="A1329" s="10">
        <v>2024</v>
      </c>
      <c r="B1329" s="10" t="s">
        <v>138</v>
      </c>
      <c r="C1329" s="10" t="s">
        <v>160</v>
      </c>
      <c r="D1329" s="10" t="s">
        <v>120</v>
      </c>
      <c r="E1329" s="25" t="str">
        <f>VLOOKUP(D1329,'[2]Lista de Produtos CLASSIFICAÇÃO'!$E$103:$F$114,2,FALSE)</f>
        <v>Derivados</v>
      </c>
      <c r="F1329" s="61">
        <v>15000</v>
      </c>
      <c r="G1329" t="str">
        <f>VLOOKUP(Tabela1[[#This Row],[Cliente]],clientes!$C$3:$D$60,2,FALSE)</f>
        <v>VIBRA</v>
      </c>
    </row>
    <row r="1330" spans="1:7" x14ac:dyDescent="0.25">
      <c r="A1330" s="10">
        <v>2024</v>
      </c>
      <c r="B1330" s="10" t="s">
        <v>138</v>
      </c>
      <c r="C1330" s="10" t="s">
        <v>161</v>
      </c>
      <c r="D1330" s="10" t="s">
        <v>120</v>
      </c>
      <c r="E1330" s="25" t="str">
        <f>VLOOKUP(D1330,'[2]Lista de Produtos CLASSIFICAÇÃO'!$E$103:$F$114,2,FALSE)</f>
        <v>Derivados</v>
      </c>
      <c r="F1330" s="61">
        <v>44820</v>
      </c>
      <c r="G1330" t="str">
        <f>VLOOKUP(Tabela1[[#This Row],[Cliente]],clientes!$C$3:$D$60,2,FALSE)</f>
        <v>SUL PLATA</v>
      </c>
    </row>
    <row r="1331" spans="1:7" x14ac:dyDescent="0.25">
      <c r="A1331" s="10">
        <v>2024</v>
      </c>
      <c r="B1331" s="10" t="s">
        <v>138</v>
      </c>
      <c r="C1331" s="10" t="s">
        <v>162</v>
      </c>
      <c r="D1331" s="10" t="s">
        <v>115</v>
      </c>
      <c r="E1331" s="25" t="str">
        <f>VLOOKUP(D1331,'[2]Lista de Produtos CLASSIFICAÇÃO'!$E$103:$F$114,2,FALSE)</f>
        <v>Soda Caustica</v>
      </c>
      <c r="F1331" s="61">
        <v>1500</v>
      </c>
      <c r="G1331" t="str">
        <f>VLOOKUP(Tabela1[[#This Row],[Cliente]],clientes!$C$3:$D$60,2,FALSE)</f>
        <v>JBS</v>
      </c>
    </row>
    <row r="1332" spans="1:7" x14ac:dyDescent="0.25">
      <c r="A1332" s="10">
        <v>2024</v>
      </c>
      <c r="B1332" s="10" t="s">
        <v>138</v>
      </c>
      <c r="C1332" s="10" t="s">
        <v>163</v>
      </c>
      <c r="D1332" s="10" t="s">
        <v>115</v>
      </c>
      <c r="E1332" s="25" t="str">
        <f>VLOOKUP(D1332,'[2]Lista de Produtos CLASSIFICAÇÃO'!$E$103:$F$114,2,FALSE)</f>
        <v>Soda Caustica</v>
      </c>
      <c r="F1332" s="61">
        <v>1500</v>
      </c>
      <c r="G1332" t="str">
        <f>VLOOKUP(Tabela1[[#This Row],[Cliente]],clientes!$C$3:$D$60,2,FALSE)</f>
        <v>TRICON ENERGY</v>
      </c>
    </row>
    <row r="1333" spans="1:7" x14ac:dyDescent="0.25">
      <c r="A1333" s="10">
        <v>2024</v>
      </c>
      <c r="B1333" s="10" t="s">
        <v>138</v>
      </c>
      <c r="C1333" s="10" t="s">
        <v>164</v>
      </c>
      <c r="D1333" s="10" t="s">
        <v>115</v>
      </c>
      <c r="E1333" s="25" t="str">
        <f>VLOOKUP(D1333,'[2]Lista de Produtos CLASSIFICAÇÃO'!$E$103:$F$114,2,FALSE)</f>
        <v>Soda Caustica</v>
      </c>
      <c r="F1333" s="61">
        <v>3400</v>
      </c>
      <c r="G1333" t="str">
        <f>VLOOKUP(Tabela1[[#This Row],[Cliente]],clientes!$C$3:$D$60,2,FALSE)</f>
        <v>BRASKEM</v>
      </c>
    </row>
    <row r="1334" spans="1:7" x14ac:dyDescent="0.25">
      <c r="A1334" s="10">
        <v>2024</v>
      </c>
      <c r="B1334" s="10" t="s">
        <v>138</v>
      </c>
      <c r="C1334" s="10" t="s">
        <v>165</v>
      </c>
      <c r="D1334" s="10" t="s">
        <v>123</v>
      </c>
      <c r="E1334" s="25" t="str">
        <f>VLOOKUP(D1334,'[2]Lista de Produtos CLASSIFICAÇÃO'!$E$103:$F$114,2,FALSE)</f>
        <v>Aquecidos</v>
      </c>
      <c r="F1334" s="61">
        <v>4000</v>
      </c>
      <c r="G1334" t="str">
        <f>VLOOKUP(Tabela1[[#This Row],[Cliente]],clientes!$C$3:$D$60,2,FALSE)</f>
        <v>BRF</v>
      </c>
    </row>
    <row r="1335" spans="1:7" x14ac:dyDescent="0.25">
      <c r="A1335" s="10">
        <v>2024</v>
      </c>
      <c r="B1335" s="10" t="s">
        <v>138</v>
      </c>
      <c r="C1335" s="10" t="s">
        <v>162</v>
      </c>
      <c r="D1335" s="10" t="s">
        <v>123</v>
      </c>
      <c r="E1335" s="25" t="str">
        <f>VLOOKUP(D1335,'[2]Lista de Produtos CLASSIFICAÇÃO'!$E$103:$F$114,2,FALSE)</f>
        <v>Aquecidos</v>
      </c>
      <c r="F1335" s="61">
        <v>2400</v>
      </c>
      <c r="G1335" t="str">
        <f>VLOOKUP(Tabela1[[#This Row],[Cliente]],clientes!$C$3:$D$60,2,FALSE)</f>
        <v>JBS</v>
      </c>
    </row>
    <row r="1336" spans="1:7" x14ac:dyDescent="0.25">
      <c r="A1336" s="10">
        <v>2024</v>
      </c>
      <c r="B1336" s="10" t="s">
        <v>138</v>
      </c>
      <c r="C1336" s="10" t="s">
        <v>166</v>
      </c>
      <c r="D1336" s="10" t="s">
        <v>123</v>
      </c>
      <c r="E1336" s="25" t="str">
        <f>VLOOKUP(D1336,'[2]Lista de Produtos CLASSIFICAÇÃO'!$E$103:$F$114,2,FALSE)</f>
        <v>Aquecidos</v>
      </c>
      <c r="F1336" s="61">
        <v>1500</v>
      </c>
      <c r="G1336" t="str">
        <f>VLOOKUP(Tabela1[[#This Row],[Cliente]],clientes!$C$3:$D$60,2,FALSE)</f>
        <v>CARGILL</v>
      </c>
    </row>
    <row r="1337" spans="1:7" x14ac:dyDescent="0.25">
      <c r="A1337" s="10">
        <v>2024</v>
      </c>
      <c r="B1337" s="10" t="s">
        <v>138</v>
      </c>
      <c r="C1337" s="10" t="s">
        <v>167</v>
      </c>
      <c r="D1337" s="10" t="s">
        <v>122</v>
      </c>
      <c r="E1337" s="25" t="str">
        <f>VLOOKUP(D1337,'[2]Lista de Produtos CLASSIFICAÇÃO'!$E$103:$F$114,2,FALSE)</f>
        <v>Óleo Vegetal</v>
      </c>
      <c r="F1337" s="61">
        <v>118959.28</v>
      </c>
      <c r="G1337" t="str">
        <f>VLOOKUP(Tabela1[[#This Row],[Cliente]],clientes!$C$3:$D$60,2,FALSE)</f>
        <v>POOL</v>
      </c>
    </row>
    <row r="1338" spans="1:7" x14ac:dyDescent="0.25">
      <c r="A1338" s="10">
        <v>2024</v>
      </c>
      <c r="B1338" s="10" t="s">
        <v>138</v>
      </c>
      <c r="C1338" s="10" t="s">
        <v>168</v>
      </c>
      <c r="D1338" s="10" t="s">
        <v>122</v>
      </c>
      <c r="E1338" s="25" t="str">
        <f>VLOOKUP(D1338,'[2]Lista de Produtos CLASSIFICAÇÃO'!$E$103:$F$114,2,FALSE)</f>
        <v>Óleo Vegetal</v>
      </c>
      <c r="F1338" s="61"/>
      <c r="G1338" t="str">
        <f>VLOOKUP(Tabela1[[#This Row],[Cliente]],clientes!$C$3:$D$60,2,FALSE)</f>
        <v>POOL EXCEDENTE</v>
      </c>
    </row>
    <row r="1339" spans="1:7" x14ac:dyDescent="0.25">
      <c r="A1339" s="10">
        <v>2024</v>
      </c>
      <c r="B1339" s="10" t="s">
        <v>138</v>
      </c>
      <c r="C1339" s="10" t="s">
        <v>169</v>
      </c>
      <c r="D1339" s="10" t="s">
        <v>22</v>
      </c>
      <c r="E1339" s="25" t="str">
        <f>VLOOKUP(D1339,'[2]Lista de Produtos CLASSIFICAÇÃO'!$E$103:$F$114,2,FALSE)</f>
        <v>Metanol</v>
      </c>
      <c r="F1339" s="61">
        <v>67000</v>
      </c>
      <c r="G1339" t="str">
        <f>VLOOKUP(Tabela1[[#This Row],[Cliente]],clientes!$C$3:$D$60,2,FALSE)</f>
        <v>METHANEX</v>
      </c>
    </row>
    <row r="1340" spans="1:7" x14ac:dyDescent="0.25">
      <c r="A1340" s="10">
        <v>2024</v>
      </c>
      <c r="B1340" s="10" t="s">
        <v>138</v>
      </c>
      <c r="C1340" s="10" t="s">
        <v>170</v>
      </c>
      <c r="D1340" s="10" t="s">
        <v>22</v>
      </c>
      <c r="E1340" s="25" t="str">
        <f>VLOOKUP(D1340,'[2]Lista de Produtos CLASSIFICAÇÃO'!$E$103:$F$114,2,FALSE)</f>
        <v>Metanol</v>
      </c>
      <c r="F1340" s="61">
        <v>15000</v>
      </c>
      <c r="G1340" t="str">
        <f>VLOOKUP(Tabela1[[#This Row],[Cliente]],clientes!$C$3:$D$60,2,FALSE)</f>
        <v>MITSUBISHI</v>
      </c>
    </row>
    <row r="1341" spans="1:7" x14ac:dyDescent="0.25">
      <c r="A1341" s="10">
        <v>2024</v>
      </c>
      <c r="B1341" s="10" t="s">
        <v>138</v>
      </c>
      <c r="C1341" s="10" t="s">
        <v>171</v>
      </c>
      <c r="D1341" s="10" t="s">
        <v>22</v>
      </c>
      <c r="E1341" s="25" t="str">
        <f>VLOOKUP(D1341,'[2]Lista de Produtos CLASSIFICAÇÃO'!$E$103:$F$114,2,FALSE)</f>
        <v>Metanol</v>
      </c>
      <c r="F1341" s="61">
        <v>23000</v>
      </c>
      <c r="G1341" t="str">
        <f>VLOOKUP(Tabela1[[#This Row],[Cliente]],clientes!$C$3:$D$60,2,FALSE)</f>
        <v>VALENZ</v>
      </c>
    </row>
    <row r="1342" spans="1:7" x14ac:dyDescent="0.25">
      <c r="A1342" s="10">
        <v>2024</v>
      </c>
      <c r="B1342" s="10" t="s">
        <v>138</v>
      </c>
      <c r="C1342" s="10" t="s">
        <v>172</v>
      </c>
      <c r="D1342" s="10" t="s">
        <v>124</v>
      </c>
      <c r="E1342" s="25" t="str">
        <f>VLOOKUP(D1342,'[2]Lista de Produtos CLASSIFICAÇÃO'!$E$103:$F$114,2,FALSE)</f>
        <v>Outros</v>
      </c>
      <c r="F1342" s="61">
        <v>1200</v>
      </c>
      <c r="G1342" t="str">
        <f>VLOOKUP(Tabela1[[#This Row],[Cliente]],clientes!$C$3:$D$60,2,FALSE)</f>
        <v>EVONIK</v>
      </c>
    </row>
    <row r="1343" spans="1:7" x14ac:dyDescent="0.25">
      <c r="A1343" s="10">
        <v>2024</v>
      </c>
      <c r="B1343" s="10" t="s">
        <v>138</v>
      </c>
      <c r="C1343" s="10" t="s">
        <v>173</v>
      </c>
      <c r="D1343" s="10" t="s">
        <v>22</v>
      </c>
      <c r="E1343" s="25" t="str">
        <f>VLOOKUP(D1343,'[2]Lista de Produtos CLASSIFICAÇÃO'!$E$103:$F$114,2,FALSE)</f>
        <v>Metanol</v>
      </c>
      <c r="F1343" s="61"/>
      <c r="G1343" t="str">
        <f>VLOOKUP(Tabela1[[#This Row],[Cliente]],clientes!$C$3:$D$60,2,FALSE)</f>
        <v>YPF SOCIEDAD ANONIMA</v>
      </c>
    </row>
    <row r="1344" spans="1:7" x14ac:dyDescent="0.25">
      <c r="A1344" s="10">
        <v>2024</v>
      </c>
      <c r="B1344" s="10" t="s">
        <v>138</v>
      </c>
      <c r="C1344" s="10" t="s">
        <v>174</v>
      </c>
      <c r="D1344" s="10" t="s">
        <v>123</v>
      </c>
      <c r="E1344" s="25" t="str">
        <f>VLOOKUP(D1344,'[2]Lista de Produtos CLASSIFICAÇÃO'!$E$103:$F$114,2,FALSE)</f>
        <v>Aquecidos</v>
      </c>
      <c r="F1344" s="61">
        <v>2000</v>
      </c>
      <c r="G1344" t="str">
        <f>VLOOKUP(Tabela1[[#This Row],[Cliente]],clientes!$C$3:$D$60,2,FALSE)</f>
        <v>CELENA</v>
      </c>
    </row>
    <row r="1345" spans="1:7" x14ac:dyDescent="0.25">
      <c r="A1345" s="10">
        <v>2024</v>
      </c>
      <c r="B1345" s="10" t="s">
        <v>138</v>
      </c>
      <c r="C1345" s="10" t="s">
        <v>175</v>
      </c>
      <c r="D1345" s="10" t="s">
        <v>123</v>
      </c>
      <c r="E1345" s="25" t="str">
        <f>VLOOKUP(D1345,'[2]Lista de Produtos CLASSIFICAÇÃO'!$E$103:$F$114,2,FALSE)</f>
        <v>Aquecidos</v>
      </c>
      <c r="F1345" s="61">
        <v>1700</v>
      </c>
      <c r="G1345" t="str">
        <f>VLOOKUP(Tabela1[[#This Row],[Cliente]],clientes!$C$3:$D$60,2,FALSE)</f>
        <v>AAK DO BRASIL</v>
      </c>
    </row>
    <row r="1346" spans="1:7" x14ac:dyDescent="0.25">
      <c r="A1346" s="10">
        <v>2024</v>
      </c>
      <c r="B1346" s="10" t="s">
        <v>138</v>
      </c>
      <c r="C1346" s="10" t="s">
        <v>166</v>
      </c>
      <c r="D1346" s="10" t="s">
        <v>122</v>
      </c>
      <c r="E1346" s="25" t="str">
        <f>VLOOKUP(D1346,'[2]Lista de Produtos CLASSIFICAÇÃO'!$E$103:$F$114,2,FALSE)</f>
        <v>Óleo Vegetal</v>
      </c>
      <c r="F1346" s="61"/>
      <c r="G1346" t="str">
        <f>VLOOKUP(Tabela1[[#This Row],[Cliente]],clientes!$C$3:$D$60,2,FALSE)</f>
        <v>CARGILL</v>
      </c>
    </row>
    <row r="1347" spans="1:7" x14ac:dyDescent="0.25">
      <c r="A1347" s="10">
        <v>2024</v>
      </c>
      <c r="B1347" s="10" t="s">
        <v>138</v>
      </c>
      <c r="C1347" s="10" t="s">
        <v>176</v>
      </c>
      <c r="D1347" s="10" t="s">
        <v>123</v>
      </c>
      <c r="E1347" s="25" t="str">
        <f>VLOOKUP(D1347,'[2]Lista de Produtos CLASSIFICAÇÃO'!$E$103:$F$114,2,FALSE)</f>
        <v>Aquecidos</v>
      </c>
      <c r="F1347" s="61">
        <v>2150</v>
      </c>
      <c r="G1347" t="str">
        <f>VLOOKUP(Tabela1[[#This Row],[Cliente]],clientes!$C$3:$D$60,2,FALSE)</f>
        <v>AGROPALMA</v>
      </c>
    </row>
    <row r="1348" spans="1:7" x14ac:dyDescent="0.25">
      <c r="A1348" s="10">
        <v>2024</v>
      </c>
      <c r="B1348" s="10" t="s">
        <v>138</v>
      </c>
      <c r="C1348" s="10" t="s">
        <v>177</v>
      </c>
      <c r="D1348" s="10" t="s">
        <v>115</v>
      </c>
      <c r="E1348" s="25" t="str">
        <f>VLOOKUP(D1348,'[2]Lista de Produtos CLASSIFICAÇÃO'!$E$103:$F$114,2,FALSE)</f>
        <v>Soda Caustica</v>
      </c>
      <c r="F1348" s="61">
        <v>3000</v>
      </c>
      <c r="G1348" t="str">
        <f>VLOOKUP(Tabela1[[#This Row],[Cliente]],clientes!$C$3:$D$60,2,FALSE)</f>
        <v>BRENNTAG</v>
      </c>
    </row>
    <row r="1349" spans="1:7" x14ac:dyDescent="0.25">
      <c r="A1349" s="10">
        <v>2024</v>
      </c>
      <c r="B1349" s="10" t="s">
        <v>138</v>
      </c>
      <c r="C1349" s="10" t="s">
        <v>178</v>
      </c>
      <c r="D1349" s="10" t="s">
        <v>115</v>
      </c>
      <c r="E1349" s="25" t="str">
        <f>VLOOKUP(D1349,'[2]Lista de Produtos CLASSIFICAÇÃO'!$E$103:$F$114,2,FALSE)</f>
        <v>Soda Caustica</v>
      </c>
      <c r="F1349" s="61">
        <v>15000</v>
      </c>
      <c r="G1349" t="str">
        <f>VLOOKUP(Tabela1[[#This Row],[Cliente]],clientes!$C$3:$D$60,2,FALSE)</f>
        <v>OLIN BLUE CUBE</v>
      </c>
    </row>
    <row r="1350" spans="1:7" x14ac:dyDescent="0.25">
      <c r="A1350" s="10">
        <v>2024</v>
      </c>
      <c r="B1350" s="10" t="s">
        <v>138</v>
      </c>
      <c r="C1350" s="10" t="s">
        <v>179</v>
      </c>
      <c r="D1350" s="10" t="s">
        <v>26</v>
      </c>
      <c r="E1350" s="25" t="str">
        <f>VLOOKUP(D1350,'[2]Lista de Produtos CLASSIFICAÇÃO'!$E$103:$F$114,2,FALSE)</f>
        <v>Biocombustíveis</v>
      </c>
      <c r="F1350" s="61">
        <v>4000</v>
      </c>
      <c r="G1350" t="str">
        <f>VLOOKUP(Tabela1[[#This Row],[Cliente]],clientes!$C$3:$D$60,2,FALSE)</f>
        <v>BSBIOS</v>
      </c>
    </row>
    <row r="1351" spans="1:7" x14ac:dyDescent="0.25">
      <c r="A1351" s="10">
        <v>2024</v>
      </c>
      <c r="B1351" s="10" t="s">
        <v>138</v>
      </c>
      <c r="C1351" s="10" t="s">
        <v>180</v>
      </c>
      <c r="D1351" s="10" t="s">
        <v>30</v>
      </c>
      <c r="E1351" s="25" t="str">
        <f>VLOOKUP(D1351,'[2]Lista de Produtos CLASSIFICAÇÃO'!$E$103:$F$114,2,FALSE)</f>
        <v>Outros</v>
      </c>
      <c r="F1351" s="61"/>
      <c r="G1351" t="str">
        <f>VLOOKUP(Tabela1[[#This Row],[Cliente]],clientes!$C$3:$D$60,2,FALSE)</f>
        <v>TRICHEM</v>
      </c>
    </row>
    <row r="1352" spans="1:7" x14ac:dyDescent="0.25">
      <c r="A1352" s="10">
        <v>2024</v>
      </c>
      <c r="B1352" s="10" t="s">
        <v>138</v>
      </c>
      <c r="C1352" s="10" t="s">
        <v>181</v>
      </c>
      <c r="D1352" s="10" t="s">
        <v>123</v>
      </c>
      <c r="E1352" s="25" t="str">
        <f>VLOOKUP(D1352,'[2]Lista de Produtos CLASSIFICAÇÃO'!$E$103:$F$114,2,FALSE)</f>
        <v>Aquecidos</v>
      </c>
      <c r="F1352" s="61">
        <v>1600</v>
      </c>
      <c r="G1352" t="str">
        <f>VLOOKUP(Tabela1[[#This Row],[Cliente]],clientes!$C$3:$D$60,2,FALSE)</f>
        <v>COAMO</v>
      </c>
    </row>
    <row r="1353" spans="1:7" x14ac:dyDescent="0.25">
      <c r="A1353" s="10">
        <v>2024</v>
      </c>
      <c r="B1353" s="10" t="s">
        <v>138</v>
      </c>
      <c r="C1353" s="10" t="s">
        <v>182</v>
      </c>
      <c r="D1353" s="10" t="s">
        <v>120</v>
      </c>
      <c r="E1353" s="25" t="str">
        <f>VLOOKUP(D1353,'[2]Lista de Produtos CLASSIFICAÇÃO'!$E$103:$F$114,2,FALSE)</f>
        <v>Derivados</v>
      </c>
      <c r="F1353" s="61"/>
      <c r="G1353" t="str">
        <f>VLOOKUP(Tabela1[[#This Row],[Cliente]],clientes!$C$3:$D$60,2,FALSE)</f>
        <v>ATEM</v>
      </c>
    </row>
    <row r="1354" spans="1:7" x14ac:dyDescent="0.25">
      <c r="A1354" s="10">
        <v>2024</v>
      </c>
      <c r="B1354" s="10" t="s">
        <v>138</v>
      </c>
      <c r="C1354" s="10" t="s">
        <v>174</v>
      </c>
      <c r="D1354" s="10" t="s">
        <v>123</v>
      </c>
      <c r="E1354" s="25" t="str">
        <f>VLOOKUP(D1354,'[2]Lista de Produtos CLASSIFICAÇÃO'!$E$103:$F$114,2,FALSE)</f>
        <v>Aquecidos</v>
      </c>
      <c r="F1354" s="61">
        <v>18000</v>
      </c>
      <c r="G1354" t="str">
        <f>VLOOKUP(Tabela1[[#This Row],[Cliente]],clientes!$C$3:$D$60,2,FALSE)</f>
        <v>CELENA</v>
      </c>
    </row>
    <row r="1355" spans="1:7" x14ac:dyDescent="0.25">
      <c r="A1355" s="10">
        <v>2024</v>
      </c>
      <c r="B1355" s="10" t="s">
        <v>138</v>
      </c>
      <c r="C1355" s="10" t="s">
        <v>173</v>
      </c>
      <c r="D1355" s="10" t="s">
        <v>183</v>
      </c>
      <c r="E1355" s="25" t="str">
        <f>VLOOKUP(D1355,'[2]Lista de Produtos CLASSIFICAÇÃO'!$E$103:$F$114,2,FALSE)</f>
        <v>Outros</v>
      </c>
      <c r="F1355" s="61"/>
      <c r="G1355" t="str">
        <f>VLOOKUP(Tabela1[[#This Row],[Cliente]],clientes!$C$3:$D$60,2,FALSE)</f>
        <v>YPF SOCIEDAD ANONIMA</v>
      </c>
    </row>
    <row r="1356" spans="1:7" x14ac:dyDescent="0.25">
      <c r="A1356" s="10">
        <v>2024</v>
      </c>
      <c r="B1356" s="10" t="s">
        <v>138</v>
      </c>
      <c r="C1356" s="10" t="s">
        <v>184</v>
      </c>
      <c r="D1356" s="10" t="s">
        <v>122</v>
      </c>
      <c r="E1356" s="25" t="str">
        <f>VLOOKUP(D1356,'[2]Lista de Produtos CLASSIFICAÇÃO'!$E$103:$F$114,2,FALSE)</f>
        <v>Óleo Vegetal</v>
      </c>
      <c r="F1356" s="61"/>
      <c r="G1356" t="str">
        <f>VLOOKUP(Tabela1[[#This Row],[Cliente]],clientes!$C$3:$D$60,2,FALSE)</f>
        <v>INGREDION</v>
      </c>
    </row>
    <row r="1357" spans="1:7" x14ac:dyDescent="0.25">
      <c r="A1357" s="10">
        <v>2024</v>
      </c>
      <c r="B1357" s="10" t="s">
        <v>138</v>
      </c>
      <c r="C1357" s="10" t="s">
        <v>185</v>
      </c>
      <c r="D1357" s="10" t="s">
        <v>120</v>
      </c>
      <c r="E1357" s="25" t="str">
        <f>VLOOKUP(D1357,'[2]Lista de Produtos CLASSIFICAÇÃO'!$E$103:$F$114,2,FALSE)</f>
        <v>Derivados</v>
      </c>
      <c r="F1357" s="61">
        <v>12450</v>
      </c>
      <c r="G1357" t="str">
        <f>VLOOKUP(Tabela1[[#This Row],[Cliente]],clientes!$C$3:$D$60,2,FALSE)</f>
        <v>CIAPETRO</v>
      </c>
    </row>
    <row r="1358" spans="1:7" x14ac:dyDescent="0.25">
      <c r="A1358" s="10">
        <v>2024</v>
      </c>
      <c r="B1358" s="10" t="s">
        <v>138</v>
      </c>
      <c r="C1358" s="10" t="s">
        <v>186</v>
      </c>
      <c r="D1358" s="10" t="s">
        <v>22</v>
      </c>
      <c r="E1358" s="25" t="str">
        <f>VLOOKUP(D1358,'[2]Lista de Produtos CLASSIFICAÇÃO'!$E$103:$F$114,2,FALSE)</f>
        <v>Metanol</v>
      </c>
      <c r="F1358" s="61">
        <v>5000</v>
      </c>
      <c r="G1358" t="str">
        <f>VLOOKUP(Tabela1[[#This Row],[Cliente]],clientes!$C$3:$D$60,2,FALSE)</f>
        <v>OQ TRADING</v>
      </c>
    </row>
    <row r="1359" spans="1:7" x14ac:dyDescent="0.25">
      <c r="A1359" s="10">
        <v>2024</v>
      </c>
      <c r="B1359" s="10" t="s">
        <v>138</v>
      </c>
      <c r="C1359" s="10" t="s">
        <v>187</v>
      </c>
      <c r="D1359" s="10" t="s">
        <v>121</v>
      </c>
      <c r="E1359" s="25" t="str">
        <f>VLOOKUP(D1359,'[2]Lista de Produtos CLASSIFICAÇÃO'!$E$103:$F$114,2,FALSE)</f>
        <v>Biocombustíveis</v>
      </c>
      <c r="F1359" s="61">
        <v>8000</v>
      </c>
      <c r="G1359" t="str">
        <f>VLOOKUP(Tabela1[[#This Row],[Cliente]],clientes!$C$3:$D$60,2,FALSE)</f>
        <v>TEREOS / INPASA / GLENCORE / FS</v>
      </c>
    </row>
    <row r="1360" spans="1:7" x14ac:dyDescent="0.25">
      <c r="A1360" s="10">
        <v>2024</v>
      </c>
      <c r="B1360" s="10" t="s">
        <v>138</v>
      </c>
      <c r="C1360" s="10" t="s">
        <v>188</v>
      </c>
      <c r="D1360" s="10" t="s">
        <v>123</v>
      </c>
      <c r="E1360" s="25" t="str">
        <f>VLOOKUP(D1360,'[2]Lista de Produtos CLASSIFICAÇÃO'!$E$103:$F$114,2,FALSE)</f>
        <v>Aquecidos</v>
      </c>
      <c r="F1360" s="61">
        <v>3250</v>
      </c>
      <c r="G1360" t="str">
        <f>VLOOKUP(Tabela1[[#This Row],[Cliente]],clientes!$C$3:$D$60,2,FALSE)</f>
        <v>ARES MERCHANTS PTE LIMITE</v>
      </c>
    </row>
    <row r="1361" spans="1:7" x14ac:dyDescent="0.25">
      <c r="A1361" s="10">
        <v>2024</v>
      </c>
      <c r="B1361" s="10" t="s">
        <v>138</v>
      </c>
      <c r="C1361" s="10" t="s">
        <v>18</v>
      </c>
      <c r="D1361" s="10" t="s">
        <v>17</v>
      </c>
      <c r="E1361" s="25" t="str">
        <f>VLOOKUP(D1361,'[2]Lista de Produtos CLASSIFICAÇÃO'!$E$103:$F$114,2,FALSE)</f>
        <v>Acostagem</v>
      </c>
      <c r="F1361" s="61"/>
      <c r="G1361" t="str">
        <f>VLOOKUP(Tabela1[[#This Row],[Cliente]],clientes!$C$3:$D$60,2,FALSE)</f>
        <v>ACOSTAGEM</v>
      </c>
    </row>
    <row r="1362" spans="1:7" x14ac:dyDescent="0.25">
      <c r="A1362" s="10">
        <v>2024</v>
      </c>
      <c r="B1362" s="10" t="s">
        <v>138</v>
      </c>
      <c r="C1362" s="10" t="s">
        <v>189</v>
      </c>
      <c r="D1362" s="10" t="s">
        <v>123</v>
      </c>
      <c r="E1362" s="25" t="str">
        <f>VLOOKUP(D1362,'[2]Lista de Produtos CLASSIFICAÇÃO'!$E$103:$F$114,2,FALSE)</f>
        <v>Aquecidos</v>
      </c>
      <c r="F1362" s="61">
        <v>2789</v>
      </c>
      <c r="G1362" t="str">
        <f>VLOOKUP(Tabela1[[#This Row],[Cliente]],clientes!$C$3:$D$60,2,FALSE)</f>
        <v>ICOF</v>
      </c>
    </row>
    <row r="1363" spans="1:7" x14ac:dyDescent="0.25">
      <c r="A1363" s="10">
        <v>2024</v>
      </c>
      <c r="B1363" s="10" t="s">
        <v>139</v>
      </c>
      <c r="C1363" s="10" t="s">
        <v>155</v>
      </c>
      <c r="D1363" s="10" t="s">
        <v>16</v>
      </c>
      <c r="E1363" s="25" t="str">
        <f>VLOOKUP(D1363,'[2]Lista de Produtos CLASSIFICAÇÃO'!$E$103:$F$114,2,FALSE)</f>
        <v>Outros</v>
      </c>
      <c r="F1363" s="61">
        <v>4700</v>
      </c>
      <c r="G1363" t="str">
        <f>VLOOKUP(Tabela1[[#This Row],[Cliente]],clientes!$C$3:$D$60,2,FALSE)</f>
        <v>ADISSEO</v>
      </c>
    </row>
    <row r="1364" spans="1:7" x14ac:dyDescent="0.25">
      <c r="A1364" s="10">
        <v>2024</v>
      </c>
      <c r="B1364" s="10" t="s">
        <v>139</v>
      </c>
      <c r="C1364" s="10" t="s">
        <v>156</v>
      </c>
      <c r="D1364" s="10" t="s">
        <v>123</v>
      </c>
      <c r="E1364" s="25" t="str">
        <f>VLOOKUP(D1364,'[2]Lista de Produtos CLASSIFICAÇÃO'!$E$103:$F$114,2,FALSE)</f>
        <v>Aquecidos</v>
      </c>
      <c r="F1364" s="61">
        <v>1500</v>
      </c>
      <c r="G1364" t="str">
        <f>VLOOKUP(Tabela1[[#This Row],[Cliente]],clientes!$C$3:$D$60,2,FALSE)</f>
        <v>BUNGE</v>
      </c>
    </row>
    <row r="1365" spans="1:7" x14ac:dyDescent="0.25">
      <c r="A1365" s="10">
        <v>2024</v>
      </c>
      <c r="B1365" s="10" t="s">
        <v>139</v>
      </c>
      <c r="C1365" s="10" t="s">
        <v>157</v>
      </c>
      <c r="D1365" s="10" t="s">
        <v>122</v>
      </c>
      <c r="E1365" s="25" t="str">
        <f>VLOOKUP(D1365,'[2]Lista de Produtos CLASSIFICAÇÃO'!$E$103:$F$114,2,FALSE)</f>
        <v>Óleo Vegetal</v>
      </c>
      <c r="F1365" s="61">
        <v>3000</v>
      </c>
      <c r="G1365" t="str">
        <f>VLOOKUP(Tabela1[[#This Row],[Cliente]],clientes!$C$3:$D$60,2,FALSE)</f>
        <v>ADM</v>
      </c>
    </row>
    <row r="1366" spans="1:7" x14ac:dyDescent="0.25">
      <c r="A1366" s="10">
        <v>2024</v>
      </c>
      <c r="B1366" s="10" t="s">
        <v>139</v>
      </c>
      <c r="C1366" s="10" t="s">
        <v>158</v>
      </c>
      <c r="D1366" s="10" t="s">
        <v>120</v>
      </c>
      <c r="E1366" s="25" t="str">
        <f>VLOOKUP(D1366,'[2]Lista de Produtos CLASSIFICAÇÃO'!$E$103:$F$114,2,FALSE)</f>
        <v>Derivados</v>
      </c>
      <c r="F1366" s="61">
        <v>86859</v>
      </c>
      <c r="G1366" t="str">
        <f>VLOOKUP(Tabela1[[#This Row],[Cliente]],clientes!$C$3:$D$60,2,FALSE)</f>
        <v>IPIRANGA</v>
      </c>
    </row>
    <row r="1367" spans="1:7" x14ac:dyDescent="0.25">
      <c r="A1367" s="10">
        <v>2024</v>
      </c>
      <c r="B1367" s="10" t="s">
        <v>139</v>
      </c>
      <c r="C1367" s="10" t="s">
        <v>159</v>
      </c>
      <c r="D1367" s="10" t="s">
        <v>120</v>
      </c>
      <c r="E1367" s="25" t="str">
        <f>VLOOKUP(D1367,'[2]Lista de Produtos CLASSIFICAÇÃO'!$E$103:$F$114,2,FALSE)</f>
        <v>Derivados</v>
      </c>
      <c r="F1367" s="61">
        <v>30000</v>
      </c>
      <c r="G1367" t="str">
        <f>VLOOKUP(Tabela1[[#This Row],[Cliente]],clientes!$C$3:$D$60,2,FALSE)</f>
        <v>RAIZEN</v>
      </c>
    </row>
    <row r="1368" spans="1:7" x14ac:dyDescent="0.25">
      <c r="A1368" s="10">
        <v>2024</v>
      </c>
      <c r="B1368" s="10" t="s">
        <v>139</v>
      </c>
      <c r="C1368" s="10" t="s">
        <v>160</v>
      </c>
      <c r="D1368" s="10" t="s">
        <v>120</v>
      </c>
      <c r="E1368" s="25" t="str">
        <f>VLOOKUP(D1368,'[2]Lista de Produtos CLASSIFICAÇÃO'!$E$103:$F$114,2,FALSE)</f>
        <v>Derivados</v>
      </c>
      <c r="F1368" s="61">
        <v>15000</v>
      </c>
      <c r="G1368" t="str">
        <f>VLOOKUP(Tabela1[[#This Row],[Cliente]],clientes!$C$3:$D$60,2,FALSE)</f>
        <v>VIBRA</v>
      </c>
    </row>
    <row r="1369" spans="1:7" x14ac:dyDescent="0.25">
      <c r="A1369" s="10">
        <v>2024</v>
      </c>
      <c r="B1369" s="10" t="s">
        <v>139</v>
      </c>
      <c r="C1369" s="10" t="s">
        <v>161</v>
      </c>
      <c r="D1369" s="10" t="s">
        <v>120</v>
      </c>
      <c r="E1369" s="25" t="str">
        <f>VLOOKUP(D1369,'[2]Lista de Produtos CLASSIFICAÇÃO'!$E$103:$F$114,2,FALSE)</f>
        <v>Derivados</v>
      </c>
      <c r="F1369" s="61">
        <v>44820</v>
      </c>
      <c r="G1369" t="str">
        <f>VLOOKUP(Tabela1[[#This Row],[Cliente]],clientes!$C$3:$D$60,2,FALSE)</f>
        <v>SUL PLATA</v>
      </c>
    </row>
    <row r="1370" spans="1:7" x14ac:dyDescent="0.25">
      <c r="A1370" s="10">
        <v>2024</v>
      </c>
      <c r="B1370" s="10" t="s">
        <v>139</v>
      </c>
      <c r="C1370" s="10" t="s">
        <v>162</v>
      </c>
      <c r="D1370" s="10" t="s">
        <v>115</v>
      </c>
      <c r="E1370" s="25" t="str">
        <f>VLOOKUP(D1370,'[2]Lista de Produtos CLASSIFICAÇÃO'!$E$103:$F$114,2,FALSE)</f>
        <v>Soda Caustica</v>
      </c>
      <c r="F1370" s="61">
        <v>1500</v>
      </c>
      <c r="G1370" t="str">
        <f>VLOOKUP(Tabela1[[#This Row],[Cliente]],clientes!$C$3:$D$60,2,FALSE)</f>
        <v>JBS</v>
      </c>
    </row>
    <row r="1371" spans="1:7" x14ac:dyDescent="0.25">
      <c r="A1371" s="10">
        <v>2024</v>
      </c>
      <c r="B1371" s="10" t="s">
        <v>139</v>
      </c>
      <c r="C1371" s="10" t="s">
        <v>163</v>
      </c>
      <c r="D1371" s="10" t="s">
        <v>115</v>
      </c>
      <c r="E1371" s="25" t="str">
        <f>VLOOKUP(D1371,'[2]Lista de Produtos CLASSIFICAÇÃO'!$E$103:$F$114,2,FALSE)</f>
        <v>Soda Caustica</v>
      </c>
      <c r="F1371" s="61">
        <v>1500</v>
      </c>
      <c r="G1371" t="str">
        <f>VLOOKUP(Tabela1[[#This Row],[Cliente]],clientes!$C$3:$D$60,2,FALSE)</f>
        <v>TRICON ENERGY</v>
      </c>
    </row>
    <row r="1372" spans="1:7" x14ac:dyDescent="0.25">
      <c r="A1372" s="10">
        <v>2024</v>
      </c>
      <c r="B1372" s="10" t="s">
        <v>139</v>
      </c>
      <c r="C1372" s="10" t="s">
        <v>164</v>
      </c>
      <c r="D1372" s="10" t="s">
        <v>115</v>
      </c>
      <c r="E1372" s="25" t="str">
        <f>VLOOKUP(D1372,'[2]Lista de Produtos CLASSIFICAÇÃO'!$E$103:$F$114,2,FALSE)</f>
        <v>Soda Caustica</v>
      </c>
      <c r="F1372" s="61">
        <v>3400</v>
      </c>
      <c r="G1372" t="str">
        <f>VLOOKUP(Tabela1[[#This Row],[Cliente]],clientes!$C$3:$D$60,2,FALSE)</f>
        <v>BRASKEM</v>
      </c>
    </row>
    <row r="1373" spans="1:7" x14ac:dyDescent="0.25">
      <c r="A1373" s="10">
        <v>2024</v>
      </c>
      <c r="B1373" s="10" t="s">
        <v>139</v>
      </c>
      <c r="C1373" s="10" t="s">
        <v>165</v>
      </c>
      <c r="D1373" s="10" t="s">
        <v>123</v>
      </c>
      <c r="E1373" s="25" t="str">
        <f>VLOOKUP(D1373,'[2]Lista de Produtos CLASSIFICAÇÃO'!$E$103:$F$114,2,FALSE)</f>
        <v>Aquecidos</v>
      </c>
      <c r="F1373" s="61">
        <v>4000</v>
      </c>
      <c r="G1373" t="str">
        <f>VLOOKUP(Tabela1[[#This Row],[Cliente]],clientes!$C$3:$D$60,2,FALSE)</f>
        <v>BRF</v>
      </c>
    </row>
    <row r="1374" spans="1:7" x14ac:dyDescent="0.25">
      <c r="A1374" s="10">
        <v>2024</v>
      </c>
      <c r="B1374" s="10" t="s">
        <v>139</v>
      </c>
      <c r="C1374" s="10" t="s">
        <v>162</v>
      </c>
      <c r="D1374" s="10" t="s">
        <v>123</v>
      </c>
      <c r="E1374" s="25" t="str">
        <f>VLOOKUP(D1374,'[2]Lista de Produtos CLASSIFICAÇÃO'!$E$103:$F$114,2,FALSE)</f>
        <v>Aquecidos</v>
      </c>
      <c r="F1374" s="61">
        <v>2400</v>
      </c>
      <c r="G1374" t="str">
        <f>VLOOKUP(Tabela1[[#This Row],[Cliente]],clientes!$C$3:$D$60,2,FALSE)</f>
        <v>JBS</v>
      </c>
    </row>
    <row r="1375" spans="1:7" x14ac:dyDescent="0.25">
      <c r="A1375" s="10">
        <v>2024</v>
      </c>
      <c r="B1375" s="10" t="s">
        <v>139</v>
      </c>
      <c r="C1375" s="10" t="s">
        <v>166</v>
      </c>
      <c r="D1375" s="10" t="s">
        <v>123</v>
      </c>
      <c r="E1375" s="25" t="str">
        <f>VLOOKUP(D1375,'[2]Lista de Produtos CLASSIFICAÇÃO'!$E$103:$F$114,2,FALSE)</f>
        <v>Aquecidos</v>
      </c>
      <c r="F1375" s="61">
        <v>1500</v>
      </c>
      <c r="G1375" t="str">
        <f>VLOOKUP(Tabela1[[#This Row],[Cliente]],clientes!$C$3:$D$60,2,FALSE)</f>
        <v>CARGILL</v>
      </c>
    </row>
    <row r="1376" spans="1:7" x14ac:dyDescent="0.25">
      <c r="A1376" s="10">
        <v>2024</v>
      </c>
      <c r="B1376" s="10" t="s">
        <v>139</v>
      </c>
      <c r="C1376" s="10" t="s">
        <v>167</v>
      </c>
      <c r="D1376" s="10" t="s">
        <v>122</v>
      </c>
      <c r="E1376" s="25" t="str">
        <f>VLOOKUP(D1376,'[2]Lista de Produtos CLASSIFICAÇÃO'!$E$103:$F$114,2,FALSE)</f>
        <v>Óleo Vegetal</v>
      </c>
      <c r="F1376" s="61">
        <v>83112.479999999996</v>
      </c>
      <c r="G1376" t="str">
        <f>VLOOKUP(Tabela1[[#This Row],[Cliente]],clientes!$C$3:$D$60,2,FALSE)</f>
        <v>POOL</v>
      </c>
    </row>
    <row r="1377" spans="1:7" x14ac:dyDescent="0.25">
      <c r="A1377" s="10">
        <v>2024</v>
      </c>
      <c r="B1377" s="10" t="s">
        <v>139</v>
      </c>
      <c r="C1377" s="10" t="s">
        <v>168</v>
      </c>
      <c r="D1377" s="10" t="s">
        <v>122</v>
      </c>
      <c r="E1377" s="25" t="str">
        <f>VLOOKUP(D1377,'[2]Lista de Produtos CLASSIFICAÇÃO'!$E$103:$F$114,2,FALSE)</f>
        <v>Óleo Vegetal</v>
      </c>
      <c r="F1377" s="61"/>
      <c r="G1377" t="str">
        <f>VLOOKUP(Tabela1[[#This Row],[Cliente]],clientes!$C$3:$D$60,2,FALSE)</f>
        <v>POOL EXCEDENTE</v>
      </c>
    </row>
    <row r="1378" spans="1:7" x14ac:dyDescent="0.25">
      <c r="A1378" s="10">
        <v>2024</v>
      </c>
      <c r="B1378" s="10" t="s">
        <v>139</v>
      </c>
      <c r="C1378" s="10" t="s">
        <v>169</v>
      </c>
      <c r="D1378" s="10" t="s">
        <v>22</v>
      </c>
      <c r="E1378" s="25" t="str">
        <f>VLOOKUP(D1378,'[2]Lista de Produtos CLASSIFICAÇÃO'!$E$103:$F$114,2,FALSE)</f>
        <v>Metanol</v>
      </c>
      <c r="F1378" s="61">
        <v>67000</v>
      </c>
      <c r="G1378" t="str">
        <f>VLOOKUP(Tabela1[[#This Row],[Cliente]],clientes!$C$3:$D$60,2,FALSE)</f>
        <v>METHANEX</v>
      </c>
    </row>
    <row r="1379" spans="1:7" x14ac:dyDescent="0.25">
      <c r="A1379" s="10">
        <v>2024</v>
      </c>
      <c r="B1379" s="10" t="s">
        <v>139</v>
      </c>
      <c r="C1379" s="10" t="s">
        <v>170</v>
      </c>
      <c r="D1379" s="10" t="s">
        <v>22</v>
      </c>
      <c r="E1379" s="25" t="str">
        <f>VLOOKUP(D1379,'[2]Lista de Produtos CLASSIFICAÇÃO'!$E$103:$F$114,2,FALSE)</f>
        <v>Metanol</v>
      </c>
      <c r="F1379" s="61">
        <v>15000</v>
      </c>
      <c r="G1379" t="str">
        <f>VLOOKUP(Tabela1[[#This Row],[Cliente]],clientes!$C$3:$D$60,2,FALSE)</f>
        <v>MITSUBISHI</v>
      </c>
    </row>
    <row r="1380" spans="1:7" x14ac:dyDescent="0.25">
      <c r="A1380" s="10">
        <v>2024</v>
      </c>
      <c r="B1380" s="10" t="s">
        <v>139</v>
      </c>
      <c r="C1380" s="10" t="s">
        <v>171</v>
      </c>
      <c r="D1380" s="10" t="s">
        <v>22</v>
      </c>
      <c r="E1380" s="25" t="str">
        <f>VLOOKUP(D1380,'[2]Lista de Produtos CLASSIFICAÇÃO'!$E$103:$F$114,2,FALSE)</f>
        <v>Metanol</v>
      </c>
      <c r="F1380" s="61">
        <v>23000</v>
      </c>
      <c r="G1380" t="str">
        <f>VLOOKUP(Tabela1[[#This Row],[Cliente]],clientes!$C$3:$D$60,2,FALSE)</f>
        <v>VALENZ</v>
      </c>
    </row>
    <row r="1381" spans="1:7" x14ac:dyDescent="0.25">
      <c r="A1381" s="10">
        <v>2024</v>
      </c>
      <c r="B1381" s="10" t="s">
        <v>139</v>
      </c>
      <c r="C1381" s="10" t="s">
        <v>172</v>
      </c>
      <c r="D1381" s="10" t="s">
        <v>124</v>
      </c>
      <c r="E1381" s="25" t="str">
        <f>VLOOKUP(D1381,'[2]Lista de Produtos CLASSIFICAÇÃO'!$E$103:$F$114,2,FALSE)</f>
        <v>Outros</v>
      </c>
      <c r="F1381" s="61">
        <v>1200</v>
      </c>
      <c r="G1381" t="str">
        <f>VLOOKUP(Tabela1[[#This Row],[Cliente]],clientes!$C$3:$D$60,2,FALSE)</f>
        <v>EVONIK</v>
      </c>
    </row>
    <row r="1382" spans="1:7" x14ac:dyDescent="0.25">
      <c r="A1382" s="10">
        <v>2024</v>
      </c>
      <c r="B1382" s="10" t="s">
        <v>139</v>
      </c>
      <c r="C1382" s="10" t="s">
        <v>173</v>
      </c>
      <c r="D1382" s="10" t="s">
        <v>22</v>
      </c>
      <c r="E1382" s="25" t="str">
        <f>VLOOKUP(D1382,'[2]Lista de Produtos CLASSIFICAÇÃO'!$E$103:$F$114,2,FALSE)</f>
        <v>Metanol</v>
      </c>
      <c r="F1382" s="61">
        <v>5000</v>
      </c>
      <c r="G1382" t="str">
        <f>VLOOKUP(Tabela1[[#This Row],[Cliente]],clientes!$C$3:$D$60,2,FALSE)</f>
        <v>YPF SOCIEDAD ANONIMA</v>
      </c>
    </row>
    <row r="1383" spans="1:7" x14ac:dyDescent="0.25">
      <c r="A1383" s="10">
        <v>2024</v>
      </c>
      <c r="B1383" s="10" t="s">
        <v>139</v>
      </c>
      <c r="C1383" s="10" t="s">
        <v>174</v>
      </c>
      <c r="D1383" s="10" t="s">
        <v>123</v>
      </c>
      <c r="E1383" s="25" t="str">
        <f>VLOOKUP(D1383,'[2]Lista de Produtos CLASSIFICAÇÃO'!$E$103:$F$114,2,FALSE)</f>
        <v>Aquecidos</v>
      </c>
      <c r="F1383" s="61">
        <v>2000</v>
      </c>
      <c r="G1383" t="str">
        <f>VLOOKUP(Tabela1[[#This Row],[Cliente]],clientes!$C$3:$D$60,2,FALSE)</f>
        <v>CELENA</v>
      </c>
    </row>
    <row r="1384" spans="1:7" x14ac:dyDescent="0.25">
      <c r="A1384" s="10">
        <v>2024</v>
      </c>
      <c r="B1384" s="10" t="s">
        <v>139</v>
      </c>
      <c r="C1384" s="10" t="s">
        <v>175</v>
      </c>
      <c r="D1384" s="10" t="s">
        <v>123</v>
      </c>
      <c r="E1384" s="25" t="str">
        <f>VLOOKUP(D1384,'[2]Lista de Produtos CLASSIFICAÇÃO'!$E$103:$F$114,2,FALSE)</f>
        <v>Aquecidos</v>
      </c>
      <c r="F1384" s="61">
        <v>1700</v>
      </c>
      <c r="G1384" t="str">
        <f>VLOOKUP(Tabela1[[#This Row],[Cliente]],clientes!$C$3:$D$60,2,FALSE)</f>
        <v>AAK DO BRASIL</v>
      </c>
    </row>
    <row r="1385" spans="1:7" x14ac:dyDescent="0.25">
      <c r="A1385" s="10">
        <v>2024</v>
      </c>
      <c r="B1385" s="10" t="s">
        <v>139</v>
      </c>
      <c r="C1385" s="10" t="s">
        <v>166</v>
      </c>
      <c r="D1385" s="10" t="s">
        <v>122</v>
      </c>
      <c r="E1385" s="25" t="str">
        <f>VLOOKUP(D1385,'[2]Lista de Produtos CLASSIFICAÇÃO'!$E$103:$F$114,2,FALSE)</f>
        <v>Óleo Vegetal</v>
      </c>
      <c r="F1385" s="61"/>
      <c r="G1385" t="str">
        <f>VLOOKUP(Tabela1[[#This Row],[Cliente]],clientes!$C$3:$D$60,2,FALSE)</f>
        <v>CARGILL</v>
      </c>
    </row>
    <row r="1386" spans="1:7" x14ac:dyDescent="0.25">
      <c r="A1386" s="10">
        <v>2024</v>
      </c>
      <c r="B1386" s="10" t="s">
        <v>139</v>
      </c>
      <c r="C1386" s="10" t="s">
        <v>176</v>
      </c>
      <c r="D1386" s="10" t="s">
        <v>123</v>
      </c>
      <c r="E1386" s="25" t="str">
        <f>VLOOKUP(D1386,'[2]Lista de Produtos CLASSIFICAÇÃO'!$E$103:$F$114,2,FALSE)</f>
        <v>Aquecidos</v>
      </c>
      <c r="F1386" s="61">
        <v>2150</v>
      </c>
      <c r="G1386" t="str">
        <f>VLOOKUP(Tabela1[[#This Row],[Cliente]],clientes!$C$3:$D$60,2,FALSE)</f>
        <v>AGROPALMA</v>
      </c>
    </row>
    <row r="1387" spans="1:7" x14ac:dyDescent="0.25">
      <c r="A1387" s="10">
        <v>2024</v>
      </c>
      <c r="B1387" s="10" t="s">
        <v>139</v>
      </c>
      <c r="C1387" s="10" t="s">
        <v>177</v>
      </c>
      <c r="D1387" s="10" t="s">
        <v>115</v>
      </c>
      <c r="E1387" s="25" t="str">
        <f>VLOOKUP(D1387,'[2]Lista de Produtos CLASSIFICAÇÃO'!$E$103:$F$114,2,FALSE)</f>
        <v>Soda Caustica</v>
      </c>
      <c r="F1387" s="61">
        <v>3000</v>
      </c>
      <c r="G1387" t="str">
        <f>VLOOKUP(Tabela1[[#This Row],[Cliente]],clientes!$C$3:$D$60,2,FALSE)</f>
        <v>BRENNTAG</v>
      </c>
    </row>
    <row r="1388" spans="1:7" x14ac:dyDescent="0.25">
      <c r="A1388" s="10">
        <v>2024</v>
      </c>
      <c r="B1388" s="10" t="s">
        <v>139</v>
      </c>
      <c r="C1388" s="10" t="s">
        <v>178</v>
      </c>
      <c r="D1388" s="10" t="s">
        <v>115</v>
      </c>
      <c r="E1388" s="25" t="str">
        <f>VLOOKUP(D1388,'[2]Lista de Produtos CLASSIFICAÇÃO'!$E$103:$F$114,2,FALSE)</f>
        <v>Soda Caustica</v>
      </c>
      <c r="F1388" s="61">
        <v>15000</v>
      </c>
      <c r="G1388" t="str">
        <f>VLOOKUP(Tabela1[[#This Row],[Cliente]],clientes!$C$3:$D$60,2,FALSE)</f>
        <v>OLIN BLUE CUBE</v>
      </c>
    </row>
    <row r="1389" spans="1:7" x14ac:dyDescent="0.25">
      <c r="A1389" s="10">
        <v>2024</v>
      </c>
      <c r="B1389" s="10" t="s">
        <v>139</v>
      </c>
      <c r="C1389" s="10" t="s">
        <v>179</v>
      </c>
      <c r="D1389" s="10" t="s">
        <v>26</v>
      </c>
      <c r="E1389" s="25" t="str">
        <f>VLOOKUP(D1389,'[2]Lista de Produtos CLASSIFICAÇÃO'!$E$103:$F$114,2,FALSE)</f>
        <v>Biocombustíveis</v>
      </c>
      <c r="F1389" s="61">
        <v>4000</v>
      </c>
      <c r="G1389" t="str">
        <f>VLOOKUP(Tabela1[[#This Row],[Cliente]],clientes!$C$3:$D$60,2,FALSE)</f>
        <v>BSBIOS</v>
      </c>
    </row>
    <row r="1390" spans="1:7" x14ac:dyDescent="0.25">
      <c r="A1390" s="10">
        <v>2024</v>
      </c>
      <c r="B1390" s="10" t="s">
        <v>139</v>
      </c>
      <c r="C1390" s="10" t="s">
        <v>180</v>
      </c>
      <c r="D1390" s="10" t="s">
        <v>30</v>
      </c>
      <c r="E1390" s="25" t="str">
        <f>VLOOKUP(D1390,'[2]Lista de Produtos CLASSIFICAÇÃO'!$E$103:$F$114,2,FALSE)</f>
        <v>Outros</v>
      </c>
      <c r="F1390" s="61"/>
      <c r="G1390" t="str">
        <f>VLOOKUP(Tabela1[[#This Row],[Cliente]],clientes!$C$3:$D$60,2,FALSE)</f>
        <v>TRICHEM</v>
      </c>
    </row>
    <row r="1391" spans="1:7" x14ac:dyDescent="0.25">
      <c r="A1391" s="10">
        <v>2024</v>
      </c>
      <c r="B1391" s="10" t="s">
        <v>139</v>
      </c>
      <c r="C1391" s="10" t="s">
        <v>181</v>
      </c>
      <c r="D1391" s="10" t="s">
        <v>123</v>
      </c>
      <c r="E1391" s="25" t="str">
        <f>VLOOKUP(D1391,'[2]Lista de Produtos CLASSIFICAÇÃO'!$E$103:$F$114,2,FALSE)</f>
        <v>Aquecidos</v>
      </c>
      <c r="F1391" s="61">
        <v>1600</v>
      </c>
      <c r="G1391" t="str">
        <f>VLOOKUP(Tabela1[[#This Row],[Cliente]],clientes!$C$3:$D$60,2,FALSE)</f>
        <v>COAMO</v>
      </c>
    </row>
    <row r="1392" spans="1:7" x14ac:dyDescent="0.25">
      <c r="A1392" s="10">
        <v>2024</v>
      </c>
      <c r="B1392" s="10" t="s">
        <v>139</v>
      </c>
      <c r="C1392" s="10" t="s">
        <v>182</v>
      </c>
      <c r="D1392" s="10" t="s">
        <v>120</v>
      </c>
      <c r="E1392" s="25" t="str">
        <f>VLOOKUP(D1392,'[2]Lista de Produtos CLASSIFICAÇÃO'!$E$103:$F$114,2,FALSE)</f>
        <v>Derivados</v>
      </c>
      <c r="F1392" s="61"/>
      <c r="G1392" t="str">
        <f>VLOOKUP(Tabela1[[#This Row],[Cliente]],clientes!$C$3:$D$60,2,FALSE)</f>
        <v>ATEM</v>
      </c>
    </row>
    <row r="1393" spans="1:7" x14ac:dyDescent="0.25">
      <c r="A1393" s="10">
        <v>2024</v>
      </c>
      <c r="B1393" s="10" t="s">
        <v>139</v>
      </c>
      <c r="C1393" s="10" t="s">
        <v>174</v>
      </c>
      <c r="D1393" s="10" t="s">
        <v>123</v>
      </c>
      <c r="E1393" s="25" t="str">
        <f>VLOOKUP(D1393,'[2]Lista de Produtos CLASSIFICAÇÃO'!$E$103:$F$114,2,FALSE)</f>
        <v>Aquecidos</v>
      </c>
      <c r="F1393" s="61"/>
      <c r="G1393" t="str">
        <f>VLOOKUP(Tabela1[[#This Row],[Cliente]],clientes!$C$3:$D$60,2,FALSE)</f>
        <v>CELENA</v>
      </c>
    </row>
    <row r="1394" spans="1:7" x14ac:dyDescent="0.25">
      <c r="A1394" s="10">
        <v>2024</v>
      </c>
      <c r="B1394" s="10" t="s">
        <v>139</v>
      </c>
      <c r="C1394" s="10" t="s">
        <v>173</v>
      </c>
      <c r="D1394" s="10" t="s">
        <v>183</v>
      </c>
      <c r="E1394" s="25" t="str">
        <f>VLOOKUP(D1394,'[2]Lista de Produtos CLASSIFICAÇÃO'!$E$103:$F$114,2,FALSE)</f>
        <v>Outros</v>
      </c>
      <c r="F1394" s="61"/>
      <c r="G1394" t="str">
        <f>VLOOKUP(Tabela1[[#This Row],[Cliente]],clientes!$C$3:$D$60,2,FALSE)</f>
        <v>YPF SOCIEDAD ANONIMA</v>
      </c>
    </row>
    <row r="1395" spans="1:7" x14ac:dyDescent="0.25">
      <c r="A1395" s="10">
        <v>2024</v>
      </c>
      <c r="B1395" s="10" t="s">
        <v>139</v>
      </c>
      <c r="C1395" s="10" t="s">
        <v>184</v>
      </c>
      <c r="D1395" s="10" t="s">
        <v>122</v>
      </c>
      <c r="E1395" s="25" t="str">
        <f>VLOOKUP(D1395,'[2]Lista de Produtos CLASSIFICAÇÃO'!$E$103:$F$114,2,FALSE)</f>
        <v>Óleo Vegetal</v>
      </c>
      <c r="F1395" s="61">
        <v>2500</v>
      </c>
      <c r="G1395" t="str">
        <f>VLOOKUP(Tabela1[[#This Row],[Cliente]],clientes!$C$3:$D$60,2,FALSE)</f>
        <v>INGREDION</v>
      </c>
    </row>
    <row r="1396" spans="1:7" x14ac:dyDescent="0.25">
      <c r="A1396" s="10">
        <v>2024</v>
      </c>
      <c r="B1396" s="10" t="s">
        <v>139</v>
      </c>
      <c r="C1396" s="10" t="s">
        <v>185</v>
      </c>
      <c r="D1396" s="10" t="s">
        <v>120</v>
      </c>
      <c r="E1396" s="25" t="str">
        <f>VLOOKUP(D1396,'[2]Lista de Produtos CLASSIFICAÇÃO'!$E$103:$F$114,2,FALSE)</f>
        <v>Derivados</v>
      </c>
      <c r="F1396" s="61">
        <v>12450</v>
      </c>
      <c r="G1396" t="str">
        <f>VLOOKUP(Tabela1[[#This Row],[Cliente]],clientes!$C$3:$D$60,2,FALSE)</f>
        <v>CIAPETRO</v>
      </c>
    </row>
    <row r="1397" spans="1:7" x14ac:dyDescent="0.25">
      <c r="A1397" s="10">
        <v>2024</v>
      </c>
      <c r="B1397" s="10" t="s">
        <v>139</v>
      </c>
      <c r="C1397" s="10" t="s">
        <v>186</v>
      </c>
      <c r="D1397" s="10" t="s">
        <v>22</v>
      </c>
      <c r="E1397" s="25" t="str">
        <f>VLOOKUP(D1397,'[2]Lista de Produtos CLASSIFICAÇÃO'!$E$103:$F$114,2,FALSE)</f>
        <v>Metanol</v>
      </c>
      <c r="F1397" s="61"/>
      <c r="G1397" t="str">
        <f>VLOOKUP(Tabela1[[#This Row],[Cliente]],clientes!$C$3:$D$60,2,FALSE)</f>
        <v>OQ TRADING</v>
      </c>
    </row>
    <row r="1398" spans="1:7" x14ac:dyDescent="0.25">
      <c r="A1398" s="10">
        <v>2024</v>
      </c>
      <c r="B1398" s="10" t="s">
        <v>139</v>
      </c>
      <c r="C1398" s="10" t="s">
        <v>187</v>
      </c>
      <c r="D1398" s="10" t="s">
        <v>121</v>
      </c>
      <c r="E1398" s="25" t="str">
        <f>VLOOKUP(D1398,'[2]Lista de Produtos CLASSIFICAÇÃO'!$E$103:$F$114,2,FALSE)</f>
        <v>Biocombustíveis</v>
      </c>
      <c r="F1398" s="61">
        <v>8000</v>
      </c>
      <c r="G1398" t="str">
        <f>VLOOKUP(Tabela1[[#This Row],[Cliente]],clientes!$C$3:$D$60,2,FALSE)</f>
        <v>TEREOS / INPASA / GLENCORE / FS</v>
      </c>
    </row>
    <row r="1399" spans="1:7" x14ac:dyDescent="0.25">
      <c r="A1399" s="10">
        <v>2024</v>
      </c>
      <c r="B1399" s="10" t="s">
        <v>139</v>
      </c>
      <c r="C1399" s="10" t="s">
        <v>188</v>
      </c>
      <c r="D1399" s="10" t="s">
        <v>123</v>
      </c>
      <c r="E1399" s="25" t="str">
        <f>VLOOKUP(D1399,'[2]Lista de Produtos CLASSIFICAÇÃO'!$E$103:$F$114,2,FALSE)</f>
        <v>Aquecidos</v>
      </c>
      <c r="F1399" s="61">
        <v>3250</v>
      </c>
      <c r="G1399" t="str">
        <f>VLOOKUP(Tabela1[[#This Row],[Cliente]],clientes!$C$3:$D$60,2,FALSE)</f>
        <v>ARES MERCHANTS PTE LIMITE</v>
      </c>
    </row>
    <row r="1400" spans="1:7" x14ac:dyDescent="0.25">
      <c r="A1400" s="10">
        <v>2024</v>
      </c>
      <c r="B1400" s="10" t="s">
        <v>139</v>
      </c>
      <c r="C1400" s="10" t="s">
        <v>18</v>
      </c>
      <c r="D1400" s="10" t="s">
        <v>17</v>
      </c>
      <c r="E1400" s="25" t="str">
        <f>VLOOKUP(D1400,'[2]Lista de Produtos CLASSIFICAÇÃO'!$E$103:$F$114,2,FALSE)</f>
        <v>Acostagem</v>
      </c>
      <c r="F1400" s="61"/>
      <c r="G1400" t="str">
        <f>VLOOKUP(Tabela1[[#This Row],[Cliente]],clientes!$C$3:$D$60,2,FALSE)</f>
        <v>ACOSTAGEM</v>
      </c>
    </row>
    <row r="1401" spans="1:7" x14ac:dyDescent="0.25">
      <c r="A1401" s="10">
        <v>2024</v>
      </c>
      <c r="B1401" s="10" t="s">
        <v>139</v>
      </c>
      <c r="C1401" s="10" t="s">
        <v>189</v>
      </c>
      <c r="D1401" s="10" t="s">
        <v>123</v>
      </c>
      <c r="E1401" s="25" t="str">
        <f>VLOOKUP(D1401,'[2]Lista de Produtos CLASSIFICAÇÃO'!$E$103:$F$114,2,FALSE)</f>
        <v>Aquecidos</v>
      </c>
      <c r="F1401" s="61">
        <v>2789</v>
      </c>
      <c r="G1401" t="str">
        <f>VLOOKUP(Tabela1[[#This Row],[Cliente]],clientes!$C$3:$D$60,2,FALSE)</f>
        <v>ICOF</v>
      </c>
    </row>
    <row r="1402" spans="1:7" x14ac:dyDescent="0.25">
      <c r="A1402" s="10">
        <v>2024</v>
      </c>
      <c r="B1402" s="10" t="s">
        <v>140</v>
      </c>
      <c r="C1402" s="10" t="s">
        <v>155</v>
      </c>
      <c r="D1402" s="10" t="s">
        <v>16</v>
      </c>
      <c r="E1402" s="25" t="str">
        <f>VLOOKUP(D1402,'[2]Lista de Produtos CLASSIFICAÇÃO'!$E$103:$F$114,2,FALSE)</f>
        <v>Outros</v>
      </c>
      <c r="F1402" s="61">
        <v>4700</v>
      </c>
      <c r="G1402" t="str">
        <f>VLOOKUP(Tabela1[[#This Row],[Cliente]],clientes!$C$3:$D$60,2,FALSE)</f>
        <v>ADISSEO</v>
      </c>
    </row>
    <row r="1403" spans="1:7" x14ac:dyDescent="0.25">
      <c r="A1403" s="10">
        <v>2024</v>
      </c>
      <c r="B1403" s="10" t="s">
        <v>140</v>
      </c>
      <c r="C1403" s="10" t="s">
        <v>156</v>
      </c>
      <c r="D1403" s="10" t="s">
        <v>123</v>
      </c>
      <c r="E1403" s="25" t="str">
        <f>VLOOKUP(D1403,'[2]Lista de Produtos CLASSIFICAÇÃO'!$E$103:$F$114,2,FALSE)</f>
        <v>Aquecidos</v>
      </c>
      <c r="F1403" s="61">
        <v>1500</v>
      </c>
      <c r="G1403" t="str">
        <f>VLOOKUP(Tabela1[[#This Row],[Cliente]],clientes!$C$3:$D$60,2,FALSE)</f>
        <v>BUNGE</v>
      </c>
    </row>
    <row r="1404" spans="1:7" x14ac:dyDescent="0.25">
      <c r="A1404" s="10">
        <v>2024</v>
      </c>
      <c r="B1404" s="10" t="s">
        <v>140</v>
      </c>
      <c r="C1404" s="10" t="s">
        <v>157</v>
      </c>
      <c r="D1404" s="10" t="s">
        <v>122</v>
      </c>
      <c r="E1404" s="25" t="str">
        <f>VLOOKUP(D1404,'[2]Lista de Produtos CLASSIFICAÇÃO'!$E$103:$F$114,2,FALSE)</f>
        <v>Óleo Vegetal</v>
      </c>
      <c r="F1404" s="61">
        <v>3000</v>
      </c>
      <c r="G1404" t="str">
        <f>VLOOKUP(Tabela1[[#This Row],[Cliente]],clientes!$C$3:$D$60,2,FALSE)</f>
        <v>ADM</v>
      </c>
    </row>
    <row r="1405" spans="1:7" x14ac:dyDescent="0.25">
      <c r="A1405" s="10">
        <v>2024</v>
      </c>
      <c r="B1405" s="10" t="s">
        <v>140</v>
      </c>
      <c r="C1405" s="10" t="s">
        <v>158</v>
      </c>
      <c r="D1405" s="10" t="s">
        <v>120</v>
      </c>
      <c r="E1405" s="25" t="str">
        <f>VLOOKUP(D1405,'[2]Lista de Produtos CLASSIFICAÇÃO'!$E$103:$F$114,2,FALSE)</f>
        <v>Derivados</v>
      </c>
      <c r="F1405" s="61">
        <v>86859</v>
      </c>
      <c r="G1405" t="str">
        <f>VLOOKUP(Tabela1[[#This Row],[Cliente]],clientes!$C$3:$D$60,2,FALSE)</f>
        <v>IPIRANGA</v>
      </c>
    </row>
    <row r="1406" spans="1:7" x14ac:dyDescent="0.25">
      <c r="A1406" s="10">
        <v>2024</v>
      </c>
      <c r="B1406" s="10" t="s">
        <v>140</v>
      </c>
      <c r="C1406" s="10" t="s">
        <v>159</v>
      </c>
      <c r="D1406" s="10" t="s">
        <v>120</v>
      </c>
      <c r="E1406" s="25" t="str">
        <f>VLOOKUP(D1406,'[2]Lista de Produtos CLASSIFICAÇÃO'!$E$103:$F$114,2,FALSE)</f>
        <v>Derivados</v>
      </c>
      <c r="F1406" s="61">
        <v>30000</v>
      </c>
      <c r="G1406" t="str">
        <f>VLOOKUP(Tabela1[[#This Row],[Cliente]],clientes!$C$3:$D$60,2,FALSE)</f>
        <v>RAIZEN</v>
      </c>
    </row>
    <row r="1407" spans="1:7" x14ac:dyDescent="0.25">
      <c r="A1407" s="10">
        <v>2024</v>
      </c>
      <c r="B1407" s="10" t="s">
        <v>140</v>
      </c>
      <c r="C1407" s="10" t="s">
        <v>160</v>
      </c>
      <c r="D1407" s="10" t="s">
        <v>120</v>
      </c>
      <c r="E1407" s="25" t="str">
        <f>VLOOKUP(D1407,'[2]Lista de Produtos CLASSIFICAÇÃO'!$E$103:$F$114,2,FALSE)</f>
        <v>Derivados</v>
      </c>
      <c r="F1407" s="61">
        <v>15000</v>
      </c>
      <c r="G1407" t="str">
        <f>VLOOKUP(Tabela1[[#This Row],[Cliente]],clientes!$C$3:$D$60,2,FALSE)</f>
        <v>VIBRA</v>
      </c>
    </row>
    <row r="1408" spans="1:7" x14ac:dyDescent="0.25">
      <c r="A1408" s="10">
        <v>2024</v>
      </c>
      <c r="B1408" s="10" t="s">
        <v>140</v>
      </c>
      <c r="C1408" s="10" t="s">
        <v>161</v>
      </c>
      <c r="D1408" s="10" t="s">
        <v>120</v>
      </c>
      <c r="E1408" s="25" t="str">
        <f>VLOOKUP(D1408,'[2]Lista de Produtos CLASSIFICAÇÃO'!$E$103:$F$114,2,FALSE)</f>
        <v>Derivados</v>
      </c>
      <c r="F1408" s="61">
        <v>44820</v>
      </c>
      <c r="G1408" t="str">
        <f>VLOOKUP(Tabela1[[#This Row],[Cliente]],clientes!$C$3:$D$60,2,FALSE)</f>
        <v>SUL PLATA</v>
      </c>
    </row>
    <row r="1409" spans="1:7" x14ac:dyDescent="0.25">
      <c r="A1409" s="10">
        <v>2024</v>
      </c>
      <c r="B1409" s="10" t="s">
        <v>140</v>
      </c>
      <c r="C1409" s="10" t="s">
        <v>162</v>
      </c>
      <c r="D1409" s="10" t="s">
        <v>115</v>
      </c>
      <c r="E1409" s="25" t="str">
        <f>VLOOKUP(D1409,'[2]Lista de Produtos CLASSIFICAÇÃO'!$E$103:$F$114,2,FALSE)</f>
        <v>Soda Caustica</v>
      </c>
      <c r="F1409" s="61">
        <v>1500</v>
      </c>
      <c r="G1409" t="str">
        <f>VLOOKUP(Tabela1[[#This Row],[Cliente]],clientes!$C$3:$D$60,2,FALSE)</f>
        <v>JBS</v>
      </c>
    </row>
    <row r="1410" spans="1:7" x14ac:dyDescent="0.25">
      <c r="A1410" s="10">
        <v>2024</v>
      </c>
      <c r="B1410" s="10" t="s">
        <v>140</v>
      </c>
      <c r="C1410" s="10" t="s">
        <v>163</v>
      </c>
      <c r="D1410" s="10" t="s">
        <v>115</v>
      </c>
      <c r="E1410" s="25" t="str">
        <f>VLOOKUP(D1410,'[2]Lista de Produtos CLASSIFICAÇÃO'!$E$103:$F$114,2,FALSE)</f>
        <v>Soda Caustica</v>
      </c>
      <c r="F1410" s="61">
        <v>1500</v>
      </c>
      <c r="G1410" t="str">
        <f>VLOOKUP(Tabela1[[#This Row],[Cliente]],clientes!$C$3:$D$60,2,FALSE)</f>
        <v>TRICON ENERGY</v>
      </c>
    </row>
    <row r="1411" spans="1:7" x14ac:dyDescent="0.25">
      <c r="A1411" s="10">
        <v>2024</v>
      </c>
      <c r="B1411" s="10" t="s">
        <v>140</v>
      </c>
      <c r="C1411" s="10" t="s">
        <v>164</v>
      </c>
      <c r="D1411" s="10" t="s">
        <v>115</v>
      </c>
      <c r="E1411" s="25" t="str">
        <f>VLOOKUP(D1411,'[2]Lista de Produtos CLASSIFICAÇÃO'!$E$103:$F$114,2,FALSE)</f>
        <v>Soda Caustica</v>
      </c>
      <c r="F1411" s="61">
        <v>3400</v>
      </c>
      <c r="G1411" t="str">
        <f>VLOOKUP(Tabela1[[#This Row],[Cliente]],clientes!$C$3:$D$60,2,FALSE)</f>
        <v>BRASKEM</v>
      </c>
    </row>
    <row r="1412" spans="1:7" x14ac:dyDescent="0.25">
      <c r="A1412" s="10">
        <v>2024</v>
      </c>
      <c r="B1412" s="10" t="s">
        <v>140</v>
      </c>
      <c r="C1412" s="10" t="s">
        <v>165</v>
      </c>
      <c r="D1412" s="10" t="s">
        <v>123</v>
      </c>
      <c r="E1412" s="25" t="str">
        <f>VLOOKUP(D1412,'[2]Lista de Produtos CLASSIFICAÇÃO'!$E$103:$F$114,2,FALSE)</f>
        <v>Aquecidos</v>
      </c>
      <c r="F1412" s="61">
        <v>4000</v>
      </c>
      <c r="G1412" t="str">
        <f>VLOOKUP(Tabela1[[#This Row],[Cliente]],clientes!$C$3:$D$60,2,FALSE)</f>
        <v>BRF</v>
      </c>
    </row>
    <row r="1413" spans="1:7" x14ac:dyDescent="0.25">
      <c r="A1413" s="10">
        <v>2024</v>
      </c>
      <c r="B1413" s="10" t="s">
        <v>140</v>
      </c>
      <c r="C1413" s="10" t="s">
        <v>162</v>
      </c>
      <c r="D1413" s="10" t="s">
        <v>123</v>
      </c>
      <c r="E1413" s="25" t="str">
        <f>VLOOKUP(D1413,'[2]Lista de Produtos CLASSIFICAÇÃO'!$E$103:$F$114,2,FALSE)</f>
        <v>Aquecidos</v>
      </c>
      <c r="F1413" s="61">
        <v>2400</v>
      </c>
      <c r="G1413" t="str">
        <f>VLOOKUP(Tabela1[[#This Row],[Cliente]],clientes!$C$3:$D$60,2,FALSE)</f>
        <v>JBS</v>
      </c>
    </row>
    <row r="1414" spans="1:7" x14ac:dyDescent="0.25">
      <c r="A1414" s="10">
        <v>2024</v>
      </c>
      <c r="B1414" s="10" t="s">
        <v>140</v>
      </c>
      <c r="C1414" s="10" t="s">
        <v>166</v>
      </c>
      <c r="D1414" s="10" t="s">
        <v>123</v>
      </c>
      <c r="E1414" s="25" t="str">
        <f>VLOOKUP(D1414,'[2]Lista de Produtos CLASSIFICAÇÃO'!$E$103:$F$114,2,FALSE)</f>
        <v>Aquecidos</v>
      </c>
      <c r="F1414" s="61">
        <v>1500</v>
      </c>
      <c r="G1414" t="str">
        <f>VLOOKUP(Tabela1[[#This Row],[Cliente]],clientes!$C$3:$D$60,2,FALSE)</f>
        <v>CARGILL</v>
      </c>
    </row>
    <row r="1415" spans="1:7" x14ac:dyDescent="0.25">
      <c r="A1415" s="10">
        <v>2024</v>
      </c>
      <c r="B1415" s="10" t="s">
        <v>140</v>
      </c>
      <c r="C1415" s="10" t="s">
        <v>167</v>
      </c>
      <c r="D1415" s="10" t="s">
        <v>122</v>
      </c>
      <c r="E1415" s="25" t="str">
        <f>VLOOKUP(D1415,'[2]Lista de Produtos CLASSIFICAÇÃO'!$E$103:$F$114,2,FALSE)</f>
        <v>Óleo Vegetal</v>
      </c>
      <c r="F1415" s="61">
        <v>15840</v>
      </c>
      <c r="G1415" t="str">
        <f>VLOOKUP(Tabela1[[#This Row],[Cliente]],clientes!$C$3:$D$60,2,FALSE)</f>
        <v>POOL</v>
      </c>
    </row>
    <row r="1416" spans="1:7" x14ac:dyDescent="0.25">
      <c r="A1416" s="10">
        <v>2024</v>
      </c>
      <c r="B1416" s="10" t="s">
        <v>140</v>
      </c>
      <c r="C1416" s="10" t="s">
        <v>168</v>
      </c>
      <c r="D1416" s="10" t="s">
        <v>122</v>
      </c>
      <c r="E1416" s="25" t="str">
        <f>VLOOKUP(D1416,'[2]Lista de Produtos CLASSIFICAÇÃO'!$E$103:$F$114,2,FALSE)</f>
        <v>Óleo Vegetal</v>
      </c>
      <c r="F1416" s="61">
        <v>2000</v>
      </c>
      <c r="G1416" t="str">
        <f>VLOOKUP(Tabela1[[#This Row],[Cliente]],clientes!$C$3:$D$60,2,FALSE)</f>
        <v>POOL EXCEDENTE</v>
      </c>
    </row>
    <row r="1417" spans="1:7" x14ac:dyDescent="0.25">
      <c r="A1417" s="10">
        <v>2024</v>
      </c>
      <c r="B1417" s="10" t="s">
        <v>140</v>
      </c>
      <c r="C1417" s="10" t="s">
        <v>169</v>
      </c>
      <c r="D1417" s="10" t="s">
        <v>22</v>
      </c>
      <c r="E1417" s="25" t="str">
        <f>VLOOKUP(D1417,'[2]Lista de Produtos CLASSIFICAÇÃO'!$E$103:$F$114,2,FALSE)</f>
        <v>Metanol</v>
      </c>
      <c r="F1417" s="61">
        <v>67000</v>
      </c>
      <c r="G1417" t="str">
        <f>VLOOKUP(Tabela1[[#This Row],[Cliente]],clientes!$C$3:$D$60,2,FALSE)</f>
        <v>METHANEX</v>
      </c>
    </row>
    <row r="1418" spans="1:7" x14ac:dyDescent="0.25">
      <c r="A1418" s="10">
        <v>2024</v>
      </c>
      <c r="B1418" s="10" t="s">
        <v>140</v>
      </c>
      <c r="C1418" s="10" t="s">
        <v>170</v>
      </c>
      <c r="D1418" s="10" t="s">
        <v>22</v>
      </c>
      <c r="E1418" s="25" t="str">
        <f>VLOOKUP(D1418,'[2]Lista de Produtos CLASSIFICAÇÃO'!$E$103:$F$114,2,FALSE)</f>
        <v>Metanol</v>
      </c>
      <c r="F1418" s="61">
        <v>15000</v>
      </c>
      <c r="G1418" t="str">
        <f>VLOOKUP(Tabela1[[#This Row],[Cliente]],clientes!$C$3:$D$60,2,FALSE)</f>
        <v>MITSUBISHI</v>
      </c>
    </row>
    <row r="1419" spans="1:7" x14ac:dyDescent="0.25">
      <c r="A1419" s="10">
        <v>2024</v>
      </c>
      <c r="B1419" s="10" t="s">
        <v>140</v>
      </c>
      <c r="C1419" s="10" t="s">
        <v>171</v>
      </c>
      <c r="D1419" s="10" t="s">
        <v>22</v>
      </c>
      <c r="E1419" s="25" t="str">
        <f>VLOOKUP(D1419,'[2]Lista de Produtos CLASSIFICAÇÃO'!$E$103:$F$114,2,FALSE)</f>
        <v>Metanol</v>
      </c>
      <c r="F1419" s="61">
        <v>23000</v>
      </c>
      <c r="G1419" t="str">
        <f>VLOOKUP(Tabela1[[#This Row],[Cliente]],clientes!$C$3:$D$60,2,FALSE)</f>
        <v>VALENZ</v>
      </c>
    </row>
    <row r="1420" spans="1:7" x14ac:dyDescent="0.25">
      <c r="A1420" s="10">
        <v>2024</v>
      </c>
      <c r="B1420" s="10" t="s">
        <v>140</v>
      </c>
      <c r="C1420" s="10" t="s">
        <v>172</v>
      </c>
      <c r="D1420" s="10" t="s">
        <v>124</v>
      </c>
      <c r="E1420" s="25" t="str">
        <f>VLOOKUP(D1420,'[2]Lista de Produtos CLASSIFICAÇÃO'!$E$103:$F$114,2,FALSE)</f>
        <v>Outros</v>
      </c>
      <c r="F1420" s="61">
        <v>1200</v>
      </c>
      <c r="G1420" t="str">
        <f>VLOOKUP(Tabela1[[#This Row],[Cliente]],clientes!$C$3:$D$60,2,FALSE)</f>
        <v>EVONIK</v>
      </c>
    </row>
    <row r="1421" spans="1:7" x14ac:dyDescent="0.25">
      <c r="A1421" s="10">
        <v>2024</v>
      </c>
      <c r="B1421" s="10" t="s">
        <v>140</v>
      </c>
      <c r="C1421" s="10" t="s">
        <v>173</v>
      </c>
      <c r="D1421" s="10" t="s">
        <v>22</v>
      </c>
      <c r="E1421" s="25" t="str">
        <f>VLOOKUP(D1421,'[2]Lista de Produtos CLASSIFICAÇÃO'!$E$103:$F$114,2,FALSE)</f>
        <v>Metanol</v>
      </c>
      <c r="F1421" s="61"/>
      <c r="G1421" t="str">
        <f>VLOOKUP(Tabela1[[#This Row],[Cliente]],clientes!$C$3:$D$60,2,FALSE)</f>
        <v>YPF SOCIEDAD ANONIMA</v>
      </c>
    </row>
    <row r="1422" spans="1:7" x14ac:dyDescent="0.25">
      <c r="A1422" s="10">
        <v>2024</v>
      </c>
      <c r="B1422" s="10" t="s">
        <v>140</v>
      </c>
      <c r="C1422" s="10" t="s">
        <v>174</v>
      </c>
      <c r="D1422" s="10" t="s">
        <v>123</v>
      </c>
      <c r="E1422" s="25" t="str">
        <f>VLOOKUP(D1422,'[2]Lista de Produtos CLASSIFICAÇÃO'!$E$103:$F$114,2,FALSE)</f>
        <v>Aquecidos</v>
      </c>
      <c r="F1422" s="61">
        <v>2000</v>
      </c>
      <c r="G1422" t="str">
        <f>VLOOKUP(Tabela1[[#This Row],[Cliente]],clientes!$C$3:$D$60,2,FALSE)</f>
        <v>CELENA</v>
      </c>
    </row>
    <row r="1423" spans="1:7" x14ac:dyDescent="0.25">
      <c r="A1423" s="10">
        <v>2024</v>
      </c>
      <c r="B1423" s="10" t="s">
        <v>140</v>
      </c>
      <c r="C1423" s="10" t="s">
        <v>175</v>
      </c>
      <c r="D1423" s="10" t="s">
        <v>123</v>
      </c>
      <c r="E1423" s="25" t="str">
        <f>VLOOKUP(D1423,'[2]Lista de Produtos CLASSIFICAÇÃO'!$E$103:$F$114,2,FALSE)</f>
        <v>Aquecidos</v>
      </c>
      <c r="F1423" s="61">
        <v>1700</v>
      </c>
      <c r="G1423" t="str">
        <f>VLOOKUP(Tabela1[[#This Row],[Cliente]],clientes!$C$3:$D$60,2,FALSE)</f>
        <v>AAK DO BRASIL</v>
      </c>
    </row>
    <row r="1424" spans="1:7" x14ac:dyDescent="0.25">
      <c r="A1424" s="10">
        <v>2024</v>
      </c>
      <c r="B1424" s="10" t="s">
        <v>140</v>
      </c>
      <c r="C1424" s="10" t="s">
        <v>166</v>
      </c>
      <c r="D1424" s="10" t="s">
        <v>122</v>
      </c>
      <c r="E1424" s="25" t="str">
        <f>VLOOKUP(D1424,'[2]Lista de Produtos CLASSIFICAÇÃO'!$E$103:$F$114,2,FALSE)</f>
        <v>Óleo Vegetal</v>
      </c>
      <c r="F1424" s="61"/>
      <c r="G1424" t="str">
        <f>VLOOKUP(Tabela1[[#This Row],[Cliente]],clientes!$C$3:$D$60,2,FALSE)</f>
        <v>CARGILL</v>
      </c>
    </row>
    <row r="1425" spans="1:7" x14ac:dyDescent="0.25">
      <c r="A1425" s="10">
        <v>2024</v>
      </c>
      <c r="B1425" s="10" t="s">
        <v>140</v>
      </c>
      <c r="C1425" s="10" t="s">
        <v>176</v>
      </c>
      <c r="D1425" s="10" t="s">
        <v>123</v>
      </c>
      <c r="E1425" s="25" t="str">
        <f>VLOOKUP(D1425,'[2]Lista de Produtos CLASSIFICAÇÃO'!$E$103:$F$114,2,FALSE)</f>
        <v>Aquecidos</v>
      </c>
      <c r="F1425" s="61">
        <v>2150</v>
      </c>
      <c r="G1425" t="str">
        <f>VLOOKUP(Tabela1[[#This Row],[Cliente]],clientes!$C$3:$D$60,2,FALSE)</f>
        <v>AGROPALMA</v>
      </c>
    </row>
    <row r="1426" spans="1:7" x14ac:dyDescent="0.25">
      <c r="A1426" s="10">
        <v>2024</v>
      </c>
      <c r="B1426" s="10" t="s">
        <v>140</v>
      </c>
      <c r="C1426" s="10" t="s">
        <v>177</v>
      </c>
      <c r="D1426" s="10" t="s">
        <v>115</v>
      </c>
      <c r="E1426" s="25" t="str">
        <f>VLOOKUP(D1426,'[2]Lista de Produtos CLASSIFICAÇÃO'!$E$103:$F$114,2,FALSE)</f>
        <v>Soda Caustica</v>
      </c>
      <c r="F1426" s="61">
        <v>3000</v>
      </c>
      <c r="G1426" t="str">
        <f>VLOOKUP(Tabela1[[#This Row],[Cliente]],clientes!$C$3:$D$60,2,FALSE)</f>
        <v>BRENNTAG</v>
      </c>
    </row>
    <row r="1427" spans="1:7" x14ac:dyDescent="0.25">
      <c r="A1427" s="10">
        <v>2024</v>
      </c>
      <c r="B1427" s="10" t="s">
        <v>140</v>
      </c>
      <c r="C1427" s="10" t="s">
        <v>178</v>
      </c>
      <c r="D1427" s="10" t="s">
        <v>115</v>
      </c>
      <c r="E1427" s="25" t="str">
        <f>VLOOKUP(D1427,'[2]Lista de Produtos CLASSIFICAÇÃO'!$E$103:$F$114,2,FALSE)</f>
        <v>Soda Caustica</v>
      </c>
      <c r="F1427" s="61">
        <v>15000</v>
      </c>
      <c r="G1427" t="str">
        <f>VLOOKUP(Tabela1[[#This Row],[Cliente]],clientes!$C$3:$D$60,2,FALSE)</f>
        <v>OLIN BLUE CUBE</v>
      </c>
    </row>
    <row r="1428" spans="1:7" x14ac:dyDescent="0.25">
      <c r="A1428" s="10">
        <v>2024</v>
      </c>
      <c r="B1428" s="10" t="s">
        <v>140</v>
      </c>
      <c r="C1428" s="10" t="s">
        <v>179</v>
      </c>
      <c r="D1428" s="10" t="s">
        <v>26</v>
      </c>
      <c r="E1428" s="25" t="str">
        <f>VLOOKUP(D1428,'[2]Lista de Produtos CLASSIFICAÇÃO'!$E$103:$F$114,2,FALSE)</f>
        <v>Biocombustíveis</v>
      </c>
      <c r="F1428" s="61">
        <v>4000</v>
      </c>
      <c r="G1428" t="str">
        <f>VLOOKUP(Tabela1[[#This Row],[Cliente]],clientes!$C$3:$D$60,2,FALSE)</f>
        <v>BSBIOS</v>
      </c>
    </row>
    <row r="1429" spans="1:7" x14ac:dyDescent="0.25">
      <c r="A1429" s="10">
        <v>2024</v>
      </c>
      <c r="B1429" s="10" t="s">
        <v>140</v>
      </c>
      <c r="C1429" s="10" t="s">
        <v>180</v>
      </c>
      <c r="D1429" s="10" t="s">
        <v>30</v>
      </c>
      <c r="E1429" s="25" t="str">
        <f>VLOOKUP(D1429,'[2]Lista de Produtos CLASSIFICAÇÃO'!$E$103:$F$114,2,FALSE)</f>
        <v>Outros</v>
      </c>
      <c r="F1429" s="61"/>
      <c r="G1429" t="str">
        <f>VLOOKUP(Tabela1[[#This Row],[Cliente]],clientes!$C$3:$D$60,2,FALSE)</f>
        <v>TRICHEM</v>
      </c>
    </row>
    <row r="1430" spans="1:7" x14ac:dyDescent="0.25">
      <c r="A1430" s="10">
        <v>2024</v>
      </c>
      <c r="B1430" s="10" t="s">
        <v>140</v>
      </c>
      <c r="C1430" s="10" t="s">
        <v>181</v>
      </c>
      <c r="D1430" s="10" t="s">
        <v>123</v>
      </c>
      <c r="E1430" s="25" t="str">
        <f>VLOOKUP(D1430,'[2]Lista de Produtos CLASSIFICAÇÃO'!$E$103:$F$114,2,FALSE)</f>
        <v>Aquecidos</v>
      </c>
      <c r="F1430" s="61">
        <v>1600</v>
      </c>
      <c r="G1430" t="str">
        <f>VLOOKUP(Tabela1[[#This Row],[Cliente]],clientes!$C$3:$D$60,2,FALSE)</f>
        <v>COAMO</v>
      </c>
    </row>
    <row r="1431" spans="1:7" x14ac:dyDescent="0.25">
      <c r="A1431" s="10">
        <v>2024</v>
      </c>
      <c r="B1431" s="10" t="s">
        <v>140</v>
      </c>
      <c r="C1431" s="10" t="s">
        <v>182</v>
      </c>
      <c r="D1431" s="10" t="s">
        <v>120</v>
      </c>
      <c r="E1431" s="25" t="str">
        <f>VLOOKUP(D1431,'[2]Lista de Produtos CLASSIFICAÇÃO'!$E$103:$F$114,2,FALSE)</f>
        <v>Derivados</v>
      </c>
      <c r="F1431" s="61"/>
      <c r="G1431" t="str">
        <f>VLOOKUP(Tabela1[[#This Row],[Cliente]],clientes!$C$3:$D$60,2,FALSE)</f>
        <v>ATEM</v>
      </c>
    </row>
    <row r="1432" spans="1:7" x14ac:dyDescent="0.25">
      <c r="A1432" s="10">
        <v>2024</v>
      </c>
      <c r="B1432" s="10" t="s">
        <v>140</v>
      </c>
      <c r="C1432" s="10" t="s">
        <v>174</v>
      </c>
      <c r="D1432" s="10" t="s">
        <v>123</v>
      </c>
      <c r="E1432" s="25" t="str">
        <f>VLOOKUP(D1432,'[2]Lista de Produtos CLASSIFICAÇÃO'!$E$103:$F$114,2,FALSE)</f>
        <v>Aquecidos</v>
      </c>
      <c r="F1432" s="61">
        <v>18000</v>
      </c>
      <c r="G1432" t="str">
        <f>VLOOKUP(Tabela1[[#This Row],[Cliente]],clientes!$C$3:$D$60,2,FALSE)</f>
        <v>CELENA</v>
      </c>
    </row>
    <row r="1433" spans="1:7" x14ac:dyDescent="0.25">
      <c r="A1433" s="10">
        <v>2024</v>
      </c>
      <c r="B1433" s="10" t="s">
        <v>140</v>
      </c>
      <c r="C1433" s="10" t="s">
        <v>173</v>
      </c>
      <c r="D1433" s="10" t="s">
        <v>183</v>
      </c>
      <c r="E1433" s="25" t="str">
        <f>VLOOKUP(D1433,'[2]Lista de Produtos CLASSIFICAÇÃO'!$E$103:$F$114,2,FALSE)</f>
        <v>Outros</v>
      </c>
      <c r="F1433" s="61">
        <v>1100</v>
      </c>
      <c r="G1433" t="str">
        <f>VLOOKUP(Tabela1[[#This Row],[Cliente]],clientes!$C$3:$D$60,2,FALSE)</f>
        <v>YPF SOCIEDAD ANONIMA</v>
      </c>
    </row>
    <row r="1434" spans="1:7" x14ac:dyDescent="0.25">
      <c r="A1434" s="10">
        <v>2024</v>
      </c>
      <c r="B1434" s="10" t="s">
        <v>140</v>
      </c>
      <c r="C1434" s="10" t="s">
        <v>184</v>
      </c>
      <c r="D1434" s="10" t="s">
        <v>122</v>
      </c>
      <c r="E1434" s="25" t="str">
        <f>VLOOKUP(D1434,'[2]Lista de Produtos CLASSIFICAÇÃO'!$E$103:$F$114,2,FALSE)</f>
        <v>Óleo Vegetal</v>
      </c>
      <c r="F1434" s="61"/>
      <c r="G1434" t="str">
        <f>VLOOKUP(Tabela1[[#This Row],[Cliente]],clientes!$C$3:$D$60,2,FALSE)</f>
        <v>INGREDION</v>
      </c>
    </row>
    <row r="1435" spans="1:7" x14ac:dyDescent="0.25">
      <c r="A1435" s="10">
        <v>2024</v>
      </c>
      <c r="B1435" s="10" t="s">
        <v>140</v>
      </c>
      <c r="C1435" s="10" t="s">
        <v>185</v>
      </c>
      <c r="D1435" s="10" t="s">
        <v>120</v>
      </c>
      <c r="E1435" s="25" t="str">
        <f>VLOOKUP(D1435,'[2]Lista de Produtos CLASSIFICAÇÃO'!$E$103:$F$114,2,FALSE)</f>
        <v>Derivados</v>
      </c>
      <c r="F1435" s="61">
        <v>12450</v>
      </c>
      <c r="G1435" t="str">
        <f>VLOOKUP(Tabela1[[#This Row],[Cliente]],clientes!$C$3:$D$60,2,FALSE)</f>
        <v>CIAPETRO</v>
      </c>
    </row>
    <row r="1436" spans="1:7" x14ac:dyDescent="0.25">
      <c r="A1436" s="10">
        <v>2024</v>
      </c>
      <c r="B1436" s="10" t="s">
        <v>140</v>
      </c>
      <c r="C1436" s="10" t="s">
        <v>186</v>
      </c>
      <c r="D1436" s="10" t="s">
        <v>22</v>
      </c>
      <c r="E1436" s="25" t="str">
        <f>VLOOKUP(D1436,'[2]Lista de Produtos CLASSIFICAÇÃO'!$E$103:$F$114,2,FALSE)</f>
        <v>Metanol</v>
      </c>
      <c r="F1436" s="61">
        <v>5000</v>
      </c>
      <c r="G1436" t="str">
        <f>VLOOKUP(Tabela1[[#This Row],[Cliente]],clientes!$C$3:$D$60,2,FALSE)</f>
        <v>OQ TRADING</v>
      </c>
    </row>
    <row r="1437" spans="1:7" x14ac:dyDescent="0.25">
      <c r="A1437" s="10">
        <v>2024</v>
      </c>
      <c r="B1437" s="10" t="s">
        <v>140</v>
      </c>
      <c r="C1437" s="10" t="s">
        <v>187</v>
      </c>
      <c r="D1437" s="10" t="s">
        <v>121</v>
      </c>
      <c r="E1437" s="25" t="str">
        <f>VLOOKUP(D1437,'[2]Lista de Produtos CLASSIFICAÇÃO'!$E$103:$F$114,2,FALSE)</f>
        <v>Biocombustíveis</v>
      </c>
      <c r="F1437" s="61">
        <v>8000</v>
      </c>
      <c r="G1437" t="str">
        <f>VLOOKUP(Tabela1[[#This Row],[Cliente]],clientes!$C$3:$D$60,2,FALSE)</f>
        <v>TEREOS / INPASA / GLENCORE / FS</v>
      </c>
    </row>
    <row r="1438" spans="1:7" x14ac:dyDescent="0.25">
      <c r="A1438" s="10">
        <v>2024</v>
      </c>
      <c r="B1438" s="10" t="s">
        <v>140</v>
      </c>
      <c r="C1438" s="10" t="s">
        <v>188</v>
      </c>
      <c r="D1438" s="10" t="s">
        <v>123</v>
      </c>
      <c r="E1438" s="25" t="str">
        <f>VLOOKUP(D1438,'[2]Lista de Produtos CLASSIFICAÇÃO'!$E$103:$F$114,2,FALSE)</f>
        <v>Aquecidos</v>
      </c>
      <c r="F1438" s="61">
        <v>3250</v>
      </c>
      <c r="G1438" t="str">
        <f>VLOOKUP(Tabela1[[#This Row],[Cliente]],clientes!$C$3:$D$60,2,FALSE)</f>
        <v>ARES MERCHANTS PTE LIMITE</v>
      </c>
    </row>
    <row r="1439" spans="1:7" x14ac:dyDescent="0.25">
      <c r="A1439" s="10">
        <v>2024</v>
      </c>
      <c r="B1439" s="10" t="s">
        <v>140</v>
      </c>
      <c r="C1439" s="10" t="s">
        <v>18</v>
      </c>
      <c r="D1439" s="10" t="s">
        <v>17</v>
      </c>
      <c r="E1439" s="25" t="str">
        <f>VLOOKUP(D1439,'[2]Lista de Produtos CLASSIFICAÇÃO'!$E$103:$F$114,2,FALSE)</f>
        <v>Acostagem</v>
      </c>
      <c r="F1439" s="61"/>
      <c r="G1439" t="str">
        <f>VLOOKUP(Tabela1[[#This Row],[Cliente]],clientes!$C$3:$D$60,2,FALSE)</f>
        <v>ACOSTAGEM</v>
      </c>
    </row>
    <row r="1440" spans="1:7" x14ac:dyDescent="0.25">
      <c r="A1440" s="10">
        <v>2024</v>
      </c>
      <c r="B1440" s="10" t="s">
        <v>140</v>
      </c>
      <c r="C1440" s="10" t="s">
        <v>189</v>
      </c>
      <c r="D1440" s="10" t="s">
        <v>123</v>
      </c>
      <c r="E1440" s="25" t="str">
        <f>VLOOKUP(D1440,'[2]Lista de Produtos CLASSIFICAÇÃO'!$E$103:$F$114,2,FALSE)</f>
        <v>Aquecidos</v>
      </c>
      <c r="F1440" s="61">
        <v>2789</v>
      </c>
      <c r="G1440" t="str">
        <f>VLOOKUP(Tabela1[[#This Row],[Cliente]],clientes!$C$3:$D$60,2,FALSE)</f>
        <v>ICOF</v>
      </c>
    </row>
    <row r="1441" spans="1:7" x14ac:dyDescent="0.25">
      <c r="A1441" s="10">
        <v>2024</v>
      </c>
      <c r="B1441" s="10" t="s">
        <v>141</v>
      </c>
      <c r="C1441" s="10" t="s">
        <v>155</v>
      </c>
      <c r="D1441" s="10" t="s">
        <v>16</v>
      </c>
      <c r="E1441" s="25" t="str">
        <f>VLOOKUP(D1441,'[2]Lista de Produtos CLASSIFICAÇÃO'!$E$103:$F$114,2,FALSE)</f>
        <v>Outros</v>
      </c>
      <c r="F1441" s="61">
        <v>4700</v>
      </c>
      <c r="G1441" t="str">
        <f>VLOOKUP(Tabela1[[#This Row],[Cliente]],clientes!$C$3:$D$60,2,FALSE)</f>
        <v>ADISSEO</v>
      </c>
    </row>
    <row r="1442" spans="1:7" x14ac:dyDescent="0.25">
      <c r="A1442" s="10">
        <v>2024</v>
      </c>
      <c r="B1442" s="10" t="s">
        <v>141</v>
      </c>
      <c r="C1442" s="10" t="s">
        <v>156</v>
      </c>
      <c r="D1442" s="10" t="s">
        <v>123</v>
      </c>
      <c r="E1442" s="25" t="str">
        <f>VLOOKUP(D1442,'[2]Lista de Produtos CLASSIFICAÇÃO'!$E$103:$F$114,2,FALSE)</f>
        <v>Aquecidos</v>
      </c>
      <c r="F1442" s="61">
        <v>1500</v>
      </c>
      <c r="G1442" t="str">
        <f>VLOOKUP(Tabela1[[#This Row],[Cliente]],clientes!$C$3:$D$60,2,FALSE)</f>
        <v>BUNGE</v>
      </c>
    </row>
    <row r="1443" spans="1:7" x14ac:dyDescent="0.25">
      <c r="A1443" s="10">
        <v>2024</v>
      </c>
      <c r="B1443" s="10" t="s">
        <v>141</v>
      </c>
      <c r="C1443" s="10" t="s">
        <v>157</v>
      </c>
      <c r="D1443" s="10" t="s">
        <v>122</v>
      </c>
      <c r="E1443" s="25" t="str">
        <f>VLOOKUP(D1443,'[2]Lista de Produtos CLASSIFICAÇÃO'!$E$103:$F$114,2,FALSE)</f>
        <v>Óleo Vegetal</v>
      </c>
      <c r="F1443" s="61">
        <v>3000</v>
      </c>
      <c r="G1443" t="str">
        <f>VLOOKUP(Tabela1[[#This Row],[Cliente]],clientes!$C$3:$D$60,2,FALSE)</f>
        <v>ADM</v>
      </c>
    </row>
    <row r="1444" spans="1:7" x14ac:dyDescent="0.25">
      <c r="A1444" s="10">
        <v>2024</v>
      </c>
      <c r="B1444" s="10" t="s">
        <v>141</v>
      </c>
      <c r="C1444" s="10" t="s">
        <v>158</v>
      </c>
      <c r="D1444" s="10" t="s">
        <v>120</v>
      </c>
      <c r="E1444" s="25" t="str">
        <f>VLOOKUP(D1444,'[2]Lista de Produtos CLASSIFICAÇÃO'!$E$103:$F$114,2,FALSE)</f>
        <v>Derivados</v>
      </c>
      <c r="F1444" s="61">
        <v>86859</v>
      </c>
      <c r="G1444" t="str">
        <f>VLOOKUP(Tabela1[[#This Row],[Cliente]],clientes!$C$3:$D$60,2,FALSE)</f>
        <v>IPIRANGA</v>
      </c>
    </row>
    <row r="1445" spans="1:7" x14ac:dyDescent="0.25">
      <c r="A1445" s="10">
        <v>2024</v>
      </c>
      <c r="B1445" s="10" t="s">
        <v>141</v>
      </c>
      <c r="C1445" s="10" t="s">
        <v>159</v>
      </c>
      <c r="D1445" s="10" t="s">
        <v>120</v>
      </c>
      <c r="E1445" s="25" t="str">
        <f>VLOOKUP(D1445,'[2]Lista de Produtos CLASSIFICAÇÃO'!$E$103:$F$114,2,FALSE)</f>
        <v>Derivados</v>
      </c>
      <c r="F1445" s="61">
        <v>30000</v>
      </c>
      <c r="G1445" t="str">
        <f>VLOOKUP(Tabela1[[#This Row],[Cliente]],clientes!$C$3:$D$60,2,FALSE)</f>
        <v>RAIZEN</v>
      </c>
    </row>
    <row r="1446" spans="1:7" x14ac:dyDescent="0.25">
      <c r="A1446" s="10">
        <v>2024</v>
      </c>
      <c r="B1446" s="10" t="s">
        <v>141</v>
      </c>
      <c r="C1446" s="10" t="s">
        <v>160</v>
      </c>
      <c r="D1446" s="10" t="s">
        <v>120</v>
      </c>
      <c r="E1446" s="25" t="str">
        <f>VLOOKUP(D1446,'[2]Lista de Produtos CLASSIFICAÇÃO'!$E$103:$F$114,2,FALSE)</f>
        <v>Derivados</v>
      </c>
      <c r="F1446" s="61">
        <v>15000</v>
      </c>
      <c r="G1446" t="str">
        <f>VLOOKUP(Tabela1[[#This Row],[Cliente]],clientes!$C$3:$D$60,2,FALSE)</f>
        <v>VIBRA</v>
      </c>
    </row>
    <row r="1447" spans="1:7" x14ac:dyDescent="0.25">
      <c r="A1447" s="10">
        <v>2024</v>
      </c>
      <c r="B1447" s="10" t="s">
        <v>141</v>
      </c>
      <c r="C1447" s="10" t="s">
        <v>161</v>
      </c>
      <c r="D1447" s="10" t="s">
        <v>120</v>
      </c>
      <c r="E1447" s="25" t="str">
        <f>VLOOKUP(D1447,'[2]Lista de Produtos CLASSIFICAÇÃO'!$E$103:$F$114,2,FALSE)</f>
        <v>Derivados</v>
      </c>
      <c r="F1447" s="61">
        <v>44820</v>
      </c>
      <c r="G1447" t="str">
        <f>VLOOKUP(Tabela1[[#This Row],[Cliente]],clientes!$C$3:$D$60,2,FALSE)</f>
        <v>SUL PLATA</v>
      </c>
    </row>
    <row r="1448" spans="1:7" x14ac:dyDescent="0.25">
      <c r="A1448" s="10">
        <v>2024</v>
      </c>
      <c r="B1448" s="10" t="s">
        <v>141</v>
      </c>
      <c r="C1448" s="10" t="s">
        <v>162</v>
      </c>
      <c r="D1448" s="10" t="s">
        <v>115</v>
      </c>
      <c r="E1448" s="25" t="str">
        <f>VLOOKUP(D1448,'[2]Lista de Produtos CLASSIFICAÇÃO'!$E$103:$F$114,2,FALSE)</f>
        <v>Soda Caustica</v>
      </c>
      <c r="F1448" s="61">
        <v>1500</v>
      </c>
      <c r="G1448" t="str">
        <f>VLOOKUP(Tabela1[[#This Row],[Cliente]],clientes!$C$3:$D$60,2,FALSE)</f>
        <v>JBS</v>
      </c>
    </row>
    <row r="1449" spans="1:7" x14ac:dyDescent="0.25">
      <c r="A1449" s="10">
        <v>2024</v>
      </c>
      <c r="B1449" s="10" t="s">
        <v>141</v>
      </c>
      <c r="C1449" s="10" t="s">
        <v>163</v>
      </c>
      <c r="D1449" s="10" t="s">
        <v>115</v>
      </c>
      <c r="E1449" s="25" t="str">
        <f>VLOOKUP(D1449,'[2]Lista de Produtos CLASSIFICAÇÃO'!$E$103:$F$114,2,FALSE)</f>
        <v>Soda Caustica</v>
      </c>
      <c r="F1449" s="61">
        <v>1500</v>
      </c>
      <c r="G1449" t="str">
        <f>VLOOKUP(Tabela1[[#This Row],[Cliente]],clientes!$C$3:$D$60,2,FALSE)</f>
        <v>TRICON ENERGY</v>
      </c>
    </row>
    <row r="1450" spans="1:7" x14ac:dyDescent="0.25">
      <c r="A1450" s="10">
        <v>2024</v>
      </c>
      <c r="B1450" s="10" t="s">
        <v>141</v>
      </c>
      <c r="C1450" s="10" t="s">
        <v>164</v>
      </c>
      <c r="D1450" s="10" t="s">
        <v>115</v>
      </c>
      <c r="E1450" s="25" t="str">
        <f>VLOOKUP(D1450,'[2]Lista de Produtos CLASSIFICAÇÃO'!$E$103:$F$114,2,FALSE)</f>
        <v>Soda Caustica</v>
      </c>
      <c r="F1450" s="61">
        <v>3400</v>
      </c>
      <c r="G1450" t="str">
        <f>VLOOKUP(Tabela1[[#This Row],[Cliente]],clientes!$C$3:$D$60,2,FALSE)</f>
        <v>BRASKEM</v>
      </c>
    </row>
    <row r="1451" spans="1:7" x14ac:dyDescent="0.25">
      <c r="A1451" s="10">
        <v>2024</v>
      </c>
      <c r="B1451" s="10" t="s">
        <v>141</v>
      </c>
      <c r="C1451" s="10" t="s">
        <v>165</v>
      </c>
      <c r="D1451" s="10" t="s">
        <v>123</v>
      </c>
      <c r="E1451" s="25" t="str">
        <f>VLOOKUP(D1451,'[2]Lista de Produtos CLASSIFICAÇÃO'!$E$103:$F$114,2,FALSE)</f>
        <v>Aquecidos</v>
      </c>
      <c r="F1451" s="61">
        <v>4000</v>
      </c>
      <c r="G1451" t="str">
        <f>VLOOKUP(Tabela1[[#This Row],[Cliente]],clientes!$C$3:$D$60,2,FALSE)</f>
        <v>BRF</v>
      </c>
    </row>
    <row r="1452" spans="1:7" x14ac:dyDescent="0.25">
      <c r="A1452" s="10">
        <v>2024</v>
      </c>
      <c r="B1452" s="10" t="s">
        <v>141</v>
      </c>
      <c r="C1452" s="10" t="s">
        <v>162</v>
      </c>
      <c r="D1452" s="10" t="s">
        <v>123</v>
      </c>
      <c r="E1452" s="25" t="str">
        <f>VLOOKUP(D1452,'[2]Lista de Produtos CLASSIFICAÇÃO'!$E$103:$F$114,2,FALSE)</f>
        <v>Aquecidos</v>
      </c>
      <c r="F1452" s="61">
        <v>2400</v>
      </c>
      <c r="G1452" t="str">
        <f>VLOOKUP(Tabela1[[#This Row],[Cliente]],clientes!$C$3:$D$60,2,FALSE)</f>
        <v>JBS</v>
      </c>
    </row>
    <row r="1453" spans="1:7" x14ac:dyDescent="0.25">
      <c r="A1453" s="10">
        <v>2024</v>
      </c>
      <c r="B1453" s="10" t="s">
        <v>141</v>
      </c>
      <c r="C1453" s="10" t="s">
        <v>166</v>
      </c>
      <c r="D1453" s="10" t="s">
        <v>123</v>
      </c>
      <c r="E1453" s="25" t="str">
        <f>VLOOKUP(D1453,'[2]Lista de Produtos CLASSIFICAÇÃO'!$E$103:$F$114,2,FALSE)</f>
        <v>Aquecidos</v>
      </c>
      <c r="F1453" s="61">
        <v>1500</v>
      </c>
      <c r="G1453" t="str">
        <f>VLOOKUP(Tabela1[[#This Row],[Cliente]],clientes!$C$3:$D$60,2,FALSE)</f>
        <v>CARGILL</v>
      </c>
    </row>
    <row r="1454" spans="1:7" x14ac:dyDescent="0.25">
      <c r="A1454" s="10">
        <v>2024</v>
      </c>
      <c r="B1454" s="10" t="s">
        <v>141</v>
      </c>
      <c r="C1454" s="10" t="s">
        <v>167</v>
      </c>
      <c r="D1454" s="10" t="s">
        <v>122</v>
      </c>
      <c r="E1454" s="25" t="str">
        <f>VLOOKUP(D1454,'[2]Lista de Produtos CLASSIFICAÇÃO'!$E$103:$F$114,2,FALSE)</f>
        <v>Óleo Vegetal</v>
      </c>
      <c r="F1454" s="61">
        <v>70400</v>
      </c>
      <c r="G1454" t="str">
        <f>VLOOKUP(Tabela1[[#This Row],[Cliente]],clientes!$C$3:$D$60,2,FALSE)</f>
        <v>POOL</v>
      </c>
    </row>
    <row r="1455" spans="1:7" x14ac:dyDescent="0.25">
      <c r="A1455" s="10">
        <v>2024</v>
      </c>
      <c r="B1455" s="10" t="s">
        <v>141</v>
      </c>
      <c r="C1455" s="10" t="s">
        <v>168</v>
      </c>
      <c r="D1455" s="10" t="s">
        <v>122</v>
      </c>
      <c r="E1455" s="25" t="str">
        <f>VLOOKUP(D1455,'[2]Lista de Produtos CLASSIFICAÇÃO'!$E$103:$F$114,2,FALSE)</f>
        <v>Óleo Vegetal</v>
      </c>
      <c r="F1455" s="61"/>
      <c r="G1455" t="str">
        <f>VLOOKUP(Tabela1[[#This Row],[Cliente]],clientes!$C$3:$D$60,2,FALSE)</f>
        <v>POOL EXCEDENTE</v>
      </c>
    </row>
    <row r="1456" spans="1:7" x14ac:dyDescent="0.25">
      <c r="A1456" s="10">
        <v>2024</v>
      </c>
      <c r="B1456" s="10" t="s">
        <v>141</v>
      </c>
      <c r="C1456" s="10" t="s">
        <v>169</v>
      </c>
      <c r="D1456" s="10" t="s">
        <v>22</v>
      </c>
      <c r="E1456" s="25" t="str">
        <f>VLOOKUP(D1456,'[2]Lista de Produtos CLASSIFICAÇÃO'!$E$103:$F$114,2,FALSE)</f>
        <v>Metanol</v>
      </c>
      <c r="F1456" s="61">
        <v>67000</v>
      </c>
      <c r="G1456" t="str">
        <f>VLOOKUP(Tabela1[[#This Row],[Cliente]],clientes!$C$3:$D$60,2,FALSE)</f>
        <v>METHANEX</v>
      </c>
    </row>
    <row r="1457" spans="1:7" x14ac:dyDescent="0.25">
      <c r="A1457" s="10">
        <v>2024</v>
      </c>
      <c r="B1457" s="10" t="s">
        <v>141</v>
      </c>
      <c r="C1457" s="10" t="s">
        <v>170</v>
      </c>
      <c r="D1457" s="10" t="s">
        <v>22</v>
      </c>
      <c r="E1457" s="25" t="str">
        <f>VLOOKUP(D1457,'[2]Lista de Produtos CLASSIFICAÇÃO'!$E$103:$F$114,2,FALSE)</f>
        <v>Metanol</v>
      </c>
      <c r="F1457" s="61">
        <v>15000</v>
      </c>
      <c r="G1457" t="str">
        <f>VLOOKUP(Tabela1[[#This Row],[Cliente]],clientes!$C$3:$D$60,2,FALSE)</f>
        <v>MITSUBISHI</v>
      </c>
    </row>
    <row r="1458" spans="1:7" x14ac:dyDescent="0.25">
      <c r="A1458" s="10">
        <v>2024</v>
      </c>
      <c r="B1458" s="10" t="s">
        <v>141</v>
      </c>
      <c r="C1458" s="10" t="s">
        <v>171</v>
      </c>
      <c r="D1458" s="10" t="s">
        <v>22</v>
      </c>
      <c r="E1458" s="25" t="str">
        <f>VLOOKUP(D1458,'[2]Lista de Produtos CLASSIFICAÇÃO'!$E$103:$F$114,2,FALSE)</f>
        <v>Metanol</v>
      </c>
      <c r="F1458" s="61">
        <v>23000</v>
      </c>
      <c r="G1458" t="str">
        <f>VLOOKUP(Tabela1[[#This Row],[Cliente]],clientes!$C$3:$D$60,2,FALSE)</f>
        <v>VALENZ</v>
      </c>
    </row>
    <row r="1459" spans="1:7" x14ac:dyDescent="0.25">
      <c r="A1459" s="10">
        <v>2024</v>
      </c>
      <c r="B1459" s="10" t="s">
        <v>141</v>
      </c>
      <c r="C1459" s="10" t="s">
        <v>172</v>
      </c>
      <c r="D1459" s="10" t="s">
        <v>124</v>
      </c>
      <c r="E1459" s="25" t="str">
        <f>VLOOKUP(D1459,'[2]Lista de Produtos CLASSIFICAÇÃO'!$E$103:$F$114,2,FALSE)</f>
        <v>Outros</v>
      </c>
      <c r="F1459" s="61">
        <v>1200</v>
      </c>
      <c r="G1459" t="str">
        <f>VLOOKUP(Tabela1[[#This Row],[Cliente]],clientes!$C$3:$D$60,2,FALSE)</f>
        <v>EVONIK</v>
      </c>
    </row>
    <row r="1460" spans="1:7" x14ac:dyDescent="0.25">
      <c r="A1460" s="10">
        <v>2024</v>
      </c>
      <c r="B1460" s="10" t="s">
        <v>141</v>
      </c>
      <c r="C1460" s="10" t="s">
        <v>173</v>
      </c>
      <c r="D1460" s="10" t="s">
        <v>22</v>
      </c>
      <c r="E1460" s="25" t="str">
        <f>VLOOKUP(D1460,'[2]Lista de Produtos CLASSIFICAÇÃO'!$E$103:$F$114,2,FALSE)</f>
        <v>Metanol</v>
      </c>
      <c r="F1460" s="61"/>
      <c r="G1460" t="str">
        <f>VLOOKUP(Tabela1[[#This Row],[Cliente]],clientes!$C$3:$D$60,2,FALSE)</f>
        <v>YPF SOCIEDAD ANONIMA</v>
      </c>
    </row>
    <row r="1461" spans="1:7" x14ac:dyDescent="0.25">
      <c r="A1461" s="10">
        <v>2024</v>
      </c>
      <c r="B1461" s="10" t="s">
        <v>141</v>
      </c>
      <c r="C1461" s="10" t="s">
        <v>174</v>
      </c>
      <c r="D1461" s="10" t="s">
        <v>123</v>
      </c>
      <c r="E1461" s="25" t="str">
        <f>VLOOKUP(D1461,'[2]Lista de Produtos CLASSIFICAÇÃO'!$E$103:$F$114,2,FALSE)</f>
        <v>Aquecidos</v>
      </c>
      <c r="F1461" s="61">
        <v>2000</v>
      </c>
      <c r="G1461" t="str">
        <f>VLOOKUP(Tabela1[[#This Row],[Cliente]],clientes!$C$3:$D$60,2,FALSE)</f>
        <v>CELENA</v>
      </c>
    </row>
    <row r="1462" spans="1:7" x14ac:dyDescent="0.25">
      <c r="A1462" s="10">
        <v>2024</v>
      </c>
      <c r="B1462" s="10" t="s">
        <v>141</v>
      </c>
      <c r="C1462" s="10" t="s">
        <v>175</v>
      </c>
      <c r="D1462" s="10" t="s">
        <v>123</v>
      </c>
      <c r="E1462" s="25" t="str">
        <f>VLOOKUP(D1462,'[2]Lista de Produtos CLASSIFICAÇÃO'!$E$103:$F$114,2,FALSE)</f>
        <v>Aquecidos</v>
      </c>
      <c r="F1462" s="61">
        <v>1700</v>
      </c>
      <c r="G1462" t="str">
        <f>VLOOKUP(Tabela1[[#This Row],[Cliente]],clientes!$C$3:$D$60,2,FALSE)</f>
        <v>AAK DO BRASIL</v>
      </c>
    </row>
    <row r="1463" spans="1:7" x14ac:dyDescent="0.25">
      <c r="A1463" s="10">
        <v>2024</v>
      </c>
      <c r="B1463" s="10" t="s">
        <v>141</v>
      </c>
      <c r="C1463" s="10" t="s">
        <v>166</v>
      </c>
      <c r="D1463" s="10" t="s">
        <v>122</v>
      </c>
      <c r="E1463" s="25" t="str">
        <f>VLOOKUP(D1463,'[2]Lista de Produtos CLASSIFICAÇÃO'!$E$103:$F$114,2,FALSE)</f>
        <v>Óleo Vegetal</v>
      </c>
      <c r="F1463" s="61">
        <v>4500</v>
      </c>
      <c r="G1463" t="str">
        <f>VLOOKUP(Tabela1[[#This Row],[Cliente]],clientes!$C$3:$D$60,2,FALSE)</f>
        <v>CARGILL</v>
      </c>
    </row>
    <row r="1464" spans="1:7" x14ac:dyDescent="0.25">
      <c r="A1464" s="10">
        <v>2024</v>
      </c>
      <c r="B1464" s="10" t="s">
        <v>141</v>
      </c>
      <c r="C1464" s="10" t="s">
        <v>176</v>
      </c>
      <c r="D1464" s="10" t="s">
        <v>123</v>
      </c>
      <c r="E1464" s="25" t="str">
        <f>VLOOKUP(D1464,'[2]Lista de Produtos CLASSIFICAÇÃO'!$E$103:$F$114,2,FALSE)</f>
        <v>Aquecidos</v>
      </c>
      <c r="F1464" s="61">
        <v>2150</v>
      </c>
      <c r="G1464" t="str">
        <f>VLOOKUP(Tabela1[[#This Row],[Cliente]],clientes!$C$3:$D$60,2,FALSE)</f>
        <v>AGROPALMA</v>
      </c>
    </row>
    <row r="1465" spans="1:7" x14ac:dyDescent="0.25">
      <c r="A1465" s="10">
        <v>2024</v>
      </c>
      <c r="B1465" s="10" t="s">
        <v>141</v>
      </c>
      <c r="C1465" s="10" t="s">
        <v>177</v>
      </c>
      <c r="D1465" s="10" t="s">
        <v>115</v>
      </c>
      <c r="E1465" s="25" t="str">
        <f>VLOOKUP(D1465,'[2]Lista de Produtos CLASSIFICAÇÃO'!$E$103:$F$114,2,FALSE)</f>
        <v>Soda Caustica</v>
      </c>
      <c r="F1465" s="61">
        <v>3000</v>
      </c>
      <c r="G1465" t="str">
        <f>VLOOKUP(Tabela1[[#This Row],[Cliente]],clientes!$C$3:$D$60,2,FALSE)</f>
        <v>BRENNTAG</v>
      </c>
    </row>
    <row r="1466" spans="1:7" x14ac:dyDescent="0.25">
      <c r="A1466" s="10">
        <v>2024</v>
      </c>
      <c r="B1466" s="10" t="s">
        <v>141</v>
      </c>
      <c r="C1466" s="10" t="s">
        <v>178</v>
      </c>
      <c r="D1466" s="10" t="s">
        <v>115</v>
      </c>
      <c r="E1466" s="25" t="str">
        <f>VLOOKUP(D1466,'[2]Lista de Produtos CLASSIFICAÇÃO'!$E$103:$F$114,2,FALSE)</f>
        <v>Soda Caustica</v>
      </c>
      <c r="F1466" s="61">
        <v>15000</v>
      </c>
      <c r="G1466" t="str">
        <f>VLOOKUP(Tabela1[[#This Row],[Cliente]],clientes!$C$3:$D$60,2,FALSE)</f>
        <v>OLIN BLUE CUBE</v>
      </c>
    </row>
    <row r="1467" spans="1:7" x14ac:dyDescent="0.25">
      <c r="A1467" s="10">
        <v>2024</v>
      </c>
      <c r="B1467" s="10" t="s">
        <v>141</v>
      </c>
      <c r="C1467" s="10" t="s">
        <v>179</v>
      </c>
      <c r="D1467" s="10" t="s">
        <v>26</v>
      </c>
      <c r="E1467" s="25" t="str">
        <f>VLOOKUP(D1467,'[2]Lista de Produtos CLASSIFICAÇÃO'!$E$103:$F$114,2,FALSE)</f>
        <v>Biocombustíveis</v>
      </c>
      <c r="F1467" s="61">
        <v>4000</v>
      </c>
      <c r="G1467" t="str">
        <f>VLOOKUP(Tabela1[[#This Row],[Cliente]],clientes!$C$3:$D$60,2,FALSE)</f>
        <v>BSBIOS</v>
      </c>
    </row>
    <row r="1468" spans="1:7" x14ac:dyDescent="0.25">
      <c r="A1468" s="10">
        <v>2024</v>
      </c>
      <c r="B1468" s="10" t="s">
        <v>141</v>
      </c>
      <c r="C1468" s="10" t="s">
        <v>180</v>
      </c>
      <c r="D1468" s="10" t="s">
        <v>30</v>
      </c>
      <c r="E1468" s="25" t="str">
        <f>VLOOKUP(D1468,'[2]Lista de Produtos CLASSIFICAÇÃO'!$E$103:$F$114,2,FALSE)</f>
        <v>Outros</v>
      </c>
      <c r="F1468" s="61"/>
      <c r="G1468" t="str">
        <f>VLOOKUP(Tabela1[[#This Row],[Cliente]],clientes!$C$3:$D$60,2,FALSE)</f>
        <v>TRICHEM</v>
      </c>
    </row>
    <row r="1469" spans="1:7" x14ac:dyDescent="0.25">
      <c r="A1469" s="10">
        <v>2024</v>
      </c>
      <c r="B1469" s="10" t="s">
        <v>141</v>
      </c>
      <c r="C1469" s="10" t="s">
        <v>181</v>
      </c>
      <c r="D1469" s="10" t="s">
        <v>123</v>
      </c>
      <c r="E1469" s="25" t="str">
        <f>VLOOKUP(D1469,'[2]Lista de Produtos CLASSIFICAÇÃO'!$E$103:$F$114,2,FALSE)</f>
        <v>Aquecidos</v>
      </c>
      <c r="F1469" s="61">
        <v>1600</v>
      </c>
      <c r="G1469" t="str">
        <f>VLOOKUP(Tabela1[[#This Row],[Cliente]],clientes!$C$3:$D$60,2,FALSE)</f>
        <v>COAMO</v>
      </c>
    </row>
    <row r="1470" spans="1:7" x14ac:dyDescent="0.25">
      <c r="A1470" s="10">
        <v>2024</v>
      </c>
      <c r="B1470" s="10" t="s">
        <v>141</v>
      </c>
      <c r="C1470" s="10" t="s">
        <v>182</v>
      </c>
      <c r="D1470" s="10" t="s">
        <v>120</v>
      </c>
      <c r="E1470" s="25" t="str">
        <f>VLOOKUP(D1470,'[2]Lista de Produtos CLASSIFICAÇÃO'!$E$103:$F$114,2,FALSE)</f>
        <v>Derivados</v>
      </c>
      <c r="F1470" s="61"/>
      <c r="G1470" t="str">
        <f>VLOOKUP(Tabela1[[#This Row],[Cliente]],clientes!$C$3:$D$60,2,FALSE)</f>
        <v>ATEM</v>
      </c>
    </row>
    <row r="1471" spans="1:7" x14ac:dyDescent="0.25">
      <c r="A1471" s="10">
        <v>2024</v>
      </c>
      <c r="B1471" s="10" t="s">
        <v>141</v>
      </c>
      <c r="C1471" s="10" t="s">
        <v>174</v>
      </c>
      <c r="D1471" s="10" t="s">
        <v>123</v>
      </c>
      <c r="E1471" s="25" t="str">
        <f>VLOOKUP(D1471,'[2]Lista de Produtos CLASSIFICAÇÃO'!$E$103:$F$114,2,FALSE)</f>
        <v>Aquecidos</v>
      </c>
      <c r="F1471" s="61"/>
      <c r="G1471" t="str">
        <f>VLOOKUP(Tabela1[[#This Row],[Cliente]],clientes!$C$3:$D$60,2,FALSE)</f>
        <v>CELENA</v>
      </c>
    </row>
    <row r="1472" spans="1:7" x14ac:dyDescent="0.25">
      <c r="A1472" s="10">
        <v>2024</v>
      </c>
      <c r="B1472" s="10" t="s">
        <v>141</v>
      </c>
      <c r="C1472" s="10" t="s">
        <v>173</v>
      </c>
      <c r="D1472" s="10" t="s">
        <v>183</v>
      </c>
      <c r="E1472" s="25" t="str">
        <f>VLOOKUP(D1472,'[2]Lista de Produtos CLASSIFICAÇÃO'!$E$103:$F$114,2,FALSE)</f>
        <v>Outros</v>
      </c>
      <c r="F1472" s="61"/>
      <c r="G1472" t="str">
        <f>VLOOKUP(Tabela1[[#This Row],[Cliente]],clientes!$C$3:$D$60,2,FALSE)</f>
        <v>YPF SOCIEDAD ANONIMA</v>
      </c>
    </row>
    <row r="1473" spans="1:7" x14ac:dyDescent="0.25">
      <c r="A1473" s="10">
        <v>2024</v>
      </c>
      <c r="B1473" s="10" t="s">
        <v>141</v>
      </c>
      <c r="C1473" s="10" t="s">
        <v>184</v>
      </c>
      <c r="D1473" s="10" t="s">
        <v>122</v>
      </c>
      <c r="E1473" s="25" t="str">
        <f>VLOOKUP(D1473,'[2]Lista de Produtos CLASSIFICAÇÃO'!$E$103:$F$114,2,FALSE)</f>
        <v>Óleo Vegetal</v>
      </c>
      <c r="F1473" s="61">
        <v>2500</v>
      </c>
      <c r="G1473" t="str">
        <f>VLOOKUP(Tabela1[[#This Row],[Cliente]],clientes!$C$3:$D$60,2,FALSE)</f>
        <v>INGREDION</v>
      </c>
    </row>
    <row r="1474" spans="1:7" x14ac:dyDescent="0.25">
      <c r="A1474" s="10">
        <v>2024</v>
      </c>
      <c r="B1474" s="10" t="s">
        <v>141</v>
      </c>
      <c r="C1474" s="10" t="s">
        <v>185</v>
      </c>
      <c r="D1474" s="10" t="s">
        <v>120</v>
      </c>
      <c r="E1474" s="25" t="str">
        <f>VLOOKUP(D1474,'[2]Lista de Produtos CLASSIFICAÇÃO'!$E$103:$F$114,2,FALSE)</f>
        <v>Derivados</v>
      </c>
      <c r="F1474" s="61">
        <v>12450</v>
      </c>
      <c r="G1474" t="str">
        <f>VLOOKUP(Tabela1[[#This Row],[Cliente]],clientes!$C$3:$D$60,2,FALSE)</f>
        <v>CIAPETRO</v>
      </c>
    </row>
    <row r="1475" spans="1:7" x14ac:dyDescent="0.25">
      <c r="A1475" s="10">
        <v>2024</v>
      </c>
      <c r="B1475" s="10" t="s">
        <v>141</v>
      </c>
      <c r="C1475" s="10" t="s">
        <v>186</v>
      </c>
      <c r="D1475" s="10" t="s">
        <v>22</v>
      </c>
      <c r="E1475" s="25" t="str">
        <f>VLOOKUP(D1475,'[2]Lista de Produtos CLASSIFICAÇÃO'!$E$103:$F$114,2,FALSE)</f>
        <v>Metanol</v>
      </c>
      <c r="F1475" s="61"/>
      <c r="G1475" t="str">
        <f>VLOOKUP(Tabela1[[#This Row],[Cliente]],clientes!$C$3:$D$60,2,FALSE)</f>
        <v>OQ TRADING</v>
      </c>
    </row>
    <row r="1476" spans="1:7" x14ac:dyDescent="0.25">
      <c r="A1476" s="10">
        <v>2024</v>
      </c>
      <c r="B1476" s="10" t="s">
        <v>141</v>
      </c>
      <c r="C1476" s="10" t="s">
        <v>187</v>
      </c>
      <c r="D1476" s="10" t="s">
        <v>121</v>
      </c>
      <c r="E1476" s="25" t="str">
        <f>VLOOKUP(D1476,'[2]Lista de Produtos CLASSIFICAÇÃO'!$E$103:$F$114,2,FALSE)</f>
        <v>Biocombustíveis</v>
      </c>
      <c r="F1476" s="61">
        <v>8000</v>
      </c>
      <c r="G1476" t="str">
        <f>VLOOKUP(Tabela1[[#This Row],[Cliente]],clientes!$C$3:$D$60,2,FALSE)</f>
        <v>TEREOS / INPASA / GLENCORE / FS</v>
      </c>
    </row>
    <row r="1477" spans="1:7" x14ac:dyDescent="0.25">
      <c r="A1477" s="10">
        <v>2024</v>
      </c>
      <c r="B1477" s="10" t="s">
        <v>141</v>
      </c>
      <c r="C1477" s="10" t="s">
        <v>188</v>
      </c>
      <c r="D1477" s="10" t="s">
        <v>123</v>
      </c>
      <c r="E1477" s="25" t="str">
        <f>VLOOKUP(D1477,'[2]Lista de Produtos CLASSIFICAÇÃO'!$E$103:$F$114,2,FALSE)</f>
        <v>Aquecidos</v>
      </c>
      <c r="F1477" s="61">
        <v>3250</v>
      </c>
      <c r="G1477" t="str">
        <f>VLOOKUP(Tabela1[[#This Row],[Cliente]],clientes!$C$3:$D$60,2,FALSE)</f>
        <v>ARES MERCHANTS PTE LIMITE</v>
      </c>
    </row>
    <row r="1478" spans="1:7" x14ac:dyDescent="0.25">
      <c r="A1478" s="10">
        <v>2024</v>
      </c>
      <c r="B1478" s="10" t="s">
        <v>141</v>
      </c>
      <c r="C1478" s="10" t="s">
        <v>18</v>
      </c>
      <c r="D1478" s="10" t="s">
        <v>17</v>
      </c>
      <c r="E1478" s="25" t="str">
        <f>VLOOKUP(D1478,'[2]Lista de Produtos CLASSIFICAÇÃO'!$E$103:$F$114,2,FALSE)</f>
        <v>Acostagem</v>
      </c>
      <c r="F1478" s="61"/>
      <c r="G1478" t="str">
        <f>VLOOKUP(Tabela1[[#This Row],[Cliente]],clientes!$C$3:$D$60,2,FALSE)</f>
        <v>ACOSTAGEM</v>
      </c>
    </row>
    <row r="1479" spans="1:7" x14ac:dyDescent="0.25">
      <c r="A1479" s="10">
        <v>2024</v>
      </c>
      <c r="B1479" s="10" t="s">
        <v>141</v>
      </c>
      <c r="C1479" s="10" t="s">
        <v>189</v>
      </c>
      <c r="D1479" s="10" t="s">
        <v>123</v>
      </c>
      <c r="E1479" s="25" t="str">
        <f>VLOOKUP(D1479,'[2]Lista de Produtos CLASSIFICAÇÃO'!$E$103:$F$114,2,FALSE)</f>
        <v>Aquecidos</v>
      </c>
      <c r="F1479" s="61">
        <v>2789</v>
      </c>
      <c r="G1479" t="str">
        <f>VLOOKUP(Tabela1[[#This Row],[Cliente]],clientes!$C$3:$D$60,2,FALSE)</f>
        <v>ICOF</v>
      </c>
    </row>
    <row r="1480" spans="1:7" x14ac:dyDescent="0.25">
      <c r="A1480" s="10">
        <v>2024</v>
      </c>
      <c r="B1480" s="10" t="s">
        <v>142</v>
      </c>
      <c r="C1480" s="10" t="s">
        <v>155</v>
      </c>
      <c r="D1480" s="10" t="s">
        <v>16</v>
      </c>
      <c r="E1480" s="25" t="str">
        <f>VLOOKUP(D1480,'[2]Lista de Produtos CLASSIFICAÇÃO'!$E$103:$F$114,2,FALSE)</f>
        <v>Outros</v>
      </c>
      <c r="F1480" s="61">
        <v>4700</v>
      </c>
      <c r="G1480" t="str">
        <f>VLOOKUP(Tabela1[[#This Row],[Cliente]],clientes!$C$3:$D$60,2,FALSE)</f>
        <v>ADISSEO</v>
      </c>
    </row>
    <row r="1481" spans="1:7" x14ac:dyDescent="0.25">
      <c r="A1481" s="10">
        <v>2024</v>
      </c>
      <c r="B1481" s="10" t="s">
        <v>142</v>
      </c>
      <c r="C1481" s="10" t="s">
        <v>156</v>
      </c>
      <c r="D1481" s="10" t="s">
        <v>123</v>
      </c>
      <c r="E1481" s="25" t="str">
        <f>VLOOKUP(D1481,'[2]Lista de Produtos CLASSIFICAÇÃO'!$E$103:$F$114,2,FALSE)</f>
        <v>Aquecidos</v>
      </c>
      <c r="F1481" s="61">
        <v>1500</v>
      </c>
      <c r="G1481" t="str">
        <f>VLOOKUP(Tabela1[[#This Row],[Cliente]],clientes!$C$3:$D$60,2,FALSE)</f>
        <v>BUNGE</v>
      </c>
    </row>
    <row r="1482" spans="1:7" x14ac:dyDescent="0.25">
      <c r="A1482" s="10">
        <v>2024</v>
      </c>
      <c r="B1482" s="10" t="s">
        <v>142</v>
      </c>
      <c r="C1482" s="10" t="s">
        <v>157</v>
      </c>
      <c r="D1482" s="10" t="s">
        <v>122</v>
      </c>
      <c r="E1482" s="25" t="str">
        <f>VLOOKUP(D1482,'[2]Lista de Produtos CLASSIFICAÇÃO'!$E$103:$F$114,2,FALSE)</f>
        <v>Óleo Vegetal</v>
      </c>
      <c r="F1482" s="61">
        <v>3000</v>
      </c>
      <c r="G1482" t="str">
        <f>VLOOKUP(Tabela1[[#This Row],[Cliente]],clientes!$C$3:$D$60,2,FALSE)</f>
        <v>ADM</v>
      </c>
    </row>
    <row r="1483" spans="1:7" x14ac:dyDescent="0.25">
      <c r="A1483" s="10">
        <v>2024</v>
      </c>
      <c r="B1483" s="10" t="s">
        <v>142</v>
      </c>
      <c r="C1483" s="10" t="s">
        <v>158</v>
      </c>
      <c r="D1483" s="10" t="s">
        <v>120</v>
      </c>
      <c r="E1483" s="25" t="str">
        <f>VLOOKUP(D1483,'[2]Lista de Produtos CLASSIFICAÇÃO'!$E$103:$F$114,2,FALSE)</f>
        <v>Derivados</v>
      </c>
      <c r="F1483" s="61">
        <v>86859</v>
      </c>
      <c r="G1483" t="str">
        <f>VLOOKUP(Tabela1[[#This Row],[Cliente]],clientes!$C$3:$D$60,2,FALSE)</f>
        <v>IPIRANGA</v>
      </c>
    </row>
    <row r="1484" spans="1:7" x14ac:dyDescent="0.25">
      <c r="A1484" s="10">
        <v>2024</v>
      </c>
      <c r="B1484" s="10" t="s">
        <v>142</v>
      </c>
      <c r="C1484" s="10" t="s">
        <v>159</v>
      </c>
      <c r="D1484" s="10" t="s">
        <v>120</v>
      </c>
      <c r="E1484" s="25" t="str">
        <f>VLOOKUP(D1484,'[2]Lista de Produtos CLASSIFICAÇÃO'!$E$103:$F$114,2,FALSE)</f>
        <v>Derivados</v>
      </c>
      <c r="F1484" s="61">
        <v>30000</v>
      </c>
      <c r="G1484" t="str">
        <f>VLOOKUP(Tabela1[[#This Row],[Cliente]],clientes!$C$3:$D$60,2,FALSE)</f>
        <v>RAIZEN</v>
      </c>
    </row>
    <row r="1485" spans="1:7" x14ac:dyDescent="0.25">
      <c r="A1485" s="10">
        <v>2024</v>
      </c>
      <c r="B1485" s="10" t="s">
        <v>142</v>
      </c>
      <c r="C1485" s="10" t="s">
        <v>160</v>
      </c>
      <c r="D1485" s="10" t="s">
        <v>120</v>
      </c>
      <c r="E1485" s="25" t="str">
        <f>VLOOKUP(D1485,'[2]Lista de Produtos CLASSIFICAÇÃO'!$E$103:$F$114,2,FALSE)</f>
        <v>Derivados</v>
      </c>
      <c r="F1485" s="61">
        <v>15000</v>
      </c>
      <c r="G1485" t="str">
        <f>VLOOKUP(Tabela1[[#This Row],[Cliente]],clientes!$C$3:$D$60,2,FALSE)</f>
        <v>VIBRA</v>
      </c>
    </row>
    <row r="1486" spans="1:7" x14ac:dyDescent="0.25">
      <c r="A1486" s="10">
        <v>2024</v>
      </c>
      <c r="B1486" s="10" t="s">
        <v>142</v>
      </c>
      <c r="C1486" s="10" t="s">
        <v>161</v>
      </c>
      <c r="D1486" s="10" t="s">
        <v>120</v>
      </c>
      <c r="E1486" s="25" t="str">
        <f>VLOOKUP(D1486,'[2]Lista de Produtos CLASSIFICAÇÃO'!$E$103:$F$114,2,FALSE)</f>
        <v>Derivados</v>
      </c>
      <c r="F1486" s="61">
        <v>44820</v>
      </c>
      <c r="G1486" t="str">
        <f>VLOOKUP(Tabela1[[#This Row],[Cliente]],clientes!$C$3:$D$60,2,FALSE)</f>
        <v>SUL PLATA</v>
      </c>
    </row>
    <row r="1487" spans="1:7" x14ac:dyDescent="0.25">
      <c r="A1487" s="10">
        <v>2024</v>
      </c>
      <c r="B1487" s="10" t="s">
        <v>142</v>
      </c>
      <c r="C1487" s="10" t="s">
        <v>162</v>
      </c>
      <c r="D1487" s="10" t="s">
        <v>115</v>
      </c>
      <c r="E1487" s="25" t="str">
        <f>VLOOKUP(D1487,'[2]Lista de Produtos CLASSIFICAÇÃO'!$E$103:$F$114,2,FALSE)</f>
        <v>Soda Caustica</v>
      </c>
      <c r="F1487" s="61">
        <v>1500</v>
      </c>
      <c r="G1487" t="str">
        <f>VLOOKUP(Tabela1[[#This Row],[Cliente]],clientes!$C$3:$D$60,2,FALSE)</f>
        <v>JBS</v>
      </c>
    </row>
    <row r="1488" spans="1:7" x14ac:dyDescent="0.25">
      <c r="A1488" s="10">
        <v>2024</v>
      </c>
      <c r="B1488" s="10" t="s">
        <v>142</v>
      </c>
      <c r="C1488" s="10" t="s">
        <v>163</v>
      </c>
      <c r="D1488" s="10" t="s">
        <v>115</v>
      </c>
      <c r="E1488" s="25" t="str">
        <f>VLOOKUP(D1488,'[2]Lista de Produtos CLASSIFICAÇÃO'!$E$103:$F$114,2,FALSE)</f>
        <v>Soda Caustica</v>
      </c>
      <c r="F1488" s="61">
        <v>1500</v>
      </c>
      <c r="G1488" t="str">
        <f>VLOOKUP(Tabela1[[#This Row],[Cliente]],clientes!$C$3:$D$60,2,FALSE)</f>
        <v>TRICON ENERGY</v>
      </c>
    </row>
    <row r="1489" spans="1:7" x14ac:dyDescent="0.25">
      <c r="A1489" s="10">
        <v>2024</v>
      </c>
      <c r="B1489" s="10" t="s">
        <v>142</v>
      </c>
      <c r="C1489" s="10" t="s">
        <v>164</v>
      </c>
      <c r="D1489" s="10" t="s">
        <v>115</v>
      </c>
      <c r="E1489" s="25" t="str">
        <f>VLOOKUP(D1489,'[2]Lista de Produtos CLASSIFICAÇÃO'!$E$103:$F$114,2,FALSE)</f>
        <v>Soda Caustica</v>
      </c>
      <c r="F1489" s="61">
        <v>3400</v>
      </c>
      <c r="G1489" t="str">
        <f>VLOOKUP(Tabela1[[#This Row],[Cliente]],clientes!$C$3:$D$60,2,FALSE)</f>
        <v>BRASKEM</v>
      </c>
    </row>
    <row r="1490" spans="1:7" x14ac:dyDescent="0.25">
      <c r="A1490" s="10">
        <v>2024</v>
      </c>
      <c r="B1490" s="10" t="s">
        <v>142</v>
      </c>
      <c r="C1490" s="10" t="s">
        <v>165</v>
      </c>
      <c r="D1490" s="10" t="s">
        <v>123</v>
      </c>
      <c r="E1490" s="25" t="str">
        <f>VLOOKUP(D1490,'[2]Lista de Produtos CLASSIFICAÇÃO'!$E$103:$F$114,2,FALSE)</f>
        <v>Aquecidos</v>
      </c>
      <c r="F1490" s="61">
        <v>4000</v>
      </c>
      <c r="G1490" t="str">
        <f>VLOOKUP(Tabela1[[#This Row],[Cliente]],clientes!$C$3:$D$60,2,FALSE)</f>
        <v>BRF</v>
      </c>
    </row>
    <row r="1491" spans="1:7" x14ac:dyDescent="0.25">
      <c r="A1491" s="10">
        <v>2024</v>
      </c>
      <c r="B1491" s="10" t="s">
        <v>142</v>
      </c>
      <c r="C1491" s="10" t="s">
        <v>162</v>
      </c>
      <c r="D1491" s="10" t="s">
        <v>123</v>
      </c>
      <c r="E1491" s="25" t="str">
        <f>VLOOKUP(D1491,'[2]Lista de Produtos CLASSIFICAÇÃO'!$E$103:$F$114,2,FALSE)</f>
        <v>Aquecidos</v>
      </c>
      <c r="F1491" s="61">
        <v>2400</v>
      </c>
      <c r="G1491" t="str">
        <f>VLOOKUP(Tabela1[[#This Row],[Cliente]],clientes!$C$3:$D$60,2,FALSE)</f>
        <v>JBS</v>
      </c>
    </row>
    <row r="1492" spans="1:7" x14ac:dyDescent="0.25">
      <c r="A1492" s="10">
        <v>2024</v>
      </c>
      <c r="B1492" s="10" t="s">
        <v>142</v>
      </c>
      <c r="C1492" s="10" t="s">
        <v>166</v>
      </c>
      <c r="D1492" s="10" t="s">
        <v>123</v>
      </c>
      <c r="E1492" s="25" t="str">
        <f>VLOOKUP(D1492,'[2]Lista de Produtos CLASSIFICAÇÃO'!$E$103:$F$114,2,FALSE)</f>
        <v>Aquecidos</v>
      </c>
      <c r="F1492" s="61">
        <v>1500</v>
      </c>
      <c r="G1492" t="str">
        <f>VLOOKUP(Tabela1[[#This Row],[Cliente]],clientes!$C$3:$D$60,2,FALSE)</f>
        <v>CARGILL</v>
      </c>
    </row>
    <row r="1493" spans="1:7" x14ac:dyDescent="0.25">
      <c r="A1493" s="10">
        <v>2024</v>
      </c>
      <c r="B1493" s="10" t="s">
        <v>142</v>
      </c>
      <c r="C1493" s="10" t="s">
        <v>167</v>
      </c>
      <c r="D1493" s="10" t="s">
        <v>122</v>
      </c>
      <c r="E1493" s="25" t="str">
        <f>VLOOKUP(D1493,'[2]Lista de Produtos CLASSIFICAÇÃO'!$E$103:$F$114,2,FALSE)</f>
        <v>Óleo Vegetal</v>
      </c>
      <c r="F1493" s="61">
        <v>61600</v>
      </c>
      <c r="G1493" t="str">
        <f>VLOOKUP(Tabela1[[#This Row],[Cliente]],clientes!$C$3:$D$60,2,FALSE)</f>
        <v>POOL</v>
      </c>
    </row>
    <row r="1494" spans="1:7" x14ac:dyDescent="0.25">
      <c r="A1494" s="10">
        <v>2024</v>
      </c>
      <c r="B1494" s="10" t="s">
        <v>142</v>
      </c>
      <c r="C1494" s="10" t="s">
        <v>168</v>
      </c>
      <c r="D1494" s="10" t="s">
        <v>122</v>
      </c>
      <c r="E1494" s="25" t="str">
        <f>VLOOKUP(D1494,'[2]Lista de Produtos CLASSIFICAÇÃO'!$E$103:$F$114,2,FALSE)</f>
        <v>Óleo Vegetal</v>
      </c>
      <c r="F1494" s="61">
        <v>2000</v>
      </c>
      <c r="G1494" t="str">
        <f>VLOOKUP(Tabela1[[#This Row],[Cliente]],clientes!$C$3:$D$60,2,FALSE)</f>
        <v>POOL EXCEDENTE</v>
      </c>
    </row>
    <row r="1495" spans="1:7" x14ac:dyDescent="0.25">
      <c r="A1495" s="10">
        <v>2024</v>
      </c>
      <c r="B1495" s="10" t="s">
        <v>142</v>
      </c>
      <c r="C1495" s="10" t="s">
        <v>169</v>
      </c>
      <c r="D1495" s="10" t="s">
        <v>22</v>
      </c>
      <c r="E1495" s="25" t="str">
        <f>VLOOKUP(D1495,'[2]Lista de Produtos CLASSIFICAÇÃO'!$E$103:$F$114,2,FALSE)</f>
        <v>Metanol</v>
      </c>
      <c r="F1495" s="61">
        <v>67000</v>
      </c>
      <c r="G1495" t="str">
        <f>VLOOKUP(Tabela1[[#This Row],[Cliente]],clientes!$C$3:$D$60,2,FALSE)</f>
        <v>METHANEX</v>
      </c>
    </row>
    <row r="1496" spans="1:7" x14ac:dyDescent="0.25">
      <c r="A1496" s="10">
        <v>2024</v>
      </c>
      <c r="B1496" s="10" t="s">
        <v>142</v>
      </c>
      <c r="C1496" s="10" t="s">
        <v>170</v>
      </c>
      <c r="D1496" s="10" t="s">
        <v>22</v>
      </c>
      <c r="E1496" s="25" t="str">
        <f>VLOOKUP(D1496,'[2]Lista de Produtos CLASSIFICAÇÃO'!$E$103:$F$114,2,FALSE)</f>
        <v>Metanol</v>
      </c>
      <c r="F1496" s="61">
        <v>15000</v>
      </c>
      <c r="G1496" t="str">
        <f>VLOOKUP(Tabela1[[#This Row],[Cliente]],clientes!$C$3:$D$60,2,FALSE)</f>
        <v>MITSUBISHI</v>
      </c>
    </row>
    <row r="1497" spans="1:7" x14ac:dyDescent="0.25">
      <c r="A1497" s="10">
        <v>2024</v>
      </c>
      <c r="B1497" s="10" t="s">
        <v>142</v>
      </c>
      <c r="C1497" s="10" t="s">
        <v>171</v>
      </c>
      <c r="D1497" s="10" t="s">
        <v>22</v>
      </c>
      <c r="E1497" s="25" t="str">
        <f>VLOOKUP(D1497,'[2]Lista de Produtos CLASSIFICAÇÃO'!$E$103:$F$114,2,FALSE)</f>
        <v>Metanol</v>
      </c>
      <c r="F1497" s="61">
        <v>23000</v>
      </c>
      <c r="G1497" t="str">
        <f>VLOOKUP(Tabela1[[#This Row],[Cliente]],clientes!$C$3:$D$60,2,FALSE)</f>
        <v>VALENZ</v>
      </c>
    </row>
    <row r="1498" spans="1:7" x14ac:dyDescent="0.25">
      <c r="A1498" s="10">
        <v>2024</v>
      </c>
      <c r="B1498" s="10" t="s">
        <v>142</v>
      </c>
      <c r="C1498" s="10" t="s">
        <v>172</v>
      </c>
      <c r="D1498" s="10" t="s">
        <v>124</v>
      </c>
      <c r="E1498" s="25" t="str">
        <f>VLOOKUP(D1498,'[2]Lista de Produtos CLASSIFICAÇÃO'!$E$103:$F$114,2,FALSE)</f>
        <v>Outros</v>
      </c>
      <c r="F1498" s="61">
        <v>1200</v>
      </c>
      <c r="G1498" t="str">
        <f>VLOOKUP(Tabela1[[#This Row],[Cliente]],clientes!$C$3:$D$60,2,FALSE)</f>
        <v>EVONIK</v>
      </c>
    </row>
    <row r="1499" spans="1:7" x14ac:dyDescent="0.25">
      <c r="A1499" s="10">
        <v>2024</v>
      </c>
      <c r="B1499" s="10" t="s">
        <v>142</v>
      </c>
      <c r="C1499" s="10" t="s">
        <v>173</v>
      </c>
      <c r="D1499" s="10" t="s">
        <v>22</v>
      </c>
      <c r="E1499" s="25" t="str">
        <f>VLOOKUP(D1499,'[2]Lista de Produtos CLASSIFICAÇÃO'!$E$103:$F$114,2,FALSE)</f>
        <v>Metanol</v>
      </c>
      <c r="F1499" s="61">
        <v>5000</v>
      </c>
      <c r="G1499" t="str">
        <f>VLOOKUP(Tabela1[[#This Row],[Cliente]],clientes!$C$3:$D$60,2,FALSE)</f>
        <v>YPF SOCIEDAD ANONIMA</v>
      </c>
    </row>
    <row r="1500" spans="1:7" x14ac:dyDescent="0.25">
      <c r="A1500" s="10">
        <v>2024</v>
      </c>
      <c r="B1500" s="10" t="s">
        <v>142</v>
      </c>
      <c r="C1500" s="10" t="s">
        <v>174</v>
      </c>
      <c r="D1500" s="10" t="s">
        <v>123</v>
      </c>
      <c r="E1500" s="25" t="str">
        <f>VLOOKUP(D1500,'[2]Lista de Produtos CLASSIFICAÇÃO'!$E$103:$F$114,2,FALSE)</f>
        <v>Aquecidos</v>
      </c>
      <c r="F1500" s="61">
        <v>2000</v>
      </c>
      <c r="G1500" t="str">
        <f>VLOOKUP(Tabela1[[#This Row],[Cliente]],clientes!$C$3:$D$60,2,FALSE)</f>
        <v>CELENA</v>
      </c>
    </row>
    <row r="1501" spans="1:7" x14ac:dyDescent="0.25">
      <c r="A1501" s="10">
        <v>2024</v>
      </c>
      <c r="B1501" s="10" t="s">
        <v>142</v>
      </c>
      <c r="C1501" s="10" t="s">
        <v>175</v>
      </c>
      <c r="D1501" s="10" t="s">
        <v>123</v>
      </c>
      <c r="E1501" s="25" t="str">
        <f>VLOOKUP(D1501,'[2]Lista de Produtos CLASSIFICAÇÃO'!$E$103:$F$114,2,FALSE)</f>
        <v>Aquecidos</v>
      </c>
      <c r="F1501" s="61">
        <v>1700</v>
      </c>
      <c r="G1501" t="str">
        <f>VLOOKUP(Tabela1[[#This Row],[Cliente]],clientes!$C$3:$D$60,2,FALSE)</f>
        <v>AAK DO BRASIL</v>
      </c>
    </row>
    <row r="1502" spans="1:7" x14ac:dyDescent="0.25">
      <c r="A1502" s="10">
        <v>2024</v>
      </c>
      <c r="B1502" s="10" t="s">
        <v>142</v>
      </c>
      <c r="C1502" s="10" t="s">
        <v>166</v>
      </c>
      <c r="D1502" s="10" t="s">
        <v>122</v>
      </c>
      <c r="E1502" s="25" t="str">
        <f>VLOOKUP(D1502,'[2]Lista de Produtos CLASSIFICAÇÃO'!$E$103:$F$114,2,FALSE)</f>
        <v>Óleo Vegetal</v>
      </c>
      <c r="F1502" s="61"/>
      <c r="G1502" t="str">
        <f>VLOOKUP(Tabela1[[#This Row],[Cliente]],clientes!$C$3:$D$60,2,FALSE)</f>
        <v>CARGILL</v>
      </c>
    </row>
    <row r="1503" spans="1:7" x14ac:dyDescent="0.25">
      <c r="A1503" s="10">
        <v>2024</v>
      </c>
      <c r="B1503" s="10" t="s">
        <v>142</v>
      </c>
      <c r="C1503" s="10" t="s">
        <v>176</v>
      </c>
      <c r="D1503" s="10" t="s">
        <v>123</v>
      </c>
      <c r="E1503" s="25" t="str">
        <f>VLOOKUP(D1503,'[2]Lista de Produtos CLASSIFICAÇÃO'!$E$103:$F$114,2,FALSE)</f>
        <v>Aquecidos</v>
      </c>
      <c r="F1503" s="61">
        <v>2150</v>
      </c>
      <c r="G1503" t="str">
        <f>VLOOKUP(Tabela1[[#This Row],[Cliente]],clientes!$C$3:$D$60,2,FALSE)</f>
        <v>AGROPALMA</v>
      </c>
    </row>
    <row r="1504" spans="1:7" x14ac:dyDescent="0.25">
      <c r="A1504" s="10">
        <v>2024</v>
      </c>
      <c r="B1504" s="10" t="s">
        <v>142</v>
      </c>
      <c r="C1504" s="10" t="s">
        <v>177</v>
      </c>
      <c r="D1504" s="10" t="s">
        <v>115</v>
      </c>
      <c r="E1504" s="25" t="str">
        <f>VLOOKUP(D1504,'[2]Lista de Produtos CLASSIFICAÇÃO'!$E$103:$F$114,2,FALSE)</f>
        <v>Soda Caustica</v>
      </c>
      <c r="F1504" s="61">
        <v>3000</v>
      </c>
      <c r="G1504" t="str">
        <f>VLOOKUP(Tabela1[[#This Row],[Cliente]],clientes!$C$3:$D$60,2,FALSE)</f>
        <v>BRENNTAG</v>
      </c>
    </row>
    <row r="1505" spans="1:7" x14ac:dyDescent="0.25">
      <c r="A1505" s="10">
        <v>2024</v>
      </c>
      <c r="B1505" s="10" t="s">
        <v>142</v>
      </c>
      <c r="C1505" s="10" t="s">
        <v>178</v>
      </c>
      <c r="D1505" s="10" t="s">
        <v>115</v>
      </c>
      <c r="E1505" s="25" t="str">
        <f>VLOOKUP(D1505,'[2]Lista de Produtos CLASSIFICAÇÃO'!$E$103:$F$114,2,FALSE)</f>
        <v>Soda Caustica</v>
      </c>
      <c r="F1505" s="61">
        <v>15000</v>
      </c>
      <c r="G1505" t="str">
        <f>VLOOKUP(Tabela1[[#This Row],[Cliente]],clientes!$C$3:$D$60,2,FALSE)</f>
        <v>OLIN BLUE CUBE</v>
      </c>
    </row>
    <row r="1506" spans="1:7" x14ac:dyDescent="0.25">
      <c r="A1506" s="10">
        <v>2024</v>
      </c>
      <c r="B1506" s="10" t="s">
        <v>142</v>
      </c>
      <c r="C1506" s="10" t="s">
        <v>179</v>
      </c>
      <c r="D1506" s="10" t="s">
        <v>26</v>
      </c>
      <c r="E1506" s="25" t="str">
        <f>VLOOKUP(D1506,'[2]Lista de Produtos CLASSIFICAÇÃO'!$E$103:$F$114,2,FALSE)</f>
        <v>Biocombustíveis</v>
      </c>
      <c r="F1506" s="61">
        <v>4000</v>
      </c>
      <c r="G1506" t="str">
        <f>VLOOKUP(Tabela1[[#This Row],[Cliente]],clientes!$C$3:$D$60,2,FALSE)</f>
        <v>BSBIOS</v>
      </c>
    </row>
    <row r="1507" spans="1:7" x14ac:dyDescent="0.25">
      <c r="A1507" s="10">
        <v>2024</v>
      </c>
      <c r="B1507" s="10" t="s">
        <v>142</v>
      </c>
      <c r="C1507" s="10" t="s">
        <v>180</v>
      </c>
      <c r="D1507" s="10" t="s">
        <v>30</v>
      </c>
      <c r="E1507" s="25" t="str">
        <f>VLOOKUP(D1507,'[2]Lista de Produtos CLASSIFICAÇÃO'!$E$103:$F$114,2,FALSE)</f>
        <v>Outros</v>
      </c>
      <c r="F1507" s="61"/>
      <c r="G1507" t="str">
        <f>VLOOKUP(Tabela1[[#This Row],[Cliente]],clientes!$C$3:$D$60,2,FALSE)</f>
        <v>TRICHEM</v>
      </c>
    </row>
    <row r="1508" spans="1:7" x14ac:dyDescent="0.25">
      <c r="A1508" s="10">
        <v>2024</v>
      </c>
      <c r="B1508" s="10" t="s">
        <v>142</v>
      </c>
      <c r="C1508" s="10" t="s">
        <v>181</v>
      </c>
      <c r="D1508" s="10" t="s">
        <v>123</v>
      </c>
      <c r="E1508" s="25" t="str">
        <f>VLOOKUP(D1508,'[2]Lista de Produtos CLASSIFICAÇÃO'!$E$103:$F$114,2,FALSE)</f>
        <v>Aquecidos</v>
      </c>
      <c r="F1508" s="61">
        <v>1600</v>
      </c>
      <c r="G1508" t="str">
        <f>VLOOKUP(Tabela1[[#This Row],[Cliente]],clientes!$C$3:$D$60,2,FALSE)</f>
        <v>COAMO</v>
      </c>
    </row>
    <row r="1509" spans="1:7" x14ac:dyDescent="0.25">
      <c r="A1509" s="10">
        <v>2024</v>
      </c>
      <c r="B1509" s="10" t="s">
        <v>142</v>
      </c>
      <c r="C1509" s="10" t="s">
        <v>182</v>
      </c>
      <c r="D1509" s="10" t="s">
        <v>120</v>
      </c>
      <c r="E1509" s="25" t="str">
        <f>VLOOKUP(D1509,'[2]Lista de Produtos CLASSIFICAÇÃO'!$E$103:$F$114,2,FALSE)</f>
        <v>Derivados</v>
      </c>
      <c r="F1509" s="61"/>
      <c r="G1509" t="str">
        <f>VLOOKUP(Tabela1[[#This Row],[Cliente]],clientes!$C$3:$D$60,2,FALSE)</f>
        <v>ATEM</v>
      </c>
    </row>
    <row r="1510" spans="1:7" x14ac:dyDescent="0.25">
      <c r="A1510" s="10">
        <v>2024</v>
      </c>
      <c r="B1510" s="10" t="s">
        <v>142</v>
      </c>
      <c r="C1510" s="10" t="s">
        <v>174</v>
      </c>
      <c r="D1510" s="10" t="s">
        <v>123</v>
      </c>
      <c r="E1510" s="25" t="str">
        <f>VLOOKUP(D1510,'[2]Lista de Produtos CLASSIFICAÇÃO'!$E$103:$F$114,2,FALSE)</f>
        <v>Aquecidos</v>
      </c>
      <c r="F1510" s="61">
        <v>18000</v>
      </c>
      <c r="G1510" t="str">
        <f>VLOOKUP(Tabela1[[#This Row],[Cliente]],clientes!$C$3:$D$60,2,FALSE)</f>
        <v>CELENA</v>
      </c>
    </row>
    <row r="1511" spans="1:7" x14ac:dyDescent="0.25">
      <c r="A1511" s="10">
        <v>2024</v>
      </c>
      <c r="B1511" s="10" t="s">
        <v>142</v>
      </c>
      <c r="C1511" s="10" t="s">
        <v>173</v>
      </c>
      <c r="D1511" s="10" t="s">
        <v>183</v>
      </c>
      <c r="E1511" s="25" t="str">
        <f>VLOOKUP(D1511,'[2]Lista de Produtos CLASSIFICAÇÃO'!$E$103:$F$114,2,FALSE)</f>
        <v>Outros</v>
      </c>
      <c r="F1511" s="61"/>
      <c r="G1511" t="str">
        <f>VLOOKUP(Tabela1[[#This Row],[Cliente]],clientes!$C$3:$D$60,2,FALSE)</f>
        <v>YPF SOCIEDAD ANONIMA</v>
      </c>
    </row>
    <row r="1512" spans="1:7" x14ac:dyDescent="0.25">
      <c r="A1512" s="10">
        <v>2024</v>
      </c>
      <c r="B1512" s="10" t="s">
        <v>142</v>
      </c>
      <c r="C1512" s="10" t="s">
        <v>184</v>
      </c>
      <c r="D1512" s="10" t="s">
        <v>122</v>
      </c>
      <c r="E1512" s="25" t="str">
        <f>VLOOKUP(D1512,'[2]Lista de Produtos CLASSIFICAÇÃO'!$E$103:$F$114,2,FALSE)</f>
        <v>Óleo Vegetal</v>
      </c>
      <c r="F1512" s="61"/>
      <c r="G1512" t="str">
        <f>VLOOKUP(Tabela1[[#This Row],[Cliente]],clientes!$C$3:$D$60,2,FALSE)</f>
        <v>INGREDION</v>
      </c>
    </row>
    <row r="1513" spans="1:7" x14ac:dyDescent="0.25">
      <c r="A1513" s="10">
        <v>2024</v>
      </c>
      <c r="B1513" s="10" t="s">
        <v>142</v>
      </c>
      <c r="C1513" s="10" t="s">
        <v>185</v>
      </c>
      <c r="D1513" s="10" t="s">
        <v>120</v>
      </c>
      <c r="E1513" s="25" t="str">
        <f>VLOOKUP(D1513,'[2]Lista de Produtos CLASSIFICAÇÃO'!$E$103:$F$114,2,FALSE)</f>
        <v>Derivados</v>
      </c>
      <c r="F1513" s="61">
        <v>12450</v>
      </c>
      <c r="G1513" t="str">
        <f>VLOOKUP(Tabela1[[#This Row],[Cliente]],clientes!$C$3:$D$60,2,FALSE)</f>
        <v>CIAPETRO</v>
      </c>
    </row>
    <row r="1514" spans="1:7" x14ac:dyDescent="0.25">
      <c r="A1514" s="10">
        <v>2024</v>
      </c>
      <c r="B1514" s="10" t="s">
        <v>142</v>
      </c>
      <c r="C1514" s="10" t="s">
        <v>186</v>
      </c>
      <c r="D1514" s="10" t="s">
        <v>22</v>
      </c>
      <c r="E1514" s="25" t="str">
        <f>VLOOKUP(D1514,'[2]Lista de Produtos CLASSIFICAÇÃO'!$E$103:$F$114,2,FALSE)</f>
        <v>Metanol</v>
      </c>
      <c r="F1514" s="61">
        <v>5000</v>
      </c>
      <c r="G1514" t="str">
        <f>VLOOKUP(Tabela1[[#This Row],[Cliente]],clientes!$C$3:$D$60,2,FALSE)</f>
        <v>OQ TRADING</v>
      </c>
    </row>
    <row r="1515" spans="1:7" x14ac:dyDescent="0.25">
      <c r="A1515" s="10">
        <v>2024</v>
      </c>
      <c r="B1515" s="10" t="s">
        <v>142</v>
      </c>
      <c r="C1515" s="10" t="s">
        <v>187</v>
      </c>
      <c r="D1515" s="10" t="s">
        <v>121</v>
      </c>
      <c r="E1515" s="25" t="str">
        <f>VLOOKUP(D1515,'[2]Lista de Produtos CLASSIFICAÇÃO'!$E$103:$F$114,2,FALSE)</f>
        <v>Biocombustíveis</v>
      </c>
      <c r="F1515" s="61">
        <v>8000</v>
      </c>
      <c r="G1515" t="str">
        <f>VLOOKUP(Tabela1[[#This Row],[Cliente]],clientes!$C$3:$D$60,2,FALSE)</f>
        <v>TEREOS / INPASA / GLENCORE / FS</v>
      </c>
    </row>
    <row r="1516" spans="1:7" x14ac:dyDescent="0.25">
      <c r="A1516" s="10">
        <v>2024</v>
      </c>
      <c r="B1516" s="10" t="s">
        <v>142</v>
      </c>
      <c r="C1516" s="10" t="s">
        <v>188</v>
      </c>
      <c r="D1516" s="10" t="s">
        <v>123</v>
      </c>
      <c r="E1516" s="25" t="str">
        <f>VLOOKUP(D1516,'[2]Lista de Produtos CLASSIFICAÇÃO'!$E$103:$F$114,2,FALSE)</f>
        <v>Aquecidos</v>
      </c>
      <c r="F1516" s="61">
        <v>3250</v>
      </c>
      <c r="G1516" t="str">
        <f>VLOOKUP(Tabela1[[#This Row],[Cliente]],clientes!$C$3:$D$60,2,FALSE)</f>
        <v>ARES MERCHANTS PTE LIMITE</v>
      </c>
    </row>
    <row r="1517" spans="1:7" x14ac:dyDescent="0.25">
      <c r="A1517" s="10">
        <v>2024</v>
      </c>
      <c r="B1517" s="10" t="s">
        <v>142</v>
      </c>
      <c r="C1517" s="10" t="s">
        <v>18</v>
      </c>
      <c r="D1517" s="10" t="s">
        <v>17</v>
      </c>
      <c r="E1517" s="25" t="str">
        <f>VLOOKUP(D1517,'[2]Lista de Produtos CLASSIFICAÇÃO'!$E$103:$F$114,2,FALSE)</f>
        <v>Acostagem</v>
      </c>
      <c r="F1517" s="61"/>
      <c r="G1517" t="str">
        <f>VLOOKUP(Tabela1[[#This Row],[Cliente]],clientes!$C$3:$D$60,2,FALSE)</f>
        <v>ACOSTAGEM</v>
      </c>
    </row>
    <row r="1518" spans="1:7" x14ac:dyDescent="0.25">
      <c r="A1518" s="10">
        <v>2024</v>
      </c>
      <c r="B1518" s="10" t="s">
        <v>142</v>
      </c>
      <c r="C1518" s="10" t="s">
        <v>189</v>
      </c>
      <c r="D1518" s="10" t="s">
        <v>123</v>
      </c>
      <c r="E1518" s="25" t="str">
        <f>VLOOKUP(D1518,'[2]Lista de Produtos CLASSIFICAÇÃO'!$E$103:$F$114,2,FALSE)</f>
        <v>Aquecidos</v>
      </c>
      <c r="F1518" s="61">
        <v>2789</v>
      </c>
      <c r="G1518" t="str">
        <f>VLOOKUP(Tabela1[[#This Row],[Cliente]],clientes!$C$3:$D$60,2,FALSE)</f>
        <v>ICOF</v>
      </c>
    </row>
    <row r="1519" spans="1:7" x14ac:dyDescent="0.25">
      <c r="A1519" s="10">
        <v>2025</v>
      </c>
      <c r="B1519" s="10" t="s">
        <v>128</v>
      </c>
      <c r="C1519" s="10" t="s">
        <v>155</v>
      </c>
      <c r="D1519" s="10" t="s">
        <v>16</v>
      </c>
      <c r="E1519" s="25" t="str">
        <f>VLOOKUP(D1519,'[2]Lista de Produtos CLASSIFICAÇÃO'!$E$103:$F$114,2,FALSE)</f>
        <v>Outros</v>
      </c>
      <c r="F1519" s="61">
        <v>4500</v>
      </c>
      <c r="G1519" t="str">
        <f>VLOOKUP(Tabela1[[#This Row],[Cliente]],clientes!$C$3:$D$60,2,FALSE)</f>
        <v>ADISSEO</v>
      </c>
    </row>
    <row r="1520" spans="1:7" x14ac:dyDescent="0.25">
      <c r="A1520" s="10">
        <v>2025</v>
      </c>
      <c r="B1520" s="10" t="s">
        <v>128</v>
      </c>
      <c r="C1520" s="10" t="s">
        <v>156</v>
      </c>
      <c r="D1520" s="10" t="s">
        <v>123</v>
      </c>
      <c r="E1520" s="25" t="str">
        <f>VLOOKUP(D1520,'[2]Lista de Produtos CLASSIFICAÇÃO'!$E$103:$F$114,2,FALSE)</f>
        <v>Aquecidos</v>
      </c>
      <c r="F1520" s="61">
        <v>2100</v>
      </c>
      <c r="G1520" t="str">
        <f>VLOOKUP(Tabela1[[#This Row],[Cliente]],clientes!$C$3:$D$60,2,FALSE)</f>
        <v>BUNGE</v>
      </c>
    </row>
    <row r="1521" spans="1:7" x14ac:dyDescent="0.25">
      <c r="A1521" s="10">
        <v>2025</v>
      </c>
      <c r="B1521" s="10" t="s">
        <v>128</v>
      </c>
      <c r="C1521" s="10" t="s">
        <v>157</v>
      </c>
      <c r="D1521" s="10" t="s">
        <v>122</v>
      </c>
      <c r="E1521" s="25" t="str">
        <f>VLOOKUP(D1521,'[2]Lista de Produtos CLASSIFICAÇÃO'!$E$103:$F$114,2,FALSE)</f>
        <v>Óleo Vegetal</v>
      </c>
      <c r="F1521" s="61">
        <v>1700</v>
      </c>
      <c r="G1521" t="str">
        <f>VLOOKUP(Tabela1[[#This Row],[Cliente]],clientes!$C$3:$D$60,2,FALSE)</f>
        <v>ADM</v>
      </c>
    </row>
    <row r="1522" spans="1:7" x14ac:dyDescent="0.25">
      <c r="A1522" s="10">
        <v>2025</v>
      </c>
      <c r="B1522" s="10" t="s">
        <v>128</v>
      </c>
      <c r="C1522" s="10" t="s">
        <v>158</v>
      </c>
      <c r="D1522" s="10" t="s">
        <v>120</v>
      </c>
      <c r="E1522" s="25" t="str">
        <f>VLOOKUP(D1522,'[2]Lista de Produtos CLASSIFICAÇÃO'!$E$103:$F$114,2,FALSE)</f>
        <v>Derivados</v>
      </c>
      <c r="F1522" s="61">
        <v>45000</v>
      </c>
      <c r="G1522" t="str">
        <f>VLOOKUP(Tabela1[[#This Row],[Cliente]],clientes!$C$3:$D$60,2,FALSE)</f>
        <v>IPIRANGA</v>
      </c>
    </row>
    <row r="1523" spans="1:7" x14ac:dyDescent="0.25">
      <c r="A1523" s="10">
        <v>2025</v>
      </c>
      <c r="B1523" s="10" t="s">
        <v>128</v>
      </c>
      <c r="C1523" s="10" t="s">
        <v>159</v>
      </c>
      <c r="D1523" s="10" t="s">
        <v>120</v>
      </c>
      <c r="E1523" s="25" t="str">
        <f>VLOOKUP(D1523,'[2]Lista de Produtos CLASSIFICAÇÃO'!$E$103:$F$114,2,FALSE)</f>
        <v>Derivados</v>
      </c>
      <c r="F1523" s="61">
        <v>41500</v>
      </c>
      <c r="G1523" t="str">
        <f>VLOOKUP(Tabela1[[#This Row],[Cliente]],clientes!$C$3:$D$60,2,FALSE)</f>
        <v>RAIZEN</v>
      </c>
    </row>
    <row r="1524" spans="1:7" x14ac:dyDescent="0.25">
      <c r="A1524" s="10">
        <v>2025</v>
      </c>
      <c r="B1524" s="10" t="s">
        <v>128</v>
      </c>
      <c r="C1524" s="10" t="s">
        <v>160</v>
      </c>
      <c r="D1524" s="10" t="s">
        <v>120</v>
      </c>
      <c r="E1524" s="25" t="str">
        <f>VLOOKUP(D1524,'[2]Lista de Produtos CLASSIFICAÇÃO'!$E$103:$F$114,2,FALSE)</f>
        <v>Derivados</v>
      </c>
      <c r="F1524" s="61">
        <v>16600</v>
      </c>
      <c r="G1524" t="str">
        <f>VLOOKUP(Tabela1[[#This Row],[Cliente]],clientes!$C$3:$D$60,2,FALSE)</f>
        <v>VIBRA</v>
      </c>
    </row>
    <row r="1525" spans="1:7" x14ac:dyDescent="0.25">
      <c r="A1525" s="10">
        <v>2025</v>
      </c>
      <c r="B1525" s="10" t="s">
        <v>128</v>
      </c>
      <c r="C1525" s="10" t="s">
        <v>161</v>
      </c>
      <c r="D1525" s="10" t="s">
        <v>120</v>
      </c>
      <c r="E1525" s="25" t="str">
        <f>VLOOKUP(D1525,'[2]Lista de Produtos CLASSIFICAÇÃO'!$E$103:$F$114,2,FALSE)</f>
        <v>Derivados</v>
      </c>
      <c r="F1525" s="61">
        <v>20000</v>
      </c>
      <c r="G1525" t="str">
        <f>VLOOKUP(Tabela1[[#This Row],[Cliente]],clientes!$C$3:$D$60,2,FALSE)</f>
        <v>SUL PLATA</v>
      </c>
    </row>
    <row r="1526" spans="1:7" x14ac:dyDescent="0.25">
      <c r="A1526" s="10">
        <v>2025</v>
      </c>
      <c r="B1526" s="10" t="s">
        <v>128</v>
      </c>
      <c r="C1526" s="10" t="s">
        <v>162</v>
      </c>
      <c r="D1526" s="10" t="s">
        <v>115</v>
      </c>
      <c r="E1526" s="25" t="str">
        <f>VLOOKUP(D1526,'[2]Lista de Produtos CLASSIFICAÇÃO'!$E$103:$F$114,2,FALSE)</f>
        <v>Soda Caustica</v>
      </c>
      <c r="F1526" s="61">
        <v>1800</v>
      </c>
      <c r="G1526" t="str">
        <f>VLOOKUP(Tabela1[[#This Row],[Cliente]],clientes!$C$3:$D$60,2,FALSE)</f>
        <v>JBS</v>
      </c>
    </row>
    <row r="1527" spans="1:7" x14ac:dyDescent="0.25">
      <c r="A1527" s="10">
        <v>2025</v>
      </c>
      <c r="B1527" s="10" t="s">
        <v>128</v>
      </c>
      <c r="C1527" s="10" t="s">
        <v>163</v>
      </c>
      <c r="D1527" t="s">
        <v>115</v>
      </c>
      <c r="E1527" s="25" t="str">
        <f>VLOOKUP(D1527,'[2]Lista de Produtos CLASSIFICAÇÃO'!$E$103:$F$114,2,FALSE)</f>
        <v>Soda Caustica</v>
      </c>
      <c r="F1527" s="61">
        <v>3800</v>
      </c>
      <c r="G1527" t="str">
        <f>VLOOKUP(Tabela1[[#This Row],[Cliente]],clientes!$C$3:$D$60,2,FALSE)</f>
        <v>TRICON ENERGY</v>
      </c>
    </row>
    <row r="1528" spans="1:7" x14ac:dyDescent="0.25">
      <c r="A1528" s="10">
        <v>2025</v>
      </c>
      <c r="B1528" s="10" t="s">
        <v>128</v>
      </c>
      <c r="C1528" s="10" t="s">
        <v>164</v>
      </c>
      <c r="D1528" t="s">
        <v>115</v>
      </c>
      <c r="E1528" s="25" t="str">
        <f>VLOOKUP(D1528,'[2]Lista de Produtos CLASSIFICAÇÃO'!$E$103:$F$114,2,FALSE)</f>
        <v>Soda Caustica</v>
      </c>
      <c r="F1528" s="61">
        <v>1300</v>
      </c>
      <c r="G1528" t="str">
        <f>VLOOKUP(Tabela1[[#This Row],[Cliente]],clientes!$C$3:$D$60,2,FALSE)</f>
        <v>BRASKEM</v>
      </c>
    </row>
    <row r="1529" spans="1:7" x14ac:dyDescent="0.25">
      <c r="A1529" s="10">
        <v>2025</v>
      </c>
      <c r="B1529" s="10" t="s">
        <v>128</v>
      </c>
      <c r="C1529" s="10" t="s">
        <v>165</v>
      </c>
      <c r="D1529" s="10" t="s">
        <v>123</v>
      </c>
      <c r="E1529" s="25" t="str">
        <f>VLOOKUP(D1529,'[2]Lista de Produtos CLASSIFICAÇÃO'!$E$103:$F$114,2,FALSE)</f>
        <v>Aquecidos</v>
      </c>
      <c r="F1529" s="61">
        <v>4000</v>
      </c>
      <c r="G1529" t="str">
        <f>VLOOKUP(Tabela1[[#This Row],[Cliente]],clientes!$C$3:$D$60,2,FALSE)</f>
        <v>BRF</v>
      </c>
    </row>
    <row r="1530" spans="1:7" x14ac:dyDescent="0.25">
      <c r="A1530" s="10">
        <v>2025</v>
      </c>
      <c r="B1530" s="10" t="s">
        <v>128</v>
      </c>
      <c r="C1530" s="10" t="s">
        <v>162</v>
      </c>
      <c r="D1530" s="10" t="s">
        <v>123</v>
      </c>
      <c r="E1530" s="25" t="str">
        <f>VLOOKUP(D1530,'[2]Lista de Produtos CLASSIFICAÇÃO'!$E$103:$F$114,2,FALSE)</f>
        <v>Aquecidos</v>
      </c>
      <c r="F1530" s="61">
        <v>4520</v>
      </c>
      <c r="G1530" t="str">
        <f>VLOOKUP(Tabela1[[#This Row],[Cliente]],clientes!$C$3:$D$60,2,FALSE)</f>
        <v>JBS</v>
      </c>
    </row>
    <row r="1531" spans="1:7" x14ac:dyDescent="0.25">
      <c r="A1531" s="10">
        <v>2025</v>
      </c>
      <c r="B1531" s="10" t="s">
        <v>128</v>
      </c>
      <c r="C1531" s="10" t="s">
        <v>166</v>
      </c>
      <c r="D1531" s="10" t="s">
        <v>123</v>
      </c>
      <c r="E1531" s="25" t="str">
        <f>VLOOKUP(D1531,'[2]Lista de Produtos CLASSIFICAÇÃO'!$E$103:$F$114,2,FALSE)</f>
        <v>Aquecidos</v>
      </c>
      <c r="F1531" s="61">
        <v>3900</v>
      </c>
      <c r="G1531" t="str">
        <f>VLOOKUP(Tabela1[[#This Row],[Cliente]],clientes!$C$3:$D$60,2,FALSE)</f>
        <v>CARGILL</v>
      </c>
    </row>
    <row r="1532" spans="1:7" x14ac:dyDescent="0.25">
      <c r="A1532" s="10">
        <v>2025</v>
      </c>
      <c r="B1532" s="10" t="s">
        <v>128</v>
      </c>
      <c r="C1532" s="10" t="s">
        <v>167</v>
      </c>
      <c r="D1532" s="10" t="s">
        <v>122</v>
      </c>
      <c r="E1532" s="25" t="str">
        <f>VLOOKUP(D1532,'[2]Lista de Produtos CLASSIFICAÇÃO'!$E$103:$F$114,2,FALSE)</f>
        <v>Óleo Vegetal</v>
      </c>
      <c r="F1532" s="61">
        <v>11801.699999999999</v>
      </c>
      <c r="G1532" t="str">
        <f>VLOOKUP(Tabela1[[#This Row],[Cliente]],clientes!$C$3:$D$60,2,FALSE)</f>
        <v>POOL</v>
      </c>
    </row>
    <row r="1533" spans="1:7" x14ac:dyDescent="0.25">
      <c r="A1533" s="10">
        <v>2025</v>
      </c>
      <c r="B1533" s="10" t="s">
        <v>128</v>
      </c>
      <c r="C1533" s="10" t="s">
        <v>168</v>
      </c>
      <c r="D1533" s="10" t="s">
        <v>122</v>
      </c>
      <c r="E1533" s="25" t="str">
        <f>VLOOKUP(D1533,'[2]Lista de Produtos CLASSIFICAÇÃO'!$E$103:$F$114,2,FALSE)</f>
        <v>Óleo Vegetal</v>
      </c>
      <c r="F1533" s="61"/>
      <c r="G1533" t="str">
        <f>VLOOKUP(Tabela1[[#This Row],[Cliente]],clientes!$C$3:$D$60,2,FALSE)</f>
        <v>POOL EXCEDENTE</v>
      </c>
    </row>
    <row r="1534" spans="1:7" x14ac:dyDescent="0.25">
      <c r="A1534" s="10">
        <v>2025</v>
      </c>
      <c r="B1534" s="10" t="s">
        <v>128</v>
      </c>
      <c r="C1534" s="10" t="s">
        <v>169</v>
      </c>
      <c r="D1534" s="10" t="s">
        <v>22</v>
      </c>
      <c r="E1534" s="25" t="str">
        <f>VLOOKUP(D1534,'[2]Lista de Produtos CLASSIFICAÇÃO'!$E$103:$F$114,2,FALSE)</f>
        <v>Metanol</v>
      </c>
      <c r="F1534" s="61">
        <v>75000</v>
      </c>
      <c r="G1534" t="str">
        <f>VLOOKUP(Tabela1[[#This Row],[Cliente]],clientes!$C$3:$D$60,2,FALSE)</f>
        <v>METHANEX</v>
      </c>
    </row>
    <row r="1535" spans="1:7" x14ac:dyDescent="0.25">
      <c r="A1535" s="10">
        <v>2025</v>
      </c>
      <c r="B1535" s="10" t="s">
        <v>128</v>
      </c>
      <c r="C1535" s="10" t="s">
        <v>170</v>
      </c>
      <c r="D1535" s="10" t="s">
        <v>22</v>
      </c>
      <c r="E1535" s="25" t="str">
        <f>VLOOKUP(D1535,'[2]Lista de Produtos CLASSIFICAÇÃO'!$E$103:$F$114,2,FALSE)</f>
        <v>Metanol</v>
      </c>
      <c r="F1535" s="61">
        <v>17000</v>
      </c>
      <c r="G1535" t="str">
        <f>VLOOKUP(Tabela1[[#This Row],[Cliente]],clientes!$C$3:$D$60,2,FALSE)</f>
        <v>MITSUBISHI</v>
      </c>
    </row>
    <row r="1536" spans="1:7" x14ac:dyDescent="0.25">
      <c r="A1536" s="10">
        <v>2025</v>
      </c>
      <c r="B1536" s="10" t="s">
        <v>128</v>
      </c>
      <c r="C1536" s="10" t="s">
        <v>171</v>
      </c>
      <c r="D1536" s="10" t="s">
        <v>22</v>
      </c>
      <c r="E1536" s="25" t="str">
        <f>VLOOKUP(D1536,'[2]Lista de Produtos CLASSIFICAÇÃO'!$E$103:$F$114,2,FALSE)</f>
        <v>Metanol</v>
      </c>
      <c r="F1536" s="61">
        <v>26000</v>
      </c>
      <c r="G1536" t="str">
        <f>VLOOKUP(Tabela1[[#This Row],[Cliente]],clientes!$C$3:$D$60,2,FALSE)</f>
        <v>VALENZ</v>
      </c>
    </row>
    <row r="1537" spans="1:7" x14ac:dyDescent="0.25">
      <c r="A1537" s="10">
        <v>2025</v>
      </c>
      <c r="B1537" s="10" t="s">
        <v>128</v>
      </c>
      <c r="C1537" s="10" t="s">
        <v>172</v>
      </c>
      <c r="D1537" s="10" t="s">
        <v>124</v>
      </c>
      <c r="E1537" s="25" t="str">
        <f>VLOOKUP(D1537,'[2]Lista de Produtos CLASSIFICAÇÃO'!$E$103:$F$114,2,FALSE)</f>
        <v>Outros</v>
      </c>
      <c r="F1537" s="61">
        <v>1500</v>
      </c>
      <c r="G1537" t="str">
        <f>VLOOKUP(Tabela1[[#This Row],[Cliente]],clientes!$C$3:$D$60,2,FALSE)</f>
        <v>EVONIK</v>
      </c>
    </row>
    <row r="1538" spans="1:7" x14ac:dyDescent="0.25">
      <c r="A1538" s="10">
        <v>2025</v>
      </c>
      <c r="B1538" s="10" t="s">
        <v>128</v>
      </c>
      <c r="C1538" s="10" t="s">
        <v>186</v>
      </c>
      <c r="D1538" s="10" t="s">
        <v>22</v>
      </c>
      <c r="E1538" s="25" t="str">
        <f>VLOOKUP(D1538,'[2]Lista de Produtos CLASSIFICAÇÃO'!$E$103:$F$114,2,FALSE)</f>
        <v>Metanol</v>
      </c>
      <c r="F1538" s="61">
        <v>2500</v>
      </c>
      <c r="G1538" t="str">
        <f>VLOOKUP(Tabela1[[#This Row],[Cliente]],clientes!$C$3:$D$60,2,FALSE)</f>
        <v>OQ TRADING</v>
      </c>
    </row>
    <row r="1539" spans="1:7" x14ac:dyDescent="0.25">
      <c r="A1539" s="10">
        <v>2025</v>
      </c>
      <c r="B1539" s="10" t="s">
        <v>128</v>
      </c>
      <c r="C1539" s="10" t="s">
        <v>174</v>
      </c>
      <c r="D1539" s="10" t="s">
        <v>123</v>
      </c>
      <c r="E1539" s="25" t="str">
        <f>VLOOKUP(D1539,'[2]Lista de Produtos CLASSIFICAÇÃO'!$E$103:$F$114,2,FALSE)</f>
        <v>Aquecidos</v>
      </c>
      <c r="F1539" s="61">
        <v>12500</v>
      </c>
      <c r="G1539" t="str">
        <f>VLOOKUP(Tabela1[[#This Row],[Cliente]],clientes!$C$3:$D$60,2,FALSE)</f>
        <v>CELENA</v>
      </c>
    </row>
    <row r="1540" spans="1:7" x14ac:dyDescent="0.25">
      <c r="A1540" s="10">
        <v>2025</v>
      </c>
      <c r="B1540" s="10" t="s">
        <v>128</v>
      </c>
      <c r="C1540" s="10" t="s">
        <v>175</v>
      </c>
      <c r="D1540" s="10" t="s">
        <v>123</v>
      </c>
      <c r="E1540" s="25" t="str">
        <f>VLOOKUP(D1540,'[2]Lista de Produtos CLASSIFICAÇÃO'!$E$103:$F$114,2,FALSE)</f>
        <v>Aquecidos</v>
      </c>
      <c r="F1540" s="61">
        <v>3600</v>
      </c>
      <c r="G1540" t="str">
        <f>VLOOKUP(Tabela1[[#This Row],[Cliente]],clientes!$C$3:$D$60,2,FALSE)</f>
        <v>AAK DO BRASIL</v>
      </c>
    </row>
    <row r="1541" spans="1:7" x14ac:dyDescent="0.25">
      <c r="A1541" s="10">
        <v>2025</v>
      </c>
      <c r="B1541" s="10" t="s">
        <v>128</v>
      </c>
      <c r="C1541" s="10" t="s">
        <v>166</v>
      </c>
      <c r="D1541" s="10" t="s">
        <v>122</v>
      </c>
      <c r="E1541" s="25" t="str">
        <f>VLOOKUP(D1541,'[2]Lista de Produtos CLASSIFICAÇÃO'!$E$103:$F$114,2,FALSE)</f>
        <v>Óleo Vegetal</v>
      </c>
      <c r="F1541" s="61">
        <v>4500</v>
      </c>
      <c r="G1541" t="str">
        <f>VLOOKUP(Tabela1[[#This Row],[Cliente]],clientes!$C$3:$D$60,2,FALSE)</f>
        <v>CARGILL</v>
      </c>
    </row>
    <row r="1542" spans="1:7" x14ac:dyDescent="0.25">
      <c r="A1542" s="10">
        <v>2025</v>
      </c>
      <c r="B1542" s="10" t="s">
        <v>128</v>
      </c>
      <c r="C1542" s="10" t="s">
        <v>176</v>
      </c>
      <c r="D1542" s="10" t="s">
        <v>123</v>
      </c>
      <c r="E1542" s="25" t="str">
        <f>VLOOKUP(D1542,'[2]Lista de Produtos CLASSIFICAÇÃO'!$E$103:$F$114,2,FALSE)</f>
        <v>Aquecidos</v>
      </c>
      <c r="F1542" s="61">
        <v>3500</v>
      </c>
      <c r="G1542" t="str">
        <f>VLOOKUP(Tabela1[[#This Row],[Cliente]],clientes!$C$3:$D$60,2,FALSE)</f>
        <v>AGROPALMA</v>
      </c>
    </row>
    <row r="1543" spans="1:7" x14ac:dyDescent="0.25">
      <c r="A1543" s="10">
        <v>2025</v>
      </c>
      <c r="B1543" s="10" t="s">
        <v>128</v>
      </c>
      <c r="C1543" s="10" t="s">
        <v>177</v>
      </c>
      <c r="D1543" s="10" t="s">
        <v>115</v>
      </c>
      <c r="E1543" s="25" t="str">
        <f>VLOOKUP(D1543,'[2]Lista de Produtos CLASSIFICAÇÃO'!$E$103:$F$114,2,FALSE)</f>
        <v>Soda Caustica</v>
      </c>
      <c r="F1543" s="61">
        <v>2800</v>
      </c>
      <c r="G1543" t="str">
        <f>VLOOKUP(Tabela1[[#This Row],[Cliente]],clientes!$C$3:$D$60,2,FALSE)</f>
        <v>BRENNTAG</v>
      </c>
    </row>
    <row r="1544" spans="1:7" x14ac:dyDescent="0.25">
      <c r="A1544" s="10">
        <v>2025</v>
      </c>
      <c r="B1544" s="10" t="s">
        <v>128</v>
      </c>
      <c r="C1544" s="10" t="s">
        <v>178</v>
      </c>
      <c r="D1544" s="10" t="s">
        <v>115</v>
      </c>
      <c r="E1544" s="25" t="str">
        <f>VLOOKUP(D1544,'[2]Lista de Produtos CLASSIFICAÇÃO'!$E$103:$F$114,2,FALSE)</f>
        <v>Soda Caustica</v>
      </c>
      <c r="F1544" s="61">
        <v>20000</v>
      </c>
      <c r="G1544" t="str">
        <f>VLOOKUP(Tabela1[[#This Row],[Cliente]],clientes!$C$3:$D$60,2,FALSE)</f>
        <v>OLIN BLUE CUBE</v>
      </c>
    </row>
    <row r="1545" spans="1:7" x14ac:dyDescent="0.25">
      <c r="A1545" s="10">
        <v>2025</v>
      </c>
      <c r="B1545" s="10" t="s">
        <v>128</v>
      </c>
      <c r="C1545" s="10" t="s">
        <v>179</v>
      </c>
      <c r="D1545" s="10" t="s">
        <v>26</v>
      </c>
      <c r="E1545" s="25" t="str">
        <f>VLOOKUP(D1545,'[2]Lista de Produtos CLASSIFICAÇÃO'!$E$103:$F$114,2,FALSE)</f>
        <v>Biocombustíveis</v>
      </c>
      <c r="F1545" s="61">
        <v>4000</v>
      </c>
      <c r="G1545" t="str">
        <f>VLOOKUP(Tabela1[[#This Row],[Cliente]],clientes!$C$3:$D$60,2,FALSE)</f>
        <v>BSBIOS</v>
      </c>
    </row>
    <row r="1546" spans="1:7" x14ac:dyDescent="0.25">
      <c r="A1546" s="10">
        <v>2025</v>
      </c>
      <c r="B1546" s="10" t="s">
        <v>128</v>
      </c>
      <c r="C1546" s="10" t="s">
        <v>181</v>
      </c>
      <c r="D1546" s="10" t="s">
        <v>123</v>
      </c>
      <c r="E1546" s="25" t="str">
        <f>VLOOKUP(D1546,'[2]Lista de Produtos CLASSIFICAÇÃO'!$E$103:$F$114,2,FALSE)</f>
        <v>Aquecidos</v>
      </c>
      <c r="F1546" s="61">
        <v>1600</v>
      </c>
      <c r="G1546" t="str">
        <f>VLOOKUP(Tabela1[[#This Row],[Cliente]],clientes!$C$3:$D$60,2,FALSE)</f>
        <v>COAMO</v>
      </c>
    </row>
    <row r="1547" spans="1:7" x14ac:dyDescent="0.25">
      <c r="A1547" s="10">
        <v>2025</v>
      </c>
      <c r="B1547" s="10" t="s">
        <v>128</v>
      </c>
      <c r="C1547" s="10" t="s">
        <v>182</v>
      </c>
      <c r="D1547" s="10" t="s">
        <v>120</v>
      </c>
      <c r="E1547" s="25" t="str">
        <f>VLOOKUP(D1547,'[2]Lista de Produtos CLASSIFICAÇÃO'!$E$103:$F$114,2,FALSE)</f>
        <v>Derivados</v>
      </c>
      <c r="F1547" s="61">
        <v>8300</v>
      </c>
      <c r="G1547" t="str">
        <f>VLOOKUP(Tabela1[[#This Row],[Cliente]],clientes!$C$3:$D$60,2,FALSE)</f>
        <v>ATEM</v>
      </c>
    </row>
    <row r="1548" spans="1:7" x14ac:dyDescent="0.25">
      <c r="A1548" s="10">
        <v>2025</v>
      </c>
      <c r="B1548" s="10" t="s">
        <v>128</v>
      </c>
      <c r="C1548" s="10" t="s">
        <v>184</v>
      </c>
      <c r="D1548" s="10" t="s">
        <v>122</v>
      </c>
      <c r="E1548" s="25" t="str">
        <f>VLOOKUP(D1548,'[2]Lista de Produtos CLASSIFICAÇÃO'!$E$103:$F$114,2,FALSE)</f>
        <v>Óleo Vegetal</v>
      </c>
      <c r="F1548" s="61"/>
      <c r="G1548" t="str">
        <f>VLOOKUP(Tabela1[[#This Row],[Cliente]],clientes!$C$3:$D$60,2,FALSE)</f>
        <v>INGREDION</v>
      </c>
    </row>
    <row r="1549" spans="1:7" x14ac:dyDescent="0.25">
      <c r="A1549" s="10">
        <v>2025</v>
      </c>
      <c r="B1549" s="10" t="s">
        <v>128</v>
      </c>
      <c r="C1549" s="10" t="s">
        <v>185</v>
      </c>
      <c r="D1549" s="10" t="s">
        <v>120</v>
      </c>
      <c r="E1549" s="25" t="str">
        <f>VLOOKUP(D1549,'[2]Lista de Produtos CLASSIFICAÇÃO'!$E$103:$F$114,2,FALSE)</f>
        <v>Derivados</v>
      </c>
      <c r="F1549" s="61">
        <v>12450</v>
      </c>
      <c r="G1549" t="str">
        <f>VLOOKUP(Tabela1[[#This Row],[Cliente]],clientes!$C$3:$D$60,2,FALSE)</f>
        <v>CIAPETRO</v>
      </c>
    </row>
    <row r="1550" spans="1:7" x14ac:dyDescent="0.25">
      <c r="A1550" s="10">
        <v>2025</v>
      </c>
      <c r="B1550" s="10" t="s">
        <v>128</v>
      </c>
      <c r="C1550" s="10" t="s">
        <v>187</v>
      </c>
      <c r="D1550" s="10" t="s">
        <v>121</v>
      </c>
      <c r="E1550" s="25" t="str">
        <f>VLOOKUP(D1550,'[2]Lista de Produtos CLASSIFICAÇÃO'!$E$103:$F$114,2,FALSE)</f>
        <v>Biocombustíveis</v>
      </c>
      <c r="F1550" s="61">
        <v>7900</v>
      </c>
      <c r="G1550" t="str">
        <f>VLOOKUP(Tabela1[[#This Row],[Cliente]],clientes!$C$3:$D$60,2,FALSE)</f>
        <v>TEREOS / INPASA / GLENCORE / FS</v>
      </c>
    </row>
    <row r="1551" spans="1:7" x14ac:dyDescent="0.25">
      <c r="A1551" s="10">
        <v>2025</v>
      </c>
      <c r="B1551" s="10" t="s">
        <v>128</v>
      </c>
      <c r="C1551" s="10" t="s">
        <v>188</v>
      </c>
      <c r="D1551" s="10" t="s">
        <v>123</v>
      </c>
      <c r="E1551" s="25" t="str">
        <f>VLOOKUP(D1551,'[2]Lista de Produtos CLASSIFICAÇÃO'!$E$103:$F$114,2,FALSE)</f>
        <v>Aquecidos</v>
      </c>
      <c r="F1551" s="61">
        <v>3700</v>
      </c>
      <c r="G1551" t="str">
        <f>VLOOKUP(Tabela1[[#This Row],[Cliente]],clientes!$C$3:$D$60,2,FALSE)</f>
        <v>ARES MERCHANTS PTE LIMITE</v>
      </c>
    </row>
    <row r="1552" spans="1:7" x14ac:dyDescent="0.25">
      <c r="A1552" s="10">
        <v>2025</v>
      </c>
      <c r="B1552" s="10" t="s">
        <v>128</v>
      </c>
      <c r="C1552" s="10" t="s">
        <v>18</v>
      </c>
      <c r="D1552" s="10" t="s">
        <v>17</v>
      </c>
      <c r="E1552" s="25" t="str">
        <f>VLOOKUP(D1552,'[2]Lista de Produtos CLASSIFICAÇÃO'!$E$103:$F$114,2,FALSE)</f>
        <v>Acostagem</v>
      </c>
      <c r="F1552" s="61"/>
      <c r="G1552" t="str">
        <f>VLOOKUP(Tabela1[[#This Row],[Cliente]],clientes!$C$3:$D$60,2,FALSE)</f>
        <v>ACOSTAGEM</v>
      </c>
    </row>
    <row r="1553" spans="1:7" x14ac:dyDescent="0.25">
      <c r="A1553" s="10">
        <v>2025</v>
      </c>
      <c r="B1553" s="10" t="s">
        <v>128</v>
      </c>
      <c r="C1553" s="10" t="s">
        <v>189</v>
      </c>
      <c r="D1553" t="s">
        <v>123</v>
      </c>
      <c r="E1553" s="25" t="str">
        <f>VLOOKUP(D1553,'[2]Lista de Produtos CLASSIFICAÇÃO'!$E$103:$F$114,2,FALSE)</f>
        <v>Aquecidos</v>
      </c>
      <c r="F1553" s="61">
        <v>2500</v>
      </c>
      <c r="G1553" t="str">
        <f>VLOOKUP(Tabela1[[#This Row],[Cliente]],clientes!$C$3:$D$60,2,FALSE)</f>
        <v>ICOF</v>
      </c>
    </row>
    <row r="1554" spans="1:7" x14ac:dyDescent="0.25">
      <c r="A1554" s="10">
        <v>2025</v>
      </c>
      <c r="B1554" s="10" t="s">
        <v>128</v>
      </c>
      <c r="C1554" s="10" t="s">
        <v>191</v>
      </c>
      <c r="D1554" t="s">
        <v>115</v>
      </c>
      <c r="E1554" s="25" t="str">
        <f>VLOOKUP(D1554,'[2]Lista de Produtos CLASSIFICAÇÃO'!$E$103:$F$114,2,FALSE)</f>
        <v>Soda Caustica</v>
      </c>
      <c r="F1554" s="61"/>
      <c r="G1554" t="str">
        <f>VLOOKUP(Tabela1[[#This Row],[Cliente]],clientes!$C$3:$D$60,2,FALSE)</f>
        <v>GPC</v>
      </c>
    </row>
    <row r="1555" spans="1:7" x14ac:dyDescent="0.25">
      <c r="A1555" s="10">
        <v>2025</v>
      </c>
      <c r="B1555" s="10" t="s">
        <v>128</v>
      </c>
      <c r="C1555" s="10" t="s">
        <v>192</v>
      </c>
      <c r="D1555" s="10" t="s">
        <v>121</v>
      </c>
      <c r="E1555" s="25" t="str">
        <f>VLOOKUP(D1555,'[2]Lista de Produtos CLASSIFICAÇÃO'!$E$103:$F$114,2,FALSE)</f>
        <v>Biocombustíveis</v>
      </c>
      <c r="F1555" s="61">
        <v>11850</v>
      </c>
      <c r="G1555" t="str">
        <f>VLOOKUP(Tabela1[[#This Row],[Cliente]],clientes!$C$3:$D$60,2,FALSE)</f>
        <v>INPASA</v>
      </c>
    </row>
    <row r="1556" spans="1:7" x14ac:dyDescent="0.25">
      <c r="A1556" s="10">
        <v>2025</v>
      </c>
      <c r="B1556" s="10" t="s">
        <v>132</v>
      </c>
      <c r="C1556" s="10" t="s">
        <v>155</v>
      </c>
      <c r="D1556" s="10" t="s">
        <v>16</v>
      </c>
      <c r="E1556" s="25" t="str">
        <f>VLOOKUP(D1556,'[2]Lista de Produtos CLASSIFICAÇÃO'!$E$103:$F$114,2,FALSE)</f>
        <v>Outros</v>
      </c>
      <c r="F1556" s="61">
        <v>4500</v>
      </c>
      <c r="G1556" t="str">
        <f>VLOOKUP(Tabela1[[#This Row],[Cliente]],clientes!$C$3:$D$60,2,FALSE)</f>
        <v>ADISSEO</v>
      </c>
    </row>
    <row r="1557" spans="1:7" x14ac:dyDescent="0.25">
      <c r="A1557" s="10">
        <v>2025</v>
      </c>
      <c r="B1557" s="10" t="s">
        <v>132</v>
      </c>
      <c r="C1557" s="10" t="s">
        <v>156</v>
      </c>
      <c r="D1557" s="10" t="s">
        <v>123</v>
      </c>
      <c r="E1557" s="25" t="str">
        <f>VLOOKUP(D1557,'[2]Lista de Produtos CLASSIFICAÇÃO'!$E$103:$F$114,2,FALSE)</f>
        <v>Aquecidos</v>
      </c>
      <c r="F1557" s="61">
        <v>2100</v>
      </c>
      <c r="G1557" t="str">
        <f>VLOOKUP(Tabela1[[#This Row],[Cliente]],clientes!$C$3:$D$60,2,FALSE)</f>
        <v>BUNGE</v>
      </c>
    </row>
    <row r="1558" spans="1:7" x14ac:dyDescent="0.25">
      <c r="A1558" s="10">
        <v>2025</v>
      </c>
      <c r="B1558" s="10" t="s">
        <v>132</v>
      </c>
      <c r="C1558" s="10" t="s">
        <v>157</v>
      </c>
      <c r="D1558" s="10" t="s">
        <v>122</v>
      </c>
      <c r="E1558" s="25" t="str">
        <f>VLOOKUP(D1558,'[2]Lista de Produtos CLASSIFICAÇÃO'!$E$103:$F$114,2,FALSE)</f>
        <v>Óleo Vegetal</v>
      </c>
      <c r="F1558" s="61">
        <v>1700</v>
      </c>
      <c r="G1558" t="str">
        <f>VLOOKUP(Tabela1[[#This Row],[Cliente]],clientes!$C$3:$D$60,2,FALSE)</f>
        <v>ADM</v>
      </c>
    </row>
    <row r="1559" spans="1:7" x14ac:dyDescent="0.25">
      <c r="A1559" s="10">
        <v>2025</v>
      </c>
      <c r="B1559" s="10" t="s">
        <v>132</v>
      </c>
      <c r="C1559" s="10" t="s">
        <v>158</v>
      </c>
      <c r="D1559" s="10" t="s">
        <v>120</v>
      </c>
      <c r="E1559" s="25" t="str">
        <f>VLOOKUP(D1559,'[2]Lista de Produtos CLASSIFICAÇÃO'!$E$103:$F$114,2,FALSE)</f>
        <v>Derivados</v>
      </c>
      <c r="F1559" s="61">
        <v>45000</v>
      </c>
      <c r="G1559" t="str">
        <f>VLOOKUP(Tabela1[[#This Row],[Cliente]],clientes!$C$3:$D$60,2,FALSE)</f>
        <v>IPIRANGA</v>
      </c>
    </row>
    <row r="1560" spans="1:7" x14ac:dyDescent="0.25">
      <c r="A1560" s="10">
        <v>2025</v>
      </c>
      <c r="B1560" s="10" t="s">
        <v>132</v>
      </c>
      <c r="C1560" s="10" t="s">
        <v>159</v>
      </c>
      <c r="D1560" s="10" t="s">
        <v>120</v>
      </c>
      <c r="E1560" s="25" t="str">
        <f>VLOOKUP(D1560,'[2]Lista de Produtos CLASSIFICAÇÃO'!$E$103:$F$114,2,FALSE)</f>
        <v>Derivados</v>
      </c>
      <c r="F1560" s="61">
        <v>41500</v>
      </c>
      <c r="G1560" t="str">
        <f>VLOOKUP(Tabela1[[#This Row],[Cliente]],clientes!$C$3:$D$60,2,FALSE)</f>
        <v>RAIZEN</v>
      </c>
    </row>
    <row r="1561" spans="1:7" x14ac:dyDescent="0.25">
      <c r="A1561" s="10">
        <v>2025</v>
      </c>
      <c r="B1561" s="10" t="s">
        <v>132</v>
      </c>
      <c r="C1561" s="10" t="s">
        <v>160</v>
      </c>
      <c r="D1561" s="10" t="s">
        <v>120</v>
      </c>
      <c r="E1561" s="25" t="str">
        <f>VLOOKUP(D1561,'[2]Lista de Produtos CLASSIFICAÇÃO'!$E$103:$F$114,2,FALSE)</f>
        <v>Derivados</v>
      </c>
      <c r="F1561" s="61">
        <v>16600</v>
      </c>
      <c r="G1561" t="str">
        <f>VLOOKUP(Tabela1[[#This Row],[Cliente]],clientes!$C$3:$D$60,2,FALSE)</f>
        <v>VIBRA</v>
      </c>
    </row>
    <row r="1562" spans="1:7" x14ac:dyDescent="0.25">
      <c r="A1562" s="10">
        <v>2025</v>
      </c>
      <c r="B1562" s="10" t="s">
        <v>132</v>
      </c>
      <c r="C1562" s="10" t="s">
        <v>161</v>
      </c>
      <c r="D1562" s="10" t="s">
        <v>120</v>
      </c>
      <c r="E1562" s="25" t="str">
        <f>VLOOKUP(D1562,'[2]Lista de Produtos CLASSIFICAÇÃO'!$E$103:$F$114,2,FALSE)</f>
        <v>Derivados</v>
      </c>
      <c r="F1562" s="61">
        <v>20000</v>
      </c>
      <c r="G1562" t="str">
        <f>VLOOKUP(Tabela1[[#This Row],[Cliente]],clientes!$C$3:$D$60,2,FALSE)</f>
        <v>SUL PLATA</v>
      </c>
    </row>
    <row r="1563" spans="1:7" x14ac:dyDescent="0.25">
      <c r="A1563" s="10">
        <v>2025</v>
      </c>
      <c r="B1563" s="10" t="s">
        <v>132</v>
      </c>
      <c r="C1563" s="10" t="s">
        <v>162</v>
      </c>
      <c r="D1563" s="10" t="s">
        <v>115</v>
      </c>
      <c r="E1563" s="25" t="str">
        <f>VLOOKUP(D1563,'[2]Lista de Produtos CLASSIFICAÇÃO'!$E$103:$F$114,2,FALSE)</f>
        <v>Soda Caustica</v>
      </c>
      <c r="F1563" s="61">
        <v>1800</v>
      </c>
      <c r="G1563" t="str">
        <f>VLOOKUP(Tabela1[[#This Row],[Cliente]],clientes!$C$3:$D$60,2,FALSE)</f>
        <v>JBS</v>
      </c>
    </row>
    <row r="1564" spans="1:7" x14ac:dyDescent="0.25">
      <c r="A1564" s="10">
        <v>2025</v>
      </c>
      <c r="B1564" s="10" t="s">
        <v>132</v>
      </c>
      <c r="C1564" s="10" t="s">
        <v>163</v>
      </c>
      <c r="D1564" t="s">
        <v>115</v>
      </c>
      <c r="E1564" s="25" t="str">
        <f>VLOOKUP(D1564,'[2]Lista de Produtos CLASSIFICAÇÃO'!$E$103:$F$114,2,FALSE)</f>
        <v>Soda Caustica</v>
      </c>
      <c r="F1564" s="61">
        <v>3800</v>
      </c>
      <c r="G1564" t="str">
        <f>VLOOKUP(Tabela1[[#This Row],[Cliente]],clientes!$C$3:$D$60,2,FALSE)</f>
        <v>TRICON ENERGY</v>
      </c>
    </row>
    <row r="1565" spans="1:7" x14ac:dyDescent="0.25">
      <c r="A1565" s="10">
        <v>2025</v>
      </c>
      <c r="B1565" s="10" t="s">
        <v>132</v>
      </c>
      <c r="C1565" s="10" t="s">
        <v>164</v>
      </c>
      <c r="D1565" t="s">
        <v>115</v>
      </c>
      <c r="E1565" s="25" t="str">
        <f>VLOOKUP(D1565,'[2]Lista de Produtos CLASSIFICAÇÃO'!$E$103:$F$114,2,FALSE)</f>
        <v>Soda Caustica</v>
      </c>
      <c r="F1565" s="61">
        <v>1300</v>
      </c>
      <c r="G1565" t="str">
        <f>VLOOKUP(Tabela1[[#This Row],[Cliente]],clientes!$C$3:$D$60,2,FALSE)</f>
        <v>BRASKEM</v>
      </c>
    </row>
    <row r="1566" spans="1:7" x14ac:dyDescent="0.25">
      <c r="A1566" s="10">
        <v>2025</v>
      </c>
      <c r="B1566" s="10" t="s">
        <v>132</v>
      </c>
      <c r="C1566" s="10" t="s">
        <v>165</v>
      </c>
      <c r="D1566" s="10" t="s">
        <v>123</v>
      </c>
      <c r="E1566" s="25" t="str">
        <f>VLOOKUP(D1566,'[2]Lista de Produtos CLASSIFICAÇÃO'!$E$103:$F$114,2,FALSE)</f>
        <v>Aquecidos</v>
      </c>
      <c r="F1566" s="61">
        <v>4000</v>
      </c>
      <c r="G1566" t="str">
        <f>VLOOKUP(Tabela1[[#This Row],[Cliente]],clientes!$C$3:$D$60,2,FALSE)</f>
        <v>BRF</v>
      </c>
    </row>
    <row r="1567" spans="1:7" x14ac:dyDescent="0.25">
      <c r="A1567" s="10">
        <v>2025</v>
      </c>
      <c r="B1567" s="10" t="s">
        <v>132</v>
      </c>
      <c r="C1567" s="10" t="s">
        <v>162</v>
      </c>
      <c r="D1567" s="10" t="s">
        <v>123</v>
      </c>
      <c r="E1567" s="25" t="str">
        <f>VLOOKUP(D1567,'[2]Lista de Produtos CLASSIFICAÇÃO'!$E$103:$F$114,2,FALSE)</f>
        <v>Aquecidos</v>
      </c>
      <c r="F1567" s="61">
        <v>4520</v>
      </c>
      <c r="G1567" t="str">
        <f>VLOOKUP(Tabela1[[#This Row],[Cliente]],clientes!$C$3:$D$60,2,FALSE)</f>
        <v>JBS</v>
      </c>
    </row>
    <row r="1568" spans="1:7" x14ac:dyDescent="0.25">
      <c r="A1568" s="10">
        <v>2025</v>
      </c>
      <c r="B1568" s="10" t="s">
        <v>132</v>
      </c>
      <c r="C1568" s="10" t="s">
        <v>166</v>
      </c>
      <c r="D1568" s="10" t="s">
        <v>123</v>
      </c>
      <c r="E1568" s="25" t="str">
        <f>VLOOKUP(D1568,'[2]Lista de Produtos CLASSIFICAÇÃO'!$E$103:$F$114,2,FALSE)</f>
        <v>Aquecidos</v>
      </c>
      <c r="F1568" s="61">
        <v>3900</v>
      </c>
      <c r="G1568" t="str">
        <f>VLOOKUP(Tabela1[[#This Row],[Cliente]],clientes!$C$3:$D$60,2,FALSE)</f>
        <v>CARGILL</v>
      </c>
    </row>
    <row r="1569" spans="1:7" x14ac:dyDescent="0.25">
      <c r="A1569" s="10">
        <v>2025</v>
      </c>
      <c r="B1569" s="10" t="s">
        <v>132</v>
      </c>
      <c r="C1569" s="10" t="s">
        <v>167</v>
      </c>
      <c r="D1569" s="10" t="s">
        <v>122</v>
      </c>
      <c r="E1569" s="25" t="str">
        <f>VLOOKUP(D1569,'[2]Lista de Produtos CLASSIFICAÇÃO'!$E$103:$F$114,2,FALSE)</f>
        <v>Óleo Vegetal</v>
      </c>
      <c r="F1569" s="61">
        <v>20156.82</v>
      </c>
      <c r="G1569" t="str">
        <f>VLOOKUP(Tabela1[[#This Row],[Cliente]],clientes!$C$3:$D$60,2,FALSE)</f>
        <v>POOL</v>
      </c>
    </row>
    <row r="1570" spans="1:7" x14ac:dyDescent="0.25">
      <c r="A1570" s="10">
        <v>2025</v>
      </c>
      <c r="B1570" s="10" t="s">
        <v>132</v>
      </c>
      <c r="C1570" s="10" t="s">
        <v>168</v>
      </c>
      <c r="D1570" s="10" t="s">
        <v>122</v>
      </c>
      <c r="E1570" s="25" t="str">
        <f>VLOOKUP(D1570,'[2]Lista de Produtos CLASSIFICAÇÃO'!$E$103:$F$114,2,FALSE)</f>
        <v>Óleo Vegetal</v>
      </c>
      <c r="F1570" s="61">
        <v>2000</v>
      </c>
      <c r="G1570" t="str">
        <f>VLOOKUP(Tabela1[[#This Row],[Cliente]],clientes!$C$3:$D$60,2,FALSE)</f>
        <v>POOL EXCEDENTE</v>
      </c>
    </row>
    <row r="1571" spans="1:7" x14ac:dyDescent="0.25">
      <c r="A1571" s="10">
        <v>2025</v>
      </c>
      <c r="B1571" s="10" t="s">
        <v>132</v>
      </c>
      <c r="C1571" s="10" t="s">
        <v>169</v>
      </c>
      <c r="D1571" s="10" t="s">
        <v>22</v>
      </c>
      <c r="E1571" s="25" t="str">
        <f>VLOOKUP(D1571,'[2]Lista de Produtos CLASSIFICAÇÃO'!$E$103:$F$114,2,FALSE)</f>
        <v>Metanol</v>
      </c>
      <c r="F1571" s="61">
        <v>75000</v>
      </c>
      <c r="G1571" t="str">
        <f>VLOOKUP(Tabela1[[#This Row],[Cliente]],clientes!$C$3:$D$60,2,FALSE)</f>
        <v>METHANEX</v>
      </c>
    </row>
    <row r="1572" spans="1:7" x14ac:dyDescent="0.25">
      <c r="A1572" s="10">
        <v>2025</v>
      </c>
      <c r="B1572" s="10" t="s">
        <v>132</v>
      </c>
      <c r="C1572" s="10" t="s">
        <v>170</v>
      </c>
      <c r="D1572" s="10" t="s">
        <v>22</v>
      </c>
      <c r="E1572" s="25" t="str">
        <f>VLOOKUP(D1572,'[2]Lista de Produtos CLASSIFICAÇÃO'!$E$103:$F$114,2,FALSE)</f>
        <v>Metanol</v>
      </c>
      <c r="F1572" s="61">
        <v>17000</v>
      </c>
      <c r="G1572" t="str">
        <f>VLOOKUP(Tabela1[[#This Row],[Cliente]],clientes!$C$3:$D$60,2,FALSE)</f>
        <v>MITSUBISHI</v>
      </c>
    </row>
    <row r="1573" spans="1:7" x14ac:dyDescent="0.25">
      <c r="A1573" s="10">
        <v>2025</v>
      </c>
      <c r="B1573" s="10" t="s">
        <v>132</v>
      </c>
      <c r="C1573" s="10" t="s">
        <v>171</v>
      </c>
      <c r="D1573" s="10" t="s">
        <v>22</v>
      </c>
      <c r="E1573" s="25" t="str">
        <f>VLOOKUP(D1573,'[2]Lista de Produtos CLASSIFICAÇÃO'!$E$103:$F$114,2,FALSE)</f>
        <v>Metanol</v>
      </c>
      <c r="F1573" s="61">
        <v>26000</v>
      </c>
      <c r="G1573" t="str">
        <f>VLOOKUP(Tabela1[[#This Row],[Cliente]],clientes!$C$3:$D$60,2,FALSE)</f>
        <v>VALENZ</v>
      </c>
    </row>
    <row r="1574" spans="1:7" x14ac:dyDescent="0.25">
      <c r="A1574" s="10">
        <v>2025</v>
      </c>
      <c r="B1574" s="10" t="s">
        <v>132</v>
      </c>
      <c r="C1574" s="10" t="s">
        <v>172</v>
      </c>
      <c r="D1574" s="10" t="s">
        <v>124</v>
      </c>
      <c r="E1574" s="25" t="str">
        <f>VLOOKUP(D1574,'[2]Lista de Produtos CLASSIFICAÇÃO'!$E$103:$F$114,2,FALSE)</f>
        <v>Outros</v>
      </c>
      <c r="F1574" s="61">
        <v>1500</v>
      </c>
      <c r="G1574" t="str">
        <f>VLOOKUP(Tabela1[[#This Row],[Cliente]],clientes!$C$3:$D$60,2,FALSE)</f>
        <v>EVONIK</v>
      </c>
    </row>
    <row r="1575" spans="1:7" x14ac:dyDescent="0.25">
      <c r="A1575" s="10">
        <v>2025</v>
      </c>
      <c r="B1575" s="10" t="s">
        <v>132</v>
      </c>
      <c r="C1575" s="10" t="s">
        <v>186</v>
      </c>
      <c r="D1575" s="10" t="s">
        <v>22</v>
      </c>
      <c r="E1575" s="25" t="str">
        <f>VLOOKUP(D1575,'[2]Lista de Produtos CLASSIFICAÇÃO'!$E$103:$F$114,2,FALSE)</f>
        <v>Metanol</v>
      </c>
      <c r="F1575" s="61">
        <v>2500</v>
      </c>
      <c r="G1575" t="str">
        <f>VLOOKUP(Tabela1[[#This Row],[Cliente]],clientes!$C$3:$D$60,2,FALSE)</f>
        <v>OQ TRADING</v>
      </c>
    </row>
    <row r="1576" spans="1:7" x14ac:dyDescent="0.25">
      <c r="A1576" s="10">
        <v>2025</v>
      </c>
      <c r="B1576" s="10" t="s">
        <v>132</v>
      </c>
      <c r="C1576" s="10" t="s">
        <v>174</v>
      </c>
      <c r="D1576" s="10" t="s">
        <v>123</v>
      </c>
      <c r="E1576" s="25" t="str">
        <f>VLOOKUP(D1576,'[2]Lista de Produtos CLASSIFICAÇÃO'!$E$103:$F$114,2,FALSE)</f>
        <v>Aquecidos</v>
      </c>
      <c r="F1576" s="61">
        <v>12500</v>
      </c>
      <c r="G1576" t="str">
        <f>VLOOKUP(Tabela1[[#This Row],[Cliente]],clientes!$C$3:$D$60,2,FALSE)</f>
        <v>CELENA</v>
      </c>
    </row>
    <row r="1577" spans="1:7" x14ac:dyDescent="0.25">
      <c r="A1577" s="10">
        <v>2025</v>
      </c>
      <c r="B1577" s="10" t="s">
        <v>132</v>
      </c>
      <c r="C1577" s="10" t="s">
        <v>175</v>
      </c>
      <c r="D1577" s="10" t="s">
        <v>123</v>
      </c>
      <c r="E1577" s="25" t="str">
        <f>VLOOKUP(D1577,'[2]Lista de Produtos CLASSIFICAÇÃO'!$E$103:$F$114,2,FALSE)</f>
        <v>Aquecidos</v>
      </c>
      <c r="F1577" s="61">
        <v>3600</v>
      </c>
      <c r="G1577" t="str">
        <f>VLOOKUP(Tabela1[[#This Row],[Cliente]],clientes!$C$3:$D$60,2,FALSE)</f>
        <v>AAK DO BRASIL</v>
      </c>
    </row>
    <row r="1578" spans="1:7" x14ac:dyDescent="0.25">
      <c r="A1578" s="10">
        <v>2025</v>
      </c>
      <c r="B1578" s="10" t="s">
        <v>132</v>
      </c>
      <c r="C1578" s="10" t="s">
        <v>166</v>
      </c>
      <c r="D1578" s="10" t="s">
        <v>122</v>
      </c>
      <c r="E1578" s="25" t="str">
        <f>VLOOKUP(D1578,'[2]Lista de Produtos CLASSIFICAÇÃO'!$E$103:$F$114,2,FALSE)</f>
        <v>Óleo Vegetal</v>
      </c>
      <c r="F1578" s="61"/>
      <c r="G1578" t="str">
        <f>VLOOKUP(Tabela1[[#This Row],[Cliente]],clientes!$C$3:$D$60,2,FALSE)</f>
        <v>CARGILL</v>
      </c>
    </row>
    <row r="1579" spans="1:7" x14ac:dyDescent="0.25">
      <c r="A1579" s="10">
        <v>2025</v>
      </c>
      <c r="B1579" s="10" t="s">
        <v>132</v>
      </c>
      <c r="C1579" s="10" t="s">
        <v>176</v>
      </c>
      <c r="D1579" s="10" t="s">
        <v>123</v>
      </c>
      <c r="E1579" s="25" t="str">
        <f>VLOOKUP(D1579,'[2]Lista de Produtos CLASSIFICAÇÃO'!$E$103:$F$114,2,FALSE)</f>
        <v>Aquecidos</v>
      </c>
      <c r="F1579" s="61">
        <v>3500</v>
      </c>
      <c r="G1579" t="str">
        <f>VLOOKUP(Tabela1[[#This Row],[Cliente]],clientes!$C$3:$D$60,2,FALSE)</f>
        <v>AGROPALMA</v>
      </c>
    </row>
    <row r="1580" spans="1:7" x14ac:dyDescent="0.25">
      <c r="A1580" s="10">
        <v>2025</v>
      </c>
      <c r="B1580" s="10" t="s">
        <v>132</v>
      </c>
      <c r="C1580" s="10" t="s">
        <v>177</v>
      </c>
      <c r="D1580" s="10" t="s">
        <v>115</v>
      </c>
      <c r="E1580" s="25" t="str">
        <f>VLOOKUP(D1580,'[2]Lista de Produtos CLASSIFICAÇÃO'!$E$103:$F$114,2,FALSE)</f>
        <v>Soda Caustica</v>
      </c>
      <c r="F1580" s="61">
        <v>2800</v>
      </c>
      <c r="G1580" t="str">
        <f>VLOOKUP(Tabela1[[#This Row],[Cliente]],clientes!$C$3:$D$60,2,FALSE)</f>
        <v>BRENNTAG</v>
      </c>
    </row>
    <row r="1581" spans="1:7" x14ac:dyDescent="0.25">
      <c r="A1581" s="10">
        <v>2025</v>
      </c>
      <c r="B1581" s="10" t="s">
        <v>132</v>
      </c>
      <c r="C1581" s="10" t="s">
        <v>178</v>
      </c>
      <c r="D1581" s="10" t="s">
        <v>115</v>
      </c>
      <c r="E1581" s="25" t="str">
        <f>VLOOKUP(D1581,'[2]Lista de Produtos CLASSIFICAÇÃO'!$E$103:$F$114,2,FALSE)</f>
        <v>Soda Caustica</v>
      </c>
      <c r="F1581" s="61">
        <v>20000</v>
      </c>
      <c r="G1581" t="str">
        <f>VLOOKUP(Tabela1[[#This Row],[Cliente]],clientes!$C$3:$D$60,2,FALSE)</f>
        <v>OLIN BLUE CUBE</v>
      </c>
    </row>
    <row r="1582" spans="1:7" x14ac:dyDescent="0.25">
      <c r="A1582" s="10">
        <v>2025</v>
      </c>
      <c r="B1582" s="10" t="s">
        <v>132</v>
      </c>
      <c r="C1582" s="10" t="s">
        <v>179</v>
      </c>
      <c r="D1582" s="10" t="s">
        <v>26</v>
      </c>
      <c r="E1582" s="25" t="str">
        <f>VLOOKUP(D1582,'[2]Lista de Produtos CLASSIFICAÇÃO'!$E$103:$F$114,2,FALSE)</f>
        <v>Biocombustíveis</v>
      </c>
      <c r="F1582" s="61"/>
      <c r="G1582" t="str">
        <f>VLOOKUP(Tabela1[[#This Row],[Cliente]],clientes!$C$3:$D$60,2,FALSE)</f>
        <v>BSBIOS</v>
      </c>
    </row>
    <row r="1583" spans="1:7" x14ac:dyDescent="0.25">
      <c r="A1583" s="10">
        <v>2025</v>
      </c>
      <c r="B1583" s="10" t="s">
        <v>132</v>
      </c>
      <c r="C1583" s="10" t="s">
        <v>181</v>
      </c>
      <c r="D1583" s="10" t="s">
        <v>123</v>
      </c>
      <c r="E1583" s="25" t="str">
        <f>VLOOKUP(D1583,'[2]Lista de Produtos CLASSIFICAÇÃO'!$E$103:$F$114,2,FALSE)</f>
        <v>Aquecidos</v>
      </c>
      <c r="F1583" s="61">
        <v>1600</v>
      </c>
      <c r="G1583" t="str">
        <f>VLOOKUP(Tabela1[[#This Row],[Cliente]],clientes!$C$3:$D$60,2,FALSE)</f>
        <v>COAMO</v>
      </c>
    </row>
    <row r="1584" spans="1:7" x14ac:dyDescent="0.25">
      <c r="A1584" s="10">
        <v>2025</v>
      </c>
      <c r="B1584" s="10" t="s">
        <v>132</v>
      </c>
      <c r="C1584" s="10" t="s">
        <v>182</v>
      </c>
      <c r="D1584" s="10" t="s">
        <v>120</v>
      </c>
      <c r="E1584" s="25" t="str">
        <f>VLOOKUP(D1584,'[2]Lista de Produtos CLASSIFICAÇÃO'!$E$103:$F$114,2,FALSE)</f>
        <v>Derivados</v>
      </c>
      <c r="F1584" s="61">
        <v>8300</v>
      </c>
      <c r="G1584" t="str">
        <f>VLOOKUP(Tabela1[[#This Row],[Cliente]],clientes!$C$3:$D$60,2,FALSE)</f>
        <v>ATEM</v>
      </c>
    </row>
    <row r="1585" spans="1:7" x14ac:dyDescent="0.25">
      <c r="A1585" s="10">
        <v>2025</v>
      </c>
      <c r="B1585" s="10" t="s">
        <v>132</v>
      </c>
      <c r="C1585" s="10" t="s">
        <v>184</v>
      </c>
      <c r="D1585" s="10" t="s">
        <v>122</v>
      </c>
      <c r="E1585" s="25" t="str">
        <f>VLOOKUP(D1585,'[2]Lista de Produtos CLASSIFICAÇÃO'!$E$103:$F$114,2,FALSE)</f>
        <v>Óleo Vegetal</v>
      </c>
      <c r="F1585" s="61"/>
      <c r="G1585" t="str">
        <f>VLOOKUP(Tabela1[[#This Row],[Cliente]],clientes!$C$3:$D$60,2,FALSE)</f>
        <v>INGREDION</v>
      </c>
    </row>
    <row r="1586" spans="1:7" x14ac:dyDescent="0.25">
      <c r="A1586" s="10">
        <v>2025</v>
      </c>
      <c r="B1586" s="10" t="s">
        <v>132</v>
      </c>
      <c r="C1586" s="10" t="s">
        <v>185</v>
      </c>
      <c r="D1586" s="10" t="s">
        <v>120</v>
      </c>
      <c r="E1586" s="25" t="str">
        <f>VLOOKUP(D1586,'[2]Lista de Produtos CLASSIFICAÇÃO'!$E$103:$F$114,2,FALSE)</f>
        <v>Derivados</v>
      </c>
      <c r="F1586" s="61">
        <v>12450</v>
      </c>
      <c r="G1586" t="str">
        <f>VLOOKUP(Tabela1[[#This Row],[Cliente]],clientes!$C$3:$D$60,2,FALSE)</f>
        <v>CIAPETRO</v>
      </c>
    </row>
    <row r="1587" spans="1:7" x14ac:dyDescent="0.25">
      <c r="A1587" s="10">
        <v>2025</v>
      </c>
      <c r="B1587" s="10" t="s">
        <v>132</v>
      </c>
      <c r="C1587" s="10" t="s">
        <v>187</v>
      </c>
      <c r="D1587" s="10" t="s">
        <v>121</v>
      </c>
      <c r="E1587" s="25" t="str">
        <f>VLOOKUP(D1587,'[2]Lista de Produtos CLASSIFICAÇÃO'!$E$103:$F$114,2,FALSE)</f>
        <v>Biocombustíveis</v>
      </c>
      <c r="F1587" s="61"/>
      <c r="G1587" t="str">
        <f>VLOOKUP(Tabela1[[#This Row],[Cliente]],clientes!$C$3:$D$60,2,FALSE)</f>
        <v>TEREOS / INPASA / GLENCORE / FS</v>
      </c>
    </row>
    <row r="1588" spans="1:7" x14ac:dyDescent="0.25">
      <c r="A1588" s="10">
        <v>2025</v>
      </c>
      <c r="B1588" s="10" t="s">
        <v>132</v>
      </c>
      <c r="C1588" s="10" t="s">
        <v>188</v>
      </c>
      <c r="D1588" s="10" t="s">
        <v>123</v>
      </c>
      <c r="E1588" s="25" t="str">
        <f>VLOOKUP(D1588,'[2]Lista de Produtos CLASSIFICAÇÃO'!$E$103:$F$114,2,FALSE)</f>
        <v>Aquecidos</v>
      </c>
      <c r="F1588" s="61">
        <v>3700</v>
      </c>
      <c r="G1588" t="str">
        <f>VLOOKUP(Tabela1[[#This Row],[Cliente]],clientes!$C$3:$D$60,2,FALSE)</f>
        <v>ARES MERCHANTS PTE LIMITE</v>
      </c>
    </row>
    <row r="1589" spans="1:7" x14ac:dyDescent="0.25">
      <c r="A1589" s="10">
        <v>2025</v>
      </c>
      <c r="B1589" s="10" t="s">
        <v>132</v>
      </c>
      <c r="C1589" s="10" t="s">
        <v>18</v>
      </c>
      <c r="D1589" s="10" t="s">
        <v>17</v>
      </c>
      <c r="E1589" s="25" t="str">
        <f>VLOOKUP(D1589,'[2]Lista de Produtos CLASSIFICAÇÃO'!$E$103:$F$114,2,FALSE)</f>
        <v>Acostagem</v>
      </c>
      <c r="F1589" s="61"/>
      <c r="G1589" t="str">
        <f>VLOOKUP(Tabela1[[#This Row],[Cliente]],clientes!$C$3:$D$60,2,FALSE)</f>
        <v>ACOSTAGEM</v>
      </c>
    </row>
    <row r="1590" spans="1:7" x14ac:dyDescent="0.25">
      <c r="A1590" s="10">
        <v>2025</v>
      </c>
      <c r="B1590" s="10" t="s">
        <v>132</v>
      </c>
      <c r="C1590" s="10" t="s">
        <v>189</v>
      </c>
      <c r="D1590" t="s">
        <v>123</v>
      </c>
      <c r="E1590" s="25" t="str">
        <f>VLOOKUP(D1590,'[2]Lista de Produtos CLASSIFICAÇÃO'!$E$103:$F$114,2,FALSE)</f>
        <v>Aquecidos</v>
      </c>
      <c r="F1590" s="61">
        <v>2500</v>
      </c>
      <c r="G1590" t="str">
        <f>VLOOKUP(Tabela1[[#This Row],[Cliente]],clientes!$C$3:$D$60,2,FALSE)</f>
        <v>ICOF</v>
      </c>
    </row>
    <row r="1591" spans="1:7" x14ac:dyDescent="0.25">
      <c r="A1591" s="10">
        <v>2025</v>
      </c>
      <c r="B1591" s="10" t="s">
        <v>132</v>
      </c>
      <c r="C1591" s="10" t="s">
        <v>191</v>
      </c>
      <c r="D1591" t="s">
        <v>115</v>
      </c>
      <c r="E1591" s="25" t="str">
        <f>VLOOKUP(D1591,'[2]Lista de Produtos CLASSIFICAÇÃO'!$E$103:$F$114,2,FALSE)</f>
        <v>Soda Caustica</v>
      </c>
      <c r="F1591" s="61"/>
      <c r="G1591" t="str">
        <f>VLOOKUP(Tabela1[[#This Row],[Cliente]],clientes!$C$3:$D$60,2,FALSE)</f>
        <v>GPC</v>
      </c>
    </row>
    <row r="1592" spans="1:7" x14ac:dyDescent="0.25">
      <c r="A1592" s="10">
        <v>2025</v>
      </c>
      <c r="B1592" s="10" t="s">
        <v>132</v>
      </c>
      <c r="C1592" s="10" t="s">
        <v>192</v>
      </c>
      <c r="D1592" s="10" t="s">
        <v>121</v>
      </c>
      <c r="E1592" s="25" t="str">
        <f>VLOOKUP(D1592,'[2]Lista de Produtos CLASSIFICAÇÃO'!$E$103:$F$114,2,FALSE)</f>
        <v>Biocombustíveis</v>
      </c>
      <c r="F1592" s="61">
        <v>11850</v>
      </c>
      <c r="G1592" t="str">
        <f>VLOOKUP(Tabela1[[#This Row],[Cliente]],clientes!$C$3:$D$60,2,FALSE)</f>
        <v>INPASA</v>
      </c>
    </row>
    <row r="1593" spans="1:7" x14ac:dyDescent="0.25">
      <c r="A1593" s="10">
        <v>2025</v>
      </c>
      <c r="B1593" s="10" t="s">
        <v>133</v>
      </c>
      <c r="C1593" s="10" t="s">
        <v>155</v>
      </c>
      <c r="D1593" s="10" t="s">
        <v>16</v>
      </c>
      <c r="E1593" s="25" t="str">
        <f>VLOOKUP(D1593,'[2]Lista de Produtos CLASSIFICAÇÃO'!$E$103:$F$114,2,FALSE)</f>
        <v>Outros</v>
      </c>
      <c r="F1593" s="61">
        <v>4500</v>
      </c>
      <c r="G1593" t="str">
        <f>VLOOKUP(Tabela1[[#This Row],[Cliente]],clientes!$C$3:$D$60,2,FALSE)</f>
        <v>ADISSEO</v>
      </c>
    </row>
    <row r="1594" spans="1:7" x14ac:dyDescent="0.25">
      <c r="A1594" s="10">
        <v>2025</v>
      </c>
      <c r="B1594" s="10" t="s">
        <v>133</v>
      </c>
      <c r="C1594" s="10" t="s">
        <v>156</v>
      </c>
      <c r="D1594" s="10" t="s">
        <v>123</v>
      </c>
      <c r="E1594" s="25" t="str">
        <f>VLOOKUP(D1594,'[2]Lista de Produtos CLASSIFICAÇÃO'!$E$103:$F$114,2,FALSE)</f>
        <v>Aquecidos</v>
      </c>
      <c r="F1594" s="61">
        <v>2100</v>
      </c>
      <c r="G1594" t="str">
        <f>VLOOKUP(Tabela1[[#This Row],[Cliente]],clientes!$C$3:$D$60,2,FALSE)</f>
        <v>BUNGE</v>
      </c>
    </row>
    <row r="1595" spans="1:7" x14ac:dyDescent="0.25">
      <c r="A1595" s="10">
        <v>2025</v>
      </c>
      <c r="B1595" s="10" t="s">
        <v>133</v>
      </c>
      <c r="C1595" s="10" t="s">
        <v>157</v>
      </c>
      <c r="D1595" s="10" t="s">
        <v>122</v>
      </c>
      <c r="E1595" s="25" t="str">
        <f>VLOOKUP(D1595,'[2]Lista de Produtos CLASSIFICAÇÃO'!$E$103:$F$114,2,FALSE)</f>
        <v>Óleo Vegetal</v>
      </c>
      <c r="F1595" s="61">
        <v>1700</v>
      </c>
      <c r="G1595" t="str">
        <f>VLOOKUP(Tabela1[[#This Row],[Cliente]],clientes!$C$3:$D$60,2,FALSE)</f>
        <v>ADM</v>
      </c>
    </row>
    <row r="1596" spans="1:7" x14ac:dyDescent="0.25">
      <c r="A1596" s="10">
        <v>2025</v>
      </c>
      <c r="B1596" s="10" t="s">
        <v>133</v>
      </c>
      <c r="C1596" s="10" t="s">
        <v>158</v>
      </c>
      <c r="D1596" s="10" t="s">
        <v>120</v>
      </c>
      <c r="E1596" s="25" t="str">
        <f>VLOOKUP(D1596,'[2]Lista de Produtos CLASSIFICAÇÃO'!$E$103:$F$114,2,FALSE)</f>
        <v>Derivados</v>
      </c>
      <c r="F1596" s="61">
        <v>45000</v>
      </c>
      <c r="G1596" t="str">
        <f>VLOOKUP(Tabela1[[#This Row],[Cliente]],clientes!$C$3:$D$60,2,FALSE)</f>
        <v>IPIRANGA</v>
      </c>
    </row>
    <row r="1597" spans="1:7" x14ac:dyDescent="0.25">
      <c r="A1597" s="10">
        <v>2025</v>
      </c>
      <c r="B1597" s="10" t="s">
        <v>133</v>
      </c>
      <c r="C1597" s="10" t="s">
        <v>159</v>
      </c>
      <c r="D1597" s="10" t="s">
        <v>120</v>
      </c>
      <c r="E1597" s="25" t="str">
        <f>VLOOKUP(D1597,'[2]Lista de Produtos CLASSIFICAÇÃO'!$E$103:$F$114,2,FALSE)</f>
        <v>Derivados</v>
      </c>
      <c r="F1597" s="61">
        <v>41500</v>
      </c>
      <c r="G1597" t="str">
        <f>VLOOKUP(Tabela1[[#This Row],[Cliente]],clientes!$C$3:$D$60,2,FALSE)</f>
        <v>RAIZEN</v>
      </c>
    </row>
    <row r="1598" spans="1:7" x14ac:dyDescent="0.25">
      <c r="A1598" s="10">
        <v>2025</v>
      </c>
      <c r="B1598" s="10" t="s">
        <v>133</v>
      </c>
      <c r="C1598" s="10" t="s">
        <v>160</v>
      </c>
      <c r="D1598" s="10" t="s">
        <v>120</v>
      </c>
      <c r="E1598" s="25" t="str">
        <f>VLOOKUP(D1598,'[2]Lista de Produtos CLASSIFICAÇÃO'!$E$103:$F$114,2,FALSE)</f>
        <v>Derivados</v>
      </c>
      <c r="F1598" s="61">
        <v>16600</v>
      </c>
      <c r="G1598" t="str">
        <f>VLOOKUP(Tabela1[[#This Row],[Cliente]],clientes!$C$3:$D$60,2,FALSE)</f>
        <v>VIBRA</v>
      </c>
    </row>
    <row r="1599" spans="1:7" x14ac:dyDescent="0.25">
      <c r="A1599" s="10">
        <v>2025</v>
      </c>
      <c r="B1599" s="10" t="s">
        <v>133</v>
      </c>
      <c r="C1599" s="10" t="s">
        <v>161</v>
      </c>
      <c r="D1599" s="10" t="s">
        <v>120</v>
      </c>
      <c r="E1599" s="25" t="str">
        <f>VLOOKUP(D1599,'[2]Lista de Produtos CLASSIFICAÇÃO'!$E$103:$F$114,2,FALSE)</f>
        <v>Derivados</v>
      </c>
      <c r="F1599" s="61">
        <v>20000</v>
      </c>
      <c r="G1599" t="str">
        <f>VLOOKUP(Tabela1[[#This Row],[Cliente]],clientes!$C$3:$D$60,2,FALSE)</f>
        <v>SUL PLATA</v>
      </c>
    </row>
    <row r="1600" spans="1:7" x14ac:dyDescent="0.25">
      <c r="A1600" s="10">
        <v>2025</v>
      </c>
      <c r="B1600" s="10" t="s">
        <v>133</v>
      </c>
      <c r="C1600" s="10" t="s">
        <v>162</v>
      </c>
      <c r="D1600" s="10" t="s">
        <v>115</v>
      </c>
      <c r="E1600" s="25" t="str">
        <f>VLOOKUP(D1600,'[2]Lista de Produtos CLASSIFICAÇÃO'!$E$103:$F$114,2,FALSE)</f>
        <v>Soda Caustica</v>
      </c>
      <c r="F1600" s="61">
        <v>1800</v>
      </c>
      <c r="G1600" t="str">
        <f>VLOOKUP(Tabela1[[#This Row],[Cliente]],clientes!$C$3:$D$60,2,FALSE)</f>
        <v>JBS</v>
      </c>
    </row>
    <row r="1601" spans="1:7" x14ac:dyDescent="0.25">
      <c r="A1601" s="10">
        <v>2025</v>
      </c>
      <c r="B1601" s="10" t="s">
        <v>133</v>
      </c>
      <c r="C1601" s="10" t="s">
        <v>163</v>
      </c>
      <c r="D1601" t="s">
        <v>115</v>
      </c>
      <c r="E1601" s="25" t="str">
        <f>VLOOKUP(D1601,'[2]Lista de Produtos CLASSIFICAÇÃO'!$E$103:$F$114,2,FALSE)</f>
        <v>Soda Caustica</v>
      </c>
      <c r="F1601" s="61">
        <v>3800</v>
      </c>
      <c r="G1601" t="str">
        <f>VLOOKUP(Tabela1[[#This Row],[Cliente]],clientes!$C$3:$D$60,2,FALSE)</f>
        <v>TRICON ENERGY</v>
      </c>
    </row>
    <row r="1602" spans="1:7" x14ac:dyDescent="0.25">
      <c r="A1602" s="10">
        <v>2025</v>
      </c>
      <c r="B1602" s="10" t="s">
        <v>133</v>
      </c>
      <c r="C1602" s="10" t="s">
        <v>164</v>
      </c>
      <c r="D1602" t="s">
        <v>115</v>
      </c>
      <c r="E1602" s="25" t="str">
        <f>VLOOKUP(D1602,'[2]Lista de Produtos CLASSIFICAÇÃO'!$E$103:$F$114,2,FALSE)</f>
        <v>Soda Caustica</v>
      </c>
      <c r="F1602" s="61">
        <v>1300</v>
      </c>
      <c r="G1602" t="str">
        <f>VLOOKUP(Tabela1[[#This Row],[Cliente]],clientes!$C$3:$D$60,2,FALSE)</f>
        <v>BRASKEM</v>
      </c>
    </row>
    <row r="1603" spans="1:7" x14ac:dyDescent="0.25">
      <c r="A1603" s="10">
        <v>2025</v>
      </c>
      <c r="B1603" s="10" t="s">
        <v>133</v>
      </c>
      <c r="C1603" s="10" t="s">
        <v>165</v>
      </c>
      <c r="D1603" s="10" t="s">
        <v>123</v>
      </c>
      <c r="E1603" s="25" t="str">
        <f>VLOOKUP(D1603,'[2]Lista de Produtos CLASSIFICAÇÃO'!$E$103:$F$114,2,FALSE)</f>
        <v>Aquecidos</v>
      </c>
      <c r="F1603" s="61">
        <v>4000</v>
      </c>
      <c r="G1603" t="str">
        <f>VLOOKUP(Tabela1[[#This Row],[Cliente]],clientes!$C$3:$D$60,2,FALSE)</f>
        <v>BRF</v>
      </c>
    </row>
    <row r="1604" spans="1:7" x14ac:dyDescent="0.25">
      <c r="A1604" s="10">
        <v>2025</v>
      </c>
      <c r="B1604" s="10" t="s">
        <v>133</v>
      </c>
      <c r="C1604" s="10" t="s">
        <v>162</v>
      </c>
      <c r="D1604" s="10" t="s">
        <v>123</v>
      </c>
      <c r="E1604" s="25" t="str">
        <f>VLOOKUP(D1604,'[2]Lista de Produtos CLASSIFICAÇÃO'!$E$103:$F$114,2,FALSE)</f>
        <v>Aquecidos</v>
      </c>
      <c r="F1604" s="61">
        <v>4520</v>
      </c>
      <c r="G1604" t="str">
        <f>VLOOKUP(Tabela1[[#This Row],[Cliente]],clientes!$C$3:$D$60,2,FALSE)</f>
        <v>JBS</v>
      </c>
    </row>
    <row r="1605" spans="1:7" x14ac:dyDescent="0.25">
      <c r="A1605" s="10">
        <v>2025</v>
      </c>
      <c r="B1605" s="10" t="s">
        <v>133</v>
      </c>
      <c r="C1605" s="10" t="s">
        <v>166</v>
      </c>
      <c r="D1605" s="10" t="s">
        <v>123</v>
      </c>
      <c r="E1605" s="25" t="str">
        <f>VLOOKUP(D1605,'[2]Lista de Produtos CLASSIFICAÇÃO'!$E$103:$F$114,2,FALSE)</f>
        <v>Aquecidos</v>
      </c>
      <c r="F1605" s="61">
        <v>3900</v>
      </c>
      <c r="G1605" t="str">
        <f>VLOOKUP(Tabela1[[#This Row],[Cliente]],clientes!$C$3:$D$60,2,FALSE)</f>
        <v>CARGILL</v>
      </c>
    </row>
    <row r="1606" spans="1:7" x14ac:dyDescent="0.25">
      <c r="A1606" s="10">
        <v>2025</v>
      </c>
      <c r="B1606" s="10" t="s">
        <v>133</v>
      </c>
      <c r="C1606" s="10" t="s">
        <v>167</v>
      </c>
      <c r="D1606" s="10" t="s">
        <v>122</v>
      </c>
      <c r="E1606" s="25" t="str">
        <f>VLOOKUP(D1606,'[2]Lista de Produtos CLASSIFICAÇÃO'!$E$103:$F$114,2,FALSE)</f>
        <v>Óleo Vegetal</v>
      </c>
      <c r="F1606" s="61">
        <v>83074.11</v>
      </c>
      <c r="G1606" t="str">
        <f>VLOOKUP(Tabela1[[#This Row],[Cliente]],clientes!$C$3:$D$60,2,FALSE)</f>
        <v>POOL</v>
      </c>
    </row>
    <row r="1607" spans="1:7" x14ac:dyDescent="0.25">
      <c r="A1607" s="10">
        <v>2025</v>
      </c>
      <c r="B1607" s="10" t="s">
        <v>133</v>
      </c>
      <c r="C1607" s="10" t="s">
        <v>168</v>
      </c>
      <c r="D1607" s="10" t="s">
        <v>122</v>
      </c>
      <c r="E1607" s="25" t="str">
        <f>VLOOKUP(D1607,'[2]Lista de Produtos CLASSIFICAÇÃO'!$E$103:$F$114,2,FALSE)</f>
        <v>Óleo Vegetal</v>
      </c>
      <c r="F1607" s="61"/>
      <c r="G1607" t="str">
        <f>VLOOKUP(Tabela1[[#This Row],[Cliente]],clientes!$C$3:$D$60,2,FALSE)</f>
        <v>POOL EXCEDENTE</v>
      </c>
    </row>
    <row r="1608" spans="1:7" x14ac:dyDescent="0.25">
      <c r="A1608" s="10">
        <v>2025</v>
      </c>
      <c r="B1608" s="10" t="s">
        <v>133</v>
      </c>
      <c r="C1608" s="10" t="s">
        <v>169</v>
      </c>
      <c r="D1608" s="10" t="s">
        <v>22</v>
      </c>
      <c r="E1608" s="25" t="str">
        <f>VLOOKUP(D1608,'[2]Lista de Produtos CLASSIFICAÇÃO'!$E$103:$F$114,2,FALSE)</f>
        <v>Metanol</v>
      </c>
      <c r="F1608" s="61">
        <v>75000</v>
      </c>
      <c r="G1608" t="str">
        <f>VLOOKUP(Tabela1[[#This Row],[Cliente]],clientes!$C$3:$D$60,2,FALSE)</f>
        <v>METHANEX</v>
      </c>
    </row>
    <row r="1609" spans="1:7" x14ac:dyDescent="0.25">
      <c r="A1609" s="10">
        <v>2025</v>
      </c>
      <c r="B1609" s="10" t="s">
        <v>133</v>
      </c>
      <c r="C1609" s="10" t="s">
        <v>170</v>
      </c>
      <c r="D1609" s="10" t="s">
        <v>22</v>
      </c>
      <c r="E1609" s="25" t="str">
        <f>VLOOKUP(D1609,'[2]Lista de Produtos CLASSIFICAÇÃO'!$E$103:$F$114,2,FALSE)</f>
        <v>Metanol</v>
      </c>
      <c r="F1609" s="61">
        <v>17000</v>
      </c>
      <c r="G1609" t="str">
        <f>VLOOKUP(Tabela1[[#This Row],[Cliente]],clientes!$C$3:$D$60,2,FALSE)</f>
        <v>MITSUBISHI</v>
      </c>
    </row>
    <row r="1610" spans="1:7" x14ac:dyDescent="0.25">
      <c r="A1610" s="10">
        <v>2025</v>
      </c>
      <c r="B1610" s="10" t="s">
        <v>133</v>
      </c>
      <c r="C1610" s="10" t="s">
        <v>171</v>
      </c>
      <c r="D1610" s="10" t="s">
        <v>22</v>
      </c>
      <c r="E1610" s="25" t="str">
        <f>VLOOKUP(D1610,'[2]Lista de Produtos CLASSIFICAÇÃO'!$E$103:$F$114,2,FALSE)</f>
        <v>Metanol</v>
      </c>
      <c r="F1610" s="61">
        <v>26000</v>
      </c>
      <c r="G1610" t="str">
        <f>VLOOKUP(Tabela1[[#This Row],[Cliente]],clientes!$C$3:$D$60,2,FALSE)</f>
        <v>VALENZ</v>
      </c>
    </row>
    <row r="1611" spans="1:7" x14ac:dyDescent="0.25">
      <c r="A1611" s="10">
        <v>2025</v>
      </c>
      <c r="B1611" s="10" t="s">
        <v>133</v>
      </c>
      <c r="C1611" s="10" t="s">
        <v>172</v>
      </c>
      <c r="D1611" s="10" t="s">
        <v>124</v>
      </c>
      <c r="E1611" s="25" t="str">
        <f>VLOOKUP(D1611,'[2]Lista de Produtos CLASSIFICAÇÃO'!$E$103:$F$114,2,FALSE)</f>
        <v>Outros</v>
      </c>
      <c r="F1611" s="61">
        <v>1500</v>
      </c>
      <c r="G1611" t="str">
        <f>VLOOKUP(Tabela1[[#This Row],[Cliente]],clientes!$C$3:$D$60,2,FALSE)</f>
        <v>EVONIK</v>
      </c>
    </row>
    <row r="1612" spans="1:7" x14ac:dyDescent="0.25">
      <c r="A1612" s="10">
        <v>2025</v>
      </c>
      <c r="B1612" s="10" t="s">
        <v>133</v>
      </c>
      <c r="C1612" s="10" t="s">
        <v>186</v>
      </c>
      <c r="D1612" s="10" t="s">
        <v>22</v>
      </c>
      <c r="E1612" s="25" t="str">
        <f>VLOOKUP(D1612,'[2]Lista de Produtos CLASSIFICAÇÃO'!$E$103:$F$114,2,FALSE)</f>
        <v>Metanol</v>
      </c>
      <c r="F1612" s="61">
        <v>2500</v>
      </c>
      <c r="G1612" t="str">
        <f>VLOOKUP(Tabela1[[#This Row],[Cliente]],clientes!$C$3:$D$60,2,FALSE)</f>
        <v>OQ TRADING</v>
      </c>
    </row>
    <row r="1613" spans="1:7" x14ac:dyDescent="0.25">
      <c r="A1613" s="10">
        <v>2025</v>
      </c>
      <c r="B1613" s="10" t="s">
        <v>133</v>
      </c>
      <c r="C1613" s="10" t="s">
        <v>174</v>
      </c>
      <c r="D1613" s="10" t="s">
        <v>123</v>
      </c>
      <c r="E1613" s="25" t="str">
        <f>VLOOKUP(D1613,'[2]Lista de Produtos CLASSIFICAÇÃO'!$E$103:$F$114,2,FALSE)</f>
        <v>Aquecidos</v>
      </c>
      <c r="F1613" s="61">
        <v>12500</v>
      </c>
      <c r="G1613" t="str">
        <f>VLOOKUP(Tabela1[[#This Row],[Cliente]],clientes!$C$3:$D$60,2,FALSE)</f>
        <v>CELENA</v>
      </c>
    </row>
    <row r="1614" spans="1:7" x14ac:dyDescent="0.25">
      <c r="A1614" s="10">
        <v>2025</v>
      </c>
      <c r="B1614" s="10" t="s">
        <v>133</v>
      </c>
      <c r="C1614" s="10" t="s">
        <v>175</v>
      </c>
      <c r="D1614" s="10" t="s">
        <v>123</v>
      </c>
      <c r="E1614" s="25" t="str">
        <f>VLOOKUP(D1614,'[2]Lista de Produtos CLASSIFICAÇÃO'!$E$103:$F$114,2,FALSE)</f>
        <v>Aquecidos</v>
      </c>
      <c r="F1614" s="61">
        <v>3600</v>
      </c>
      <c r="G1614" t="str">
        <f>VLOOKUP(Tabela1[[#This Row],[Cliente]],clientes!$C$3:$D$60,2,FALSE)</f>
        <v>AAK DO BRASIL</v>
      </c>
    </row>
    <row r="1615" spans="1:7" x14ac:dyDescent="0.25">
      <c r="A1615" s="10">
        <v>2025</v>
      </c>
      <c r="B1615" s="10" t="s">
        <v>133</v>
      </c>
      <c r="C1615" s="10" t="s">
        <v>166</v>
      </c>
      <c r="D1615" s="10" t="s">
        <v>122</v>
      </c>
      <c r="E1615" s="25" t="str">
        <f>VLOOKUP(D1615,'[2]Lista de Produtos CLASSIFICAÇÃO'!$E$103:$F$114,2,FALSE)</f>
        <v>Óleo Vegetal</v>
      </c>
      <c r="F1615" s="61"/>
      <c r="G1615" t="str">
        <f>VLOOKUP(Tabela1[[#This Row],[Cliente]],clientes!$C$3:$D$60,2,FALSE)</f>
        <v>CARGILL</v>
      </c>
    </row>
    <row r="1616" spans="1:7" x14ac:dyDescent="0.25">
      <c r="A1616" s="10">
        <v>2025</v>
      </c>
      <c r="B1616" s="10" t="s">
        <v>133</v>
      </c>
      <c r="C1616" s="10" t="s">
        <v>176</v>
      </c>
      <c r="D1616" s="10" t="s">
        <v>123</v>
      </c>
      <c r="E1616" s="25" t="str">
        <f>VLOOKUP(D1616,'[2]Lista de Produtos CLASSIFICAÇÃO'!$E$103:$F$114,2,FALSE)</f>
        <v>Aquecidos</v>
      </c>
      <c r="F1616" s="61">
        <v>3500</v>
      </c>
      <c r="G1616" t="str">
        <f>VLOOKUP(Tabela1[[#This Row],[Cliente]],clientes!$C$3:$D$60,2,FALSE)</f>
        <v>AGROPALMA</v>
      </c>
    </row>
    <row r="1617" spans="1:7" x14ac:dyDescent="0.25">
      <c r="A1617" s="10">
        <v>2025</v>
      </c>
      <c r="B1617" s="10" t="s">
        <v>133</v>
      </c>
      <c r="C1617" s="10" t="s">
        <v>177</v>
      </c>
      <c r="D1617" s="10" t="s">
        <v>115</v>
      </c>
      <c r="E1617" s="25" t="str">
        <f>VLOOKUP(D1617,'[2]Lista de Produtos CLASSIFICAÇÃO'!$E$103:$F$114,2,FALSE)</f>
        <v>Soda Caustica</v>
      </c>
      <c r="F1617" s="61">
        <v>2800</v>
      </c>
      <c r="G1617" t="str">
        <f>VLOOKUP(Tabela1[[#This Row],[Cliente]],clientes!$C$3:$D$60,2,FALSE)</f>
        <v>BRENNTAG</v>
      </c>
    </row>
    <row r="1618" spans="1:7" x14ac:dyDescent="0.25">
      <c r="A1618" s="10">
        <v>2025</v>
      </c>
      <c r="B1618" s="10" t="s">
        <v>133</v>
      </c>
      <c r="C1618" s="10" t="s">
        <v>178</v>
      </c>
      <c r="D1618" s="10" t="s">
        <v>115</v>
      </c>
      <c r="E1618" s="25" t="str">
        <f>VLOOKUP(D1618,'[2]Lista de Produtos CLASSIFICAÇÃO'!$E$103:$F$114,2,FALSE)</f>
        <v>Soda Caustica</v>
      </c>
      <c r="F1618" s="61">
        <v>20000</v>
      </c>
      <c r="G1618" t="str">
        <f>VLOOKUP(Tabela1[[#This Row],[Cliente]],clientes!$C$3:$D$60,2,FALSE)</f>
        <v>OLIN BLUE CUBE</v>
      </c>
    </row>
    <row r="1619" spans="1:7" x14ac:dyDescent="0.25">
      <c r="A1619" s="10">
        <v>2025</v>
      </c>
      <c r="B1619" s="10" t="s">
        <v>133</v>
      </c>
      <c r="C1619" s="10" t="s">
        <v>179</v>
      </c>
      <c r="D1619" s="10" t="s">
        <v>26</v>
      </c>
      <c r="E1619" s="25" t="str">
        <f>VLOOKUP(D1619,'[2]Lista de Produtos CLASSIFICAÇÃO'!$E$103:$F$114,2,FALSE)</f>
        <v>Biocombustíveis</v>
      </c>
      <c r="F1619" s="61">
        <v>4000</v>
      </c>
      <c r="G1619" t="str">
        <f>VLOOKUP(Tabela1[[#This Row],[Cliente]],clientes!$C$3:$D$60,2,FALSE)</f>
        <v>BSBIOS</v>
      </c>
    </row>
    <row r="1620" spans="1:7" x14ac:dyDescent="0.25">
      <c r="A1620" s="10">
        <v>2025</v>
      </c>
      <c r="B1620" s="10" t="s">
        <v>133</v>
      </c>
      <c r="C1620" s="10" t="s">
        <v>181</v>
      </c>
      <c r="D1620" s="10" t="s">
        <v>123</v>
      </c>
      <c r="E1620" s="25" t="str">
        <f>VLOOKUP(D1620,'[2]Lista de Produtos CLASSIFICAÇÃO'!$E$103:$F$114,2,FALSE)</f>
        <v>Aquecidos</v>
      </c>
      <c r="F1620" s="61">
        <v>1600</v>
      </c>
      <c r="G1620" t="str">
        <f>VLOOKUP(Tabela1[[#This Row],[Cliente]],clientes!$C$3:$D$60,2,FALSE)</f>
        <v>COAMO</v>
      </c>
    </row>
    <row r="1621" spans="1:7" x14ac:dyDescent="0.25">
      <c r="A1621" s="10">
        <v>2025</v>
      </c>
      <c r="B1621" s="10" t="s">
        <v>133</v>
      </c>
      <c r="C1621" s="10" t="s">
        <v>182</v>
      </c>
      <c r="D1621" s="10" t="s">
        <v>120</v>
      </c>
      <c r="E1621" s="25" t="str">
        <f>VLOOKUP(D1621,'[2]Lista de Produtos CLASSIFICAÇÃO'!$E$103:$F$114,2,FALSE)</f>
        <v>Derivados</v>
      </c>
      <c r="F1621" s="61">
        <v>8300</v>
      </c>
      <c r="G1621" t="str">
        <f>VLOOKUP(Tabela1[[#This Row],[Cliente]],clientes!$C$3:$D$60,2,FALSE)</f>
        <v>ATEM</v>
      </c>
    </row>
    <row r="1622" spans="1:7" x14ac:dyDescent="0.25">
      <c r="A1622" s="10">
        <v>2025</v>
      </c>
      <c r="B1622" s="10" t="s">
        <v>133</v>
      </c>
      <c r="C1622" s="10" t="s">
        <v>184</v>
      </c>
      <c r="D1622" s="10" t="s">
        <v>122</v>
      </c>
      <c r="E1622" s="25" t="str">
        <f>VLOOKUP(D1622,'[2]Lista de Produtos CLASSIFICAÇÃO'!$E$103:$F$114,2,FALSE)</f>
        <v>Óleo Vegetal</v>
      </c>
      <c r="F1622" s="61"/>
      <c r="G1622" t="str">
        <f>VLOOKUP(Tabela1[[#This Row],[Cliente]],clientes!$C$3:$D$60,2,FALSE)</f>
        <v>INGREDION</v>
      </c>
    </row>
    <row r="1623" spans="1:7" x14ac:dyDescent="0.25">
      <c r="A1623" s="10">
        <v>2025</v>
      </c>
      <c r="B1623" s="10" t="s">
        <v>133</v>
      </c>
      <c r="C1623" s="10" t="s">
        <v>185</v>
      </c>
      <c r="D1623" s="10" t="s">
        <v>120</v>
      </c>
      <c r="E1623" s="25" t="str">
        <f>VLOOKUP(D1623,'[2]Lista de Produtos CLASSIFICAÇÃO'!$E$103:$F$114,2,FALSE)</f>
        <v>Derivados</v>
      </c>
      <c r="F1623" s="61">
        <v>12450</v>
      </c>
      <c r="G1623" t="str">
        <f>VLOOKUP(Tabela1[[#This Row],[Cliente]],clientes!$C$3:$D$60,2,FALSE)</f>
        <v>CIAPETRO</v>
      </c>
    </row>
    <row r="1624" spans="1:7" x14ac:dyDescent="0.25">
      <c r="A1624" s="10">
        <v>2025</v>
      </c>
      <c r="B1624" s="10" t="s">
        <v>133</v>
      </c>
      <c r="C1624" s="10" t="s">
        <v>187</v>
      </c>
      <c r="D1624" s="10" t="s">
        <v>121</v>
      </c>
      <c r="E1624" s="25" t="str">
        <f>VLOOKUP(D1624,'[2]Lista de Produtos CLASSIFICAÇÃO'!$E$103:$F$114,2,FALSE)</f>
        <v>Biocombustíveis</v>
      </c>
      <c r="F1624" s="61">
        <v>7900</v>
      </c>
      <c r="G1624" t="str">
        <f>VLOOKUP(Tabela1[[#This Row],[Cliente]],clientes!$C$3:$D$60,2,FALSE)</f>
        <v>TEREOS / INPASA / GLENCORE / FS</v>
      </c>
    </row>
    <row r="1625" spans="1:7" x14ac:dyDescent="0.25">
      <c r="A1625" s="10">
        <v>2025</v>
      </c>
      <c r="B1625" s="10" t="s">
        <v>133</v>
      </c>
      <c r="C1625" s="10" t="s">
        <v>188</v>
      </c>
      <c r="D1625" s="10" t="s">
        <v>123</v>
      </c>
      <c r="E1625" s="25" t="str">
        <f>VLOOKUP(D1625,'[2]Lista de Produtos CLASSIFICAÇÃO'!$E$103:$F$114,2,FALSE)</f>
        <v>Aquecidos</v>
      </c>
      <c r="F1625" s="61">
        <v>3700</v>
      </c>
      <c r="G1625" t="str">
        <f>VLOOKUP(Tabela1[[#This Row],[Cliente]],clientes!$C$3:$D$60,2,FALSE)</f>
        <v>ARES MERCHANTS PTE LIMITE</v>
      </c>
    </row>
    <row r="1626" spans="1:7" x14ac:dyDescent="0.25">
      <c r="A1626" s="10">
        <v>2025</v>
      </c>
      <c r="B1626" s="10" t="s">
        <v>133</v>
      </c>
      <c r="C1626" s="10" t="s">
        <v>18</v>
      </c>
      <c r="D1626" s="10" t="s">
        <v>17</v>
      </c>
      <c r="E1626" s="25" t="str">
        <f>VLOOKUP(D1626,'[2]Lista de Produtos CLASSIFICAÇÃO'!$E$103:$F$114,2,FALSE)</f>
        <v>Acostagem</v>
      </c>
      <c r="F1626" s="61"/>
      <c r="G1626" t="str">
        <f>VLOOKUP(Tabela1[[#This Row],[Cliente]],clientes!$C$3:$D$60,2,FALSE)</f>
        <v>ACOSTAGEM</v>
      </c>
    </row>
    <row r="1627" spans="1:7" x14ac:dyDescent="0.25">
      <c r="A1627" s="10">
        <v>2025</v>
      </c>
      <c r="B1627" s="10" t="s">
        <v>133</v>
      </c>
      <c r="C1627" s="10" t="s">
        <v>189</v>
      </c>
      <c r="D1627" t="s">
        <v>123</v>
      </c>
      <c r="E1627" s="25" t="str">
        <f>VLOOKUP(D1627,'[2]Lista de Produtos CLASSIFICAÇÃO'!$E$103:$F$114,2,FALSE)</f>
        <v>Aquecidos</v>
      </c>
      <c r="F1627" s="61">
        <v>2500</v>
      </c>
      <c r="G1627" t="str">
        <f>VLOOKUP(Tabela1[[#This Row],[Cliente]],clientes!$C$3:$D$60,2,FALSE)</f>
        <v>ICOF</v>
      </c>
    </row>
    <row r="1628" spans="1:7" x14ac:dyDescent="0.25">
      <c r="A1628" s="10">
        <v>2025</v>
      </c>
      <c r="B1628" s="10" t="s">
        <v>133</v>
      </c>
      <c r="C1628" s="10" t="s">
        <v>191</v>
      </c>
      <c r="D1628" t="s">
        <v>115</v>
      </c>
      <c r="E1628" s="25" t="str">
        <f>VLOOKUP(D1628,'[2]Lista de Produtos CLASSIFICAÇÃO'!$E$103:$F$114,2,FALSE)</f>
        <v>Soda Caustica</v>
      </c>
      <c r="F1628" s="61">
        <v>2500</v>
      </c>
      <c r="G1628" t="str">
        <f>VLOOKUP(Tabela1[[#This Row],[Cliente]],clientes!$C$3:$D$60,2,FALSE)</f>
        <v>GPC</v>
      </c>
    </row>
    <row r="1629" spans="1:7" x14ac:dyDescent="0.25">
      <c r="A1629" s="10">
        <v>2025</v>
      </c>
      <c r="B1629" s="10" t="s">
        <v>133</v>
      </c>
      <c r="C1629" s="10" t="s">
        <v>192</v>
      </c>
      <c r="D1629" s="10" t="s">
        <v>121</v>
      </c>
      <c r="E1629" s="25" t="str">
        <f>VLOOKUP(D1629,'[2]Lista de Produtos CLASSIFICAÇÃO'!$E$103:$F$114,2,FALSE)</f>
        <v>Biocombustíveis</v>
      </c>
      <c r="F1629" s="61">
        <v>11850</v>
      </c>
      <c r="G1629" t="str">
        <f>VLOOKUP(Tabela1[[#This Row],[Cliente]],clientes!$C$3:$D$60,2,FALSE)</f>
        <v>INPASA</v>
      </c>
    </row>
    <row r="1630" spans="1:7" x14ac:dyDescent="0.25">
      <c r="A1630" s="10">
        <v>2025</v>
      </c>
      <c r="B1630" s="10" t="s">
        <v>134</v>
      </c>
      <c r="C1630" s="10" t="s">
        <v>155</v>
      </c>
      <c r="D1630" s="10" t="s">
        <v>16</v>
      </c>
      <c r="E1630" s="25" t="str">
        <f>VLOOKUP(D1630,'[2]Lista de Produtos CLASSIFICAÇÃO'!$E$103:$F$114,2,FALSE)</f>
        <v>Outros</v>
      </c>
      <c r="F1630" s="61">
        <v>4500</v>
      </c>
      <c r="G1630" t="str">
        <f>VLOOKUP(Tabela1[[#This Row],[Cliente]],clientes!$C$3:$D$60,2,FALSE)</f>
        <v>ADISSEO</v>
      </c>
    </row>
    <row r="1631" spans="1:7" x14ac:dyDescent="0.25">
      <c r="A1631" s="10">
        <v>2025</v>
      </c>
      <c r="B1631" s="10" t="s">
        <v>134</v>
      </c>
      <c r="C1631" s="10" t="s">
        <v>156</v>
      </c>
      <c r="D1631" s="10" t="s">
        <v>123</v>
      </c>
      <c r="E1631" s="25" t="str">
        <f>VLOOKUP(D1631,'[2]Lista de Produtos CLASSIFICAÇÃO'!$E$103:$F$114,2,FALSE)</f>
        <v>Aquecidos</v>
      </c>
      <c r="F1631" s="61">
        <v>2100</v>
      </c>
      <c r="G1631" t="str">
        <f>VLOOKUP(Tabela1[[#This Row],[Cliente]],clientes!$C$3:$D$60,2,FALSE)</f>
        <v>BUNGE</v>
      </c>
    </row>
    <row r="1632" spans="1:7" x14ac:dyDescent="0.25">
      <c r="A1632" s="10">
        <v>2025</v>
      </c>
      <c r="B1632" s="10" t="s">
        <v>134</v>
      </c>
      <c r="C1632" s="10" t="s">
        <v>157</v>
      </c>
      <c r="D1632" s="10" t="s">
        <v>122</v>
      </c>
      <c r="E1632" s="25" t="str">
        <f>VLOOKUP(D1632,'[2]Lista de Produtos CLASSIFICAÇÃO'!$E$103:$F$114,2,FALSE)</f>
        <v>Óleo Vegetal</v>
      </c>
      <c r="F1632" s="61">
        <v>1700</v>
      </c>
      <c r="G1632" t="str">
        <f>VLOOKUP(Tabela1[[#This Row],[Cliente]],clientes!$C$3:$D$60,2,FALSE)</f>
        <v>ADM</v>
      </c>
    </row>
    <row r="1633" spans="1:7" x14ac:dyDescent="0.25">
      <c r="A1633" s="10">
        <v>2025</v>
      </c>
      <c r="B1633" s="10" t="s">
        <v>134</v>
      </c>
      <c r="C1633" s="10" t="s">
        <v>158</v>
      </c>
      <c r="D1633" s="10" t="s">
        <v>120</v>
      </c>
      <c r="E1633" s="25" t="str">
        <f>VLOOKUP(D1633,'[2]Lista de Produtos CLASSIFICAÇÃO'!$E$103:$F$114,2,FALSE)</f>
        <v>Derivados</v>
      </c>
      <c r="F1633" s="61">
        <v>45000</v>
      </c>
      <c r="G1633" t="str">
        <f>VLOOKUP(Tabela1[[#This Row],[Cliente]],clientes!$C$3:$D$60,2,FALSE)</f>
        <v>IPIRANGA</v>
      </c>
    </row>
    <row r="1634" spans="1:7" x14ac:dyDescent="0.25">
      <c r="A1634" s="10">
        <v>2025</v>
      </c>
      <c r="B1634" s="10" t="s">
        <v>134</v>
      </c>
      <c r="C1634" s="10" t="s">
        <v>159</v>
      </c>
      <c r="D1634" s="10" t="s">
        <v>120</v>
      </c>
      <c r="E1634" s="25" t="str">
        <f>VLOOKUP(D1634,'[2]Lista de Produtos CLASSIFICAÇÃO'!$E$103:$F$114,2,FALSE)</f>
        <v>Derivados</v>
      </c>
      <c r="F1634" s="61">
        <v>41500</v>
      </c>
      <c r="G1634" t="str">
        <f>VLOOKUP(Tabela1[[#This Row],[Cliente]],clientes!$C$3:$D$60,2,FALSE)</f>
        <v>RAIZEN</v>
      </c>
    </row>
    <row r="1635" spans="1:7" x14ac:dyDescent="0.25">
      <c r="A1635" s="10">
        <v>2025</v>
      </c>
      <c r="B1635" s="10" t="s">
        <v>134</v>
      </c>
      <c r="C1635" s="10" t="s">
        <v>160</v>
      </c>
      <c r="D1635" s="10" t="s">
        <v>120</v>
      </c>
      <c r="E1635" s="25" t="str">
        <f>VLOOKUP(D1635,'[2]Lista de Produtos CLASSIFICAÇÃO'!$E$103:$F$114,2,FALSE)</f>
        <v>Derivados</v>
      </c>
      <c r="F1635" s="61">
        <v>16600</v>
      </c>
      <c r="G1635" t="str">
        <f>VLOOKUP(Tabela1[[#This Row],[Cliente]],clientes!$C$3:$D$60,2,FALSE)</f>
        <v>VIBRA</v>
      </c>
    </row>
    <row r="1636" spans="1:7" x14ac:dyDescent="0.25">
      <c r="A1636" s="10">
        <v>2025</v>
      </c>
      <c r="B1636" s="10" t="s">
        <v>134</v>
      </c>
      <c r="C1636" s="10" t="s">
        <v>161</v>
      </c>
      <c r="D1636" s="10" t="s">
        <v>120</v>
      </c>
      <c r="E1636" s="25" t="str">
        <f>VLOOKUP(D1636,'[2]Lista de Produtos CLASSIFICAÇÃO'!$E$103:$F$114,2,FALSE)</f>
        <v>Derivados</v>
      </c>
      <c r="F1636" s="61">
        <v>20000</v>
      </c>
      <c r="G1636" t="str">
        <f>VLOOKUP(Tabela1[[#This Row],[Cliente]],clientes!$C$3:$D$60,2,FALSE)</f>
        <v>SUL PLATA</v>
      </c>
    </row>
    <row r="1637" spans="1:7" x14ac:dyDescent="0.25">
      <c r="A1637" s="10">
        <v>2025</v>
      </c>
      <c r="B1637" s="10" t="s">
        <v>134</v>
      </c>
      <c r="C1637" s="10" t="s">
        <v>162</v>
      </c>
      <c r="D1637" s="10" t="s">
        <v>115</v>
      </c>
      <c r="E1637" s="25" t="str">
        <f>VLOOKUP(D1637,'[2]Lista de Produtos CLASSIFICAÇÃO'!$E$103:$F$114,2,FALSE)</f>
        <v>Soda Caustica</v>
      </c>
      <c r="F1637" s="61">
        <v>1800</v>
      </c>
      <c r="G1637" t="str">
        <f>VLOOKUP(Tabela1[[#This Row],[Cliente]],clientes!$C$3:$D$60,2,FALSE)</f>
        <v>JBS</v>
      </c>
    </row>
    <row r="1638" spans="1:7" x14ac:dyDescent="0.25">
      <c r="A1638" s="10">
        <v>2025</v>
      </c>
      <c r="B1638" s="10" t="s">
        <v>134</v>
      </c>
      <c r="C1638" s="10" t="s">
        <v>163</v>
      </c>
      <c r="D1638" t="s">
        <v>115</v>
      </c>
      <c r="E1638" s="25" t="str">
        <f>VLOOKUP(D1638,'[2]Lista de Produtos CLASSIFICAÇÃO'!$E$103:$F$114,2,FALSE)</f>
        <v>Soda Caustica</v>
      </c>
      <c r="F1638" s="61">
        <v>3800</v>
      </c>
      <c r="G1638" t="str">
        <f>VLOOKUP(Tabela1[[#This Row],[Cliente]],clientes!$C$3:$D$60,2,FALSE)</f>
        <v>TRICON ENERGY</v>
      </c>
    </row>
    <row r="1639" spans="1:7" x14ac:dyDescent="0.25">
      <c r="A1639" s="10">
        <v>2025</v>
      </c>
      <c r="B1639" s="10" t="s">
        <v>134</v>
      </c>
      <c r="C1639" s="10" t="s">
        <v>164</v>
      </c>
      <c r="D1639" t="s">
        <v>115</v>
      </c>
      <c r="E1639" s="25" t="str">
        <f>VLOOKUP(D1639,'[2]Lista de Produtos CLASSIFICAÇÃO'!$E$103:$F$114,2,FALSE)</f>
        <v>Soda Caustica</v>
      </c>
      <c r="F1639" s="61">
        <v>1300</v>
      </c>
      <c r="G1639" t="str">
        <f>VLOOKUP(Tabela1[[#This Row],[Cliente]],clientes!$C$3:$D$60,2,FALSE)</f>
        <v>BRASKEM</v>
      </c>
    </row>
    <row r="1640" spans="1:7" x14ac:dyDescent="0.25">
      <c r="A1640" s="10">
        <v>2025</v>
      </c>
      <c r="B1640" s="10" t="s">
        <v>134</v>
      </c>
      <c r="C1640" s="10" t="s">
        <v>165</v>
      </c>
      <c r="D1640" s="10" t="s">
        <v>123</v>
      </c>
      <c r="E1640" s="25" t="str">
        <f>VLOOKUP(D1640,'[2]Lista de Produtos CLASSIFICAÇÃO'!$E$103:$F$114,2,FALSE)</f>
        <v>Aquecidos</v>
      </c>
      <c r="F1640" s="61">
        <v>4000</v>
      </c>
      <c r="G1640" t="str">
        <f>VLOOKUP(Tabela1[[#This Row],[Cliente]],clientes!$C$3:$D$60,2,FALSE)</f>
        <v>BRF</v>
      </c>
    </row>
    <row r="1641" spans="1:7" x14ac:dyDescent="0.25">
      <c r="A1641" s="10">
        <v>2025</v>
      </c>
      <c r="B1641" s="10" t="s">
        <v>134</v>
      </c>
      <c r="C1641" s="10" t="s">
        <v>162</v>
      </c>
      <c r="D1641" s="10" t="s">
        <v>123</v>
      </c>
      <c r="E1641" s="25" t="str">
        <f>VLOOKUP(D1641,'[2]Lista de Produtos CLASSIFICAÇÃO'!$E$103:$F$114,2,FALSE)</f>
        <v>Aquecidos</v>
      </c>
      <c r="F1641" s="61">
        <v>4520</v>
      </c>
      <c r="G1641" t="str">
        <f>VLOOKUP(Tabela1[[#This Row],[Cliente]],clientes!$C$3:$D$60,2,FALSE)</f>
        <v>JBS</v>
      </c>
    </row>
    <row r="1642" spans="1:7" x14ac:dyDescent="0.25">
      <c r="A1642" s="10">
        <v>2025</v>
      </c>
      <c r="B1642" s="10" t="s">
        <v>134</v>
      </c>
      <c r="C1642" s="10" t="s">
        <v>166</v>
      </c>
      <c r="D1642" s="10" t="s">
        <v>123</v>
      </c>
      <c r="E1642" s="25" t="str">
        <f>VLOOKUP(D1642,'[2]Lista de Produtos CLASSIFICAÇÃO'!$E$103:$F$114,2,FALSE)</f>
        <v>Aquecidos</v>
      </c>
      <c r="F1642" s="61">
        <v>3900</v>
      </c>
      <c r="G1642" t="str">
        <f>VLOOKUP(Tabela1[[#This Row],[Cliente]],clientes!$C$3:$D$60,2,FALSE)</f>
        <v>CARGILL</v>
      </c>
    </row>
    <row r="1643" spans="1:7" x14ac:dyDescent="0.25">
      <c r="A1643" s="10">
        <v>2025</v>
      </c>
      <c r="B1643" s="10" t="s">
        <v>134</v>
      </c>
      <c r="C1643" s="10" t="s">
        <v>167</v>
      </c>
      <c r="D1643" s="10" t="s">
        <v>122</v>
      </c>
      <c r="E1643" s="25" t="str">
        <f>VLOOKUP(D1643,'[2]Lista de Produtos CLASSIFICAÇÃO'!$E$103:$F$114,2,FALSE)</f>
        <v>Óleo Vegetal</v>
      </c>
      <c r="F1643" s="61">
        <v>52524.54</v>
      </c>
      <c r="G1643" t="str">
        <f>VLOOKUP(Tabela1[[#This Row],[Cliente]],clientes!$C$3:$D$60,2,FALSE)</f>
        <v>POOL</v>
      </c>
    </row>
    <row r="1644" spans="1:7" x14ac:dyDescent="0.25">
      <c r="A1644" s="10">
        <v>2025</v>
      </c>
      <c r="B1644" s="10" t="s">
        <v>134</v>
      </c>
      <c r="C1644" s="10" t="s">
        <v>168</v>
      </c>
      <c r="D1644" s="10" t="s">
        <v>122</v>
      </c>
      <c r="E1644" s="25" t="str">
        <f>VLOOKUP(D1644,'[2]Lista de Produtos CLASSIFICAÇÃO'!$E$103:$F$114,2,FALSE)</f>
        <v>Óleo Vegetal</v>
      </c>
      <c r="F1644" s="61">
        <v>2000</v>
      </c>
      <c r="G1644" t="str">
        <f>VLOOKUP(Tabela1[[#This Row],[Cliente]],clientes!$C$3:$D$60,2,FALSE)</f>
        <v>POOL EXCEDENTE</v>
      </c>
    </row>
    <row r="1645" spans="1:7" x14ac:dyDescent="0.25">
      <c r="A1645" s="10">
        <v>2025</v>
      </c>
      <c r="B1645" s="10" t="s">
        <v>134</v>
      </c>
      <c r="C1645" s="10" t="s">
        <v>169</v>
      </c>
      <c r="D1645" s="10" t="s">
        <v>22</v>
      </c>
      <c r="E1645" s="25" t="str">
        <f>VLOOKUP(D1645,'[2]Lista de Produtos CLASSIFICAÇÃO'!$E$103:$F$114,2,FALSE)</f>
        <v>Metanol</v>
      </c>
      <c r="F1645" s="61">
        <v>75000</v>
      </c>
      <c r="G1645" t="str">
        <f>VLOOKUP(Tabela1[[#This Row],[Cliente]],clientes!$C$3:$D$60,2,FALSE)</f>
        <v>METHANEX</v>
      </c>
    </row>
    <row r="1646" spans="1:7" x14ac:dyDescent="0.25">
      <c r="A1646" s="10">
        <v>2025</v>
      </c>
      <c r="B1646" s="10" t="s">
        <v>134</v>
      </c>
      <c r="C1646" s="10" t="s">
        <v>170</v>
      </c>
      <c r="D1646" s="10" t="s">
        <v>22</v>
      </c>
      <c r="E1646" s="25" t="str">
        <f>VLOOKUP(D1646,'[2]Lista de Produtos CLASSIFICAÇÃO'!$E$103:$F$114,2,FALSE)</f>
        <v>Metanol</v>
      </c>
      <c r="F1646" s="61">
        <v>17000</v>
      </c>
      <c r="G1646" t="str">
        <f>VLOOKUP(Tabela1[[#This Row],[Cliente]],clientes!$C$3:$D$60,2,FALSE)</f>
        <v>MITSUBISHI</v>
      </c>
    </row>
    <row r="1647" spans="1:7" x14ac:dyDescent="0.25">
      <c r="A1647" s="10">
        <v>2025</v>
      </c>
      <c r="B1647" s="10" t="s">
        <v>134</v>
      </c>
      <c r="C1647" s="10" t="s">
        <v>171</v>
      </c>
      <c r="D1647" s="10" t="s">
        <v>22</v>
      </c>
      <c r="E1647" s="25" t="str">
        <f>VLOOKUP(D1647,'[2]Lista de Produtos CLASSIFICAÇÃO'!$E$103:$F$114,2,FALSE)</f>
        <v>Metanol</v>
      </c>
      <c r="F1647" s="61">
        <v>26000</v>
      </c>
      <c r="G1647" t="str">
        <f>VLOOKUP(Tabela1[[#This Row],[Cliente]],clientes!$C$3:$D$60,2,FALSE)</f>
        <v>VALENZ</v>
      </c>
    </row>
    <row r="1648" spans="1:7" x14ac:dyDescent="0.25">
      <c r="A1648" s="10">
        <v>2025</v>
      </c>
      <c r="B1648" s="10" t="s">
        <v>134</v>
      </c>
      <c r="C1648" s="10" t="s">
        <v>172</v>
      </c>
      <c r="D1648" s="10" t="s">
        <v>124</v>
      </c>
      <c r="E1648" s="25" t="str">
        <f>VLOOKUP(D1648,'[2]Lista de Produtos CLASSIFICAÇÃO'!$E$103:$F$114,2,FALSE)</f>
        <v>Outros</v>
      </c>
      <c r="F1648" s="61">
        <v>1500</v>
      </c>
      <c r="G1648" t="str">
        <f>VLOOKUP(Tabela1[[#This Row],[Cliente]],clientes!$C$3:$D$60,2,FALSE)</f>
        <v>EVONIK</v>
      </c>
    </row>
    <row r="1649" spans="1:7" x14ac:dyDescent="0.25">
      <c r="A1649" s="10">
        <v>2025</v>
      </c>
      <c r="B1649" s="10" t="s">
        <v>134</v>
      </c>
      <c r="C1649" s="10" t="s">
        <v>186</v>
      </c>
      <c r="D1649" s="10" t="s">
        <v>22</v>
      </c>
      <c r="E1649" s="25" t="str">
        <f>VLOOKUP(D1649,'[2]Lista de Produtos CLASSIFICAÇÃO'!$E$103:$F$114,2,FALSE)</f>
        <v>Metanol</v>
      </c>
      <c r="F1649" s="61">
        <v>2500</v>
      </c>
      <c r="G1649" t="str">
        <f>VLOOKUP(Tabela1[[#This Row],[Cliente]],clientes!$C$3:$D$60,2,FALSE)</f>
        <v>OQ TRADING</v>
      </c>
    </row>
    <row r="1650" spans="1:7" x14ac:dyDescent="0.25">
      <c r="A1650" s="10">
        <v>2025</v>
      </c>
      <c r="B1650" s="10" t="s">
        <v>134</v>
      </c>
      <c r="C1650" s="10" t="s">
        <v>174</v>
      </c>
      <c r="D1650" s="10" t="s">
        <v>123</v>
      </c>
      <c r="E1650" s="25" t="str">
        <f>VLOOKUP(D1650,'[2]Lista de Produtos CLASSIFICAÇÃO'!$E$103:$F$114,2,FALSE)</f>
        <v>Aquecidos</v>
      </c>
      <c r="F1650" s="61">
        <v>12500</v>
      </c>
      <c r="G1650" t="str">
        <f>VLOOKUP(Tabela1[[#This Row],[Cliente]],clientes!$C$3:$D$60,2,FALSE)</f>
        <v>CELENA</v>
      </c>
    </row>
    <row r="1651" spans="1:7" x14ac:dyDescent="0.25">
      <c r="A1651" s="10">
        <v>2025</v>
      </c>
      <c r="B1651" s="10" t="s">
        <v>134</v>
      </c>
      <c r="C1651" s="10" t="s">
        <v>175</v>
      </c>
      <c r="D1651" s="10" t="s">
        <v>123</v>
      </c>
      <c r="E1651" s="25" t="str">
        <f>VLOOKUP(D1651,'[2]Lista de Produtos CLASSIFICAÇÃO'!$E$103:$F$114,2,FALSE)</f>
        <v>Aquecidos</v>
      </c>
      <c r="F1651" s="61">
        <v>3600</v>
      </c>
      <c r="G1651" t="str">
        <f>VLOOKUP(Tabela1[[#This Row],[Cliente]],clientes!$C$3:$D$60,2,FALSE)</f>
        <v>AAK DO BRASIL</v>
      </c>
    </row>
    <row r="1652" spans="1:7" x14ac:dyDescent="0.25">
      <c r="A1652" s="10">
        <v>2025</v>
      </c>
      <c r="B1652" s="10" t="s">
        <v>134</v>
      </c>
      <c r="C1652" s="10" t="s">
        <v>166</v>
      </c>
      <c r="D1652" s="10" t="s">
        <v>122</v>
      </c>
      <c r="E1652" s="25" t="str">
        <f>VLOOKUP(D1652,'[2]Lista de Produtos CLASSIFICAÇÃO'!$E$103:$F$114,2,FALSE)</f>
        <v>Óleo Vegetal</v>
      </c>
      <c r="F1652" s="61">
        <v>4500</v>
      </c>
      <c r="G1652" t="str">
        <f>VLOOKUP(Tabela1[[#This Row],[Cliente]],clientes!$C$3:$D$60,2,FALSE)</f>
        <v>CARGILL</v>
      </c>
    </row>
    <row r="1653" spans="1:7" x14ac:dyDescent="0.25">
      <c r="A1653" s="10">
        <v>2025</v>
      </c>
      <c r="B1653" s="10" t="s">
        <v>134</v>
      </c>
      <c r="C1653" s="10" t="s">
        <v>176</v>
      </c>
      <c r="D1653" s="10" t="s">
        <v>123</v>
      </c>
      <c r="E1653" s="25" t="str">
        <f>VLOOKUP(D1653,'[2]Lista de Produtos CLASSIFICAÇÃO'!$E$103:$F$114,2,FALSE)</f>
        <v>Aquecidos</v>
      </c>
      <c r="F1653" s="61">
        <v>3500</v>
      </c>
      <c r="G1653" t="str">
        <f>VLOOKUP(Tabela1[[#This Row],[Cliente]],clientes!$C$3:$D$60,2,FALSE)</f>
        <v>AGROPALMA</v>
      </c>
    </row>
    <row r="1654" spans="1:7" x14ac:dyDescent="0.25">
      <c r="A1654" s="10">
        <v>2025</v>
      </c>
      <c r="B1654" s="10" t="s">
        <v>134</v>
      </c>
      <c r="C1654" s="10" t="s">
        <v>177</v>
      </c>
      <c r="D1654" s="10" t="s">
        <v>115</v>
      </c>
      <c r="E1654" s="25" t="str">
        <f>VLOOKUP(D1654,'[2]Lista de Produtos CLASSIFICAÇÃO'!$E$103:$F$114,2,FALSE)</f>
        <v>Soda Caustica</v>
      </c>
      <c r="F1654" s="61">
        <v>2800</v>
      </c>
      <c r="G1654" t="str">
        <f>VLOOKUP(Tabela1[[#This Row],[Cliente]],clientes!$C$3:$D$60,2,FALSE)</f>
        <v>BRENNTAG</v>
      </c>
    </row>
    <row r="1655" spans="1:7" x14ac:dyDescent="0.25">
      <c r="A1655" s="10">
        <v>2025</v>
      </c>
      <c r="B1655" s="10" t="s">
        <v>134</v>
      </c>
      <c r="C1655" s="10" t="s">
        <v>178</v>
      </c>
      <c r="D1655" s="10" t="s">
        <v>115</v>
      </c>
      <c r="E1655" s="25" t="str">
        <f>VLOOKUP(D1655,'[2]Lista de Produtos CLASSIFICAÇÃO'!$E$103:$F$114,2,FALSE)</f>
        <v>Soda Caustica</v>
      </c>
      <c r="F1655" s="61">
        <v>20000</v>
      </c>
      <c r="G1655" t="str">
        <f>VLOOKUP(Tabela1[[#This Row],[Cliente]],clientes!$C$3:$D$60,2,FALSE)</f>
        <v>OLIN BLUE CUBE</v>
      </c>
    </row>
    <row r="1656" spans="1:7" x14ac:dyDescent="0.25">
      <c r="A1656" s="10">
        <v>2025</v>
      </c>
      <c r="B1656" s="10" t="s">
        <v>134</v>
      </c>
      <c r="C1656" s="10" t="s">
        <v>179</v>
      </c>
      <c r="D1656" s="10" t="s">
        <v>26</v>
      </c>
      <c r="E1656" s="25" t="str">
        <f>VLOOKUP(D1656,'[2]Lista de Produtos CLASSIFICAÇÃO'!$E$103:$F$114,2,FALSE)</f>
        <v>Biocombustíveis</v>
      </c>
      <c r="F1656" s="61"/>
      <c r="G1656" t="str">
        <f>VLOOKUP(Tabela1[[#This Row],[Cliente]],clientes!$C$3:$D$60,2,FALSE)</f>
        <v>BSBIOS</v>
      </c>
    </row>
    <row r="1657" spans="1:7" x14ac:dyDescent="0.25">
      <c r="A1657" s="10">
        <v>2025</v>
      </c>
      <c r="B1657" s="10" t="s">
        <v>134</v>
      </c>
      <c r="C1657" s="10" t="s">
        <v>181</v>
      </c>
      <c r="D1657" s="10" t="s">
        <v>123</v>
      </c>
      <c r="E1657" s="25" t="str">
        <f>VLOOKUP(D1657,'[2]Lista de Produtos CLASSIFICAÇÃO'!$E$103:$F$114,2,FALSE)</f>
        <v>Aquecidos</v>
      </c>
      <c r="F1657" s="61">
        <v>1600</v>
      </c>
      <c r="G1657" t="str">
        <f>VLOOKUP(Tabela1[[#This Row],[Cliente]],clientes!$C$3:$D$60,2,FALSE)</f>
        <v>COAMO</v>
      </c>
    </row>
    <row r="1658" spans="1:7" x14ac:dyDescent="0.25">
      <c r="A1658" s="10">
        <v>2025</v>
      </c>
      <c r="B1658" s="10" t="s">
        <v>134</v>
      </c>
      <c r="C1658" s="10" t="s">
        <v>182</v>
      </c>
      <c r="D1658" s="10" t="s">
        <v>120</v>
      </c>
      <c r="E1658" s="25" t="str">
        <f>VLOOKUP(D1658,'[2]Lista de Produtos CLASSIFICAÇÃO'!$E$103:$F$114,2,FALSE)</f>
        <v>Derivados</v>
      </c>
      <c r="F1658" s="61">
        <v>8300</v>
      </c>
      <c r="G1658" t="str">
        <f>VLOOKUP(Tabela1[[#This Row],[Cliente]],clientes!$C$3:$D$60,2,FALSE)</f>
        <v>ATEM</v>
      </c>
    </row>
    <row r="1659" spans="1:7" x14ac:dyDescent="0.25">
      <c r="A1659" s="10">
        <v>2025</v>
      </c>
      <c r="B1659" s="10" t="s">
        <v>134</v>
      </c>
      <c r="C1659" s="10" t="s">
        <v>184</v>
      </c>
      <c r="D1659" s="10" t="s">
        <v>122</v>
      </c>
      <c r="E1659" s="25" t="str">
        <f>VLOOKUP(D1659,'[2]Lista de Produtos CLASSIFICAÇÃO'!$E$103:$F$114,2,FALSE)</f>
        <v>Óleo Vegetal</v>
      </c>
      <c r="F1659" s="61">
        <v>2600</v>
      </c>
      <c r="G1659" t="str">
        <f>VLOOKUP(Tabela1[[#This Row],[Cliente]],clientes!$C$3:$D$60,2,FALSE)</f>
        <v>INGREDION</v>
      </c>
    </row>
    <row r="1660" spans="1:7" x14ac:dyDescent="0.25">
      <c r="A1660" s="10">
        <v>2025</v>
      </c>
      <c r="B1660" s="10" t="s">
        <v>134</v>
      </c>
      <c r="C1660" s="10" t="s">
        <v>185</v>
      </c>
      <c r="D1660" s="10" t="s">
        <v>120</v>
      </c>
      <c r="E1660" s="25" t="str">
        <f>VLOOKUP(D1660,'[2]Lista de Produtos CLASSIFICAÇÃO'!$E$103:$F$114,2,FALSE)</f>
        <v>Derivados</v>
      </c>
      <c r="F1660" s="61">
        <v>12450</v>
      </c>
      <c r="G1660" t="str">
        <f>VLOOKUP(Tabela1[[#This Row],[Cliente]],clientes!$C$3:$D$60,2,FALSE)</f>
        <v>CIAPETRO</v>
      </c>
    </row>
    <row r="1661" spans="1:7" x14ac:dyDescent="0.25">
      <c r="A1661" s="10">
        <v>2025</v>
      </c>
      <c r="B1661" s="10" t="s">
        <v>134</v>
      </c>
      <c r="C1661" s="10" t="s">
        <v>187</v>
      </c>
      <c r="D1661" s="10" t="s">
        <v>121</v>
      </c>
      <c r="E1661" s="25" t="str">
        <f>VLOOKUP(D1661,'[2]Lista de Produtos CLASSIFICAÇÃO'!$E$103:$F$114,2,FALSE)</f>
        <v>Biocombustíveis</v>
      </c>
      <c r="F1661" s="61"/>
      <c r="G1661" t="str">
        <f>VLOOKUP(Tabela1[[#This Row],[Cliente]],clientes!$C$3:$D$60,2,FALSE)</f>
        <v>TEREOS / INPASA / GLENCORE / FS</v>
      </c>
    </row>
    <row r="1662" spans="1:7" x14ac:dyDescent="0.25">
      <c r="A1662" s="10">
        <v>2025</v>
      </c>
      <c r="B1662" s="10" t="s">
        <v>134</v>
      </c>
      <c r="C1662" s="10" t="s">
        <v>188</v>
      </c>
      <c r="D1662" s="10" t="s">
        <v>123</v>
      </c>
      <c r="E1662" s="25" t="str">
        <f>VLOOKUP(D1662,'[2]Lista de Produtos CLASSIFICAÇÃO'!$E$103:$F$114,2,FALSE)</f>
        <v>Aquecidos</v>
      </c>
      <c r="F1662" s="61">
        <v>3700</v>
      </c>
      <c r="G1662" t="str">
        <f>VLOOKUP(Tabela1[[#This Row],[Cliente]],clientes!$C$3:$D$60,2,FALSE)</f>
        <v>ARES MERCHANTS PTE LIMITE</v>
      </c>
    </row>
    <row r="1663" spans="1:7" x14ac:dyDescent="0.25">
      <c r="A1663" s="10">
        <v>2025</v>
      </c>
      <c r="B1663" s="10" t="s">
        <v>134</v>
      </c>
      <c r="C1663" s="10" t="s">
        <v>18</v>
      </c>
      <c r="D1663" s="10" t="s">
        <v>17</v>
      </c>
      <c r="E1663" s="25" t="str">
        <f>VLOOKUP(D1663,'[2]Lista de Produtos CLASSIFICAÇÃO'!$E$103:$F$114,2,FALSE)</f>
        <v>Acostagem</v>
      </c>
      <c r="F1663" s="61"/>
      <c r="G1663" t="str">
        <f>VLOOKUP(Tabela1[[#This Row],[Cliente]],clientes!$C$3:$D$60,2,FALSE)</f>
        <v>ACOSTAGEM</v>
      </c>
    </row>
    <row r="1664" spans="1:7" x14ac:dyDescent="0.25">
      <c r="A1664" s="10">
        <v>2025</v>
      </c>
      <c r="B1664" s="10" t="s">
        <v>134</v>
      </c>
      <c r="C1664" s="10" t="s">
        <v>189</v>
      </c>
      <c r="D1664" t="s">
        <v>123</v>
      </c>
      <c r="E1664" s="25" t="str">
        <f>VLOOKUP(D1664,'[2]Lista de Produtos CLASSIFICAÇÃO'!$E$103:$F$114,2,FALSE)</f>
        <v>Aquecidos</v>
      </c>
      <c r="F1664" s="61">
        <v>2500</v>
      </c>
      <c r="G1664" t="str">
        <f>VLOOKUP(Tabela1[[#This Row],[Cliente]],clientes!$C$3:$D$60,2,FALSE)</f>
        <v>ICOF</v>
      </c>
    </row>
    <row r="1665" spans="1:7" x14ac:dyDescent="0.25">
      <c r="A1665" s="10">
        <v>2025</v>
      </c>
      <c r="B1665" s="10" t="s">
        <v>134</v>
      </c>
      <c r="C1665" s="10" t="s">
        <v>191</v>
      </c>
      <c r="D1665" t="s">
        <v>115</v>
      </c>
      <c r="E1665" s="25" t="str">
        <f>VLOOKUP(D1665,'[2]Lista de Produtos CLASSIFICAÇÃO'!$E$103:$F$114,2,FALSE)</f>
        <v>Soda Caustica</v>
      </c>
      <c r="F1665" s="61"/>
      <c r="G1665" t="str">
        <f>VLOOKUP(Tabela1[[#This Row],[Cliente]],clientes!$C$3:$D$60,2,FALSE)</f>
        <v>GPC</v>
      </c>
    </row>
    <row r="1666" spans="1:7" x14ac:dyDescent="0.25">
      <c r="A1666" s="10">
        <v>2025</v>
      </c>
      <c r="B1666" s="10" t="s">
        <v>134</v>
      </c>
      <c r="C1666" s="10" t="s">
        <v>192</v>
      </c>
      <c r="D1666" s="10" t="s">
        <v>121</v>
      </c>
      <c r="E1666" s="25" t="str">
        <f>VLOOKUP(D1666,'[2]Lista de Produtos CLASSIFICAÇÃO'!$E$103:$F$114,2,FALSE)</f>
        <v>Biocombustíveis</v>
      </c>
      <c r="F1666" s="61">
        <v>11850</v>
      </c>
      <c r="G1666" t="str">
        <f>VLOOKUP(Tabela1[[#This Row],[Cliente]],clientes!$C$3:$D$60,2,FALSE)</f>
        <v>INPASA</v>
      </c>
    </row>
    <row r="1667" spans="1:7" x14ac:dyDescent="0.25">
      <c r="A1667" s="10">
        <v>2025</v>
      </c>
      <c r="B1667" s="10" t="s">
        <v>135</v>
      </c>
      <c r="C1667" s="10" t="s">
        <v>155</v>
      </c>
      <c r="D1667" s="10" t="s">
        <v>16</v>
      </c>
      <c r="E1667" s="25" t="str">
        <f>VLOOKUP(D1667,'[2]Lista de Produtos CLASSIFICAÇÃO'!$E$103:$F$114,2,FALSE)</f>
        <v>Outros</v>
      </c>
      <c r="F1667" s="61">
        <v>4500</v>
      </c>
      <c r="G1667" t="str">
        <f>VLOOKUP(Tabela1[[#This Row],[Cliente]],clientes!$C$3:$D$60,2,FALSE)</f>
        <v>ADISSEO</v>
      </c>
    </row>
    <row r="1668" spans="1:7" x14ac:dyDescent="0.25">
      <c r="A1668" s="10">
        <v>2025</v>
      </c>
      <c r="B1668" s="10" t="s">
        <v>135</v>
      </c>
      <c r="C1668" s="10" t="s">
        <v>156</v>
      </c>
      <c r="D1668" s="10" t="s">
        <v>123</v>
      </c>
      <c r="E1668" s="25" t="str">
        <f>VLOOKUP(D1668,'[2]Lista de Produtos CLASSIFICAÇÃO'!$E$103:$F$114,2,FALSE)</f>
        <v>Aquecidos</v>
      </c>
      <c r="F1668" s="61">
        <v>2100</v>
      </c>
      <c r="G1668" t="str">
        <f>VLOOKUP(Tabela1[[#This Row],[Cliente]],clientes!$C$3:$D$60,2,FALSE)</f>
        <v>BUNGE</v>
      </c>
    </row>
    <row r="1669" spans="1:7" x14ac:dyDescent="0.25">
      <c r="A1669" s="10">
        <v>2025</v>
      </c>
      <c r="B1669" s="10" t="s">
        <v>135</v>
      </c>
      <c r="C1669" s="10" t="s">
        <v>157</v>
      </c>
      <c r="D1669" s="10" t="s">
        <v>122</v>
      </c>
      <c r="E1669" s="25" t="str">
        <f>VLOOKUP(D1669,'[2]Lista de Produtos CLASSIFICAÇÃO'!$E$103:$F$114,2,FALSE)</f>
        <v>Óleo Vegetal</v>
      </c>
      <c r="F1669" s="61">
        <v>1700</v>
      </c>
      <c r="G1669" t="str">
        <f>VLOOKUP(Tabela1[[#This Row],[Cliente]],clientes!$C$3:$D$60,2,FALSE)</f>
        <v>ADM</v>
      </c>
    </row>
    <row r="1670" spans="1:7" x14ac:dyDescent="0.25">
      <c r="A1670" s="10">
        <v>2025</v>
      </c>
      <c r="B1670" s="10" t="s">
        <v>135</v>
      </c>
      <c r="C1670" s="10" t="s">
        <v>158</v>
      </c>
      <c r="D1670" s="10" t="s">
        <v>120</v>
      </c>
      <c r="E1670" s="25" t="str">
        <f>VLOOKUP(D1670,'[2]Lista de Produtos CLASSIFICAÇÃO'!$E$103:$F$114,2,FALSE)</f>
        <v>Derivados</v>
      </c>
      <c r="F1670" s="61">
        <v>45000</v>
      </c>
      <c r="G1670" t="str">
        <f>VLOOKUP(Tabela1[[#This Row],[Cliente]],clientes!$C$3:$D$60,2,FALSE)</f>
        <v>IPIRANGA</v>
      </c>
    </row>
    <row r="1671" spans="1:7" x14ac:dyDescent="0.25">
      <c r="A1671" s="10">
        <v>2025</v>
      </c>
      <c r="B1671" s="10" t="s">
        <v>135</v>
      </c>
      <c r="C1671" s="10" t="s">
        <v>159</v>
      </c>
      <c r="D1671" s="10" t="s">
        <v>120</v>
      </c>
      <c r="E1671" s="25" t="str">
        <f>VLOOKUP(D1671,'[2]Lista de Produtos CLASSIFICAÇÃO'!$E$103:$F$114,2,FALSE)</f>
        <v>Derivados</v>
      </c>
      <c r="F1671" s="61">
        <v>41500</v>
      </c>
      <c r="G1671" t="str">
        <f>VLOOKUP(Tabela1[[#This Row],[Cliente]],clientes!$C$3:$D$60,2,FALSE)</f>
        <v>RAIZEN</v>
      </c>
    </row>
    <row r="1672" spans="1:7" x14ac:dyDescent="0.25">
      <c r="A1672" s="10">
        <v>2025</v>
      </c>
      <c r="B1672" s="10" t="s">
        <v>135</v>
      </c>
      <c r="C1672" s="10" t="s">
        <v>160</v>
      </c>
      <c r="D1672" s="10" t="s">
        <v>120</v>
      </c>
      <c r="E1672" s="25" t="str">
        <f>VLOOKUP(D1672,'[2]Lista de Produtos CLASSIFICAÇÃO'!$E$103:$F$114,2,FALSE)</f>
        <v>Derivados</v>
      </c>
      <c r="F1672" s="61">
        <v>16600</v>
      </c>
      <c r="G1672" t="str">
        <f>VLOOKUP(Tabela1[[#This Row],[Cliente]],clientes!$C$3:$D$60,2,FALSE)</f>
        <v>VIBRA</v>
      </c>
    </row>
    <row r="1673" spans="1:7" x14ac:dyDescent="0.25">
      <c r="A1673" s="10">
        <v>2025</v>
      </c>
      <c r="B1673" s="10" t="s">
        <v>135</v>
      </c>
      <c r="C1673" s="10" t="s">
        <v>161</v>
      </c>
      <c r="D1673" s="10" t="s">
        <v>120</v>
      </c>
      <c r="E1673" s="25" t="str">
        <f>VLOOKUP(D1673,'[2]Lista de Produtos CLASSIFICAÇÃO'!$E$103:$F$114,2,FALSE)</f>
        <v>Derivados</v>
      </c>
      <c r="F1673" s="61">
        <v>20000</v>
      </c>
      <c r="G1673" t="str">
        <f>VLOOKUP(Tabela1[[#This Row],[Cliente]],clientes!$C$3:$D$60,2,FALSE)</f>
        <v>SUL PLATA</v>
      </c>
    </row>
    <row r="1674" spans="1:7" x14ac:dyDescent="0.25">
      <c r="A1674" s="10">
        <v>2025</v>
      </c>
      <c r="B1674" s="10" t="s">
        <v>135</v>
      </c>
      <c r="C1674" s="10" t="s">
        <v>162</v>
      </c>
      <c r="D1674" s="10" t="s">
        <v>115</v>
      </c>
      <c r="E1674" s="25" t="str">
        <f>VLOOKUP(D1674,'[2]Lista de Produtos CLASSIFICAÇÃO'!$E$103:$F$114,2,FALSE)</f>
        <v>Soda Caustica</v>
      </c>
      <c r="F1674" s="61">
        <v>1800</v>
      </c>
      <c r="G1674" t="str">
        <f>VLOOKUP(Tabela1[[#This Row],[Cliente]],clientes!$C$3:$D$60,2,FALSE)</f>
        <v>JBS</v>
      </c>
    </row>
    <row r="1675" spans="1:7" x14ac:dyDescent="0.25">
      <c r="A1675" s="10">
        <v>2025</v>
      </c>
      <c r="B1675" s="10" t="s">
        <v>135</v>
      </c>
      <c r="C1675" s="10" t="s">
        <v>163</v>
      </c>
      <c r="D1675" t="s">
        <v>115</v>
      </c>
      <c r="E1675" s="25" t="str">
        <f>VLOOKUP(D1675,'[2]Lista de Produtos CLASSIFICAÇÃO'!$E$103:$F$114,2,FALSE)</f>
        <v>Soda Caustica</v>
      </c>
      <c r="F1675" s="61">
        <v>3800</v>
      </c>
      <c r="G1675" t="str">
        <f>VLOOKUP(Tabela1[[#This Row],[Cliente]],clientes!$C$3:$D$60,2,FALSE)</f>
        <v>TRICON ENERGY</v>
      </c>
    </row>
    <row r="1676" spans="1:7" x14ac:dyDescent="0.25">
      <c r="A1676" s="10">
        <v>2025</v>
      </c>
      <c r="B1676" s="10" t="s">
        <v>135</v>
      </c>
      <c r="C1676" s="10" t="s">
        <v>164</v>
      </c>
      <c r="D1676" t="s">
        <v>115</v>
      </c>
      <c r="E1676" s="25" t="str">
        <f>VLOOKUP(D1676,'[2]Lista de Produtos CLASSIFICAÇÃO'!$E$103:$F$114,2,FALSE)</f>
        <v>Soda Caustica</v>
      </c>
      <c r="F1676" s="61">
        <v>1300</v>
      </c>
      <c r="G1676" t="str">
        <f>VLOOKUP(Tabela1[[#This Row],[Cliente]],clientes!$C$3:$D$60,2,FALSE)</f>
        <v>BRASKEM</v>
      </c>
    </row>
    <row r="1677" spans="1:7" x14ac:dyDescent="0.25">
      <c r="A1677" s="10">
        <v>2025</v>
      </c>
      <c r="B1677" s="10" t="s">
        <v>135</v>
      </c>
      <c r="C1677" s="10" t="s">
        <v>165</v>
      </c>
      <c r="D1677" s="10" t="s">
        <v>123</v>
      </c>
      <c r="E1677" s="25" t="str">
        <f>VLOOKUP(D1677,'[2]Lista de Produtos CLASSIFICAÇÃO'!$E$103:$F$114,2,FALSE)</f>
        <v>Aquecidos</v>
      </c>
      <c r="F1677" s="61">
        <v>4000</v>
      </c>
      <c r="G1677" t="str">
        <f>VLOOKUP(Tabela1[[#This Row],[Cliente]],clientes!$C$3:$D$60,2,FALSE)</f>
        <v>BRF</v>
      </c>
    </row>
    <row r="1678" spans="1:7" x14ac:dyDescent="0.25">
      <c r="A1678" s="10">
        <v>2025</v>
      </c>
      <c r="B1678" s="10" t="s">
        <v>135</v>
      </c>
      <c r="C1678" s="10" t="s">
        <v>162</v>
      </c>
      <c r="D1678" s="10" t="s">
        <v>123</v>
      </c>
      <c r="E1678" s="25" t="str">
        <f>VLOOKUP(D1678,'[2]Lista de Produtos CLASSIFICAÇÃO'!$E$103:$F$114,2,FALSE)</f>
        <v>Aquecidos</v>
      </c>
      <c r="F1678" s="61">
        <v>4520</v>
      </c>
      <c r="G1678" t="str">
        <f>VLOOKUP(Tabela1[[#This Row],[Cliente]],clientes!$C$3:$D$60,2,FALSE)</f>
        <v>JBS</v>
      </c>
    </row>
    <row r="1679" spans="1:7" x14ac:dyDescent="0.25">
      <c r="A1679" s="10">
        <v>2025</v>
      </c>
      <c r="B1679" s="10" t="s">
        <v>135</v>
      </c>
      <c r="C1679" s="10" t="s">
        <v>166</v>
      </c>
      <c r="D1679" s="10" t="s">
        <v>123</v>
      </c>
      <c r="E1679" s="25" t="str">
        <f>VLOOKUP(D1679,'[2]Lista de Produtos CLASSIFICAÇÃO'!$E$103:$F$114,2,FALSE)</f>
        <v>Aquecidos</v>
      </c>
      <c r="F1679" s="61">
        <v>3900</v>
      </c>
      <c r="G1679" t="str">
        <f>VLOOKUP(Tabela1[[#This Row],[Cliente]],clientes!$C$3:$D$60,2,FALSE)</f>
        <v>CARGILL</v>
      </c>
    </row>
    <row r="1680" spans="1:7" x14ac:dyDescent="0.25">
      <c r="A1680" s="10">
        <v>2025</v>
      </c>
      <c r="B1680" s="10" t="s">
        <v>135</v>
      </c>
      <c r="C1680" s="10" t="s">
        <v>167</v>
      </c>
      <c r="D1680" s="10" t="s">
        <v>122</v>
      </c>
      <c r="E1680" s="25" t="str">
        <f>VLOOKUP(D1680,'[2]Lista de Produtos CLASSIFICAÇÃO'!$E$103:$F$114,2,FALSE)</f>
        <v>Óleo Vegetal</v>
      </c>
      <c r="F1680" s="61">
        <v>51932.13</v>
      </c>
      <c r="G1680" t="str">
        <f>VLOOKUP(Tabela1[[#This Row],[Cliente]],clientes!$C$3:$D$60,2,FALSE)</f>
        <v>POOL</v>
      </c>
    </row>
    <row r="1681" spans="1:7" x14ac:dyDescent="0.25">
      <c r="A1681" s="10">
        <v>2025</v>
      </c>
      <c r="B1681" s="10" t="s">
        <v>135</v>
      </c>
      <c r="C1681" s="10" t="s">
        <v>168</v>
      </c>
      <c r="D1681" s="10" t="s">
        <v>122</v>
      </c>
      <c r="E1681" s="25" t="str">
        <f>VLOOKUP(D1681,'[2]Lista de Produtos CLASSIFICAÇÃO'!$E$103:$F$114,2,FALSE)</f>
        <v>Óleo Vegetal</v>
      </c>
      <c r="F1681" s="61"/>
      <c r="G1681" t="str">
        <f>VLOOKUP(Tabela1[[#This Row],[Cliente]],clientes!$C$3:$D$60,2,FALSE)</f>
        <v>POOL EXCEDENTE</v>
      </c>
    </row>
    <row r="1682" spans="1:7" x14ac:dyDescent="0.25">
      <c r="A1682" s="10">
        <v>2025</v>
      </c>
      <c r="B1682" s="10" t="s">
        <v>135</v>
      </c>
      <c r="C1682" s="10" t="s">
        <v>169</v>
      </c>
      <c r="D1682" s="10" t="s">
        <v>22</v>
      </c>
      <c r="E1682" s="25" t="str">
        <f>VLOOKUP(D1682,'[2]Lista de Produtos CLASSIFICAÇÃO'!$E$103:$F$114,2,FALSE)</f>
        <v>Metanol</v>
      </c>
      <c r="F1682" s="61">
        <v>75000</v>
      </c>
      <c r="G1682" t="str">
        <f>VLOOKUP(Tabela1[[#This Row],[Cliente]],clientes!$C$3:$D$60,2,FALSE)</f>
        <v>METHANEX</v>
      </c>
    </row>
    <row r="1683" spans="1:7" x14ac:dyDescent="0.25">
      <c r="A1683" s="10">
        <v>2025</v>
      </c>
      <c r="B1683" s="10" t="s">
        <v>135</v>
      </c>
      <c r="C1683" s="10" t="s">
        <v>170</v>
      </c>
      <c r="D1683" s="10" t="s">
        <v>22</v>
      </c>
      <c r="E1683" s="25" t="str">
        <f>VLOOKUP(D1683,'[2]Lista de Produtos CLASSIFICAÇÃO'!$E$103:$F$114,2,FALSE)</f>
        <v>Metanol</v>
      </c>
      <c r="F1683" s="61">
        <v>17000</v>
      </c>
      <c r="G1683" t="str">
        <f>VLOOKUP(Tabela1[[#This Row],[Cliente]],clientes!$C$3:$D$60,2,FALSE)</f>
        <v>MITSUBISHI</v>
      </c>
    </row>
    <row r="1684" spans="1:7" x14ac:dyDescent="0.25">
      <c r="A1684" s="10">
        <v>2025</v>
      </c>
      <c r="B1684" s="10" t="s">
        <v>135</v>
      </c>
      <c r="C1684" s="10" t="s">
        <v>171</v>
      </c>
      <c r="D1684" s="10" t="s">
        <v>22</v>
      </c>
      <c r="E1684" s="25" t="str">
        <f>VLOOKUP(D1684,'[2]Lista de Produtos CLASSIFICAÇÃO'!$E$103:$F$114,2,FALSE)</f>
        <v>Metanol</v>
      </c>
      <c r="F1684" s="61">
        <v>26000</v>
      </c>
      <c r="G1684" t="str">
        <f>VLOOKUP(Tabela1[[#This Row],[Cliente]],clientes!$C$3:$D$60,2,FALSE)</f>
        <v>VALENZ</v>
      </c>
    </row>
    <row r="1685" spans="1:7" x14ac:dyDescent="0.25">
      <c r="A1685" s="10">
        <v>2025</v>
      </c>
      <c r="B1685" s="10" t="s">
        <v>135</v>
      </c>
      <c r="C1685" s="10" t="s">
        <v>172</v>
      </c>
      <c r="D1685" s="10" t="s">
        <v>124</v>
      </c>
      <c r="E1685" s="25" t="str">
        <f>VLOOKUP(D1685,'[2]Lista de Produtos CLASSIFICAÇÃO'!$E$103:$F$114,2,FALSE)</f>
        <v>Outros</v>
      </c>
      <c r="F1685" s="61">
        <v>1500</v>
      </c>
      <c r="G1685" t="str">
        <f>VLOOKUP(Tabela1[[#This Row],[Cliente]],clientes!$C$3:$D$60,2,FALSE)</f>
        <v>EVONIK</v>
      </c>
    </row>
    <row r="1686" spans="1:7" x14ac:dyDescent="0.25">
      <c r="A1686" s="10">
        <v>2025</v>
      </c>
      <c r="B1686" s="10" t="s">
        <v>135</v>
      </c>
      <c r="C1686" s="10" t="s">
        <v>186</v>
      </c>
      <c r="D1686" s="10" t="s">
        <v>22</v>
      </c>
      <c r="E1686" s="25" t="str">
        <f>VLOOKUP(D1686,'[2]Lista de Produtos CLASSIFICAÇÃO'!$E$103:$F$114,2,FALSE)</f>
        <v>Metanol</v>
      </c>
      <c r="F1686" s="61">
        <v>2500</v>
      </c>
      <c r="G1686" t="str">
        <f>VLOOKUP(Tabela1[[#This Row],[Cliente]],clientes!$C$3:$D$60,2,FALSE)</f>
        <v>OQ TRADING</v>
      </c>
    </row>
    <row r="1687" spans="1:7" x14ac:dyDescent="0.25">
      <c r="A1687" s="10">
        <v>2025</v>
      </c>
      <c r="B1687" s="10" t="s">
        <v>135</v>
      </c>
      <c r="C1687" s="10" t="s">
        <v>174</v>
      </c>
      <c r="D1687" s="10" t="s">
        <v>123</v>
      </c>
      <c r="E1687" s="25" t="str">
        <f>VLOOKUP(D1687,'[2]Lista de Produtos CLASSIFICAÇÃO'!$E$103:$F$114,2,FALSE)</f>
        <v>Aquecidos</v>
      </c>
      <c r="F1687" s="61">
        <v>12500</v>
      </c>
      <c r="G1687" t="str">
        <f>VLOOKUP(Tabela1[[#This Row],[Cliente]],clientes!$C$3:$D$60,2,FALSE)</f>
        <v>CELENA</v>
      </c>
    </row>
    <row r="1688" spans="1:7" x14ac:dyDescent="0.25">
      <c r="A1688" s="10">
        <v>2025</v>
      </c>
      <c r="B1688" s="10" t="s">
        <v>135</v>
      </c>
      <c r="C1688" s="10" t="s">
        <v>175</v>
      </c>
      <c r="D1688" s="10" t="s">
        <v>123</v>
      </c>
      <c r="E1688" s="25" t="str">
        <f>VLOOKUP(D1688,'[2]Lista de Produtos CLASSIFICAÇÃO'!$E$103:$F$114,2,FALSE)</f>
        <v>Aquecidos</v>
      </c>
      <c r="F1688" s="61">
        <v>3600</v>
      </c>
      <c r="G1688" t="str">
        <f>VLOOKUP(Tabela1[[#This Row],[Cliente]],clientes!$C$3:$D$60,2,FALSE)</f>
        <v>AAK DO BRASIL</v>
      </c>
    </row>
    <row r="1689" spans="1:7" x14ac:dyDescent="0.25">
      <c r="A1689" s="10">
        <v>2025</v>
      </c>
      <c r="B1689" s="10" t="s">
        <v>135</v>
      </c>
      <c r="C1689" s="10" t="s">
        <v>166</v>
      </c>
      <c r="D1689" s="10" t="s">
        <v>122</v>
      </c>
      <c r="E1689" s="25" t="str">
        <f>VLOOKUP(D1689,'[2]Lista de Produtos CLASSIFICAÇÃO'!$E$103:$F$114,2,FALSE)</f>
        <v>Óleo Vegetal</v>
      </c>
      <c r="F1689" s="61"/>
      <c r="G1689" t="str">
        <f>VLOOKUP(Tabela1[[#This Row],[Cliente]],clientes!$C$3:$D$60,2,FALSE)</f>
        <v>CARGILL</v>
      </c>
    </row>
    <row r="1690" spans="1:7" x14ac:dyDescent="0.25">
      <c r="A1690" s="10">
        <v>2025</v>
      </c>
      <c r="B1690" s="10" t="s">
        <v>135</v>
      </c>
      <c r="C1690" s="10" t="s">
        <v>176</v>
      </c>
      <c r="D1690" s="10" t="s">
        <v>123</v>
      </c>
      <c r="E1690" s="25" t="str">
        <f>VLOOKUP(D1690,'[2]Lista de Produtos CLASSIFICAÇÃO'!$E$103:$F$114,2,FALSE)</f>
        <v>Aquecidos</v>
      </c>
      <c r="F1690" s="61">
        <v>3500</v>
      </c>
      <c r="G1690" t="str">
        <f>VLOOKUP(Tabela1[[#This Row],[Cliente]],clientes!$C$3:$D$60,2,FALSE)</f>
        <v>AGROPALMA</v>
      </c>
    </row>
    <row r="1691" spans="1:7" x14ac:dyDescent="0.25">
      <c r="A1691" s="10">
        <v>2025</v>
      </c>
      <c r="B1691" s="10" t="s">
        <v>135</v>
      </c>
      <c r="C1691" s="10" t="s">
        <v>177</v>
      </c>
      <c r="D1691" s="10" t="s">
        <v>115</v>
      </c>
      <c r="E1691" s="25" t="str">
        <f>VLOOKUP(D1691,'[2]Lista de Produtos CLASSIFICAÇÃO'!$E$103:$F$114,2,FALSE)</f>
        <v>Soda Caustica</v>
      </c>
      <c r="F1691" s="61">
        <v>2800</v>
      </c>
      <c r="G1691" t="str">
        <f>VLOOKUP(Tabela1[[#This Row],[Cliente]],clientes!$C$3:$D$60,2,FALSE)</f>
        <v>BRENNTAG</v>
      </c>
    </row>
    <row r="1692" spans="1:7" x14ac:dyDescent="0.25">
      <c r="A1692" s="10">
        <v>2025</v>
      </c>
      <c r="B1692" s="10" t="s">
        <v>135</v>
      </c>
      <c r="C1692" s="10" t="s">
        <v>178</v>
      </c>
      <c r="D1692" s="10" t="s">
        <v>115</v>
      </c>
      <c r="E1692" s="25" t="str">
        <f>VLOOKUP(D1692,'[2]Lista de Produtos CLASSIFICAÇÃO'!$E$103:$F$114,2,FALSE)</f>
        <v>Soda Caustica</v>
      </c>
      <c r="F1692" s="61">
        <v>20000</v>
      </c>
      <c r="G1692" t="str">
        <f>VLOOKUP(Tabela1[[#This Row],[Cliente]],clientes!$C$3:$D$60,2,FALSE)</f>
        <v>OLIN BLUE CUBE</v>
      </c>
    </row>
    <row r="1693" spans="1:7" x14ac:dyDescent="0.25">
      <c r="A1693" s="10">
        <v>2025</v>
      </c>
      <c r="B1693" s="10" t="s">
        <v>135</v>
      </c>
      <c r="C1693" s="10" t="s">
        <v>179</v>
      </c>
      <c r="D1693" s="10" t="s">
        <v>26</v>
      </c>
      <c r="E1693" s="25" t="str">
        <f>VLOOKUP(D1693,'[2]Lista de Produtos CLASSIFICAÇÃO'!$E$103:$F$114,2,FALSE)</f>
        <v>Biocombustíveis</v>
      </c>
      <c r="F1693" s="61">
        <v>4000</v>
      </c>
      <c r="G1693" t="str">
        <f>VLOOKUP(Tabela1[[#This Row],[Cliente]],clientes!$C$3:$D$60,2,FALSE)</f>
        <v>BSBIOS</v>
      </c>
    </row>
    <row r="1694" spans="1:7" x14ac:dyDescent="0.25">
      <c r="A1694" s="10">
        <v>2025</v>
      </c>
      <c r="B1694" s="10" t="s">
        <v>135</v>
      </c>
      <c r="C1694" s="10" t="s">
        <v>181</v>
      </c>
      <c r="D1694" s="10" t="s">
        <v>123</v>
      </c>
      <c r="E1694" s="25" t="str">
        <f>VLOOKUP(D1694,'[2]Lista de Produtos CLASSIFICAÇÃO'!$E$103:$F$114,2,FALSE)</f>
        <v>Aquecidos</v>
      </c>
      <c r="F1694" s="61">
        <v>1600</v>
      </c>
      <c r="G1694" t="str">
        <f>VLOOKUP(Tabela1[[#This Row],[Cliente]],clientes!$C$3:$D$60,2,FALSE)</f>
        <v>COAMO</v>
      </c>
    </row>
    <row r="1695" spans="1:7" x14ac:dyDescent="0.25">
      <c r="A1695" s="10">
        <v>2025</v>
      </c>
      <c r="B1695" s="10" t="s">
        <v>135</v>
      </c>
      <c r="C1695" s="10" t="s">
        <v>182</v>
      </c>
      <c r="D1695" s="10" t="s">
        <v>120</v>
      </c>
      <c r="E1695" s="25" t="str">
        <f>VLOOKUP(D1695,'[2]Lista de Produtos CLASSIFICAÇÃO'!$E$103:$F$114,2,FALSE)</f>
        <v>Derivados</v>
      </c>
      <c r="F1695" s="61">
        <v>8300</v>
      </c>
      <c r="G1695" t="str">
        <f>VLOOKUP(Tabela1[[#This Row],[Cliente]],clientes!$C$3:$D$60,2,FALSE)</f>
        <v>ATEM</v>
      </c>
    </row>
    <row r="1696" spans="1:7" x14ac:dyDescent="0.25">
      <c r="A1696" s="10">
        <v>2025</v>
      </c>
      <c r="B1696" s="10" t="s">
        <v>135</v>
      </c>
      <c r="C1696" s="10" t="s">
        <v>184</v>
      </c>
      <c r="D1696" s="10" t="s">
        <v>122</v>
      </c>
      <c r="E1696" s="25" t="str">
        <f>VLOOKUP(D1696,'[2]Lista de Produtos CLASSIFICAÇÃO'!$E$103:$F$114,2,FALSE)</f>
        <v>Óleo Vegetal</v>
      </c>
      <c r="F1696" s="61"/>
      <c r="G1696" t="str">
        <f>VLOOKUP(Tabela1[[#This Row],[Cliente]],clientes!$C$3:$D$60,2,FALSE)</f>
        <v>INGREDION</v>
      </c>
    </row>
    <row r="1697" spans="1:7" x14ac:dyDescent="0.25">
      <c r="A1697" s="10">
        <v>2025</v>
      </c>
      <c r="B1697" s="10" t="s">
        <v>135</v>
      </c>
      <c r="C1697" s="10" t="s">
        <v>185</v>
      </c>
      <c r="D1697" s="10" t="s">
        <v>120</v>
      </c>
      <c r="E1697" s="25" t="str">
        <f>VLOOKUP(D1697,'[2]Lista de Produtos CLASSIFICAÇÃO'!$E$103:$F$114,2,FALSE)</f>
        <v>Derivados</v>
      </c>
      <c r="F1697" s="61">
        <v>12450</v>
      </c>
      <c r="G1697" t="str">
        <f>VLOOKUP(Tabela1[[#This Row],[Cliente]],clientes!$C$3:$D$60,2,FALSE)</f>
        <v>CIAPETRO</v>
      </c>
    </row>
    <row r="1698" spans="1:7" x14ac:dyDescent="0.25">
      <c r="A1698" s="10">
        <v>2025</v>
      </c>
      <c r="B1698" s="10" t="s">
        <v>135</v>
      </c>
      <c r="C1698" s="10" t="s">
        <v>187</v>
      </c>
      <c r="D1698" s="10" t="s">
        <v>121</v>
      </c>
      <c r="E1698" s="25" t="str">
        <f>VLOOKUP(D1698,'[2]Lista de Produtos CLASSIFICAÇÃO'!$E$103:$F$114,2,FALSE)</f>
        <v>Biocombustíveis</v>
      </c>
      <c r="F1698" s="61">
        <v>7900</v>
      </c>
      <c r="G1698" t="str">
        <f>VLOOKUP(Tabela1[[#This Row],[Cliente]],clientes!$C$3:$D$60,2,FALSE)</f>
        <v>TEREOS / INPASA / GLENCORE / FS</v>
      </c>
    </row>
    <row r="1699" spans="1:7" x14ac:dyDescent="0.25">
      <c r="A1699" s="10">
        <v>2025</v>
      </c>
      <c r="B1699" s="10" t="s">
        <v>135</v>
      </c>
      <c r="C1699" s="10" t="s">
        <v>188</v>
      </c>
      <c r="D1699" s="10" t="s">
        <v>123</v>
      </c>
      <c r="E1699" s="25" t="str">
        <f>VLOOKUP(D1699,'[2]Lista de Produtos CLASSIFICAÇÃO'!$E$103:$F$114,2,FALSE)</f>
        <v>Aquecidos</v>
      </c>
      <c r="F1699" s="61">
        <v>3700</v>
      </c>
      <c r="G1699" t="str">
        <f>VLOOKUP(Tabela1[[#This Row],[Cliente]],clientes!$C$3:$D$60,2,FALSE)</f>
        <v>ARES MERCHANTS PTE LIMITE</v>
      </c>
    </row>
    <row r="1700" spans="1:7" x14ac:dyDescent="0.25">
      <c r="A1700" s="10">
        <v>2025</v>
      </c>
      <c r="B1700" s="10" t="s">
        <v>135</v>
      </c>
      <c r="C1700" s="10" t="s">
        <v>18</v>
      </c>
      <c r="D1700" s="10" t="s">
        <v>17</v>
      </c>
      <c r="E1700" s="25" t="str">
        <f>VLOOKUP(D1700,'[2]Lista de Produtos CLASSIFICAÇÃO'!$E$103:$F$114,2,FALSE)</f>
        <v>Acostagem</v>
      </c>
      <c r="F1700" s="61"/>
      <c r="G1700" t="str">
        <f>VLOOKUP(Tabela1[[#This Row],[Cliente]],clientes!$C$3:$D$60,2,FALSE)</f>
        <v>ACOSTAGEM</v>
      </c>
    </row>
    <row r="1701" spans="1:7" x14ac:dyDescent="0.25">
      <c r="A1701" s="10">
        <v>2025</v>
      </c>
      <c r="B1701" s="10" t="s">
        <v>135</v>
      </c>
      <c r="C1701" s="10" t="s">
        <v>189</v>
      </c>
      <c r="D1701" t="s">
        <v>123</v>
      </c>
      <c r="E1701" s="25" t="str">
        <f>VLOOKUP(D1701,'[2]Lista de Produtos CLASSIFICAÇÃO'!$E$103:$F$114,2,FALSE)</f>
        <v>Aquecidos</v>
      </c>
      <c r="F1701" s="61">
        <v>2500</v>
      </c>
      <c r="G1701" t="str">
        <f>VLOOKUP(Tabela1[[#This Row],[Cliente]],clientes!$C$3:$D$60,2,FALSE)</f>
        <v>ICOF</v>
      </c>
    </row>
    <row r="1702" spans="1:7" x14ac:dyDescent="0.25">
      <c r="A1702" s="10">
        <v>2025</v>
      </c>
      <c r="B1702" s="10" t="s">
        <v>135</v>
      </c>
      <c r="C1702" s="10" t="s">
        <v>191</v>
      </c>
      <c r="D1702" t="s">
        <v>115</v>
      </c>
      <c r="E1702" s="25" t="str">
        <f>VLOOKUP(D1702,'[2]Lista de Produtos CLASSIFICAÇÃO'!$E$103:$F$114,2,FALSE)</f>
        <v>Soda Caustica</v>
      </c>
      <c r="F1702" s="61"/>
      <c r="G1702" t="str">
        <f>VLOOKUP(Tabela1[[#This Row],[Cliente]],clientes!$C$3:$D$60,2,FALSE)</f>
        <v>GPC</v>
      </c>
    </row>
    <row r="1703" spans="1:7" x14ac:dyDescent="0.25">
      <c r="A1703" s="10">
        <v>2025</v>
      </c>
      <c r="B1703" s="10" t="s">
        <v>135</v>
      </c>
      <c r="C1703" s="10" t="s">
        <v>192</v>
      </c>
      <c r="D1703" s="10" t="s">
        <v>121</v>
      </c>
      <c r="E1703" s="25" t="str">
        <f>VLOOKUP(D1703,'[2]Lista de Produtos CLASSIFICAÇÃO'!$E$103:$F$114,2,FALSE)</f>
        <v>Biocombustíveis</v>
      </c>
      <c r="F1703" s="61">
        <v>11850</v>
      </c>
      <c r="G1703" t="str">
        <f>VLOOKUP(Tabela1[[#This Row],[Cliente]],clientes!$C$3:$D$60,2,FALSE)</f>
        <v>INPASA</v>
      </c>
    </row>
    <row r="1704" spans="1:7" x14ac:dyDescent="0.25">
      <c r="A1704" s="10">
        <v>2025</v>
      </c>
      <c r="B1704" s="10" t="s">
        <v>136</v>
      </c>
      <c r="C1704" s="10" t="s">
        <v>155</v>
      </c>
      <c r="D1704" s="10" t="s">
        <v>16</v>
      </c>
      <c r="E1704" s="25" t="str">
        <f>VLOOKUP(D1704,'[2]Lista de Produtos CLASSIFICAÇÃO'!$E$103:$F$114,2,FALSE)</f>
        <v>Outros</v>
      </c>
      <c r="F1704" s="61">
        <v>4500</v>
      </c>
      <c r="G1704" t="str">
        <f>VLOOKUP(Tabela1[[#This Row],[Cliente]],clientes!$C$3:$D$60,2,FALSE)</f>
        <v>ADISSEO</v>
      </c>
    </row>
    <row r="1705" spans="1:7" x14ac:dyDescent="0.25">
      <c r="A1705" s="10">
        <v>2025</v>
      </c>
      <c r="B1705" s="10" t="s">
        <v>136</v>
      </c>
      <c r="C1705" s="10" t="s">
        <v>156</v>
      </c>
      <c r="D1705" s="10" t="s">
        <v>123</v>
      </c>
      <c r="E1705" s="25" t="str">
        <f>VLOOKUP(D1705,'[2]Lista de Produtos CLASSIFICAÇÃO'!$E$103:$F$114,2,FALSE)</f>
        <v>Aquecidos</v>
      </c>
      <c r="F1705" s="61">
        <v>2100</v>
      </c>
      <c r="G1705" t="str">
        <f>VLOOKUP(Tabela1[[#This Row],[Cliente]],clientes!$C$3:$D$60,2,FALSE)</f>
        <v>BUNGE</v>
      </c>
    </row>
    <row r="1706" spans="1:7" x14ac:dyDescent="0.25">
      <c r="A1706" s="10">
        <v>2025</v>
      </c>
      <c r="B1706" s="10" t="s">
        <v>136</v>
      </c>
      <c r="C1706" s="10" t="s">
        <v>157</v>
      </c>
      <c r="D1706" s="10" t="s">
        <v>122</v>
      </c>
      <c r="E1706" s="25" t="str">
        <f>VLOOKUP(D1706,'[2]Lista de Produtos CLASSIFICAÇÃO'!$E$103:$F$114,2,FALSE)</f>
        <v>Óleo Vegetal</v>
      </c>
      <c r="F1706" s="61">
        <v>1700</v>
      </c>
      <c r="G1706" t="str">
        <f>VLOOKUP(Tabela1[[#This Row],[Cliente]],clientes!$C$3:$D$60,2,FALSE)</f>
        <v>ADM</v>
      </c>
    </row>
    <row r="1707" spans="1:7" x14ac:dyDescent="0.25">
      <c r="A1707" s="10">
        <v>2025</v>
      </c>
      <c r="B1707" s="10" t="s">
        <v>136</v>
      </c>
      <c r="C1707" s="10" t="s">
        <v>158</v>
      </c>
      <c r="D1707" s="10" t="s">
        <v>120</v>
      </c>
      <c r="E1707" s="25" t="str">
        <f>VLOOKUP(D1707,'[2]Lista de Produtos CLASSIFICAÇÃO'!$E$103:$F$114,2,FALSE)</f>
        <v>Derivados</v>
      </c>
      <c r="F1707" s="61">
        <v>45000</v>
      </c>
      <c r="G1707" t="str">
        <f>VLOOKUP(Tabela1[[#This Row],[Cliente]],clientes!$C$3:$D$60,2,FALSE)</f>
        <v>IPIRANGA</v>
      </c>
    </row>
    <row r="1708" spans="1:7" x14ac:dyDescent="0.25">
      <c r="A1708" s="10">
        <v>2025</v>
      </c>
      <c r="B1708" s="10" t="s">
        <v>136</v>
      </c>
      <c r="C1708" s="10" t="s">
        <v>159</v>
      </c>
      <c r="D1708" s="10" t="s">
        <v>120</v>
      </c>
      <c r="E1708" s="25" t="str">
        <f>VLOOKUP(D1708,'[2]Lista de Produtos CLASSIFICAÇÃO'!$E$103:$F$114,2,FALSE)</f>
        <v>Derivados</v>
      </c>
      <c r="F1708" s="61">
        <v>41500</v>
      </c>
      <c r="G1708" t="str">
        <f>VLOOKUP(Tabela1[[#This Row],[Cliente]],clientes!$C$3:$D$60,2,FALSE)</f>
        <v>RAIZEN</v>
      </c>
    </row>
    <row r="1709" spans="1:7" x14ac:dyDescent="0.25">
      <c r="A1709" s="10">
        <v>2025</v>
      </c>
      <c r="B1709" s="10" t="s">
        <v>136</v>
      </c>
      <c r="C1709" s="10" t="s">
        <v>160</v>
      </c>
      <c r="D1709" s="10" t="s">
        <v>120</v>
      </c>
      <c r="E1709" s="25" t="str">
        <f>VLOOKUP(D1709,'[2]Lista de Produtos CLASSIFICAÇÃO'!$E$103:$F$114,2,FALSE)</f>
        <v>Derivados</v>
      </c>
      <c r="F1709" s="61">
        <v>16600</v>
      </c>
      <c r="G1709" t="str">
        <f>VLOOKUP(Tabela1[[#This Row],[Cliente]],clientes!$C$3:$D$60,2,FALSE)</f>
        <v>VIBRA</v>
      </c>
    </row>
    <row r="1710" spans="1:7" x14ac:dyDescent="0.25">
      <c r="A1710" s="10">
        <v>2025</v>
      </c>
      <c r="B1710" s="10" t="s">
        <v>136</v>
      </c>
      <c r="C1710" s="10" t="s">
        <v>161</v>
      </c>
      <c r="D1710" s="10" t="s">
        <v>120</v>
      </c>
      <c r="E1710" s="25" t="str">
        <f>VLOOKUP(D1710,'[2]Lista de Produtos CLASSIFICAÇÃO'!$E$103:$F$114,2,FALSE)</f>
        <v>Derivados</v>
      </c>
      <c r="F1710" s="61">
        <v>20000</v>
      </c>
      <c r="G1710" t="str">
        <f>VLOOKUP(Tabela1[[#This Row],[Cliente]],clientes!$C$3:$D$60,2,FALSE)</f>
        <v>SUL PLATA</v>
      </c>
    </row>
    <row r="1711" spans="1:7" x14ac:dyDescent="0.25">
      <c r="A1711" s="10">
        <v>2025</v>
      </c>
      <c r="B1711" s="10" t="s">
        <v>136</v>
      </c>
      <c r="C1711" s="10" t="s">
        <v>162</v>
      </c>
      <c r="D1711" s="10" t="s">
        <v>115</v>
      </c>
      <c r="E1711" s="25" t="str">
        <f>VLOOKUP(D1711,'[2]Lista de Produtos CLASSIFICAÇÃO'!$E$103:$F$114,2,FALSE)</f>
        <v>Soda Caustica</v>
      </c>
      <c r="F1711" s="61">
        <v>1800</v>
      </c>
      <c r="G1711" t="str">
        <f>VLOOKUP(Tabela1[[#This Row],[Cliente]],clientes!$C$3:$D$60,2,FALSE)</f>
        <v>JBS</v>
      </c>
    </row>
    <row r="1712" spans="1:7" x14ac:dyDescent="0.25">
      <c r="A1712" s="10">
        <v>2025</v>
      </c>
      <c r="B1712" s="10" t="s">
        <v>136</v>
      </c>
      <c r="C1712" s="10" t="s">
        <v>163</v>
      </c>
      <c r="D1712" t="s">
        <v>115</v>
      </c>
      <c r="E1712" s="25" t="str">
        <f>VLOOKUP(D1712,'[2]Lista de Produtos CLASSIFICAÇÃO'!$E$103:$F$114,2,FALSE)</f>
        <v>Soda Caustica</v>
      </c>
      <c r="F1712" s="61">
        <v>3800</v>
      </c>
      <c r="G1712" t="str">
        <f>VLOOKUP(Tabela1[[#This Row],[Cliente]],clientes!$C$3:$D$60,2,FALSE)</f>
        <v>TRICON ENERGY</v>
      </c>
    </row>
    <row r="1713" spans="1:7" x14ac:dyDescent="0.25">
      <c r="A1713" s="10">
        <v>2025</v>
      </c>
      <c r="B1713" s="10" t="s">
        <v>136</v>
      </c>
      <c r="C1713" s="10" t="s">
        <v>164</v>
      </c>
      <c r="D1713" t="s">
        <v>115</v>
      </c>
      <c r="E1713" s="25" t="str">
        <f>VLOOKUP(D1713,'[2]Lista de Produtos CLASSIFICAÇÃO'!$E$103:$F$114,2,FALSE)</f>
        <v>Soda Caustica</v>
      </c>
      <c r="F1713" s="61">
        <v>1300</v>
      </c>
      <c r="G1713" t="str">
        <f>VLOOKUP(Tabela1[[#This Row],[Cliente]],clientes!$C$3:$D$60,2,FALSE)</f>
        <v>BRASKEM</v>
      </c>
    </row>
    <row r="1714" spans="1:7" x14ac:dyDescent="0.25">
      <c r="A1714" s="10">
        <v>2025</v>
      </c>
      <c r="B1714" s="10" t="s">
        <v>136</v>
      </c>
      <c r="C1714" s="10" t="s">
        <v>165</v>
      </c>
      <c r="D1714" s="10" t="s">
        <v>123</v>
      </c>
      <c r="E1714" s="25" t="str">
        <f>VLOOKUP(D1714,'[2]Lista de Produtos CLASSIFICAÇÃO'!$E$103:$F$114,2,FALSE)</f>
        <v>Aquecidos</v>
      </c>
      <c r="F1714" s="61">
        <v>4000</v>
      </c>
      <c r="G1714" t="str">
        <f>VLOOKUP(Tabela1[[#This Row],[Cliente]],clientes!$C$3:$D$60,2,FALSE)</f>
        <v>BRF</v>
      </c>
    </row>
    <row r="1715" spans="1:7" x14ac:dyDescent="0.25">
      <c r="A1715" s="10">
        <v>2025</v>
      </c>
      <c r="B1715" s="10" t="s">
        <v>136</v>
      </c>
      <c r="C1715" s="10" t="s">
        <v>162</v>
      </c>
      <c r="D1715" s="10" t="s">
        <v>123</v>
      </c>
      <c r="E1715" s="25" t="str">
        <f>VLOOKUP(D1715,'[2]Lista de Produtos CLASSIFICAÇÃO'!$E$103:$F$114,2,FALSE)</f>
        <v>Aquecidos</v>
      </c>
      <c r="F1715" s="61">
        <v>4520</v>
      </c>
      <c r="G1715" t="str">
        <f>VLOOKUP(Tabela1[[#This Row],[Cliente]],clientes!$C$3:$D$60,2,FALSE)</f>
        <v>JBS</v>
      </c>
    </row>
    <row r="1716" spans="1:7" x14ac:dyDescent="0.25">
      <c r="A1716" s="10">
        <v>2025</v>
      </c>
      <c r="B1716" s="10" t="s">
        <v>136</v>
      </c>
      <c r="C1716" s="10" t="s">
        <v>166</v>
      </c>
      <c r="D1716" s="10" t="s">
        <v>123</v>
      </c>
      <c r="E1716" s="25" t="str">
        <f>VLOOKUP(D1716,'[2]Lista de Produtos CLASSIFICAÇÃO'!$E$103:$F$114,2,FALSE)</f>
        <v>Aquecidos</v>
      </c>
      <c r="F1716" s="61">
        <v>3900</v>
      </c>
      <c r="G1716" t="str">
        <f>VLOOKUP(Tabela1[[#This Row],[Cliente]],clientes!$C$3:$D$60,2,FALSE)</f>
        <v>CARGILL</v>
      </c>
    </row>
    <row r="1717" spans="1:7" x14ac:dyDescent="0.25">
      <c r="A1717" s="10">
        <v>2025</v>
      </c>
      <c r="B1717" s="10" t="s">
        <v>136</v>
      </c>
      <c r="C1717" s="10" t="s">
        <v>167</v>
      </c>
      <c r="D1717" s="10" t="s">
        <v>122</v>
      </c>
      <c r="E1717" s="25" t="str">
        <f>VLOOKUP(D1717,'[2]Lista de Produtos CLASSIFICAÇÃO'!$E$103:$F$114,2,FALSE)</f>
        <v>Óleo Vegetal</v>
      </c>
      <c r="F1717" s="61">
        <v>74260.500000000015</v>
      </c>
      <c r="G1717" t="str">
        <f>VLOOKUP(Tabela1[[#This Row],[Cliente]],clientes!$C$3:$D$60,2,FALSE)</f>
        <v>POOL</v>
      </c>
    </row>
    <row r="1718" spans="1:7" x14ac:dyDescent="0.25">
      <c r="A1718" s="10">
        <v>2025</v>
      </c>
      <c r="B1718" s="10" t="s">
        <v>136</v>
      </c>
      <c r="C1718" s="10" t="s">
        <v>168</v>
      </c>
      <c r="D1718" s="10" t="s">
        <v>122</v>
      </c>
      <c r="E1718" s="25" t="str">
        <f>VLOOKUP(D1718,'[2]Lista de Produtos CLASSIFICAÇÃO'!$E$103:$F$114,2,FALSE)</f>
        <v>Óleo Vegetal</v>
      </c>
      <c r="F1718" s="61"/>
      <c r="G1718" t="str">
        <f>VLOOKUP(Tabela1[[#This Row],[Cliente]],clientes!$C$3:$D$60,2,FALSE)</f>
        <v>POOL EXCEDENTE</v>
      </c>
    </row>
    <row r="1719" spans="1:7" x14ac:dyDescent="0.25">
      <c r="A1719" s="10">
        <v>2025</v>
      </c>
      <c r="B1719" s="10" t="s">
        <v>136</v>
      </c>
      <c r="C1719" s="10" t="s">
        <v>169</v>
      </c>
      <c r="D1719" s="10" t="s">
        <v>22</v>
      </c>
      <c r="E1719" s="25" t="str">
        <f>VLOOKUP(D1719,'[2]Lista de Produtos CLASSIFICAÇÃO'!$E$103:$F$114,2,FALSE)</f>
        <v>Metanol</v>
      </c>
      <c r="F1719" s="61">
        <v>75000</v>
      </c>
      <c r="G1719" t="str">
        <f>VLOOKUP(Tabela1[[#This Row],[Cliente]],clientes!$C$3:$D$60,2,FALSE)</f>
        <v>METHANEX</v>
      </c>
    </row>
    <row r="1720" spans="1:7" x14ac:dyDescent="0.25">
      <c r="A1720" s="10">
        <v>2025</v>
      </c>
      <c r="B1720" s="10" t="s">
        <v>136</v>
      </c>
      <c r="C1720" s="10" t="s">
        <v>170</v>
      </c>
      <c r="D1720" s="10" t="s">
        <v>22</v>
      </c>
      <c r="E1720" s="25" t="str">
        <f>VLOOKUP(D1720,'[2]Lista de Produtos CLASSIFICAÇÃO'!$E$103:$F$114,2,FALSE)</f>
        <v>Metanol</v>
      </c>
      <c r="F1720" s="61">
        <v>17000</v>
      </c>
      <c r="G1720" t="str">
        <f>VLOOKUP(Tabela1[[#This Row],[Cliente]],clientes!$C$3:$D$60,2,FALSE)</f>
        <v>MITSUBISHI</v>
      </c>
    </row>
    <row r="1721" spans="1:7" x14ac:dyDescent="0.25">
      <c r="A1721" s="10">
        <v>2025</v>
      </c>
      <c r="B1721" s="10" t="s">
        <v>136</v>
      </c>
      <c r="C1721" s="10" t="s">
        <v>171</v>
      </c>
      <c r="D1721" s="10" t="s">
        <v>22</v>
      </c>
      <c r="E1721" s="25" t="str">
        <f>VLOOKUP(D1721,'[2]Lista de Produtos CLASSIFICAÇÃO'!$E$103:$F$114,2,FALSE)</f>
        <v>Metanol</v>
      </c>
      <c r="F1721" s="61">
        <v>26000</v>
      </c>
      <c r="G1721" t="str">
        <f>VLOOKUP(Tabela1[[#This Row],[Cliente]],clientes!$C$3:$D$60,2,FALSE)</f>
        <v>VALENZ</v>
      </c>
    </row>
    <row r="1722" spans="1:7" x14ac:dyDescent="0.25">
      <c r="A1722" s="10">
        <v>2025</v>
      </c>
      <c r="B1722" s="10" t="s">
        <v>136</v>
      </c>
      <c r="C1722" s="10" t="s">
        <v>172</v>
      </c>
      <c r="D1722" s="10" t="s">
        <v>124</v>
      </c>
      <c r="E1722" s="25" t="str">
        <f>VLOOKUP(D1722,'[2]Lista de Produtos CLASSIFICAÇÃO'!$E$103:$F$114,2,FALSE)</f>
        <v>Outros</v>
      </c>
      <c r="F1722" s="61">
        <v>1500</v>
      </c>
      <c r="G1722" t="str">
        <f>VLOOKUP(Tabela1[[#This Row],[Cliente]],clientes!$C$3:$D$60,2,FALSE)</f>
        <v>EVONIK</v>
      </c>
    </row>
    <row r="1723" spans="1:7" x14ac:dyDescent="0.25">
      <c r="A1723" s="10">
        <v>2025</v>
      </c>
      <c r="B1723" s="10" t="s">
        <v>136</v>
      </c>
      <c r="C1723" s="10" t="s">
        <v>186</v>
      </c>
      <c r="D1723" s="10" t="s">
        <v>22</v>
      </c>
      <c r="E1723" s="25" t="str">
        <f>VLOOKUP(D1723,'[2]Lista de Produtos CLASSIFICAÇÃO'!$E$103:$F$114,2,FALSE)</f>
        <v>Metanol</v>
      </c>
      <c r="F1723" s="61">
        <v>2500</v>
      </c>
      <c r="G1723" t="str">
        <f>VLOOKUP(Tabela1[[#This Row],[Cliente]],clientes!$C$3:$D$60,2,FALSE)</f>
        <v>OQ TRADING</v>
      </c>
    </row>
    <row r="1724" spans="1:7" x14ac:dyDescent="0.25">
      <c r="A1724" s="10">
        <v>2025</v>
      </c>
      <c r="B1724" s="10" t="s">
        <v>136</v>
      </c>
      <c r="C1724" s="10" t="s">
        <v>174</v>
      </c>
      <c r="D1724" s="10" t="s">
        <v>123</v>
      </c>
      <c r="E1724" s="25" t="str">
        <f>VLOOKUP(D1724,'[2]Lista de Produtos CLASSIFICAÇÃO'!$E$103:$F$114,2,FALSE)</f>
        <v>Aquecidos</v>
      </c>
      <c r="F1724" s="61">
        <v>12500</v>
      </c>
      <c r="G1724" t="str">
        <f>VLOOKUP(Tabela1[[#This Row],[Cliente]],clientes!$C$3:$D$60,2,FALSE)</f>
        <v>CELENA</v>
      </c>
    </row>
    <row r="1725" spans="1:7" x14ac:dyDescent="0.25">
      <c r="A1725" s="10">
        <v>2025</v>
      </c>
      <c r="B1725" s="10" t="s">
        <v>136</v>
      </c>
      <c r="C1725" s="10" t="s">
        <v>175</v>
      </c>
      <c r="D1725" s="10" t="s">
        <v>123</v>
      </c>
      <c r="E1725" s="25" t="str">
        <f>VLOOKUP(D1725,'[2]Lista de Produtos CLASSIFICAÇÃO'!$E$103:$F$114,2,FALSE)</f>
        <v>Aquecidos</v>
      </c>
      <c r="F1725" s="61">
        <v>3600</v>
      </c>
      <c r="G1725" t="str">
        <f>VLOOKUP(Tabela1[[#This Row],[Cliente]],clientes!$C$3:$D$60,2,FALSE)</f>
        <v>AAK DO BRASIL</v>
      </c>
    </row>
    <row r="1726" spans="1:7" x14ac:dyDescent="0.25">
      <c r="A1726" s="10">
        <v>2025</v>
      </c>
      <c r="B1726" s="10" t="s">
        <v>136</v>
      </c>
      <c r="C1726" s="10" t="s">
        <v>166</v>
      </c>
      <c r="D1726" s="10" t="s">
        <v>122</v>
      </c>
      <c r="E1726" s="25" t="str">
        <f>VLOOKUP(D1726,'[2]Lista de Produtos CLASSIFICAÇÃO'!$E$103:$F$114,2,FALSE)</f>
        <v>Óleo Vegetal</v>
      </c>
      <c r="F1726" s="61"/>
      <c r="G1726" t="str">
        <f>VLOOKUP(Tabela1[[#This Row],[Cliente]],clientes!$C$3:$D$60,2,FALSE)</f>
        <v>CARGILL</v>
      </c>
    </row>
    <row r="1727" spans="1:7" x14ac:dyDescent="0.25">
      <c r="A1727" s="10">
        <v>2025</v>
      </c>
      <c r="B1727" s="10" t="s">
        <v>136</v>
      </c>
      <c r="C1727" s="10" t="s">
        <v>176</v>
      </c>
      <c r="D1727" s="10" t="s">
        <v>123</v>
      </c>
      <c r="E1727" s="25" t="str">
        <f>VLOOKUP(D1727,'[2]Lista de Produtos CLASSIFICAÇÃO'!$E$103:$F$114,2,FALSE)</f>
        <v>Aquecidos</v>
      </c>
      <c r="F1727" s="61">
        <v>3500</v>
      </c>
      <c r="G1727" t="str">
        <f>VLOOKUP(Tabela1[[#This Row],[Cliente]],clientes!$C$3:$D$60,2,FALSE)</f>
        <v>AGROPALMA</v>
      </c>
    </row>
    <row r="1728" spans="1:7" x14ac:dyDescent="0.25">
      <c r="A1728" s="10">
        <v>2025</v>
      </c>
      <c r="B1728" s="10" t="s">
        <v>136</v>
      </c>
      <c r="C1728" s="10" t="s">
        <v>177</v>
      </c>
      <c r="D1728" s="10" t="s">
        <v>115</v>
      </c>
      <c r="E1728" s="25" t="str">
        <f>VLOOKUP(D1728,'[2]Lista de Produtos CLASSIFICAÇÃO'!$E$103:$F$114,2,FALSE)</f>
        <v>Soda Caustica</v>
      </c>
      <c r="F1728" s="61">
        <v>2800</v>
      </c>
      <c r="G1728" t="str">
        <f>VLOOKUP(Tabela1[[#This Row],[Cliente]],clientes!$C$3:$D$60,2,FALSE)</f>
        <v>BRENNTAG</v>
      </c>
    </row>
    <row r="1729" spans="1:7" x14ac:dyDescent="0.25">
      <c r="A1729" s="10">
        <v>2025</v>
      </c>
      <c r="B1729" s="10" t="s">
        <v>136</v>
      </c>
      <c r="C1729" s="10" t="s">
        <v>178</v>
      </c>
      <c r="D1729" s="10" t="s">
        <v>115</v>
      </c>
      <c r="E1729" s="25" t="str">
        <f>VLOOKUP(D1729,'[2]Lista de Produtos CLASSIFICAÇÃO'!$E$103:$F$114,2,FALSE)</f>
        <v>Soda Caustica</v>
      </c>
      <c r="F1729" s="61">
        <v>20000</v>
      </c>
      <c r="G1729" t="str">
        <f>VLOOKUP(Tabela1[[#This Row],[Cliente]],clientes!$C$3:$D$60,2,FALSE)</f>
        <v>OLIN BLUE CUBE</v>
      </c>
    </row>
    <row r="1730" spans="1:7" x14ac:dyDescent="0.25">
      <c r="A1730" s="10">
        <v>2025</v>
      </c>
      <c r="B1730" s="10" t="s">
        <v>136</v>
      </c>
      <c r="C1730" s="10" t="s">
        <v>179</v>
      </c>
      <c r="D1730" s="10" t="s">
        <v>26</v>
      </c>
      <c r="E1730" s="25" t="str">
        <f>VLOOKUP(D1730,'[2]Lista de Produtos CLASSIFICAÇÃO'!$E$103:$F$114,2,FALSE)</f>
        <v>Biocombustíveis</v>
      </c>
      <c r="F1730" s="61"/>
      <c r="G1730" t="str">
        <f>VLOOKUP(Tabela1[[#This Row],[Cliente]],clientes!$C$3:$D$60,2,FALSE)</f>
        <v>BSBIOS</v>
      </c>
    </row>
    <row r="1731" spans="1:7" x14ac:dyDescent="0.25">
      <c r="A1731" s="10">
        <v>2025</v>
      </c>
      <c r="B1731" s="10" t="s">
        <v>136</v>
      </c>
      <c r="C1731" s="10" t="s">
        <v>181</v>
      </c>
      <c r="D1731" s="10" t="s">
        <v>123</v>
      </c>
      <c r="E1731" s="25" t="str">
        <f>VLOOKUP(D1731,'[2]Lista de Produtos CLASSIFICAÇÃO'!$E$103:$F$114,2,FALSE)</f>
        <v>Aquecidos</v>
      </c>
      <c r="F1731" s="61">
        <v>1600</v>
      </c>
      <c r="G1731" t="str">
        <f>VLOOKUP(Tabela1[[#This Row],[Cliente]],clientes!$C$3:$D$60,2,FALSE)</f>
        <v>COAMO</v>
      </c>
    </row>
    <row r="1732" spans="1:7" x14ac:dyDescent="0.25">
      <c r="A1732" s="10">
        <v>2025</v>
      </c>
      <c r="B1732" s="10" t="s">
        <v>136</v>
      </c>
      <c r="C1732" s="10" t="s">
        <v>182</v>
      </c>
      <c r="D1732" s="10" t="s">
        <v>120</v>
      </c>
      <c r="E1732" s="25" t="str">
        <f>VLOOKUP(D1732,'[2]Lista de Produtos CLASSIFICAÇÃO'!$E$103:$F$114,2,FALSE)</f>
        <v>Derivados</v>
      </c>
      <c r="F1732" s="61">
        <v>8300</v>
      </c>
      <c r="G1732" t="str">
        <f>VLOOKUP(Tabela1[[#This Row],[Cliente]],clientes!$C$3:$D$60,2,FALSE)</f>
        <v>ATEM</v>
      </c>
    </row>
    <row r="1733" spans="1:7" x14ac:dyDescent="0.25">
      <c r="A1733" s="10">
        <v>2025</v>
      </c>
      <c r="B1733" s="10" t="s">
        <v>136</v>
      </c>
      <c r="C1733" s="10" t="s">
        <v>184</v>
      </c>
      <c r="D1733" s="10" t="s">
        <v>122</v>
      </c>
      <c r="E1733" s="25" t="str">
        <f>VLOOKUP(D1733,'[2]Lista de Produtos CLASSIFICAÇÃO'!$E$103:$F$114,2,FALSE)</f>
        <v>Óleo Vegetal</v>
      </c>
      <c r="F1733" s="61"/>
      <c r="G1733" t="str">
        <f>VLOOKUP(Tabela1[[#This Row],[Cliente]],clientes!$C$3:$D$60,2,FALSE)</f>
        <v>INGREDION</v>
      </c>
    </row>
    <row r="1734" spans="1:7" x14ac:dyDescent="0.25">
      <c r="A1734" s="10">
        <v>2025</v>
      </c>
      <c r="B1734" s="10" t="s">
        <v>136</v>
      </c>
      <c r="C1734" s="10" t="s">
        <v>185</v>
      </c>
      <c r="D1734" s="10" t="s">
        <v>120</v>
      </c>
      <c r="E1734" s="25" t="str">
        <f>VLOOKUP(D1734,'[2]Lista de Produtos CLASSIFICAÇÃO'!$E$103:$F$114,2,FALSE)</f>
        <v>Derivados</v>
      </c>
      <c r="F1734" s="61">
        <v>12450</v>
      </c>
      <c r="G1734" t="str">
        <f>VLOOKUP(Tabela1[[#This Row],[Cliente]],clientes!$C$3:$D$60,2,FALSE)</f>
        <v>CIAPETRO</v>
      </c>
    </row>
    <row r="1735" spans="1:7" x14ac:dyDescent="0.25">
      <c r="A1735" s="10">
        <v>2025</v>
      </c>
      <c r="B1735" s="10" t="s">
        <v>136</v>
      </c>
      <c r="C1735" s="10" t="s">
        <v>187</v>
      </c>
      <c r="D1735" s="10" t="s">
        <v>121</v>
      </c>
      <c r="E1735" s="25" t="str">
        <f>VLOOKUP(D1735,'[2]Lista de Produtos CLASSIFICAÇÃO'!$E$103:$F$114,2,FALSE)</f>
        <v>Biocombustíveis</v>
      </c>
      <c r="F1735" s="61"/>
      <c r="G1735" t="str">
        <f>VLOOKUP(Tabela1[[#This Row],[Cliente]],clientes!$C$3:$D$60,2,FALSE)</f>
        <v>TEREOS / INPASA / GLENCORE / FS</v>
      </c>
    </row>
    <row r="1736" spans="1:7" x14ac:dyDescent="0.25">
      <c r="A1736" s="10">
        <v>2025</v>
      </c>
      <c r="B1736" s="10" t="s">
        <v>136</v>
      </c>
      <c r="C1736" s="10" t="s">
        <v>188</v>
      </c>
      <c r="D1736" s="10" t="s">
        <v>123</v>
      </c>
      <c r="E1736" s="25" t="str">
        <f>VLOOKUP(D1736,'[2]Lista de Produtos CLASSIFICAÇÃO'!$E$103:$F$114,2,FALSE)</f>
        <v>Aquecidos</v>
      </c>
      <c r="F1736" s="61">
        <v>3700</v>
      </c>
      <c r="G1736" t="str">
        <f>VLOOKUP(Tabela1[[#This Row],[Cliente]],clientes!$C$3:$D$60,2,FALSE)</f>
        <v>ARES MERCHANTS PTE LIMITE</v>
      </c>
    </row>
    <row r="1737" spans="1:7" x14ac:dyDescent="0.25">
      <c r="A1737" s="10">
        <v>2025</v>
      </c>
      <c r="B1737" s="10" t="s">
        <v>136</v>
      </c>
      <c r="C1737" s="10" t="s">
        <v>18</v>
      </c>
      <c r="D1737" s="10" t="s">
        <v>17</v>
      </c>
      <c r="E1737" s="25" t="str">
        <f>VLOOKUP(D1737,'[2]Lista de Produtos CLASSIFICAÇÃO'!$E$103:$F$114,2,FALSE)</f>
        <v>Acostagem</v>
      </c>
      <c r="F1737" s="61"/>
      <c r="G1737" t="str">
        <f>VLOOKUP(Tabela1[[#This Row],[Cliente]],clientes!$C$3:$D$60,2,FALSE)</f>
        <v>ACOSTAGEM</v>
      </c>
    </row>
    <row r="1738" spans="1:7" x14ac:dyDescent="0.25">
      <c r="A1738" s="10">
        <v>2025</v>
      </c>
      <c r="B1738" s="10" t="s">
        <v>136</v>
      </c>
      <c r="C1738" s="10" t="s">
        <v>189</v>
      </c>
      <c r="D1738" t="s">
        <v>123</v>
      </c>
      <c r="E1738" s="25" t="str">
        <f>VLOOKUP(D1738,'[2]Lista de Produtos CLASSIFICAÇÃO'!$E$103:$F$114,2,FALSE)</f>
        <v>Aquecidos</v>
      </c>
      <c r="F1738" s="61">
        <v>2500</v>
      </c>
      <c r="G1738" t="str">
        <f>VLOOKUP(Tabela1[[#This Row],[Cliente]],clientes!$C$3:$D$60,2,FALSE)</f>
        <v>ICOF</v>
      </c>
    </row>
    <row r="1739" spans="1:7" x14ac:dyDescent="0.25">
      <c r="A1739" s="10">
        <v>2025</v>
      </c>
      <c r="B1739" s="10" t="s">
        <v>136</v>
      </c>
      <c r="C1739" s="10" t="s">
        <v>191</v>
      </c>
      <c r="D1739" t="s">
        <v>115</v>
      </c>
      <c r="E1739" s="25" t="str">
        <f>VLOOKUP(D1739,'[2]Lista de Produtos CLASSIFICAÇÃO'!$E$103:$F$114,2,FALSE)</f>
        <v>Soda Caustica</v>
      </c>
      <c r="F1739" s="61">
        <v>2500</v>
      </c>
      <c r="G1739" t="str">
        <f>VLOOKUP(Tabela1[[#This Row],[Cliente]],clientes!$C$3:$D$60,2,FALSE)</f>
        <v>GPC</v>
      </c>
    </row>
    <row r="1740" spans="1:7" x14ac:dyDescent="0.25">
      <c r="A1740" s="10">
        <v>2025</v>
      </c>
      <c r="B1740" s="10" t="s">
        <v>136</v>
      </c>
      <c r="C1740" s="10" t="s">
        <v>192</v>
      </c>
      <c r="D1740" s="10" t="s">
        <v>121</v>
      </c>
      <c r="E1740" s="25" t="str">
        <f>VLOOKUP(D1740,'[2]Lista de Produtos CLASSIFICAÇÃO'!$E$103:$F$114,2,FALSE)</f>
        <v>Biocombustíveis</v>
      </c>
      <c r="F1740" s="61">
        <v>11850</v>
      </c>
      <c r="G1740" t="str">
        <f>VLOOKUP(Tabela1[[#This Row],[Cliente]],clientes!$C$3:$D$60,2,FALSE)</f>
        <v>INPASA</v>
      </c>
    </row>
    <row r="1741" spans="1:7" x14ac:dyDescent="0.25">
      <c r="A1741" s="10">
        <v>2025</v>
      </c>
      <c r="B1741" s="10" t="s">
        <v>137</v>
      </c>
      <c r="C1741" s="10" t="s">
        <v>155</v>
      </c>
      <c r="D1741" s="10" t="s">
        <v>16</v>
      </c>
      <c r="E1741" s="25" t="str">
        <f>VLOOKUP(D1741,'[2]Lista de Produtos CLASSIFICAÇÃO'!$E$103:$F$114,2,FALSE)</f>
        <v>Outros</v>
      </c>
      <c r="F1741" s="61">
        <v>4500</v>
      </c>
      <c r="G1741" t="str">
        <f>VLOOKUP(Tabela1[[#This Row],[Cliente]],clientes!$C$3:$D$60,2,FALSE)</f>
        <v>ADISSEO</v>
      </c>
    </row>
    <row r="1742" spans="1:7" x14ac:dyDescent="0.25">
      <c r="A1742" s="10">
        <v>2025</v>
      </c>
      <c r="B1742" s="10" t="s">
        <v>137</v>
      </c>
      <c r="C1742" s="10" t="s">
        <v>156</v>
      </c>
      <c r="D1742" s="10" t="s">
        <v>123</v>
      </c>
      <c r="E1742" s="25" t="str">
        <f>VLOOKUP(D1742,'[2]Lista de Produtos CLASSIFICAÇÃO'!$E$103:$F$114,2,FALSE)</f>
        <v>Aquecidos</v>
      </c>
      <c r="F1742" s="61">
        <v>2100</v>
      </c>
      <c r="G1742" t="str">
        <f>VLOOKUP(Tabela1[[#This Row],[Cliente]],clientes!$C$3:$D$60,2,FALSE)</f>
        <v>BUNGE</v>
      </c>
    </row>
    <row r="1743" spans="1:7" x14ac:dyDescent="0.25">
      <c r="A1743" s="10">
        <v>2025</v>
      </c>
      <c r="B1743" s="10" t="s">
        <v>137</v>
      </c>
      <c r="C1743" s="10" t="s">
        <v>157</v>
      </c>
      <c r="D1743" s="10" t="s">
        <v>122</v>
      </c>
      <c r="E1743" s="25" t="str">
        <f>VLOOKUP(D1743,'[2]Lista de Produtos CLASSIFICAÇÃO'!$E$103:$F$114,2,FALSE)</f>
        <v>Óleo Vegetal</v>
      </c>
      <c r="F1743" s="61">
        <v>1700</v>
      </c>
      <c r="G1743" t="str">
        <f>VLOOKUP(Tabela1[[#This Row],[Cliente]],clientes!$C$3:$D$60,2,FALSE)</f>
        <v>ADM</v>
      </c>
    </row>
    <row r="1744" spans="1:7" x14ac:dyDescent="0.25">
      <c r="A1744" s="10">
        <v>2025</v>
      </c>
      <c r="B1744" s="10" t="s">
        <v>137</v>
      </c>
      <c r="C1744" s="10" t="s">
        <v>158</v>
      </c>
      <c r="D1744" s="10" t="s">
        <v>120</v>
      </c>
      <c r="E1744" s="25" t="str">
        <f>VLOOKUP(D1744,'[2]Lista de Produtos CLASSIFICAÇÃO'!$E$103:$F$114,2,FALSE)</f>
        <v>Derivados</v>
      </c>
      <c r="F1744" s="61">
        <v>45000</v>
      </c>
      <c r="G1744" t="str">
        <f>VLOOKUP(Tabela1[[#This Row],[Cliente]],clientes!$C$3:$D$60,2,FALSE)</f>
        <v>IPIRANGA</v>
      </c>
    </row>
    <row r="1745" spans="1:7" x14ac:dyDescent="0.25">
      <c r="A1745" s="10">
        <v>2025</v>
      </c>
      <c r="B1745" s="10" t="s">
        <v>137</v>
      </c>
      <c r="C1745" s="10" t="s">
        <v>159</v>
      </c>
      <c r="D1745" s="10" t="s">
        <v>120</v>
      </c>
      <c r="E1745" s="25" t="str">
        <f>VLOOKUP(D1745,'[2]Lista de Produtos CLASSIFICAÇÃO'!$E$103:$F$114,2,FALSE)</f>
        <v>Derivados</v>
      </c>
      <c r="F1745" s="61">
        <v>41500</v>
      </c>
      <c r="G1745" t="str">
        <f>VLOOKUP(Tabela1[[#This Row],[Cliente]],clientes!$C$3:$D$60,2,FALSE)</f>
        <v>RAIZEN</v>
      </c>
    </row>
    <row r="1746" spans="1:7" x14ac:dyDescent="0.25">
      <c r="A1746" s="10">
        <v>2025</v>
      </c>
      <c r="B1746" s="10" t="s">
        <v>137</v>
      </c>
      <c r="C1746" s="10" t="s">
        <v>160</v>
      </c>
      <c r="D1746" s="10" t="s">
        <v>120</v>
      </c>
      <c r="E1746" s="25" t="str">
        <f>VLOOKUP(D1746,'[2]Lista de Produtos CLASSIFICAÇÃO'!$E$103:$F$114,2,FALSE)</f>
        <v>Derivados</v>
      </c>
      <c r="F1746" s="61">
        <v>16600</v>
      </c>
      <c r="G1746" t="str">
        <f>VLOOKUP(Tabela1[[#This Row],[Cliente]],clientes!$C$3:$D$60,2,FALSE)</f>
        <v>VIBRA</v>
      </c>
    </row>
    <row r="1747" spans="1:7" x14ac:dyDescent="0.25">
      <c r="A1747" s="10">
        <v>2025</v>
      </c>
      <c r="B1747" s="10" t="s">
        <v>137</v>
      </c>
      <c r="C1747" s="10" t="s">
        <v>161</v>
      </c>
      <c r="D1747" s="10" t="s">
        <v>120</v>
      </c>
      <c r="E1747" s="25" t="str">
        <f>VLOOKUP(D1747,'[2]Lista de Produtos CLASSIFICAÇÃO'!$E$103:$F$114,2,FALSE)</f>
        <v>Derivados</v>
      </c>
      <c r="F1747" s="61">
        <v>20000</v>
      </c>
      <c r="G1747" t="str">
        <f>VLOOKUP(Tabela1[[#This Row],[Cliente]],clientes!$C$3:$D$60,2,FALSE)</f>
        <v>SUL PLATA</v>
      </c>
    </row>
    <row r="1748" spans="1:7" x14ac:dyDescent="0.25">
      <c r="A1748" s="10">
        <v>2025</v>
      </c>
      <c r="B1748" s="10" t="s">
        <v>137</v>
      </c>
      <c r="C1748" s="10" t="s">
        <v>162</v>
      </c>
      <c r="D1748" s="10" t="s">
        <v>115</v>
      </c>
      <c r="E1748" s="25" t="str">
        <f>VLOOKUP(D1748,'[2]Lista de Produtos CLASSIFICAÇÃO'!$E$103:$F$114,2,FALSE)</f>
        <v>Soda Caustica</v>
      </c>
      <c r="F1748" s="61">
        <v>1800</v>
      </c>
      <c r="G1748" t="str">
        <f>VLOOKUP(Tabela1[[#This Row],[Cliente]],clientes!$C$3:$D$60,2,FALSE)</f>
        <v>JBS</v>
      </c>
    </row>
    <row r="1749" spans="1:7" x14ac:dyDescent="0.25">
      <c r="A1749" s="10">
        <v>2025</v>
      </c>
      <c r="B1749" s="10" t="s">
        <v>137</v>
      </c>
      <c r="C1749" s="10" t="s">
        <v>163</v>
      </c>
      <c r="D1749" t="s">
        <v>115</v>
      </c>
      <c r="E1749" s="25" t="str">
        <f>VLOOKUP(D1749,'[2]Lista de Produtos CLASSIFICAÇÃO'!$E$103:$F$114,2,FALSE)</f>
        <v>Soda Caustica</v>
      </c>
      <c r="F1749" s="61">
        <v>3800</v>
      </c>
      <c r="G1749" t="str">
        <f>VLOOKUP(Tabela1[[#This Row],[Cliente]],clientes!$C$3:$D$60,2,FALSE)</f>
        <v>TRICON ENERGY</v>
      </c>
    </row>
    <row r="1750" spans="1:7" x14ac:dyDescent="0.25">
      <c r="A1750" s="10">
        <v>2025</v>
      </c>
      <c r="B1750" s="10" t="s">
        <v>137</v>
      </c>
      <c r="C1750" s="10" t="s">
        <v>164</v>
      </c>
      <c r="D1750" t="s">
        <v>115</v>
      </c>
      <c r="E1750" s="25" t="str">
        <f>VLOOKUP(D1750,'[2]Lista de Produtos CLASSIFICAÇÃO'!$E$103:$F$114,2,FALSE)</f>
        <v>Soda Caustica</v>
      </c>
      <c r="F1750" s="61">
        <v>1300</v>
      </c>
      <c r="G1750" t="str">
        <f>VLOOKUP(Tabela1[[#This Row],[Cliente]],clientes!$C$3:$D$60,2,FALSE)</f>
        <v>BRASKEM</v>
      </c>
    </row>
    <row r="1751" spans="1:7" x14ac:dyDescent="0.25">
      <c r="A1751" s="10">
        <v>2025</v>
      </c>
      <c r="B1751" s="10" t="s">
        <v>137</v>
      </c>
      <c r="C1751" s="10" t="s">
        <v>165</v>
      </c>
      <c r="D1751" s="10" t="s">
        <v>123</v>
      </c>
      <c r="E1751" s="25" t="str">
        <f>VLOOKUP(D1751,'[2]Lista de Produtos CLASSIFICAÇÃO'!$E$103:$F$114,2,FALSE)</f>
        <v>Aquecidos</v>
      </c>
      <c r="F1751" s="61">
        <v>4000</v>
      </c>
      <c r="G1751" t="str">
        <f>VLOOKUP(Tabela1[[#This Row],[Cliente]],clientes!$C$3:$D$60,2,FALSE)</f>
        <v>BRF</v>
      </c>
    </row>
    <row r="1752" spans="1:7" x14ac:dyDescent="0.25">
      <c r="A1752" s="10">
        <v>2025</v>
      </c>
      <c r="B1752" s="10" t="s">
        <v>137</v>
      </c>
      <c r="C1752" s="10" t="s">
        <v>162</v>
      </c>
      <c r="D1752" s="10" t="s">
        <v>123</v>
      </c>
      <c r="E1752" s="25" t="str">
        <f>VLOOKUP(D1752,'[2]Lista de Produtos CLASSIFICAÇÃO'!$E$103:$F$114,2,FALSE)</f>
        <v>Aquecidos</v>
      </c>
      <c r="F1752" s="61">
        <v>4520</v>
      </c>
      <c r="G1752" t="str">
        <f>VLOOKUP(Tabela1[[#This Row],[Cliente]],clientes!$C$3:$D$60,2,FALSE)</f>
        <v>JBS</v>
      </c>
    </row>
    <row r="1753" spans="1:7" x14ac:dyDescent="0.25">
      <c r="A1753" s="10">
        <v>2025</v>
      </c>
      <c r="B1753" s="10" t="s">
        <v>137</v>
      </c>
      <c r="C1753" s="10" t="s">
        <v>166</v>
      </c>
      <c r="D1753" s="10" t="s">
        <v>123</v>
      </c>
      <c r="E1753" s="25" t="str">
        <f>VLOOKUP(D1753,'[2]Lista de Produtos CLASSIFICAÇÃO'!$E$103:$F$114,2,FALSE)</f>
        <v>Aquecidos</v>
      </c>
      <c r="F1753" s="61">
        <v>3900</v>
      </c>
      <c r="G1753" t="str">
        <f>VLOOKUP(Tabela1[[#This Row],[Cliente]],clientes!$C$3:$D$60,2,FALSE)</f>
        <v>CARGILL</v>
      </c>
    </row>
    <row r="1754" spans="1:7" x14ac:dyDescent="0.25">
      <c r="A1754" s="10">
        <v>2025</v>
      </c>
      <c r="B1754" s="10" t="s">
        <v>137</v>
      </c>
      <c r="C1754" s="10" t="s">
        <v>167</v>
      </c>
      <c r="D1754" s="10" t="s">
        <v>122</v>
      </c>
      <c r="E1754" s="25" t="str">
        <f>VLOOKUP(D1754,'[2]Lista de Produtos CLASSIFICAÇÃO'!$E$103:$F$114,2,FALSE)</f>
        <v>Óleo Vegetal</v>
      </c>
      <c r="F1754" s="61">
        <v>98393.07</v>
      </c>
      <c r="G1754" t="str">
        <f>VLOOKUP(Tabela1[[#This Row],[Cliente]],clientes!$C$3:$D$60,2,FALSE)</f>
        <v>POOL</v>
      </c>
    </row>
    <row r="1755" spans="1:7" x14ac:dyDescent="0.25">
      <c r="A1755" s="10">
        <v>2025</v>
      </c>
      <c r="B1755" s="10" t="s">
        <v>137</v>
      </c>
      <c r="C1755" s="10" t="s">
        <v>168</v>
      </c>
      <c r="D1755" s="10" t="s">
        <v>122</v>
      </c>
      <c r="E1755" s="25" t="str">
        <f>VLOOKUP(D1755,'[2]Lista de Produtos CLASSIFICAÇÃO'!$E$103:$F$114,2,FALSE)</f>
        <v>Óleo Vegetal</v>
      </c>
      <c r="F1755" s="61">
        <v>2000</v>
      </c>
      <c r="G1755" t="str">
        <f>VLOOKUP(Tabela1[[#This Row],[Cliente]],clientes!$C$3:$D$60,2,FALSE)</f>
        <v>POOL EXCEDENTE</v>
      </c>
    </row>
    <row r="1756" spans="1:7" x14ac:dyDescent="0.25">
      <c r="A1756" s="10">
        <v>2025</v>
      </c>
      <c r="B1756" s="10" t="s">
        <v>137</v>
      </c>
      <c r="C1756" s="10" t="s">
        <v>169</v>
      </c>
      <c r="D1756" s="10" t="s">
        <v>22</v>
      </c>
      <c r="E1756" s="25" t="str">
        <f>VLOOKUP(D1756,'[2]Lista de Produtos CLASSIFICAÇÃO'!$E$103:$F$114,2,FALSE)</f>
        <v>Metanol</v>
      </c>
      <c r="F1756" s="61">
        <v>75000</v>
      </c>
      <c r="G1756" t="str">
        <f>VLOOKUP(Tabela1[[#This Row],[Cliente]],clientes!$C$3:$D$60,2,FALSE)</f>
        <v>METHANEX</v>
      </c>
    </row>
    <row r="1757" spans="1:7" x14ac:dyDescent="0.25">
      <c r="A1757" s="10">
        <v>2025</v>
      </c>
      <c r="B1757" s="10" t="s">
        <v>137</v>
      </c>
      <c r="C1757" s="10" t="s">
        <v>170</v>
      </c>
      <c r="D1757" s="10" t="s">
        <v>22</v>
      </c>
      <c r="E1757" s="25" t="str">
        <f>VLOOKUP(D1757,'[2]Lista de Produtos CLASSIFICAÇÃO'!$E$103:$F$114,2,FALSE)</f>
        <v>Metanol</v>
      </c>
      <c r="F1757" s="61">
        <v>17000</v>
      </c>
      <c r="G1757" t="str">
        <f>VLOOKUP(Tabela1[[#This Row],[Cliente]],clientes!$C$3:$D$60,2,FALSE)</f>
        <v>MITSUBISHI</v>
      </c>
    </row>
    <row r="1758" spans="1:7" x14ac:dyDescent="0.25">
      <c r="A1758" s="10">
        <v>2025</v>
      </c>
      <c r="B1758" s="10" t="s">
        <v>137</v>
      </c>
      <c r="C1758" s="10" t="s">
        <v>171</v>
      </c>
      <c r="D1758" s="10" t="s">
        <v>22</v>
      </c>
      <c r="E1758" s="25" t="str">
        <f>VLOOKUP(D1758,'[2]Lista de Produtos CLASSIFICAÇÃO'!$E$103:$F$114,2,FALSE)</f>
        <v>Metanol</v>
      </c>
      <c r="F1758" s="61">
        <v>26000</v>
      </c>
      <c r="G1758" t="str">
        <f>VLOOKUP(Tabela1[[#This Row],[Cliente]],clientes!$C$3:$D$60,2,FALSE)</f>
        <v>VALENZ</v>
      </c>
    </row>
    <row r="1759" spans="1:7" x14ac:dyDescent="0.25">
      <c r="A1759" s="10">
        <v>2025</v>
      </c>
      <c r="B1759" s="10" t="s">
        <v>137</v>
      </c>
      <c r="C1759" s="10" t="s">
        <v>172</v>
      </c>
      <c r="D1759" s="10" t="s">
        <v>124</v>
      </c>
      <c r="E1759" s="25" t="str">
        <f>VLOOKUP(D1759,'[2]Lista de Produtos CLASSIFICAÇÃO'!$E$103:$F$114,2,FALSE)</f>
        <v>Outros</v>
      </c>
      <c r="F1759" s="61">
        <v>1500</v>
      </c>
      <c r="G1759" t="str">
        <f>VLOOKUP(Tabela1[[#This Row],[Cliente]],clientes!$C$3:$D$60,2,FALSE)</f>
        <v>EVONIK</v>
      </c>
    </row>
    <row r="1760" spans="1:7" x14ac:dyDescent="0.25">
      <c r="A1760" s="10">
        <v>2025</v>
      </c>
      <c r="B1760" s="10" t="s">
        <v>137</v>
      </c>
      <c r="C1760" s="10" t="s">
        <v>186</v>
      </c>
      <c r="D1760" s="10" t="s">
        <v>22</v>
      </c>
      <c r="E1760" s="25" t="str">
        <f>VLOOKUP(D1760,'[2]Lista de Produtos CLASSIFICAÇÃO'!$E$103:$F$114,2,FALSE)</f>
        <v>Metanol</v>
      </c>
      <c r="F1760" s="61">
        <v>2500</v>
      </c>
      <c r="G1760" t="str">
        <f>VLOOKUP(Tabela1[[#This Row],[Cliente]],clientes!$C$3:$D$60,2,FALSE)</f>
        <v>OQ TRADING</v>
      </c>
    </row>
    <row r="1761" spans="1:7" x14ac:dyDescent="0.25">
      <c r="A1761" s="10">
        <v>2025</v>
      </c>
      <c r="B1761" s="10" t="s">
        <v>137</v>
      </c>
      <c r="C1761" s="10" t="s">
        <v>174</v>
      </c>
      <c r="D1761" s="10" t="s">
        <v>123</v>
      </c>
      <c r="E1761" s="25" t="str">
        <f>VLOOKUP(D1761,'[2]Lista de Produtos CLASSIFICAÇÃO'!$E$103:$F$114,2,FALSE)</f>
        <v>Aquecidos</v>
      </c>
      <c r="F1761" s="61">
        <v>12500</v>
      </c>
      <c r="G1761" t="str">
        <f>VLOOKUP(Tabela1[[#This Row],[Cliente]],clientes!$C$3:$D$60,2,FALSE)</f>
        <v>CELENA</v>
      </c>
    </row>
    <row r="1762" spans="1:7" x14ac:dyDescent="0.25">
      <c r="A1762" s="10">
        <v>2025</v>
      </c>
      <c r="B1762" s="10" t="s">
        <v>137</v>
      </c>
      <c r="C1762" s="10" t="s">
        <v>175</v>
      </c>
      <c r="D1762" s="10" t="s">
        <v>123</v>
      </c>
      <c r="E1762" s="25" t="str">
        <f>VLOOKUP(D1762,'[2]Lista de Produtos CLASSIFICAÇÃO'!$E$103:$F$114,2,FALSE)</f>
        <v>Aquecidos</v>
      </c>
      <c r="F1762" s="61">
        <v>3600</v>
      </c>
      <c r="G1762" t="str">
        <f>VLOOKUP(Tabela1[[#This Row],[Cliente]],clientes!$C$3:$D$60,2,FALSE)</f>
        <v>AAK DO BRASIL</v>
      </c>
    </row>
    <row r="1763" spans="1:7" x14ac:dyDescent="0.25">
      <c r="A1763" s="10">
        <v>2025</v>
      </c>
      <c r="B1763" s="10" t="s">
        <v>137</v>
      </c>
      <c r="C1763" s="10" t="s">
        <v>166</v>
      </c>
      <c r="D1763" s="10" t="s">
        <v>122</v>
      </c>
      <c r="E1763" s="25" t="str">
        <f>VLOOKUP(D1763,'[2]Lista de Produtos CLASSIFICAÇÃO'!$E$103:$F$114,2,FALSE)</f>
        <v>Óleo Vegetal</v>
      </c>
      <c r="F1763" s="61">
        <v>4500</v>
      </c>
      <c r="G1763" t="str">
        <f>VLOOKUP(Tabela1[[#This Row],[Cliente]],clientes!$C$3:$D$60,2,FALSE)</f>
        <v>CARGILL</v>
      </c>
    </row>
    <row r="1764" spans="1:7" x14ac:dyDescent="0.25">
      <c r="A1764" s="10">
        <v>2025</v>
      </c>
      <c r="B1764" s="10" t="s">
        <v>137</v>
      </c>
      <c r="C1764" s="10" t="s">
        <v>176</v>
      </c>
      <c r="D1764" s="10" t="s">
        <v>123</v>
      </c>
      <c r="E1764" s="25" t="str">
        <f>VLOOKUP(D1764,'[2]Lista de Produtos CLASSIFICAÇÃO'!$E$103:$F$114,2,FALSE)</f>
        <v>Aquecidos</v>
      </c>
      <c r="F1764" s="61">
        <v>3500</v>
      </c>
      <c r="G1764" t="str">
        <f>VLOOKUP(Tabela1[[#This Row],[Cliente]],clientes!$C$3:$D$60,2,FALSE)</f>
        <v>AGROPALMA</v>
      </c>
    </row>
    <row r="1765" spans="1:7" x14ac:dyDescent="0.25">
      <c r="A1765" s="10">
        <v>2025</v>
      </c>
      <c r="B1765" s="10" t="s">
        <v>137</v>
      </c>
      <c r="C1765" s="10" t="s">
        <v>177</v>
      </c>
      <c r="D1765" s="10" t="s">
        <v>115</v>
      </c>
      <c r="E1765" s="25" t="str">
        <f>VLOOKUP(D1765,'[2]Lista de Produtos CLASSIFICAÇÃO'!$E$103:$F$114,2,FALSE)</f>
        <v>Soda Caustica</v>
      </c>
      <c r="F1765" s="61">
        <v>2800</v>
      </c>
      <c r="G1765" t="str">
        <f>VLOOKUP(Tabela1[[#This Row],[Cliente]],clientes!$C$3:$D$60,2,FALSE)</f>
        <v>BRENNTAG</v>
      </c>
    </row>
    <row r="1766" spans="1:7" x14ac:dyDescent="0.25">
      <c r="A1766" s="10">
        <v>2025</v>
      </c>
      <c r="B1766" s="10" t="s">
        <v>137</v>
      </c>
      <c r="C1766" s="10" t="s">
        <v>178</v>
      </c>
      <c r="D1766" s="10" t="s">
        <v>115</v>
      </c>
      <c r="E1766" s="25" t="str">
        <f>VLOOKUP(D1766,'[2]Lista de Produtos CLASSIFICAÇÃO'!$E$103:$F$114,2,FALSE)</f>
        <v>Soda Caustica</v>
      </c>
      <c r="F1766" s="61">
        <v>20000</v>
      </c>
      <c r="G1766" t="str">
        <f>VLOOKUP(Tabela1[[#This Row],[Cliente]],clientes!$C$3:$D$60,2,FALSE)</f>
        <v>OLIN BLUE CUBE</v>
      </c>
    </row>
    <row r="1767" spans="1:7" x14ac:dyDescent="0.25">
      <c r="A1767" s="10">
        <v>2025</v>
      </c>
      <c r="B1767" s="10" t="s">
        <v>137</v>
      </c>
      <c r="C1767" s="10" t="s">
        <v>179</v>
      </c>
      <c r="D1767" s="10" t="s">
        <v>26</v>
      </c>
      <c r="E1767" s="25" t="str">
        <f>VLOOKUP(D1767,'[2]Lista de Produtos CLASSIFICAÇÃO'!$E$103:$F$114,2,FALSE)</f>
        <v>Biocombustíveis</v>
      </c>
      <c r="F1767" s="61">
        <v>4000</v>
      </c>
      <c r="G1767" t="str">
        <f>VLOOKUP(Tabela1[[#This Row],[Cliente]],clientes!$C$3:$D$60,2,FALSE)</f>
        <v>BSBIOS</v>
      </c>
    </row>
    <row r="1768" spans="1:7" x14ac:dyDescent="0.25">
      <c r="A1768" s="10">
        <v>2025</v>
      </c>
      <c r="B1768" s="10" t="s">
        <v>137</v>
      </c>
      <c r="C1768" s="10" t="s">
        <v>181</v>
      </c>
      <c r="D1768" s="10" t="s">
        <v>123</v>
      </c>
      <c r="E1768" s="25" t="str">
        <f>VLOOKUP(D1768,'[2]Lista de Produtos CLASSIFICAÇÃO'!$E$103:$F$114,2,FALSE)</f>
        <v>Aquecidos</v>
      </c>
      <c r="F1768" s="61">
        <v>1600</v>
      </c>
      <c r="G1768" t="str">
        <f>VLOOKUP(Tabela1[[#This Row],[Cliente]],clientes!$C$3:$D$60,2,FALSE)</f>
        <v>COAMO</v>
      </c>
    </row>
    <row r="1769" spans="1:7" x14ac:dyDescent="0.25">
      <c r="A1769" s="10">
        <v>2025</v>
      </c>
      <c r="B1769" s="10" t="s">
        <v>137</v>
      </c>
      <c r="C1769" s="10" t="s">
        <v>182</v>
      </c>
      <c r="D1769" s="10" t="s">
        <v>120</v>
      </c>
      <c r="E1769" s="25" t="str">
        <f>VLOOKUP(D1769,'[2]Lista de Produtos CLASSIFICAÇÃO'!$E$103:$F$114,2,FALSE)</f>
        <v>Derivados</v>
      </c>
      <c r="F1769" s="61">
        <v>8300</v>
      </c>
      <c r="G1769" t="str">
        <f>VLOOKUP(Tabela1[[#This Row],[Cliente]],clientes!$C$3:$D$60,2,FALSE)</f>
        <v>ATEM</v>
      </c>
    </row>
    <row r="1770" spans="1:7" x14ac:dyDescent="0.25">
      <c r="A1770" s="10">
        <v>2025</v>
      </c>
      <c r="B1770" s="10" t="s">
        <v>137</v>
      </c>
      <c r="C1770" s="10" t="s">
        <v>184</v>
      </c>
      <c r="D1770" s="10" t="s">
        <v>122</v>
      </c>
      <c r="E1770" s="25" t="str">
        <f>VLOOKUP(D1770,'[2]Lista de Produtos CLASSIFICAÇÃO'!$E$103:$F$114,2,FALSE)</f>
        <v>Óleo Vegetal</v>
      </c>
      <c r="F1770" s="61"/>
      <c r="G1770" t="str">
        <f>VLOOKUP(Tabela1[[#This Row],[Cliente]],clientes!$C$3:$D$60,2,FALSE)</f>
        <v>INGREDION</v>
      </c>
    </row>
    <row r="1771" spans="1:7" x14ac:dyDescent="0.25">
      <c r="A1771" s="10">
        <v>2025</v>
      </c>
      <c r="B1771" s="10" t="s">
        <v>137</v>
      </c>
      <c r="C1771" s="10" t="s">
        <v>185</v>
      </c>
      <c r="D1771" s="10" t="s">
        <v>120</v>
      </c>
      <c r="E1771" s="25" t="str">
        <f>VLOOKUP(D1771,'[2]Lista de Produtos CLASSIFICAÇÃO'!$E$103:$F$114,2,FALSE)</f>
        <v>Derivados</v>
      </c>
      <c r="F1771" s="61">
        <v>12450</v>
      </c>
      <c r="G1771" t="str">
        <f>VLOOKUP(Tabela1[[#This Row],[Cliente]],clientes!$C$3:$D$60,2,FALSE)</f>
        <v>CIAPETRO</v>
      </c>
    </row>
    <row r="1772" spans="1:7" x14ac:dyDescent="0.25">
      <c r="A1772" s="10">
        <v>2025</v>
      </c>
      <c r="B1772" s="10" t="s">
        <v>137</v>
      </c>
      <c r="C1772" s="10" t="s">
        <v>187</v>
      </c>
      <c r="D1772" s="10" t="s">
        <v>121</v>
      </c>
      <c r="E1772" s="25" t="str">
        <f>VLOOKUP(D1772,'[2]Lista de Produtos CLASSIFICAÇÃO'!$E$103:$F$114,2,FALSE)</f>
        <v>Biocombustíveis</v>
      </c>
      <c r="F1772" s="61">
        <v>7900</v>
      </c>
      <c r="G1772" t="str">
        <f>VLOOKUP(Tabela1[[#This Row],[Cliente]],clientes!$C$3:$D$60,2,FALSE)</f>
        <v>TEREOS / INPASA / GLENCORE / FS</v>
      </c>
    </row>
    <row r="1773" spans="1:7" x14ac:dyDescent="0.25">
      <c r="A1773" s="10">
        <v>2025</v>
      </c>
      <c r="B1773" s="10" t="s">
        <v>137</v>
      </c>
      <c r="C1773" s="10" t="s">
        <v>188</v>
      </c>
      <c r="D1773" s="10" t="s">
        <v>123</v>
      </c>
      <c r="E1773" s="25" t="str">
        <f>VLOOKUP(D1773,'[2]Lista de Produtos CLASSIFICAÇÃO'!$E$103:$F$114,2,FALSE)</f>
        <v>Aquecidos</v>
      </c>
      <c r="F1773" s="61">
        <v>3700</v>
      </c>
      <c r="G1773" t="str">
        <f>VLOOKUP(Tabela1[[#This Row],[Cliente]],clientes!$C$3:$D$60,2,FALSE)</f>
        <v>ARES MERCHANTS PTE LIMITE</v>
      </c>
    </row>
    <row r="1774" spans="1:7" x14ac:dyDescent="0.25">
      <c r="A1774" s="10">
        <v>2025</v>
      </c>
      <c r="B1774" s="10" t="s">
        <v>137</v>
      </c>
      <c r="C1774" s="10" t="s">
        <v>18</v>
      </c>
      <c r="D1774" s="10" t="s">
        <v>17</v>
      </c>
      <c r="E1774" s="25" t="str">
        <f>VLOOKUP(D1774,'[2]Lista de Produtos CLASSIFICAÇÃO'!$E$103:$F$114,2,FALSE)</f>
        <v>Acostagem</v>
      </c>
      <c r="F1774" s="61"/>
      <c r="G1774" t="str">
        <f>VLOOKUP(Tabela1[[#This Row],[Cliente]],clientes!$C$3:$D$60,2,FALSE)</f>
        <v>ACOSTAGEM</v>
      </c>
    </row>
    <row r="1775" spans="1:7" x14ac:dyDescent="0.25">
      <c r="A1775" s="10">
        <v>2025</v>
      </c>
      <c r="B1775" s="10" t="s">
        <v>137</v>
      </c>
      <c r="C1775" s="10" t="s">
        <v>189</v>
      </c>
      <c r="D1775" t="s">
        <v>123</v>
      </c>
      <c r="E1775" s="25" t="str">
        <f>VLOOKUP(D1775,'[2]Lista de Produtos CLASSIFICAÇÃO'!$E$103:$F$114,2,FALSE)</f>
        <v>Aquecidos</v>
      </c>
      <c r="F1775" s="61">
        <v>2500</v>
      </c>
      <c r="G1775" t="str">
        <f>VLOOKUP(Tabela1[[#This Row],[Cliente]],clientes!$C$3:$D$60,2,FALSE)</f>
        <v>ICOF</v>
      </c>
    </row>
    <row r="1776" spans="1:7" x14ac:dyDescent="0.25">
      <c r="A1776" s="10">
        <v>2025</v>
      </c>
      <c r="B1776" s="10" t="s">
        <v>137</v>
      </c>
      <c r="C1776" s="10" t="s">
        <v>191</v>
      </c>
      <c r="D1776" t="s">
        <v>115</v>
      </c>
      <c r="E1776" s="25" t="str">
        <f>VLOOKUP(D1776,'[2]Lista de Produtos CLASSIFICAÇÃO'!$E$103:$F$114,2,FALSE)</f>
        <v>Soda Caustica</v>
      </c>
      <c r="F1776" s="61"/>
      <c r="G1776" t="str">
        <f>VLOOKUP(Tabela1[[#This Row],[Cliente]],clientes!$C$3:$D$60,2,FALSE)</f>
        <v>GPC</v>
      </c>
    </row>
    <row r="1777" spans="1:7" x14ac:dyDescent="0.25">
      <c r="A1777" s="10">
        <v>2025</v>
      </c>
      <c r="B1777" s="10" t="s">
        <v>137</v>
      </c>
      <c r="C1777" s="10" t="s">
        <v>192</v>
      </c>
      <c r="D1777" s="10" t="s">
        <v>121</v>
      </c>
      <c r="E1777" s="25" t="str">
        <f>VLOOKUP(D1777,'[2]Lista de Produtos CLASSIFICAÇÃO'!$E$103:$F$114,2,FALSE)</f>
        <v>Biocombustíveis</v>
      </c>
      <c r="F1777" s="61">
        <v>11850</v>
      </c>
      <c r="G1777" t="str">
        <f>VLOOKUP(Tabela1[[#This Row],[Cliente]],clientes!$C$3:$D$60,2,FALSE)</f>
        <v>INPASA</v>
      </c>
    </row>
    <row r="1778" spans="1:7" x14ac:dyDescent="0.25">
      <c r="A1778" s="10">
        <v>2025</v>
      </c>
      <c r="B1778" s="10" t="s">
        <v>138</v>
      </c>
      <c r="C1778" s="10" t="s">
        <v>155</v>
      </c>
      <c r="D1778" s="10" t="s">
        <v>16</v>
      </c>
      <c r="E1778" s="25" t="str">
        <f>VLOOKUP(D1778,'[2]Lista de Produtos CLASSIFICAÇÃO'!$E$103:$F$114,2,FALSE)</f>
        <v>Outros</v>
      </c>
      <c r="F1778" s="61">
        <v>4500</v>
      </c>
      <c r="G1778" t="str">
        <f>VLOOKUP(Tabela1[[#This Row],[Cliente]],clientes!$C$3:$D$60,2,FALSE)</f>
        <v>ADISSEO</v>
      </c>
    </row>
    <row r="1779" spans="1:7" x14ac:dyDescent="0.25">
      <c r="A1779" s="10">
        <v>2025</v>
      </c>
      <c r="B1779" s="10" t="s">
        <v>138</v>
      </c>
      <c r="C1779" s="10" t="s">
        <v>156</v>
      </c>
      <c r="D1779" s="10" t="s">
        <v>123</v>
      </c>
      <c r="E1779" s="25" t="str">
        <f>VLOOKUP(D1779,'[2]Lista de Produtos CLASSIFICAÇÃO'!$E$103:$F$114,2,FALSE)</f>
        <v>Aquecidos</v>
      </c>
      <c r="F1779" s="61">
        <v>2100</v>
      </c>
      <c r="G1779" t="str">
        <f>VLOOKUP(Tabela1[[#This Row],[Cliente]],clientes!$C$3:$D$60,2,FALSE)</f>
        <v>BUNGE</v>
      </c>
    </row>
    <row r="1780" spans="1:7" x14ac:dyDescent="0.25">
      <c r="A1780" s="10">
        <v>2025</v>
      </c>
      <c r="B1780" s="10" t="s">
        <v>138</v>
      </c>
      <c r="C1780" s="10" t="s">
        <v>157</v>
      </c>
      <c r="D1780" s="10" t="s">
        <v>122</v>
      </c>
      <c r="E1780" s="25" t="str">
        <f>VLOOKUP(D1780,'[2]Lista de Produtos CLASSIFICAÇÃO'!$E$103:$F$114,2,FALSE)</f>
        <v>Óleo Vegetal</v>
      </c>
      <c r="F1780" s="61">
        <v>1700</v>
      </c>
      <c r="G1780" t="str">
        <f>VLOOKUP(Tabela1[[#This Row],[Cliente]],clientes!$C$3:$D$60,2,FALSE)</f>
        <v>ADM</v>
      </c>
    </row>
    <row r="1781" spans="1:7" x14ac:dyDescent="0.25">
      <c r="A1781" s="10">
        <v>2025</v>
      </c>
      <c r="B1781" s="10" t="s">
        <v>138</v>
      </c>
      <c r="C1781" s="10" t="s">
        <v>158</v>
      </c>
      <c r="D1781" s="10" t="s">
        <v>120</v>
      </c>
      <c r="E1781" s="25" t="str">
        <f>VLOOKUP(D1781,'[2]Lista de Produtos CLASSIFICAÇÃO'!$E$103:$F$114,2,FALSE)</f>
        <v>Derivados</v>
      </c>
      <c r="F1781" s="61">
        <v>45000</v>
      </c>
      <c r="G1781" t="str">
        <f>VLOOKUP(Tabela1[[#This Row],[Cliente]],clientes!$C$3:$D$60,2,FALSE)</f>
        <v>IPIRANGA</v>
      </c>
    </row>
    <row r="1782" spans="1:7" x14ac:dyDescent="0.25">
      <c r="A1782" s="10">
        <v>2025</v>
      </c>
      <c r="B1782" s="10" t="s">
        <v>138</v>
      </c>
      <c r="C1782" s="10" t="s">
        <v>159</v>
      </c>
      <c r="D1782" s="10" t="s">
        <v>120</v>
      </c>
      <c r="E1782" s="25" t="str">
        <f>VLOOKUP(D1782,'[2]Lista de Produtos CLASSIFICAÇÃO'!$E$103:$F$114,2,FALSE)</f>
        <v>Derivados</v>
      </c>
      <c r="F1782" s="61">
        <v>41500</v>
      </c>
      <c r="G1782" t="str">
        <f>VLOOKUP(Tabela1[[#This Row],[Cliente]],clientes!$C$3:$D$60,2,FALSE)</f>
        <v>RAIZEN</v>
      </c>
    </row>
    <row r="1783" spans="1:7" x14ac:dyDescent="0.25">
      <c r="A1783" s="10">
        <v>2025</v>
      </c>
      <c r="B1783" s="10" t="s">
        <v>138</v>
      </c>
      <c r="C1783" s="10" t="s">
        <v>160</v>
      </c>
      <c r="D1783" s="10" t="s">
        <v>120</v>
      </c>
      <c r="E1783" s="25" t="str">
        <f>VLOOKUP(D1783,'[2]Lista de Produtos CLASSIFICAÇÃO'!$E$103:$F$114,2,FALSE)</f>
        <v>Derivados</v>
      </c>
      <c r="F1783" s="61">
        <v>16600</v>
      </c>
      <c r="G1783" t="str">
        <f>VLOOKUP(Tabela1[[#This Row],[Cliente]],clientes!$C$3:$D$60,2,FALSE)</f>
        <v>VIBRA</v>
      </c>
    </row>
    <row r="1784" spans="1:7" x14ac:dyDescent="0.25">
      <c r="A1784" s="10">
        <v>2025</v>
      </c>
      <c r="B1784" s="10" t="s">
        <v>138</v>
      </c>
      <c r="C1784" s="10" t="s">
        <v>161</v>
      </c>
      <c r="D1784" s="10" t="s">
        <v>120</v>
      </c>
      <c r="E1784" s="25" t="str">
        <f>VLOOKUP(D1784,'[2]Lista de Produtos CLASSIFICAÇÃO'!$E$103:$F$114,2,FALSE)</f>
        <v>Derivados</v>
      </c>
      <c r="F1784" s="61">
        <v>20000</v>
      </c>
      <c r="G1784" t="str">
        <f>VLOOKUP(Tabela1[[#This Row],[Cliente]],clientes!$C$3:$D$60,2,FALSE)</f>
        <v>SUL PLATA</v>
      </c>
    </row>
    <row r="1785" spans="1:7" x14ac:dyDescent="0.25">
      <c r="A1785" s="10">
        <v>2025</v>
      </c>
      <c r="B1785" s="10" t="s">
        <v>138</v>
      </c>
      <c r="C1785" s="10" t="s">
        <v>162</v>
      </c>
      <c r="D1785" s="10" t="s">
        <v>115</v>
      </c>
      <c r="E1785" s="25" t="str">
        <f>VLOOKUP(D1785,'[2]Lista de Produtos CLASSIFICAÇÃO'!$E$103:$F$114,2,FALSE)</f>
        <v>Soda Caustica</v>
      </c>
      <c r="F1785" s="61">
        <v>1800</v>
      </c>
      <c r="G1785" t="str">
        <f>VLOOKUP(Tabela1[[#This Row],[Cliente]],clientes!$C$3:$D$60,2,FALSE)</f>
        <v>JBS</v>
      </c>
    </row>
    <row r="1786" spans="1:7" x14ac:dyDescent="0.25">
      <c r="A1786" s="10">
        <v>2025</v>
      </c>
      <c r="B1786" s="10" t="s">
        <v>138</v>
      </c>
      <c r="C1786" s="10" t="s">
        <v>163</v>
      </c>
      <c r="D1786" t="s">
        <v>115</v>
      </c>
      <c r="E1786" s="25" t="str">
        <f>VLOOKUP(D1786,'[2]Lista de Produtos CLASSIFICAÇÃO'!$E$103:$F$114,2,FALSE)</f>
        <v>Soda Caustica</v>
      </c>
      <c r="F1786" s="61">
        <v>3800</v>
      </c>
      <c r="G1786" t="str">
        <f>VLOOKUP(Tabela1[[#This Row],[Cliente]],clientes!$C$3:$D$60,2,FALSE)</f>
        <v>TRICON ENERGY</v>
      </c>
    </row>
    <row r="1787" spans="1:7" x14ac:dyDescent="0.25">
      <c r="A1787" s="10">
        <v>2025</v>
      </c>
      <c r="B1787" s="10" t="s">
        <v>138</v>
      </c>
      <c r="C1787" s="10" t="s">
        <v>164</v>
      </c>
      <c r="D1787" t="s">
        <v>115</v>
      </c>
      <c r="E1787" s="25" t="str">
        <f>VLOOKUP(D1787,'[2]Lista de Produtos CLASSIFICAÇÃO'!$E$103:$F$114,2,FALSE)</f>
        <v>Soda Caustica</v>
      </c>
      <c r="F1787" s="61">
        <v>1300</v>
      </c>
      <c r="G1787" t="str">
        <f>VLOOKUP(Tabela1[[#This Row],[Cliente]],clientes!$C$3:$D$60,2,FALSE)</f>
        <v>BRASKEM</v>
      </c>
    </row>
    <row r="1788" spans="1:7" x14ac:dyDescent="0.25">
      <c r="A1788" s="10">
        <v>2025</v>
      </c>
      <c r="B1788" s="10" t="s">
        <v>138</v>
      </c>
      <c r="C1788" s="10" t="s">
        <v>165</v>
      </c>
      <c r="D1788" s="10" t="s">
        <v>123</v>
      </c>
      <c r="E1788" s="25" t="str">
        <f>VLOOKUP(D1788,'[2]Lista de Produtos CLASSIFICAÇÃO'!$E$103:$F$114,2,FALSE)</f>
        <v>Aquecidos</v>
      </c>
      <c r="F1788" s="61">
        <v>4000</v>
      </c>
      <c r="G1788" t="str">
        <f>VLOOKUP(Tabela1[[#This Row],[Cliente]],clientes!$C$3:$D$60,2,FALSE)</f>
        <v>BRF</v>
      </c>
    </row>
    <row r="1789" spans="1:7" x14ac:dyDescent="0.25">
      <c r="A1789" s="10">
        <v>2025</v>
      </c>
      <c r="B1789" s="10" t="s">
        <v>138</v>
      </c>
      <c r="C1789" s="10" t="s">
        <v>162</v>
      </c>
      <c r="D1789" s="10" t="s">
        <v>123</v>
      </c>
      <c r="E1789" s="25" t="str">
        <f>VLOOKUP(D1789,'[2]Lista de Produtos CLASSIFICAÇÃO'!$E$103:$F$114,2,FALSE)</f>
        <v>Aquecidos</v>
      </c>
      <c r="F1789" s="61">
        <v>4520</v>
      </c>
      <c r="G1789" t="str">
        <f>VLOOKUP(Tabela1[[#This Row],[Cliente]],clientes!$C$3:$D$60,2,FALSE)</f>
        <v>JBS</v>
      </c>
    </row>
    <row r="1790" spans="1:7" x14ac:dyDescent="0.25">
      <c r="A1790" s="10">
        <v>2025</v>
      </c>
      <c r="B1790" s="10" t="s">
        <v>138</v>
      </c>
      <c r="C1790" s="10" t="s">
        <v>166</v>
      </c>
      <c r="D1790" s="10" t="s">
        <v>123</v>
      </c>
      <c r="E1790" s="25" t="str">
        <f>VLOOKUP(D1790,'[2]Lista de Produtos CLASSIFICAÇÃO'!$E$103:$F$114,2,FALSE)</f>
        <v>Aquecidos</v>
      </c>
      <c r="F1790" s="61">
        <v>3900</v>
      </c>
      <c r="G1790" t="str">
        <f>VLOOKUP(Tabela1[[#This Row],[Cliente]],clientes!$C$3:$D$60,2,FALSE)</f>
        <v>CARGILL</v>
      </c>
    </row>
    <row r="1791" spans="1:7" x14ac:dyDescent="0.25">
      <c r="A1791" s="10">
        <v>2025</v>
      </c>
      <c r="B1791" s="10" t="s">
        <v>138</v>
      </c>
      <c r="C1791" s="10" t="s">
        <v>167</v>
      </c>
      <c r="D1791" s="10" t="s">
        <v>122</v>
      </c>
      <c r="E1791" s="25" t="str">
        <f>VLOOKUP(D1791,'[2]Lista de Produtos CLASSIFICAÇÃO'!$E$103:$F$114,2,FALSE)</f>
        <v>Óleo Vegetal</v>
      </c>
      <c r="F1791" s="61">
        <v>54105.54</v>
      </c>
      <c r="G1791" t="str">
        <f>VLOOKUP(Tabela1[[#This Row],[Cliente]],clientes!$C$3:$D$60,2,FALSE)</f>
        <v>POOL</v>
      </c>
    </row>
    <row r="1792" spans="1:7" x14ac:dyDescent="0.25">
      <c r="A1792" s="10">
        <v>2025</v>
      </c>
      <c r="B1792" s="10" t="s">
        <v>138</v>
      </c>
      <c r="C1792" s="10" t="s">
        <v>168</v>
      </c>
      <c r="D1792" s="10" t="s">
        <v>122</v>
      </c>
      <c r="E1792" s="25" t="str">
        <f>VLOOKUP(D1792,'[2]Lista de Produtos CLASSIFICAÇÃO'!$E$103:$F$114,2,FALSE)</f>
        <v>Óleo Vegetal</v>
      </c>
      <c r="F1792" s="61"/>
      <c r="G1792" t="str">
        <f>VLOOKUP(Tabela1[[#This Row],[Cliente]],clientes!$C$3:$D$60,2,FALSE)</f>
        <v>POOL EXCEDENTE</v>
      </c>
    </row>
    <row r="1793" spans="1:7" x14ac:dyDescent="0.25">
      <c r="A1793" s="10">
        <v>2025</v>
      </c>
      <c r="B1793" s="10" t="s">
        <v>138</v>
      </c>
      <c r="C1793" s="10" t="s">
        <v>169</v>
      </c>
      <c r="D1793" s="10" t="s">
        <v>22</v>
      </c>
      <c r="E1793" s="25" t="str">
        <f>VLOOKUP(D1793,'[2]Lista de Produtos CLASSIFICAÇÃO'!$E$103:$F$114,2,FALSE)</f>
        <v>Metanol</v>
      </c>
      <c r="F1793" s="61">
        <v>75000</v>
      </c>
      <c r="G1793" t="str">
        <f>VLOOKUP(Tabela1[[#This Row],[Cliente]],clientes!$C$3:$D$60,2,FALSE)</f>
        <v>METHANEX</v>
      </c>
    </row>
    <row r="1794" spans="1:7" x14ac:dyDescent="0.25">
      <c r="A1794" s="10">
        <v>2025</v>
      </c>
      <c r="B1794" s="10" t="s">
        <v>138</v>
      </c>
      <c r="C1794" s="10" t="s">
        <v>170</v>
      </c>
      <c r="D1794" s="10" t="s">
        <v>22</v>
      </c>
      <c r="E1794" s="25" t="str">
        <f>VLOOKUP(D1794,'[2]Lista de Produtos CLASSIFICAÇÃO'!$E$103:$F$114,2,FALSE)</f>
        <v>Metanol</v>
      </c>
      <c r="F1794" s="61">
        <v>17000</v>
      </c>
      <c r="G1794" t="str">
        <f>VLOOKUP(Tabela1[[#This Row],[Cliente]],clientes!$C$3:$D$60,2,FALSE)</f>
        <v>MITSUBISHI</v>
      </c>
    </row>
    <row r="1795" spans="1:7" x14ac:dyDescent="0.25">
      <c r="A1795" s="10">
        <v>2025</v>
      </c>
      <c r="B1795" s="10" t="s">
        <v>138</v>
      </c>
      <c r="C1795" s="10" t="s">
        <v>171</v>
      </c>
      <c r="D1795" s="10" t="s">
        <v>22</v>
      </c>
      <c r="E1795" s="25" t="str">
        <f>VLOOKUP(D1795,'[2]Lista de Produtos CLASSIFICAÇÃO'!$E$103:$F$114,2,FALSE)</f>
        <v>Metanol</v>
      </c>
      <c r="F1795" s="61">
        <v>26000</v>
      </c>
      <c r="G1795" t="str">
        <f>VLOOKUP(Tabela1[[#This Row],[Cliente]],clientes!$C$3:$D$60,2,FALSE)</f>
        <v>VALENZ</v>
      </c>
    </row>
    <row r="1796" spans="1:7" x14ac:dyDescent="0.25">
      <c r="A1796" s="10">
        <v>2025</v>
      </c>
      <c r="B1796" s="10" t="s">
        <v>138</v>
      </c>
      <c r="C1796" s="10" t="s">
        <v>172</v>
      </c>
      <c r="D1796" s="10" t="s">
        <v>124</v>
      </c>
      <c r="E1796" s="25" t="str">
        <f>VLOOKUP(D1796,'[2]Lista de Produtos CLASSIFICAÇÃO'!$E$103:$F$114,2,FALSE)</f>
        <v>Outros</v>
      </c>
      <c r="F1796" s="61">
        <v>1500</v>
      </c>
      <c r="G1796" t="str">
        <f>VLOOKUP(Tabela1[[#This Row],[Cliente]],clientes!$C$3:$D$60,2,FALSE)</f>
        <v>EVONIK</v>
      </c>
    </row>
    <row r="1797" spans="1:7" x14ac:dyDescent="0.25">
      <c r="A1797" s="10">
        <v>2025</v>
      </c>
      <c r="B1797" s="10" t="s">
        <v>138</v>
      </c>
      <c r="C1797" s="10" t="s">
        <v>186</v>
      </c>
      <c r="D1797" s="10" t="s">
        <v>22</v>
      </c>
      <c r="E1797" s="25" t="str">
        <f>VLOOKUP(D1797,'[2]Lista de Produtos CLASSIFICAÇÃO'!$E$103:$F$114,2,FALSE)</f>
        <v>Metanol</v>
      </c>
      <c r="F1797" s="61">
        <v>2500</v>
      </c>
      <c r="G1797" t="str">
        <f>VLOOKUP(Tabela1[[#This Row],[Cliente]],clientes!$C$3:$D$60,2,FALSE)</f>
        <v>OQ TRADING</v>
      </c>
    </row>
    <row r="1798" spans="1:7" x14ac:dyDescent="0.25">
      <c r="A1798" s="10">
        <v>2025</v>
      </c>
      <c r="B1798" s="10" t="s">
        <v>138</v>
      </c>
      <c r="C1798" s="10" t="s">
        <v>174</v>
      </c>
      <c r="D1798" s="10" t="s">
        <v>123</v>
      </c>
      <c r="E1798" s="25" t="str">
        <f>VLOOKUP(D1798,'[2]Lista de Produtos CLASSIFICAÇÃO'!$E$103:$F$114,2,FALSE)</f>
        <v>Aquecidos</v>
      </c>
      <c r="F1798" s="61">
        <v>12500</v>
      </c>
      <c r="G1798" t="str">
        <f>VLOOKUP(Tabela1[[#This Row],[Cliente]],clientes!$C$3:$D$60,2,FALSE)</f>
        <v>CELENA</v>
      </c>
    </row>
    <row r="1799" spans="1:7" x14ac:dyDescent="0.25">
      <c r="A1799" s="10">
        <v>2025</v>
      </c>
      <c r="B1799" s="10" t="s">
        <v>138</v>
      </c>
      <c r="C1799" s="10" t="s">
        <v>175</v>
      </c>
      <c r="D1799" s="10" t="s">
        <v>123</v>
      </c>
      <c r="E1799" s="25" t="str">
        <f>VLOOKUP(D1799,'[2]Lista de Produtos CLASSIFICAÇÃO'!$E$103:$F$114,2,FALSE)</f>
        <v>Aquecidos</v>
      </c>
      <c r="F1799" s="61">
        <v>3600</v>
      </c>
      <c r="G1799" t="str">
        <f>VLOOKUP(Tabela1[[#This Row],[Cliente]],clientes!$C$3:$D$60,2,FALSE)</f>
        <v>AAK DO BRASIL</v>
      </c>
    </row>
    <row r="1800" spans="1:7" x14ac:dyDescent="0.25">
      <c r="A1800" s="10">
        <v>2025</v>
      </c>
      <c r="B1800" s="10" t="s">
        <v>138</v>
      </c>
      <c r="C1800" s="10" t="s">
        <v>166</v>
      </c>
      <c r="D1800" s="10" t="s">
        <v>122</v>
      </c>
      <c r="E1800" s="25" t="str">
        <f>VLOOKUP(D1800,'[2]Lista de Produtos CLASSIFICAÇÃO'!$E$103:$F$114,2,FALSE)</f>
        <v>Óleo Vegetal</v>
      </c>
      <c r="F1800" s="61"/>
      <c r="G1800" t="str">
        <f>VLOOKUP(Tabela1[[#This Row],[Cliente]],clientes!$C$3:$D$60,2,FALSE)</f>
        <v>CARGILL</v>
      </c>
    </row>
    <row r="1801" spans="1:7" x14ac:dyDescent="0.25">
      <c r="A1801" s="10">
        <v>2025</v>
      </c>
      <c r="B1801" s="10" t="s">
        <v>138</v>
      </c>
      <c r="C1801" s="10" t="s">
        <v>176</v>
      </c>
      <c r="D1801" s="10" t="s">
        <v>123</v>
      </c>
      <c r="E1801" s="25" t="str">
        <f>VLOOKUP(D1801,'[2]Lista de Produtos CLASSIFICAÇÃO'!$E$103:$F$114,2,FALSE)</f>
        <v>Aquecidos</v>
      </c>
      <c r="F1801" s="61">
        <v>3500</v>
      </c>
      <c r="G1801" t="str">
        <f>VLOOKUP(Tabela1[[#This Row],[Cliente]],clientes!$C$3:$D$60,2,FALSE)</f>
        <v>AGROPALMA</v>
      </c>
    </row>
    <row r="1802" spans="1:7" x14ac:dyDescent="0.25">
      <c r="A1802" s="10">
        <v>2025</v>
      </c>
      <c r="B1802" s="10" t="s">
        <v>138</v>
      </c>
      <c r="C1802" s="10" t="s">
        <v>177</v>
      </c>
      <c r="D1802" s="10" t="s">
        <v>115</v>
      </c>
      <c r="E1802" s="25" t="str">
        <f>VLOOKUP(D1802,'[2]Lista de Produtos CLASSIFICAÇÃO'!$E$103:$F$114,2,FALSE)</f>
        <v>Soda Caustica</v>
      </c>
      <c r="F1802" s="61">
        <v>2800</v>
      </c>
      <c r="G1802" t="str">
        <f>VLOOKUP(Tabela1[[#This Row],[Cliente]],clientes!$C$3:$D$60,2,FALSE)</f>
        <v>BRENNTAG</v>
      </c>
    </row>
    <row r="1803" spans="1:7" x14ac:dyDescent="0.25">
      <c r="A1803" s="10">
        <v>2025</v>
      </c>
      <c r="B1803" s="10" t="s">
        <v>138</v>
      </c>
      <c r="C1803" s="10" t="s">
        <v>178</v>
      </c>
      <c r="D1803" s="10" t="s">
        <v>115</v>
      </c>
      <c r="E1803" s="25" t="str">
        <f>VLOOKUP(D1803,'[2]Lista de Produtos CLASSIFICAÇÃO'!$E$103:$F$114,2,FALSE)</f>
        <v>Soda Caustica</v>
      </c>
      <c r="F1803" s="61">
        <v>20000</v>
      </c>
      <c r="G1803" t="str">
        <f>VLOOKUP(Tabela1[[#This Row],[Cliente]],clientes!$C$3:$D$60,2,FALSE)</f>
        <v>OLIN BLUE CUBE</v>
      </c>
    </row>
    <row r="1804" spans="1:7" x14ac:dyDescent="0.25">
      <c r="A1804" s="10">
        <v>2025</v>
      </c>
      <c r="B1804" s="10" t="s">
        <v>138</v>
      </c>
      <c r="C1804" s="10" t="s">
        <v>179</v>
      </c>
      <c r="D1804" s="10" t="s">
        <v>26</v>
      </c>
      <c r="E1804" s="25" t="str">
        <f>VLOOKUP(D1804,'[2]Lista de Produtos CLASSIFICAÇÃO'!$E$103:$F$114,2,FALSE)</f>
        <v>Biocombustíveis</v>
      </c>
      <c r="F1804" s="61"/>
      <c r="G1804" t="str">
        <f>VLOOKUP(Tabela1[[#This Row],[Cliente]],clientes!$C$3:$D$60,2,FALSE)</f>
        <v>BSBIOS</v>
      </c>
    </row>
    <row r="1805" spans="1:7" x14ac:dyDescent="0.25">
      <c r="A1805" s="10">
        <v>2025</v>
      </c>
      <c r="B1805" s="10" t="s">
        <v>138</v>
      </c>
      <c r="C1805" s="10" t="s">
        <v>181</v>
      </c>
      <c r="D1805" s="10" t="s">
        <v>123</v>
      </c>
      <c r="E1805" s="25" t="str">
        <f>VLOOKUP(D1805,'[2]Lista de Produtos CLASSIFICAÇÃO'!$E$103:$F$114,2,FALSE)</f>
        <v>Aquecidos</v>
      </c>
      <c r="F1805" s="61">
        <v>1600</v>
      </c>
      <c r="G1805" t="str">
        <f>VLOOKUP(Tabela1[[#This Row],[Cliente]],clientes!$C$3:$D$60,2,FALSE)</f>
        <v>COAMO</v>
      </c>
    </row>
    <row r="1806" spans="1:7" x14ac:dyDescent="0.25">
      <c r="A1806" s="10">
        <v>2025</v>
      </c>
      <c r="B1806" s="10" t="s">
        <v>138</v>
      </c>
      <c r="C1806" s="10" t="s">
        <v>182</v>
      </c>
      <c r="D1806" s="10" t="s">
        <v>120</v>
      </c>
      <c r="E1806" s="25" t="str">
        <f>VLOOKUP(D1806,'[2]Lista de Produtos CLASSIFICAÇÃO'!$E$103:$F$114,2,FALSE)</f>
        <v>Derivados</v>
      </c>
      <c r="F1806" s="61">
        <v>8300</v>
      </c>
      <c r="G1806" t="str">
        <f>VLOOKUP(Tabela1[[#This Row],[Cliente]],clientes!$C$3:$D$60,2,FALSE)</f>
        <v>ATEM</v>
      </c>
    </row>
    <row r="1807" spans="1:7" x14ac:dyDescent="0.25">
      <c r="A1807" s="10">
        <v>2025</v>
      </c>
      <c r="B1807" s="10" t="s">
        <v>138</v>
      </c>
      <c r="C1807" s="10" t="s">
        <v>184</v>
      </c>
      <c r="D1807" s="10" t="s">
        <v>122</v>
      </c>
      <c r="E1807" s="25" t="str">
        <f>VLOOKUP(D1807,'[2]Lista de Produtos CLASSIFICAÇÃO'!$E$103:$F$114,2,FALSE)</f>
        <v>Óleo Vegetal</v>
      </c>
      <c r="F1807" s="61"/>
      <c r="G1807" t="str">
        <f>VLOOKUP(Tabela1[[#This Row],[Cliente]],clientes!$C$3:$D$60,2,FALSE)</f>
        <v>INGREDION</v>
      </c>
    </row>
    <row r="1808" spans="1:7" x14ac:dyDescent="0.25">
      <c r="A1808" s="10">
        <v>2025</v>
      </c>
      <c r="B1808" s="10" t="s">
        <v>138</v>
      </c>
      <c r="C1808" s="10" t="s">
        <v>185</v>
      </c>
      <c r="D1808" s="10" t="s">
        <v>120</v>
      </c>
      <c r="E1808" s="25" t="str">
        <f>VLOOKUP(D1808,'[2]Lista de Produtos CLASSIFICAÇÃO'!$E$103:$F$114,2,FALSE)</f>
        <v>Derivados</v>
      </c>
      <c r="F1808" s="61">
        <v>12450</v>
      </c>
      <c r="G1808" t="str">
        <f>VLOOKUP(Tabela1[[#This Row],[Cliente]],clientes!$C$3:$D$60,2,FALSE)</f>
        <v>CIAPETRO</v>
      </c>
    </row>
    <row r="1809" spans="1:7" x14ac:dyDescent="0.25">
      <c r="A1809" s="10">
        <v>2025</v>
      </c>
      <c r="B1809" s="10" t="s">
        <v>138</v>
      </c>
      <c r="C1809" s="10" t="s">
        <v>187</v>
      </c>
      <c r="D1809" s="10" t="s">
        <v>121</v>
      </c>
      <c r="E1809" s="25" t="str">
        <f>VLOOKUP(D1809,'[2]Lista de Produtos CLASSIFICAÇÃO'!$E$103:$F$114,2,FALSE)</f>
        <v>Biocombustíveis</v>
      </c>
      <c r="F1809" s="61"/>
      <c r="G1809" t="str">
        <f>VLOOKUP(Tabela1[[#This Row],[Cliente]],clientes!$C$3:$D$60,2,FALSE)</f>
        <v>TEREOS / INPASA / GLENCORE / FS</v>
      </c>
    </row>
    <row r="1810" spans="1:7" x14ac:dyDescent="0.25">
      <c r="A1810" s="10">
        <v>2025</v>
      </c>
      <c r="B1810" s="10" t="s">
        <v>138</v>
      </c>
      <c r="C1810" s="10" t="s">
        <v>188</v>
      </c>
      <c r="D1810" s="10" t="s">
        <v>123</v>
      </c>
      <c r="E1810" s="25" t="str">
        <f>VLOOKUP(D1810,'[2]Lista de Produtos CLASSIFICAÇÃO'!$E$103:$F$114,2,FALSE)</f>
        <v>Aquecidos</v>
      </c>
      <c r="F1810" s="61">
        <v>3700</v>
      </c>
      <c r="G1810" t="str">
        <f>VLOOKUP(Tabela1[[#This Row],[Cliente]],clientes!$C$3:$D$60,2,FALSE)</f>
        <v>ARES MERCHANTS PTE LIMITE</v>
      </c>
    </row>
    <row r="1811" spans="1:7" x14ac:dyDescent="0.25">
      <c r="A1811" s="10">
        <v>2025</v>
      </c>
      <c r="B1811" s="10" t="s">
        <v>138</v>
      </c>
      <c r="C1811" s="10" t="s">
        <v>18</v>
      </c>
      <c r="D1811" s="10" t="s">
        <v>17</v>
      </c>
      <c r="E1811" s="25" t="str">
        <f>VLOOKUP(D1811,'[2]Lista de Produtos CLASSIFICAÇÃO'!$E$103:$F$114,2,FALSE)</f>
        <v>Acostagem</v>
      </c>
      <c r="F1811" s="61"/>
      <c r="G1811" t="str">
        <f>VLOOKUP(Tabela1[[#This Row],[Cliente]],clientes!$C$3:$D$60,2,FALSE)</f>
        <v>ACOSTAGEM</v>
      </c>
    </row>
    <row r="1812" spans="1:7" x14ac:dyDescent="0.25">
      <c r="A1812" s="10">
        <v>2025</v>
      </c>
      <c r="B1812" s="10" t="s">
        <v>138</v>
      </c>
      <c r="C1812" s="10" t="s">
        <v>189</v>
      </c>
      <c r="D1812" t="s">
        <v>123</v>
      </c>
      <c r="E1812" s="25" t="str">
        <f>VLOOKUP(D1812,'[2]Lista de Produtos CLASSIFICAÇÃO'!$E$103:$F$114,2,FALSE)</f>
        <v>Aquecidos</v>
      </c>
      <c r="F1812" s="61">
        <v>2500</v>
      </c>
      <c r="G1812" t="str">
        <f>VLOOKUP(Tabela1[[#This Row],[Cliente]],clientes!$C$3:$D$60,2,FALSE)</f>
        <v>ICOF</v>
      </c>
    </row>
    <row r="1813" spans="1:7" x14ac:dyDescent="0.25">
      <c r="A1813" s="10">
        <v>2025</v>
      </c>
      <c r="B1813" s="10" t="s">
        <v>138</v>
      </c>
      <c r="C1813" s="10" t="s">
        <v>191</v>
      </c>
      <c r="D1813" t="s">
        <v>115</v>
      </c>
      <c r="E1813" s="25" t="str">
        <f>VLOOKUP(D1813,'[2]Lista de Produtos CLASSIFICAÇÃO'!$E$103:$F$114,2,FALSE)</f>
        <v>Soda Caustica</v>
      </c>
      <c r="F1813" s="61"/>
      <c r="G1813" t="str">
        <f>VLOOKUP(Tabela1[[#This Row],[Cliente]],clientes!$C$3:$D$60,2,FALSE)</f>
        <v>GPC</v>
      </c>
    </row>
    <row r="1814" spans="1:7" x14ac:dyDescent="0.25">
      <c r="A1814" s="10">
        <v>2025</v>
      </c>
      <c r="B1814" s="10" t="s">
        <v>138</v>
      </c>
      <c r="C1814" s="10" t="s">
        <v>192</v>
      </c>
      <c r="D1814" s="10" t="s">
        <v>121</v>
      </c>
      <c r="E1814" s="25" t="str">
        <f>VLOOKUP(D1814,'[2]Lista de Produtos CLASSIFICAÇÃO'!$E$103:$F$114,2,FALSE)</f>
        <v>Biocombustíveis</v>
      </c>
      <c r="F1814" s="61">
        <v>11850</v>
      </c>
      <c r="G1814" t="str">
        <f>VLOOKUP(Tabela1[[#This Row],[Cliente]],clientes!$C$3:$D$60,2,FALSE)</f>
        <v>INPASA</v>
      </c>
    </row>
    <row r="1815" spans="1:7" x14ac:dyDescent="0.25">
      <c r="A1815" s="10">
        <v>2025</v>
      </c>
      <c r="B1815" s="10" t="s">
        <v>139</v>
      </c>
      <c r="C1815" s="10" t="s">
        <v>155</v>
      </c>
      <c r="D1815" s="10" t="s">
        <v>16</v>
      </c>
      <c r="E1815" s="25" t="str">
        <f>VLOOKUP(D1815,'[2]Lista de Produtos CLASSIFICAÇÃO'!$E$103:$F$114,2,FALSE)</f>
        <v>Outros</v>
      </c>
      <c r="F1815" s="61">
        <v>4500</v>
      </c>
      <c r="G1815" t="str">
        <f>VLOOKUP(Tabela1[[#This Row],[Cliente]],clientes!$C$3:$D$60,2,FALSE)</f>
        <v>ADISSEO</v>
      </c>
    </row>
    <row r="1816" spans="1:7" x14ac:dyDescent="0.25">
      <c r="A1816" s="10">
        <v>2025</v>
      </c>
      <c r="B1816" s="10" t="s">
        <v>139</v>
      </c>
      <c r="C1816" s="10" t="s">
        <v>156</v>
      </c>
      <c r="D1816" s="10" t="s">
        <v>123</v>
      </c>
      <c r="E1816" s="25" t="str">
        <f>VLOOKUP(D1816,'[2]Lista de Produtos CLASSIFICAÇÃO'!$E$103:$F$114,2,FALSE)</f>
        <v>Aquecidos</v>
      </c>
      <c r="F1816" s="61">
        <v>2100</v>
      </c>
      <c r="G1816" t="str">
        <f>VLOOKUP(Tabela1[[#This Row],[Cliente]],clientes!$C$3:$D$60,2,FALSE)</f>
        <v>BUNGE</v>
      </c>
    </row>
    <row r="1817" spans="1:7" x14ac:dyDescent="0.25">
      <c r="A1817" s="10">
        <v>2025</v>
      </c>
      <c r="B1817" s="10" t="s">
        <v>139</v>
      </c>
      <c r="C1817" s="10" t="s">
        <v>157</v>
      </c>
      <c r="D1817" s="10" t="s">
        <v>122</v>
      </c>
      <c r="E1817" s="25" t="str">
        <f>VLOOKUP(D1817,'[2]Lista de Produtos CLASSIFICAÇÃO'!$E$103:$F$114,2,FALSE)</f>
        <v>Óleo Vegetal</v>
      </c>
      <c r="F1817" s="61">
        <v>1700</v>
      </c>
      <c r="G1817" t="str">
        <f>VLOOKUP(Tabela1[[#This Row],[Cliente]],clientes!$C$3:$D$60,2,FALSE)</f>
        <v>ADM</v>
      </c>
    </row>
    <row r="1818" spans="1:7" x14ac:dyDescent="0.25">
      <c r="A1818" s="10">
        <v>2025</v>
      </c>
      <c r="B1818" s="10" t="s">
        <v>139</v>
      </c>
      <c r="C1818" s="10" t="s">
        <v>158</v>
      </c>
      <c r="D1818" s="10" t="s">
        <v>120</v>
      </c>
      <c r="E1818" s="25" t="str">
        <f>VLOOKUP(D1818,'[2]Lista de Produtos CLASSIFICAÇÃO'!$E$103:$F$114,2,FALSE)</f>
        <v>Derivados</v>
      </c>
      <c r="F1818" s="61">
        <v>45000</v>
      </c>
      <c r="G1818" t="str">
        <f>VLOOKUP(Tabela1[[#This Row],[Cliente]],clientes!$C$3:$D$60,2,FALSE)</f>
        <v>IPIRANGA</v>
      </c>
    </row>
    <row r="1819" spans="1:7" x14ac:dyDescent="0.25">
      <c r="A1819" s="10">
        <v>2025</v>
      </c>
      <c r="B1819" s="10" t="s">
        <v>139</v>
      </c>
      <c r="C1819" s="10" t="s">
        <v>159</v>
      </c>
      <c r="D1819" s="10" t="s">
        <v>120</v>
      </c>
      <c r="E1819" s="25" t="str">
        <f>VLOOKUP(D1819,'[2]Lista de Produtos CLASSIFICAÇÃO'!$E$103:$F$114,2,FALSE)</f>
        <v>Derivados</v>
      </c>
      <c r="F1819" s="61">
        <v>41500</v>
      </c>
      <c r="G1819" t="str">
        <f>VLOOKUP(Tabela1[[#This Row],[Cliente]],clientes!$C$3:$D$60,2,FALSE)</f>
        <v>RAIZEN</v>
      </c>
    </row>
    <row r="1820" spans="1:7" x14ac:dyDescent="0.25">
      <c r="A1820" s="10">
        <v>2025</v>
      </c>
      <c r="B1820" s="10" t="s">
        <v>139</v>
      </c>
      <c r="C1820" s="10" t="s">
        <v>160</v>
      </c>
      <c r="D1820" s="10" t="s">
        <v>120</v>
      </c>
      <c r="E1820" s="25" t="str">
        <f>VLOOKUP(D1820,'[2]Lista de Produtos CLASSIFICAÇÃO'!$E$103:$F$114,2,FALSE)</f>
        <v>Derivados</v>
      </c>
      <c r="F1820" s="61">
        <v>16600</v>
      </c>
      <c r="G1820" t="str">
        <f>VLOOKUP(Tabela1[[#This Row],[Cliente]],clientes!$C$3:$D$60,2,FALSE)</f>
        <v>VIBRA</v>
      </c>
    </row>
    <row r="1821" spans="1:7" x14ac:dyDescent="0.25">
      <c r="A1821" s="10">
        <v>2025</v>
      </c>
      <c r="B1821" s="10" t="s">
        <v>139</v>
      </c>
      <c r="C1821" s="10" t="s">
        <v>161</v>
      </c>
      <c r="D1821" s="10" t="s">
        <v>120</v>
      </c>
      <c r="E1821" s="25" t="str">
        <f>VLOOKUP(D1821,'[2]Lista de Produtos CLASSIFICAÇÃO'!$E$103:$F$114,2,FALSE)</f>
        <v>Derivados</v>
      </c>
      <c r="F1821" s="61">
        <v>20000</v>
      </c>
      <c r="G1821" t="str">
        <f>VLOOKUP(Tabela1[[#This Row],[Cliente]],clientes!$C$3:$D$60,2,FALSE)</f>
        <v>SUL PLATA</v>
      </c>
    </row>
    <row r="1822" spans="1:7" x14ac:dyDescent="0.25">
      <c r="A1822" s="10">
        <v>2025</v>
      </c>
      <c r="B1822" s="10" t="s">
        <v>139</v>
      </c>
      <c r="C1822" s="10" t="s">
        <v>162</v>
      </c>
      <c r="D1822" s="10" t="s">
        <v>115</v>
      </c>
      <c r="E1822" s="25" t="str">
        <f>VLOOKUP(D1822,'[2]Lista de Produtos CLASSIFICAÇÃO'!$E$103:$F$114,2,FALSE)</f>
        <v>Soda Caustica</v>
      </c>
      <c r="F1822" s="61">
        <v>1800</v>
      </c>
      <c r="G1822" t="str">
        <f>VLOOKUP(Tabela1[[#This Row],[Cliente]],clientes!$C$3:$D$60,2,FALSE)</f>
        <v>JBS</v>
      </c>
    </row>
    <row r="1823" spans="1:7" x14ac:dyDescent="0.25">
      <c r="A1823" s="10">
        <v>2025</v>
      </c>
      <c r="B1823" s="10" t="s">
        <v>139</v>
      </c>
      <c r="C1823" s="10" t="s">
        <v>163</v>
      </c>
      <c r="D1823" t="s">
        <v>115</v>
      </c>
      <c r="E1823" s="25" t="str">
        <f>VLOOKUP(D1823,'[2]Lista de Produtos CLASSIFICAÇÃO'!$E$103:$F$114,2,FALSE)</f>
        <v>Soda Caustica</v>
      </c>
      <c r="F1823" s="61">
        <v>3800</v>
      </c>
      <c r="G1823" t="str">
        <f>VLOOKUP(Tabela1[[#This Row],[Cliente]],clientes!$C$3:$D$60,2,FALSE)</f>
        <v>TRICON ENERGY</v>
      </c>
    </row>
    <row r="1824" spans="1:7" x14ac:dyDescent="0.25">
      <c r="A1824" s="10">
        <v>2025</v>
      </c>
      <c r="B1824" s="10" t="s">
        <v>139</v>
      </c>
      <c r="C1824" s="10" t="s">
        <v>164</v>
      </c>
      <c r="D1824" t="s">
        <v>115</v>
      </c>
      <c r="E1824" s="25" t="str">
        <f>VLOOKUP(D1824,'[2]Lista de Produtos CLASSIFICAÇÃO'!$E$103:$F$114,2,FALSE)</f>
        <v>Soda Caustica</v>
      </c>
      <c r="F1824" s="61">
        <v>1300</v>
      </c>
      <c r="G1824" t="str">
        <f>VLOOKUP(Tabela1[[#This Row],[Cliente]],clientes!$C$3:$D$60,2,FALSE)</f>
        <v>BRASKEM</v>
      </c>
    </row>
    <row r="1825" spans="1:7" x14ac:dyDescent="0.25">
      <c r="A1825" s="10">
        <v>2025</v>
      </c>
      <c r="B1825" s="10" t="s">
        <v>139</v>
      </c>
      <c r="C1825" s="10" t="s">
        <v>165</v>
      </c>
      <c r="D1825" s="10" t="s">
        <v>123</v>
      </c>
      <c r="E1825" s="25" t="str">
        <f>VLOOKUP(D1825,'[2]Lista de Produtos CLASSIFICAÇÃO'!$E$103:$F$114,2,FALSE)</f>
        <v>Aquecidos</v>
      </c>
      <c r="F1825" s="61">
        <v>4000</v>
      </c>
      <c r="G1825" t="str">
        <f>VLOOKUP(Tabela1[[#This Row],[Cliente]],clientes!$C$3:$D$60,2,FALSE)</f>
        <v>BRF</v>
      </c>
    </row>
    <row r="1826" spans="1:7" x14ac:dyDescent="0.25">
      <c r="A1826" s="10">
        <v>2025</v>
      </c>
      <c r="B1826" s="10" t="s">
        <v>139</v>
      </c>
      <c r="C1826" s="10" t="s">
        <v>162</v>
      </c>
      <c r="D1826" s="10" t="s">
        <v>123</v>
      </c>
      <c r="E1826" s="25" t="str">
        <f>VLOOKUP(D1826,'[2]Lista de Produtos CLASSIFICAÇÃO'!$E$103:$F$114,2,FALSE)</f>
        <v>Aquecidos</v>
      </c>
      <c r="F1826" s="61">
        <v>4520</v>
      </c>
      <c r="G1826" t="str">
        <f>VLOOKUP(Tabela1[[#This Row],[Cliente]],clientes!$C$3:$D$60,2,FALSE)</f>
        <v>JBS</v>
      </c>
    </row>
    <row r="1827" spans="1:7" x14ac:dyDescent="0.25">
      <c r="A1827" s="10">
        <v>2025</v>
      </c>
      <c r="B1827" s="10" t="s">
        <v>139</v>
      </c>
      <c r="C1827" s="10" t="s">
        <v>166</v>
      </c>
      <c r="D1827" s="10" t="s">
        <v>123</v>
      </c>
      <c r="E1827" s="25" t="str">
        <f>VLOOKUP(D1827,'[2]Lista de Produtos CLASSIFICAÇÃO'!$E$103:$F$114,2,FALSE)</f>
        <v>Aquecidos</v>
      </c>
      <c r="F1827" s="61">
        <v>3900</v>
      </c>
      <c r="G1827" t="str">
        <f>VLOOKUP(Tabela1[[#This Row],[Cliente]],clientes!$C$3:$D$60,2,FALSE)</f>
        <v>CARGILL</v>
      </c>
    </row>
    <row r="1828" spans="1:7" x14ac:dyDescent="0.25">
      <c r="A1828" s="10">
        <v>2025</v>
      </c>
      <c r="B1828" s="10" t="s">
        <v>139</v>
      </c>
      <c r="C1828" s="10" t="s">
        <v>167</v>
      </c>
      <c r="D1828" s="10" t="s">
        <v>122</v>
      </c>
      <c r="E1828" s="25" t="str">
        <f>VLOOKUP(D1828,'[2]Lista de Produtos CLASSIFICAÇÃO'!$E$103:$F$114,2,FALSE)</f>
        <v>Óleo Vegetal</v>
      </c>
      <c r="F1828" s="61">
        <v>38206.259999999995</v>
      </c>
      <c r="G1828" t="str">
        <f>VLOOKUP(Tabela1[[#This Row],[Cliente]],clientes!$C$3:$D$60,2,FALSE)</f>
        <v>POOL</v>
      </c>
    </row>
    <row r="1829" spans="1:7" x14ac:dyDescent="0.25">
      <c r="A1829" s="10">
        <v>2025</v>
      </c>
      <c r="B1829" s="10" t="s">
        <v>139</v>
      </c>
      <c r="C1829" s="10" t="s">
        <v>168</v>
      </c>
      <c r="D1829" s="10" t="s">
        <v>122</v>
      </c>
      <c r="E1829" s="25" t="str">
        <f>VLOOKUP(D1829,'[2]Lista de Produtos CLASSIFICAÇÃO'!$E$103:$F$114,2,FALSE)</f>
        <v>Óleo Vegetal</v>
      </c>
      <c r="F1829" s="61"/>
      <c r="G1829" t="str">
        <f>VLOOKUP(Tabela1[[#This Row],[Cliente]],clientes!$C$3:$D$60,2,FALSE)</f>
        <v>POOL EXCEDENTE</v>
      </c>
    </row>
    <row r="1830" spans="1:7" x14ac:dyDescent="0.25">
      <c r="A1830" s="10">
        <v>2025</v>
      </c>
      <c r="B1830" s="10" t="s">
        <v>139</v>
      </c>
      <c r="C1830" s="10" t="s">
        <v>169</v>
      </c>
      <c r="D1830" s="10" t="s">
        <v>22</v>
      </c>
      <c r="E1830" s="25" t="str">
        <f>VLOOKUP(D1830,'[2]Lista de Produtos CLASSIFICAÇÃO'!$E$103:$F$114,2,FALSE)</f>
        <v>Metanol</v>
      </c>
      <c r="F1830" s="61">
        <v>75000</v>
      </c>
      <c r="G1830" t="str">
        <f>VLOOKUP(Tabela1[[#This Row],[Cliente]],clientes!$C$3:$D$60,2,FALSE)</f>
        <v>METHANEX</v>
      </c>
    </row>
    <row r="1831" spans="1:7" x14ac:dyDescent="0.25">
      <c r="A1831" s="10">
        <v>2025</v>
      </c>
      <c r="B1831" s="10" t="s">
        <v>139</v>
      </c>
      <c r="C1831" s="10" t="s">
        <v>170</v>
      </c>
      <c r="D1831" s="10" t="s">
        <v>22</v>
      </c>
      <c r="E1831" s="25" t="str">
        <f>VLOOKUP(D1831,'[2]Lista de Produtos CLASSIFICAÇÃO'!$E$103:$F$114,2,FALSE)</f>
        <v>Metanol</v>
      </c>
      <c r="F1831" s="61">
        <v>17000</v>
      </c>
      <c r="G1831" t="str">
        <f>VLOOKUP(Tabela1[[#This Row],[Cliente]],clientes!$C$3:$D$60,2,FALSE)</f>
        <v>MITSUBISHI</v>
      </c>
    </row>
    <row r="1832" spans="1:7" x14ac:dyDescent="0.25">
      <c r="A1832" s="10">
        <v>2025</v>
      </c>
      <c r="B1832" s="10" t="s">
        <v>139</v>
      </c>
      <c r="C1832" s="10" t="s">
        <v>171</v>
      </c>
      <c r="D1832" s="10" t="s">
        <v>22</v>
      </c>
      <c r="E1832" s="25" t="str">
        <f>VLOOKUP(D1832,'[2]Lista de Produtos CLASSIFICAÇÃO'!$E$103:$F$114,2,FALSE)</f>
        <v>Metanol</v>
      </c>
      <c r="F1832" s="61">
        <v>26000</v>
      </c>
      <c r="G1832" t="str">
        <f>VLOOKUP(Tabela1[[#This Row],[Cliente]],clientes!$C$3:$D$60,2,FALSE)</f>
        <v>VALENZ</v>
      </c>
    </row>
    <row r="1833" spans="1:7" x14ac:dyDescent="0.25">
      <c r="A1833" s="10">
        <v>2025</v>
      </c>
      <c r="B1833" s="10" t="s">
        <v>139</v>
      </c>
      <c r="C1833" s="10" t="s">
        <v>172</v>
      </c>
      <c r="D1833" s="10" t="s">
        <v>124</v>
      </c>
      <c r="E1833" s="25" t="str">
        <f>VLOOKUP(D1833,'[2]Lista de Produtos CLASSIFICAÇÃO'!$E$103:$F$114,2,FALSE)</f>
        <v>Outros</v>
      </c>
      <c r="F1833" s="61">
        <v>1500</v>
      </c>
      <c r="G1833" t="str">
        <f>VLOOKUP(Tabela1[[#This Row],[Cliente]],clientes!$C$3:$D$60,2,FALSE)</f>
        <v>EVONIK</v>
      </c>
    </row>
    <row r="1834" spans="1:7" x14ac:dyDescent="0.25">
      <c r="A1834" s="10">
        <v>2025</v>
      </c>
      <c r="B1834" s="10" t="s">
        <v>139</v>
      </c>
      <c r="C1834" s="10" t="s">
        <v>186</v>
      </c>
      <c r="D1834" s="10" t="s">
        <v>22</v>
      </c>
      <c r="E1834" s="25" t="str">
        <f>VLOOKUP(D1834,'[2]Lista de Produtos CLASSIFICAÇÃO'!$E$103:$F$114,2,FALSE)</f>
        <v>Metanol</v>
      </c>
      <c r="F1834" s="61">
        <v>2500</v>
      </c>
      <c r="G1834" t="str">
        <f>VLOOKUP(Tabela1[[#This Row],[Cliente]],clientes!$C$3:$D$60,2,FALSE)</f>
        <v>OQ TRADING</v>
      </c>
    </row>
    <row r="1835" spans="1:7" x14ac:dyDescent="0.25">
      <c r="A1835" s="10">
        <v>2025</v>
      </c>
      <c r="B1835" s="10" t="s">
        <v>139</v>
      </c>
      <c r="C1835" s="10" t="s">
        <v>174</v>
      </c>
      <c r="D1835" s="10" t="s">
        <v>123</v>
      </c>
      <c r="E1835" s="25" t="str">
        <f>VLOOKUP(D1835,'[2]Lista de Produtos CLASSIFICAÇÃO'!$E$103:$F$114,2,FALSE)</f>
        <v>Aquecidos</v>
      </c>
      <c r="F1835" s="61">
        <v>12500</v>
      </c>
      <c r="G1835" t="str">
        <f>VLOOKUP(Tabela1[[#This Row],[Cliente]],clientes!$C$3:$D$60,2,FALSE)</f>
        <v>CELENA</v>
      </c>
    </row>
    <row r="1836" spans="1:7" x14ac:dyDescent="0.25">
      <c r="A1836" s="10">
        <v>2025</v>
      </c>
      <c r="B1836" s="10" t="s">
        <v>139</v>
      </c>
      <c r="C1836" s="10" t="s">
        <v>175</v>
      </c>
      <c r="D1836" s="10" t="s">
        <v>123</v>
      </c>
      <c r="E1836" s="25" t="str">
        <f>VLOOKUP(D1836,'[2]Lista de Produtos CLASSIFICAÇÃO'!$E$103:$F$114,2,FALSE)</f>
        <v>Aquecidos</v>
      </c>
      <c r="F1836" s="61">
        <v>3600</v>
      </c>
      <c r="G1836" t="str">
        <f>VLOOKUP(Tabela1[[#This Row],[Cliente]],clientes!$C$3:$D$60,2,FALSE)</f>
        <v>AAK DO BRASIL</v>
      </c>
    </row>
    <row r="1837" spans="1:7" x14ac:dyDescent="0.25">
      <c r="A1837" s="10">
        <v>2025</v>
      </c>
      <c r="B1837" s="10" t="s">
        <v>139</v>
      </c>
      <c r="C1837" s="10" t="s">
        <v>166</v>
      </c>
      <c r="D1837" s="10" t="s">
        <v>122</v>
      </c>
      <c r="E1837" s="25" t="str">
        <f>VLOOKUP(D1837,'[2]Lista de Produtos CLASSIFICAÇÃO'!$E$103:$F$114,2,FALSE)</f>
        <v>Óleo Vegetal</v>
      </c>
      <c r="F1837" s="61"/>
      <c r="G1837" t="str">
        <f>VLOOKUP(Tabela1[[#This Row],[Cliente]],clientes!$C$3:$D$60,2,FALSE)</f>
        <v>CARGILL</v>
      </c>
    </row>
    <row r="1838" spans="1:7" x14ac:dyDescent="0.25">
      <c r="A1838" s="10">
        <v>2025</v>
      </c>
      <c r="B1838" s="10" t="s">
        <v>139</v>
      </c>
      <c r="C1838" s="10" t="s">
        <v>176</v>
      </c>
      <c r="D1838" s="10" t="s">
        <v>123</v>
      </c>
      <c r="E1838" s="25" t="str">
        <f>VLOOKUP(D1838,'[2]Lista de Produtos CLASSIFICAÇÃO'!$E$103:$F$114,2,FALSE)</f>
        <v>Aquecidos</v>
      </c>
      <c r="F1838" s="61">
        <v>3500</v>
      </c>
      <c r="G1838" t="str">
        <f>VLOOKUP(Tabela1[[#This Row],[Cliente]],clientes!$C$3:$D$60,2,FALSE)</f>
        <v>AGROPALMA</v>
      </c>
    </row>
    <row r="1839" spans="1:7" x14ac:dyDescent="0.25">
      <c r="A1839" s="10">
        <v>2025</v>
      </c>
      <c r="B1839" s="10" t="s">
        <v>139</v>
      </c>
      <c r="C1839" s="10" t="s">
        <v>177</v>
      </c>
      <c r="D1839" s="10" t="s">
        <v>115</v>
      </c>
      <c r="E1839" s="25" t="str">
        <f>VLOOKUP(D1839,'[2]Lista de Produtos CLASSIFICAÇÃO'!$E$103:$F$114,2,FALSE)</f>
        <v>Soda Caustica</v>
      </c>
      <c r="F1839" s="61">
        <v>2800</v>
      </c>
      <c r="G1839" t="str">
        <f>VLOOKUP(Tabela1[[#This Row],[Cliente]],clientes!$C$3:$D$60,2,FALSE)</f>
        <v>BRENNTAG</v>
      </c>
    </row>
    <row r="1840" spans="1:7" x14ac:dyDescent="0.25">
      <c r="A1840" s="10">
        <v>2025</v>
      </c>
      <c r="B1840" s="10" t="s">
        <v>139</v>
      </c>
      <c r="C1840" s="10" t="s">
        <v>178</v>
      </c>
      <c r="D1840" s="10" t="s">
        <v>115</v>
      </c>
      <c r="E1840" s="25" t="str">
        <f>VLOOKUP(D1840,'[2]Lista de Produtos CLASSIFICAÇÃO'!$E$103:$F$114,2,FALSE)</f>
        <v>Soda Caustica</v>
      </c>
      <c r="F1840" s="61">
        <v>20000</v>
      </c>
      <c r="G1840" t="str">
        <f>VLOOKUP(Tabela1[[#This Row],[Cliente]],clientes!$C$3:$D$60,2,FALSE)</f>
        <v>OLIN BLUE CUBE</v>
      </c>
    </row>
    <row r="1841" spans="1:7" x14ac:dyDescent="0.25">
      <c r="A1841" s="10">
        <v>2025</v>
      </c>
      <c r="B1841" s="10" t="s">
        <v>139</v>
      </c>
      <c r="C1841" s="10" t="s">
        <v>179</v>
      </c>
      <c r="D1841" s="10" t="s">
        <v>26</v>
      </c>
      <c r="E1841" s="25" t="str">
        <f>VLOOKUP(D1841,'[2]Lista de Produtos CLASSIFICAÇÃO'!$E$103:$F$114,2,FALSE)</f>
        <v>Biocombustíveis</v>
      </c>
      <c r="F1841" s="61">
        <v>4000</v>
      </c>
      <c r="G1841" t="str">
        <f>VLOOKUP(Tabela1[[#This Row],[Cliente]],clientes!$C$3:$D$60,2,FALSE)</f>
        <v>BSBIOS</v>
      </c>
    </row>
    <row r="1842" spans="1:7" x14ac:dyDescent="0.25">
      <c r="A1842" s="10">
        <v>2025</v>
      </c>
      <c r="B1842" s="10" t="s">
        <v>139</v>
      </c>
      <c r="C1842" s="10" t="s">
        <v>181</v>
      </c>
      <c r="D1842" s="10" t="s">
        <v>123</v>
      </c>
      <c r="E1842" s="25" t="str">
        <f>VLOOKUP(D1842,'[2]Lista de Produtos CLASSIFICAÇÃO'!$E$103:$F$114,2,FALSE)</f>
        <v>Aquecidos</v>
      </c>
      <c r="F1842" s="61">
        <v>1600</v>
      </c>
      <c r="G1842" t="str">
        <f>VLOOKUP(Tabela1[[#This Row],[Cliente]],clientes!$C$3:$D$60,2,FALSE)</f>
        <v>COAMO</v>
      </c>
    </row>
    <row r="1843" spans="1:7" x14ac:dyDescent="0.25">
      <c r="A1843" s="10">
        <v>2025</v>
      </c>
      <c r="B1843" s="10" t="s">
        <v>139</v>
      </c>
      <c r="C1843" s="10" t="s">
        <v>182</v>
      </c>
      <c r="D1843" s="10" t="s">
        <v>120</v>
      </c>
      <c r="E1843" s="25" t="str">
        <f>VLOOKUP(D1843,'[2]Lista de Produtos CLASSIFICAÇÃO'!$E$103:$F$114,2,FALSE)</f>
        <v>Derivados</v>
      </c>
      <c r="F1843" s="61">
        <v>8300</v>
      </c>
      <c r="G1843" t="str">
        <f>VLOOKUP(Tabela1[[#This Row],[Cliente]],clientes!$C$3:$D$60,2,FALSE)</f>
        <v>ATEM</v>
      </c>
    </row>
    <row r="1844" spans="1:7" x14ac:dyDescent="0.25">
      <c r="A1844" s="10">
        <v>2025</v>
      </c>
      <c r="B1844" s="10" t="s">
        <v>139</v>
      </c>
      <c r="C1844" s="10" t="s">
        <v>184</v>
      </c>
      <c r="D1844" s="10" t="s">
        <v>122</v>
      </c>
      <c r="E1844" s="25" t="str">
        <f>VLOOKUP(D1844,'[2]Lista de Produtos CLASSIFICAÇÃO'!$E$103:$F$114,2,FALSE)</f>
        <v>Óleo Vegetal</v>
      </c>
      <c r="F1844" s="61"/>
      <c r="G1844" t="str">
        <f>VLOOKUP(Tabela1[[#This Row],[Cliente]],clientes!$C$3:$D$60,2,FALSE)</f>
        <v>INGREDION</v>
      </c>
    </row>
    <row r="1845" spans="1:7" x14ac:dyDescent="0.25">
      <c r="A1845" s="10">
        <v>2025</v>
      </c>
      <c r="B1845" s="10" t="s">
        <v>139</v>
      </c>
      <c r="C1845" s="10" t="s">
        <v>185</v>
      </c>
      <c r="D1845" s="10" t="s">
        <v>120</v>
      </c>
      <c r="E1845" s="25" t="str">
        <f>VLOOKUP(D1845,'[2]Lista de Produtos CLASSIFICAÇÃO'!$E$103:$F$114,2,FALSE)</f>
        <v>Derivados</v>
      </c>
      <c r="F1845" s="61">
        <v>12450</v>
      </c>
      <c r="G1845" t="str">
        <f>VLOOKUP(Tabela1[[#This Row],[Cliente]],clientes!$C$3:$D$60,2,FALSE)</f>
        <v>CIAPETRO</v>
      </c>
    </row>
    <row r="1846" spans="1:7" x14ac:dyDescent="0.25">
      <c r="A1846" s="10">
        <v>2025</v>
      </c>
      <c r="B1846" s="10" t="s">
        <v>139</v>
      </c>
      <c r="C1846" s="10" t="s">
        <v>187</v>
      </c>
      <c r="D1846" s="10" t="s">
        <v>121</v>
      </c>
      <c r="E1846" s="25" t="str">
        <f>VLOOKUP(D1846,'[2]Lista de Produtos CLASSIFICAÇÃO'!$E$103:$F$114,2,FALSE)</f>
        <v>Biocombustíveis</v>
      </c>
      <c r="F1846" s="61">
        <v>7900</v>
      </c>
      <c r="G1846" t="str">
        <f>VLOOKUP(Tabela1[[#This Row],[Cliente]],clientes!$C$3:$D$60,2,FALSE)</f>
        <v>TEREOS / INPASA / GLENCORE / FS</v>
      </c>
    </row>
    <row r="1847" spans="1:7" x14ac:dyDescent="0.25">
      <c r="A1847" s="10">
        <v>2025</v>
      </c>
      <c r="B1847" s="10" t="s">
        <v>139</v>
      </c>
      <c r="C1847" s="10" t="s">
        <v>188</v>
      </c>
      <c r="D1847" s="10" t="s">
        <v>123</v>
      </c>
      <c r="E1847" s="25" t="str">
        <f>VLOOKUP(D1847,'[2]Lista de Produtos CLASSIFICAÇÃO'!$E$103:$F$114,2,FALSE)</f>
        <v>Aquecidos</v>
      </c>
      <c r="F1847" s="61">
        <v>3700</v>
      </c>
      <c r="G1847" t="str">
        <f>VLOOKUP(Tabela1[[#This Row],[Cliente]],clientes!$C$3:$D$60,2,FALSE)</f>
        <v>ARES MERCHANTS PTE LIMITE</v>
      </c>
    </row>
    <row r="1848" spans="1:7" x14ac:dyDescent="0.25">
      <c r="A1848" s="10">
        <v>2025</v>
      </c>
      <c r="B1848" s="10" t="s">
        <v>139</v>
      </c>
      <c r="C1848" s="10" t="s">
        <v>18</v>
      </c>
      <c r="D1848" s="10" t="s">
        <v>17</v>
      </c>
      <c r="E1848" s="25" t="str">
        <f>VLOOKUP(D1848,'[2]Lista de Produtos CLASSIFICAÇÃO'!$E$103:$F$114,2,FALSE)</f>
        <v>Acostagem</v>
      </c>
      <c r="F1848" s="61"/>
      <c r="G1848" t="str">
        <f>VLOOKUP(Tabela1[[#This Row],[Cliente]],clientes!$C$3:$D$60,2,FALSE)</f>
        <v>ACOSTAGEM</v>
      </c>
    </row>
    <row r="1849" spans="1:7" x14ac:dyDescent="0.25">
      <c r="A1849" s="10">
        <v>2025</v>
      </c>
      <c r="B1849" s="10" t="s">
        <v>139</v>
      </c>
      <c r="C1849" s="10" t="s">
        <v>189</v>
      </c>
      <c r="D1849" t="s">
        <v>123</v>
      </c>
      <c r="E1849" s="25" t="str">
        <f>VLOOKUP(D1849,'[2]Lista de Produtos CLASSIFICAÇÃO'!$E$103:$F$114,2,FALSE)</f>
        <v>Aquecidos</v>
      </c>
      <c r="F1849" s="61">
        <v>2500</v>
      </c>
      <c r="G1849" t="str">
        <f>VLOOKUP(Tabela1[[#This Row],[Cliente]],clientes!$C$3:$D$60,2,FALSE)</f>
        <v>ICOF</v>
      </c>
    </row>
    <row r="1850" spans="1:7" x14ac:dyDescent="0.25">
      <c r="A1850" s="10">
        <v>2025</v>
      </c>
      <c r="B1850" s="10" t="s">
        <v>139</v>
      </c>
      <c r="C1850" s="10" t="s">
        <v>191</v>
      </c>
      <c r="D1850" t="s">
        <v>115</v>
      </c>
      <c r="E1850" s="25" t="str">
        <f>VLOOKUP(D1850,'[2]Lista de Produtos CLASSIFICAÇÃO'!$E$103:$F$114,2,FALSE)</f>
        <v>Soda Caustica</v>
      </c>
      <c r="F1850" s="61">
        <v>2500</v>
      </c>
      <c r="G1850" t="str">
        <f>VLOOKUP(Tabela1[[#This Row],[Cliente]],clientes!$C$3:$D$60,2,FALSE)</f>
        <v>GPC</v>
      </c>
    </row>
    <row r="1851" spans="1:7" x14ac:dyDescent="0.25">
      <c r="A1851" s="10">
        <v>2025</v>
      </c>
      <c r="B1851" s="10" t="s">
        <v>139</v>
      </c>
      <c r="C1851" s="10" t="s">
        <v>192</v>
      </c>
      <c r="D1851" s="10" t="s">
        <v>121</v>
      </c>
      <c r="E1851" s="25" t="str">
        <f>VLOOKUP(D1851,'[2]Lista de Produtos CLASSIFICAÇÃO'!$E$103:$F$114,2,FALSE)</f>
        <v>Biocombustíveis</v>
      </c>
      <c r="F1851" s="61">
        <v>11850</v>
      </c>
      <c r="G1851" t="str">
        <f>VLOOKUP(Tabela1[[#This Row],[Cliente]],clientes!$C$3:$D$60,2,FALSE)</f>
        <v>INPASA</v>
      </c>
    </row>
    <row r="1852" spans="1:7" x14ac:dyDescent="0.25">
      <c r="A1852" s="10">
        <v>2025</v>
      </c>
      <c r="B1852" s="10" t="s">
        <v>140</v>
      </c>
      <c r="C1852" s="10" t="s">
        <v>155</v>
      </c>
      <c r="D1852" s="10" t="s">
        <v>16</v>
      </c>
      <c r="E1852" s="25" t="str">
        <f>VLOOKUP(D1852,'[2]Lista de Produtos CLASSIFICAÇÃO'!$E$103:$F$114,2,FALSE)</f>
        <v>Outros</v>
      </c>
      <c r="F1852" s="61">
        <v>4500</v>
      </c>
      <c r="G1852" t="str">
        <f>VLOOKUP(Tabela1[[#This Row],[Cliente]],clientes!$C$3:$D$60,2,FALSE)</f>
        <v>ADISSEO</v>
      </c>
    </row>
    <row r="1853" spans="1:7" x14ac:dyDescent="0.25">
      <c r="A1853" s="10">
        <v>2025</v>
      </c>
      <c r="B1853" s="10" t="s">
        <v>140</v>
      </c>
      <c r="C1853" s="10" t="s">
        <v>156</v>
      </c>
      <c r="D1853" s="10" t="s">
        <v>123</v>
      </c>
      <c r="E1853" s="25" t="str">
        <f>VLOOKUP(D1853,'[2]Lista de Produtos CLASSIFICAÇÃO'!$E$103:$F$114,2,FALSE)</f>
        <v>Aquecidos</v>
      </c>
      <c r="F1853" s="61">
        <v>2100</v>
      </c>
      <c r="G1853" t="str">
        <f>VLOOKUP(Tabela1[[#This Row],[Cliente]],clientes!$C$3:$D$60,2,FALSE)</f>
        <v>BUNGE</v>
      </c>
    </row>
    <row r="1854" spans="1:7" x14ac:dyDescent="0.25">
      <c r="A1854" s="10">
        <v>2025</v>
      </c>
      <c r="B1854" s="10" t="s">
        <v>140</v>
      </c>
      <c r="C1854" s="10" t="s">
        <v>157</v>
      </c>
      <c r="D1854" s="10" t="s">
        <v>122</v>
      </c>
      <c r="E1854" s="25" t="str">
        <f>VLOOKUP(D1854,'[2]Lista de Produtos CLASSIFICAÇÃO'!$E$103:$F$114,2,FALSE)</f>
        <v>Óleo Vegetal</v>
      </c>
      <c r="F1854" s="61">
        <v>1700</v>
      </c>
      <c r="G1854" t="str">
        <f>VLOOKUP(Tabela1[[#This Row],[Cliente]],clientes!$C$3:$D$60,2,FALSE)</f>
        <v>ADM</v>
      </c>
    </row>
    <row r="1855" spans="1:7" x14ac:dyDescent="0.25">
      <c r="A1855" s="10">
        <v>2025</v>
      </c>
      <c r="B1855" s="10" t="s">
        <v>140</v>
      </c>
      <c r="C1855" s="10" t="s">
        <v>158</v>
      </c>
      <c r="D1855" s="10" t="s">
        <v>120</v>
      </c>
      <c r="E1855" s="25" t="str">
        <f>VLOOKUP(D1855,'[2]Lista de Produtos CLASSIFICAÇÃO'!$E$103:$F$114,2,FALSE)</f>
        <v>Derivados</v>
      </c>
      <c r="F1855" s="61">
        <v>45000</v>
      </c>
      <c r="G1855" t="str">
        <f>VLOOKUP(Tabela1[[#This Row],[Cliente]],clientes!$C$3:$D$60,2,FALSE)</f>
        <v>IPIRANGA</v>
      </c>
    </row>
    <row r="1856" spans="1:7" x14ac:dyDescent="0.25">
      <c r="A1856" s="10">
        <v>2025</v>
      </c>
      <c r="B1856" s="10" t="s">
        <v>140</v>
      </c>
      <c r="C1856" s="10" t="s">
        <v>159</v>
      </c>
      <c r="D1856" s="10" t="s">
        <v>120</v>
      </c>
      <c r="E1856" s="25" t="str">
        <f>VLOOKUP(D1856,'[2]Lista de Produtos CLASSIFICAÇÃO'!$E$103:$F$114,2,FALSE)</f>
        <v>Derivados</v>
      </c>
      <c r="F1856" s="61">
        <v>41500</v>
      </c>
      <c r="G1856" t="str">
        <f>VLOOKUP(Tabela1[[#This Row],[Cliente]],clientes!$C$3:$D$60,2,FALSE)</f>
        <v>RAIZEN</v>
      </c>
    </row>
    <row r="1857" spans="1:7" x14ac:dyDescent="0.25">
      <c r="A1857" s="10">
        <v>2025</v>
      </c>
      <c r="B1857" s="10" t="s">
        <v>140</v>
      </c>
      <c r="C1857" s="10" t="s">
        <v>160</v>
      </c>
      <c r="D1857" s="10" t="s">
        <v>120</v>
      </c>
      <c r="E1857" s="25" t="str">
        <f>VLOOKUP(D1857,'[2]Lista de Produtos CLASSIFICAÇÃO'!$E$103:$F$114,2,FALSE)</f>
        <v>Derivados</v>
      </c>
      <c r="F1857" s="61">
        <v>16600</v>
      </c>
      <c r="G1857" t="str">
        <f>VLOOKUP(Tabela1[[#This Row],[Cliente]],clientes!$C$3:$D$60,2,FALSE)</f>
        <v>VIBRA</v>
      </c>
    </row>
    <row r="1858" spans="1:7" x14ac:dyDescent="0.25">
      <c r="A1858" s="10">
        <v>2025</v>
      </c>
      <c r="B1858" s="10" t="s">
        <v>140</v>
      </c>
      <c r="C1858" s="10" t="s">
        <v>161</v>
      </c>
      <c r="D1858" s="10" t="s">
        <v>120</v>
      </c>
      <c r="E1858" s="25" t="str">
        <f>VLOOKUP(D1858,'[2]Lista de Produtos CLASSIFICAÇÃO'!$E$103:$F$114,2,FALSE)</f>
        <v>Derivados</v>
      </c>
      <c r="F1858" s="61">
        <v>20000</v>
      </c>
      <c r="G1858" t="str">
        <f>VLOOKUP(Tabela1[[#This Row],[Cliente]],clientes!$C$3:$D$60,2,FALSE)</f>
        <v>SUL PLATA</v>
      </c>
    </row>
    <row r="1859" spans="1:7" x14ac:dyDescent="0.25">
      <c r="A1859" s="10">
        <v>2025</v>
      </c>
      <c r="B1859" s="10" t="s">
        <v>140</v>
      </c>
      <c r="C1859" s="10" t="s">
        <v>162</v>
      </c>
      <c r="D1859" s="10" t="s">
        <v>115</v>
      </c>
      <c r="E1859" s="25" t="str">
        <f>VLOOKUP(D1859,'[2]Lista de Produtos CLASSIFICAÇÃO'!$E$103:$F$114,2,FALSE)</f>
        <v>Soda Caustica</v>
      </c>
      <c r="F1859" s="61">
        <v>1800</v>
      </c>
      <c r="G1859" t="str">
        <f>VLOOKUP(Tabela1[[#This Row],[Cliente]],clientes!$C$3:$D$60,2,FALSE)</f>
        <v>JBS</v>
      </c>
    </row>
    <row r="1860" spans="1:7" x14ac:dyDescent="0.25">
      <c r="A1860" s="10">
        <v>2025</v>
      </c>
      <c r="B1860" s="10" t="s">
        <v>140</v>
      </c>
      <c r="C1860" s="10" t="s">
        <v>163</v>
      </c>
      <c r="D1860" t="s">
        <v>115</v>
      </c>
      <c r="E1860" s="25" t="str">
        <f>VLOOKUP(D1860,'[2]Lista de Produtos CLASSIFICAÇÃO'!$E$103:$F$114,2,FALSE)</f>
        <v>Soda Caustica</v>
      </c>
      <c r="F1860" s="61">
        <v>3800</v>
      </c>
      <c r="G1860" t="str">
        <f>VLOOKUP(Tabela1[[#This Row],[Cliente]],clientes!$C$3:$D$60,2,FALSE)</f>
        <v>TRICON ENERGY</v>
      </c>
    </row>
    <row r="1861" spans="1:7" x14ac:dyDescent="0.25">
      <c r="A1861" s="10">
        <v>2025</v>
      </c>
      <c r="B1861" s="10" t="s">
        <v>140</v>
      </c>
      <c r="C1861" s="10" t="s">
        <v>164</v>
      </c>
      <c r="D1861" t="s">
        <v>115</v>
      </c>
      <c r="E1861" s="25" t="str">
        <f>VLOOKUP(D1861,'[2]Lista de Produtos CLASSIFICAÇÃO'!$E$103:$F$114,2,FALSE)</f>
        <v>Soda Caustica</v>
      </c>
      <c r="F1861" s="61">
        <v>1300</v>
      </c>
      <c r="G1861" t="str">
        <f>VLOOKUP(Tabela1[[#This Row],[Cliente]],clientes!$C$3:$D$60,2,FALSE)</f>
        <v>BRASKEM</v>
      </c>
    </row>
    <row r="1862" spans="1:7" x14ac:dyDescent="0.25">
      <c r="A1862" s="10">
        <v>2025</v>
      </c>
      <c r="B1862" s="10" t="s">
        <v>140</v>
      </c>
      <c r="C1862" s="10" t="s">
        <v>165</v>
      </c>
      <c r="D1862" s="10" t="s">
        <v>123</v>
      </c>
      <c r="E1862" s="25" t="str">
        <f>VLOOKUP(D1862,'[2]Lista de Produtos CLASSIFICAÇÃO'!$E$103:$F$114,2,FALSE)</f>
        <v>Aquecidos</v>
      </c>
      <c r="F1862" s="61">
        <v>4000</v>
      </c>
      <c r="G1862" t="str">
        <f>VLOOKUP(Tabela1[[#This Row],[Cliente]],clientes!$C$3:$D$60,2,FALSE)</f>
        <v>BRF</v>
      </c>
    </row>
    <row r="1863" spans="1:7" x14ac:dyDescent="0.25">
      <c r="A1863" s="10">
        <v>2025</v>
      </c>
      <c r="B1863" s="10" t="s">
        <v>140</v>
      </c>
      <c r="C1863" s="10" t="s">
        <v>162</v>
      </c>
      <c r="D1863" s="10" t="s">
        <v>123</v>
      </c>
      <c r="E1863" s="25" t="str">
        <f>VLOOKUP(D1863,'[2]Lista de Produtos CLASSIFICAÇÃO'!$E$103:$F$114,2,FALSE)</f>
        <v>Aquecidos</v>
      </c>
      <c r="F1863" s="61">
        <v>4520</v>
      </c>
      <c r="G1863" t="str">
        <f>VLOOKUP(Tabela1[[#This Row],[Cliente]],clientes!$C$3:$D$60,2,FALSE)</f>
        <v>JBS</v>
      </c>
    </row>
    <row r="1864" spans="1:7" x14ac:dyDescent="0.25">
      <c r="A1864" s="10">
        <v>2025</v>
      </c>
      <c r="B1864" s="10" t="s">
        <v>140</v>
      </c>
      <c r="C1864" s="10" t="s">
        <v>166</v>
      </c>
      <c r="D1864" s="10" t="s">
        <v>123</v>
      </c>
      <c r="E1864" s="25" t="str">
        <f>VLOOKUP(D1864,'[2]Lista de Produtos CLASSIFICAÇÃO'!$E$103:$F$114,2,FALSE)</f>
        <v>Aquecidos</v>
      </c>
      <c r="F1864" s="61">
        <v>3900</v>
      </c>
      <c r="G1864" t="str">
        <f>VLOOKUP(Tabela1[[#This Row],[Cliente]],clientes!$C$3:$D$60,2,FALSE)</f>
        <v>CARGILL</v>
      </c>
    </row>
    <row r="1865" spans="1:7" x14ac:dyDescent="0.25">
      <c r="A1865" s="10">
        <v>2025</v>
      </c>
      <c r="B1865" s="10" t="s">
        <v>140</v>
      </c>
      <c r="C1865" s="10" t="s">
        <v>167</v>
      </c>
      <c r="D1865" s="10" t="s">
        <v>122</v>
      </c>
      <c r="E1865" s="25" t="str">
        <f>VLOOKUP(D1865,'[2]Lista de Produtos CLASSIFICAÇÃO'!$E$103:$F$114,2,FALSE)</f>
        <v>Óleo Vegetal</v>
      </c>
      <c r="F1865" s="61">
        <v>44451.21</v>
      </c>
      <c r="G1865" t="str">
        <f>VLOOKUP(Tabela1[[#This Row],[Cliente]],clientes!$C$3:$D$60,2,FALSE)</f>
        <v>POOL</v>
      </c>
    </row>
    <row r="1866" spans="1:7" x14ac:dyDescent="0.25">
      <c r="A1866" s="10">
        <v>2025</v>
      </c>
      <c r="B1866" s="10" t="s">
        <v>140</v>
      </c>
      <c r="C1866" s="10" t="s">
        <v>168</v>
      </c>
      <c r="D1866" s="10" t="s">
        <v>122</v>
      </c>
      <c r="E1866" s="25" t="str">
        <f>VLOOKUP(D1866,'[2]Lista de Produtos CLASSIFICAÇÃO'!$E$103:$F$114,2,FALSE)</f>
        <v>Óleo Vegetal</v>
      </c>
      <c r="F1866" s="61">
        <v>2000</v>
      </c>
      <c r="G1866" t="str">
        <f>VLOOKUP(Tabela1[[#This Row],[Cliente]],clientes!$C$3:$D$60,2,FALSE)</f>
        <v>POOL EXCEDENTE</v>
      </c>
    </row>
    <row r="1867" spans="1:7" x14ac:dyDescent="0.25">
      <c r="A1867" s="10">
        <v>2025</v>
      </c>
      <c r="B1867" s="10" t="s">
        <v>140</v>
      </c>
      <c r="C1867" s="10" t="s">
        <v>169</v>
      </c>
      <c r="D1867" s="10" t="s">
        <v>22</v>
      </c>
      <c r="E1867" s="25" t="str">
        <f>VLOOKUP(D1867,'[2]Lista de Produtos CLASSIFICAÇÃO'!$E$103:$F$114,2,FALSE)</f>
        <v>Metanol</v>
      </c>
      <c r="F1867" s="61">
        <v>75000</v>
      </c>
      <c r="G1867" t="str">
        <f>VLOOKUP(Tabela1[[#This Row],[Cliente]],clientes!$C$3:$D$60,2,FALSE)</f>
        <v>METHANEX</v>
      </c>
    </row>
    <row r="1868" spans="1:7" x14ac:dyDescent="0.25">
      <c r="A1868" s="10">
        <v>2025</v>
      </c>
      <c r="B1868" s="10" t="s">
        <v>140</v>
      </c>
      <c r="C1868" s="10" t="s">
        <v>170</v>
      </c>
      <c r="D1868" s="10" t="s">
        <v>22</v>
      </c>
      <c r="E1868" s="25" t="str">
        <f>VLOOKUP(D1868,'[2]Lista de Produtos CLASSIFICAÇÃO'!$E$103:$F$114,2,FALSE)</f>
        <v>Metanol</v>
      </c>
      <c r="F1868" s="61">
        <v>17000</v>
      </c>
      <c r="G1868" t="str">
        <f>VLOOKUP(Tabela1[[#This Row],[Cliente]],clientes!$C$3:$D$60,2,FALSE)</f>
        <v>MITSUBISHI</v>
      </c>
    </row>
    <row r="1869" spans="1:7" x14ac:dyDescent="0.25">
      <c r="A1869" s="10">
        <v>2025</v>
      </c>
      <c r="B1869" s="10" t="s">
        <v>140</v>
      </c>
      <c r="C1869" s="10" t="s">
        <v>171</v>
      </c>
      <c r="D1869" s="10" t="s">
        <v>22</v>
      </c>
      <c r="E1869" s="25" t="str">
        <f>VLOOKUP(D1869,'[2]Lista de Produtos CLASSIFICAÇÃO'!$E$103:$F$114,2,FALSE)</f>
        <v>Metanol</v>
      </c>
      <c r="F1869" s="61">
        <v>26000</v>
      </c>
      <c r="G1869" t="str">
        <f>VLOOKUP(Tabela1[[#This Row],[Cliente]],clientes!$C$3:$D$60,2,FALSE)</f>
        <v>VALENZ</v>
      </c>
    </row>
    <row r="1870" spans="1:7" x14ac:dyDescent="0.25">
      <c r="A1870" s="10">
        <v>2025</v>
      </c>
      <c r="B1870" s="10" t="s">
        <v>140</v>
      </c>
      <c r="C1870" s="10" t="s">
        <v>172</v>
      </c>
      <c r="D1870" s="10" t="s">
        <v>124</v>
      </c>
      <c r="E1870" s="25" t="str">
        <f>VLOOKUP(D1870,'[2]Lista de Produtos CLASSIFICAÇÃO'!$E$103:$F$114,2,FALSE)</f>
        <v>Outros</v>
      </c>
      <c r="F1870" s="61">
        <v>1500</v>
      </c>
      <c r="G1870" t="str">
        <f>VLOOKUP(Tabela1[[#This Row],[Cliente]],clientes!$C$3:$D$60,2,FALSE)</f>
        <v>EVONIK</v>
      </c>
    </row>
    <row r="1871" spans="1:7" x14ac:dyDescent="0.25">
      <c r="A1871" s="10">
        <v>2025</v>
      </c>
      <c r="B1871" s="10" t="s">
        <v>140</v>
      </c>
      <c r="C1871" s="10" t="s">
        <v>186</v>
      </c>
      <c r="D1871" s="10" t="s">
        <v>22</v>
      </c>
      <c r="E1871" s="25" t="str">
        <f>VLOOKUP(D1871,'[2]Lista de Produtos CLASSIFICAÇÃO'!$E$103:$F$114,2,FALSE)</f>
        <v>Metanol</v>
      </c>
      <c r="F1871" s="61">
        <v>2500</v>
      </c>
      <c r="G1871" t="str">
        <f>VLOOKUP(Tabela1[[#This Row],[Cliente]],clientes!$C$3:$D$60,2,FALSE)</f>
        <v>OQ TRADING</v>
      </c>
    </row>
    <row r="1872" spans="1:7" x14ac:dyDescent="0.25">
      <c r="A1872" s="10">
        <v>2025</v>
      </c>
      <c r="B1872" s="10" t="s">
        <v>140</v>
      </c>
      <c r="C1872" s="10" t="s">
        <v>174</v>
      </c>
      <c r="D1872" s="10" t="s">
        <v>123</v>
      </c>
      <c r="E1872" s="25" t="str">
        <f>VLOOKUP(D1872,'[2]Lista de Produtos CLASSIFICAÇÃO'!$E$103:$F$114,2,FALSE)</f>
        <v>Aquecidos</v>
      </c>
      <c r="F1872" s="61">
        <v>12500</v>
      </c>
      <c r="G1872" t="str">
        <f>VLOOKUP(Tabela1[[#This Row],[Cliente]],clientes!$C$3:$D$60,2,FALSE)</f>
        <v>CELENA</v>
      </c>
    </row>
    <row r="1873" spans="1:7" x14ac:dyDescent="0.25">
      <c r="A1873" s="10">
        <v>2025</v>
      </c>
      <c r="B1873" s="10" t="s">
        <v>140</v>
      </c>
      <c r="C1873" s="10" t="s">
        <v>175</v>
      </c>
      <c r="D1873" s="10" t="s">
        <v>123</v>
      </c>
      <c r="E1873" s="25" t="str">
        <f>VLOOKUP(D1873,'[2]Lista de Produtos CLASSIFICAÇÃO'!$E$103:$F$114,2,FALSE)</f>
        <v>Aquecidos</v>
      </c>
      <c r="F1873" s="61">
        <v>3600</v>
      </c>
      <c r="G1873" t="str">
        <f>VLOOKUP(Tabela1[[#This Row],[Cliente]],clientes!$C$3:$D$60,2,FALSE)</f>
        <v>AAK DO BRASIL</v>
      </c>
    </row>
    <row r="1874" spans="1:7" x14ac:dyDescent="0.25">
      <c r="A1874" s="10">
        <v>2025</v>
      </c>
      <c r="B1874" s="10" t="s">
        <v>140</v>
      </c>
      <c r="C1874" s="10" t="s">
        <v>166</v>
      </c>
      <c r="D1874" s="10" t="s">
        <v>122</v>
      </c>
      <c r="E1874" s="25" t="str">
        <f>VLOOKUP(D1874,'[2]Lista de Produtos CLASSIFICAÇÃO'!$E$103:$F$114,2,FALSE)</f>
        <v>Óleo Vegetal</v>
      </c>
      <c r="F1874" s="61"/>
      <c r="G1874" t="str">
        <f>VLOOKUP(Tabela1[[#This Row],[Cliente]],clientes!$C$3:$D$60,2,FALSE)</f>
        <v>CARGILL</v>
      </c>
    </row>
    <row r="1875" spans="1:7" x14ac:dyDescent="0.25">
      <c r="A1875" s="10">
        <v>2025</v>
      </c>
      <c r="B1875" s="10" t="s">
        <v>140</v>
      </c>
      <c r="C1875" s="10" t="s">
        <v>176</v>
      </c>
      <c r="D1875" s="10" t="s">
        <v>123</v>
      </c>
      <c r="E1875" s="25" t="str">
        <f>VLOOKUP(D1875,'[2]Lista de Produtos CLASSIFICAÇÃO'!$E$103:$F$114,2,FALSE)</f>
        <v>Aquecidos</v>
      </c>
      <c r="F1875" s="61">
        <v>3500</v>
      </c>
      <c r="G1875" t="str">
        <f>VLOOKUP(Tabela1[[#This Row],[Cliente]],clientes!$C$3:$D$60,2,FALSE)</f>
        <v>AGROPALMA</v>
      </c>
    </row>
    <row r="1876" spans="1:7" x14ac:dyDescent="0.25">
      <c r="A1876" s="10">
        <v>2025</v>
      </c>
      <c r="B1876" s="10" t="s">
        <v>140</v>
      </c>
      <c r="C1876" s="10" t="s">
        <v>177</v>
      </c>
      <c r="D1876" s="10" t="s">
        <v>115</v>
      </c>
      <c r="E1876" s="25" t="str">
        <f>VLOOKUP(D1876,'[2]Lista de Produtos CLASSIFICAÇÃO'!$E$103:$F$114,2,FALSE)</f>
        <v>Soda Caustica</v>
      </c>
      <c r="F1876" s="61">
        <v>2800</v>
      </c>
      <c r="G1876" t="str">
        <f>VLOOKUP(Tabela1[[#This Row],[Cliente]],clientes!$C$3:$D$60,2,FALSE)</f>
        <v>BRENNTAG</v>
      </c>
    </row>
    <row r="1877" spans="1:7" x14ac:dyDescent="0.25">
      <c r="A1877" s="10">
        <v>2025</v>
      </c>
      <c r="B1877" s="10" t="s">
        <v>140</v>
      </c>
      <c r="C1877" s="10" t="s">
        <v>178</v>
      </c>
      <c r="D1877" s="10" t="s">
        <v>115</v>
      </c>
      <c r="E1877" s="25" t="str">
        <f>VLOOKUP(D1877,'[2]Lista de Produtos CLASSIFICAÇÃO'!$E$103:$F$114,2,FALSE)</f>
        <v>Soda Caustica</v>
      </c>
      <c r="F1877" s="61">
        <v>20000</v>
      </c>
      <c r="G1877" t="str">
        <f>VLOOKUP(Tabela1[[#This Row],[Cliente]],clientes!$C$3:$D$60,2,FALSE)</f>
        <v>OLIN BLUE CUBE</v>
      </c>
    </row>
    <row r="1878" spans="1:7" x14ac:dyDescent="0.25">
      <c r="A1878" s="10">
        <v>2025</v>
      </c>
      <c r="B1878" s="10" t="s">
        <v>140</v>
      </c>
      <c r="C1878" s="10" t="s">
        <v>179</v>
      </c>
      <c r="D1878" s="10" t="s">
        <v>26</v>
      </c>
      <c r="E1878" s="25" t="str">
        <f>VLOOKUP(D1878,'[2]Lista de Produtos CLASSIFICAÇÃO'!$E$103:$F$114,2,FALSE)</f>
        <v>Biocombustíveis</v>
      </c>
      <c r="F1878" s="61"/>
      <c r="G1878" t="str">
        <f>VLOOKUP(Tabela1[[#This Row],[Cliente]],clientes!$C$3:$D$60,2,FALSE)</f>
        <v>BSBIOS</v>
      </c>
    </row>
    <row r="1879" spans="1:7" x14ac:dyDescent="0.25">
      <c r="A1879" s="10">
        <v>2025</v>
      </c>
      <c r="B1879" s="10" t="s">
        <v>140</v>
      </c>
      <c r="C1879" s="10" t="s">
        <v>181</v>
      </c>
      <c r="D1879" s="10" t="s">
        <v>123</v>
      </c>
      <c r="E1879" s="25" t="str">
        <f>VLOOKUP(D1879,'[2]Lista de Produtos CLASSIFICAÇÃO'!$E$103:$F$114,2,FALSE)</f>
        <v>Aquecidos</v>
      </c>
      <c r="F1879" s="61">
        <v>1600</v>
      </c>
      <c r="G1879" t="str">
        <f>VLOOKUP(Tabela1[[#This Row],[Cliente]],clientes!$C$3:$D$60,2,FALSE)</f>
        <v>COAMO</v>
      </c>
    </row>
    <row r="1880" spans="1:7" x14ac:dyDescent="0.25">
      <c r="A1880" s="10">
        <v>2025</v>
      </c>
      <c r="B1880" s="10" t="s">
        <v>140</v>
      </c>
      <c r="C1880" s="10" t="s">
        <v>182</v>
      </c>
      <c r="D1880" s="10" t="s">
        <v>120</v>
      </c>
      <c r="E1880" s="25" t="str">
        <f>VLOOKUP(D1880,'[2]Lista de Produtos CLASSIFICAÇÃO'!$E$103:$F$114,2,FALSE)</f>
        <v>Derivados</v>
      </c>
      <c r="F1880" s="61">
        <v>8300</v>
      </c>
      <c r="G1880" t="str">
        <f>VLOOKUP(Tabela1[[#This Row],[Cliente]],clientes!$C$3:$D$60,2,FALSE)</f>
        <v>ATEM</v>
      </c>
    </row>
    <row r="1881" spans="1:7" x14ac:dyDescent="0.25">
      <c r="A1881" s="10">
        <v>2025</v>
      </c>
      <c r="B1881" s="10" t="s">
        <v>140</v>
      </c>
      <c r="C1881" s="10" t="s">
        <v>184</v>
      </c>
      <c r="D1881" s="10" t="s">
        <v>122</v>
      </c>
      <c r="E1881" s="25" t="str">
        <f>VLOOKUP(D1881,'[2]Lista de Produtos CLASSIFICAÇÃO'!$E$103:$F$114,2,FALSE)</f>
        <v>Óleo Vegetal</v>
      </c>
      <c r="F1881" s="61"/>
      <c r="G1881" t="str">
        <f>VLOOKUP(Tabela1[[#This Row],[Cliente]],clientes!$C$3:$D$60,2,FALSE)</f>
        <v>INGREDION</v>
      </c>
    </row>
    <row r="1882" spans="1:7" x14ac:dyDescent="0.25">
      <c r="A1882" s="10">
        <v>2025</v>
      </c>
      <c r="B1882" s="10" t="s">
        <v>140</v>
      </c>
      <c r="C1882" s="10" t="s">
        <v>185</v>
      </c>
      <c r="D1882" s="10" t="s">
        <v>120</v>
      </c>
      <c r="E1882" s="25" t="str">
        <f>VLOOKUP(D1882,'[2]Lista de Produtos CLASSIFICAÇÃO'!$E$103:$F$114,2,FALSE)</f>
        <v>Derivados</v>
      </c>
      <c r="F1882" s="61">
        <v>12450</v>
      </c>
      <c r="G1882" t="str">
        <f>VLOOKUP(Tabela1[[#This Row],[Cliente]],clientes!$C$3:$D$60,2,FALSE)</f>
        <v>CIAPETRO</v>
      </c>
    </row>
    <row r="1883" spans="1:7" x14ac:dyDescent="0.25">
      <c r="A1883" s="10">
        <v>2025</v>
      </c>
      <c r="B1883" s="10" t="s">
        <v>140</v>
      </c>
      <c r="C1883" s="10" t="s">
        <v>187</v>
      </c>
      <c r="D1883" s="10" t="s">
        <v>121</v>
      </c>
      <c r="E1883" s="25" t="str">
        <f>VLOOKUP(D1883,'[2]Lista de Produtos CLASSIFICAÇÃO'!$E$103:$F$114,2,FALSE)</f>
        <v>Biocombustíveis</v>
      </c>
      <c r="F1883" s="61"/>
      <c r="G1883" t="str">
        <f>VLOOKUP(Tabela1[[#This Row],[Cliente]],clientes!$C$3:$D$60,2,FALSE)</f>
        <v>TEREOS / INPASA / GLENCORE / FS</v>
      </c>
    </row>
    <row r="1884" spans="1:7" x14ac:dyDescent="0.25">
      <c r="A1884" s="10">
        <v>2025</v>
      </c>
      <c r="B1884" s="10" t="s">
        <v>140</v>
      </c>
      <c r="C1884" s="10" t="s">
        <v>188</v>
      </c>
      <c r="D1884" s="10" t="s">
        <v>123</v>
      </c>
      <c r="E1884" s="25" t="str">
        <f>VLOOKUP(D1884,'[2]Lista de Produtos CLASSIFICAÇÃO'!$E$103:$F$114,2,FALSE)</f>
        <v>Aquecidos</v>
      </c>
      <c r="F1884" s="61">
        <v>3700</v>
      </c>
      <c r="G1884" t="str">
        <f>VLOOKUP(Tabela1[[#This Row],[Cliente]],clientes!$C$3:$D$60,2,FALSE)</f>
        <v>ARES MERCHANTS PTE LIMITE</v>
      </c>
    </row>
    <row r="1885" spans="1:7" x14ac:dyDescent="0.25">
      <c r="A1885" s="10">
        <v>2025</v>
      </c>
      <c r="B1885" s="10" t="s">
        <v>140</v>
      </c>
      <c r="C1885" s="10" t="s">
        <v>18</v>
      </c>
      <c r="D1885" s="10" t="s">
        <v>17</v>
      </c>
      <c r="E1885" s="25" t="str">
        <f>VLOOKUP(D1885,'[2]Lista de Produtos CLASSIFICAÇÃO'!$E$103:$F$114,2,FALSE)</f>
        <v>Acostagem</v>
      </c>
      <c r="F1885" s="61"/>
      <c r="G1885" t="str">
        <f>VLOOKUP(Tabela1[[#This Row],[Cliente]],clientes!$C$3:$D$60,2,FALSE)</f>
        <v>ACOSTAGEM</v>
      </c>
    </row>
    <row r="1886" spans="1:7" x14ac:dyDescent="0.25">
      <c r="A1886" s="10">
        <v>2025</v>
      </c>
      <c r="B1886" s="10" t="s">
        <v>140</v>
      </c>
      <c r="C1886" s="10" t="s">
        <v>189</v>
      </c>
      <c r="D1886" t="s">
        <v>123</v>
      </c>
      <c r="E1886" s="25" t="str">
        <f>VLOOKUP(D1886,'[2]Lista de Produtos CLASSIFICAÇÃO'!$E$103:$F$114,2,FALSE)</f>
        <v>Aquecidos</v>
      </c>
      <c r="F1886" s="61">
        <v>2500</v>
      </c>
      <c r="G1886" t="str">
        <f>VLOOKUP(Tabela1[[#This Row],[Cliente]],clientes!$C$3:$D$60,2,FALSE)</f>
        <v>ICOF</v>
      </c>
    </row>
    <row r="1887" spans="1:7" x14ac:dyDescent="0.25">
      <c r="A1887" s="10">
        <v>2025</v>
      </c>
      <c r="B1887" s="10" t="s">
        <v>140</v>
      </c>
      <c r="C1887" s="10" t="s">
        <v>191</v>
      </c>
      <c r="D1887" t="s">
        <v>115</v>
      </c>
      <c r="E1887" s="25" t="str">
        <f>VLOOKUP(D1887,'[2]Lista de Produtos CLASSIFICAÇÃO'!$E$103:$F$114,2,FALSE)</f>
        <v>Soda Caustica</v>
      </c>
      <c r="F1887" s="61"/>
      <c r="G1887" t="str">
        <f>VLOOKUP(Tabela1[[#This Row],[Cliente]],clientes!$C$3:$D$60,2,FALSE)</f>
        <v>GPC</v>
      </c>
    </row>
    <row r="1888" spans="1:7" x14ac:dyDescent="0.25">
      <c r="A1888" s="10">
        <v>2025</v>
      </c>
      <c r="B1888" s="10" t="s">
        <v>140</v>
      </c>
      <c r="C1888" s="10" t="s">
        <v>192</v>
      </c>
      <c r="D1888" s="10" t="s">
        <v>121</v>
      </c>
      <c r="E1888" s="25" t="str">
        <f>VLOOKUP(D1888,'[2]Lista de Produtos CLASSIFICAÇÃO'!$E$103:$F$114,2,FALSE)</f>
        <v>Biocombustíveis</v>
      </c>
      <c r="F1888" s="61">
        <v>11850</v>
      </c>
      <c r="G1888" t="str">
        <f>VLOOKUP(Tabela1[[#This Row],[Cliente]],clientes!$C$3:$D$60,2,FALSE)</f>
        <v>INPASA</v>
      </c>
    </row>
    <row r="1889" spans="1:7" x14ac:dyDescent="0.25">
      <c r="A1889" s="10">
        <v>2025</v>
      </c>
      <c r="B1889" s="10" t="s">
        <v>141</v>
      </c>
      <c r="C1889" s="10" t="s">
        <v>155</v>
      </c>
      <c r="D1889" s="10" t="s">
        <v>16</v>
      </c>
      <c r="E1889" s="25" t="str">
        <f>VLOOKUP(D1889,'[2]Lista de Produtos CLASSIFICAÇÃO'!$E$103:$F$114,2,FALSE)</f>
        <v>Outros</v>
      </c>
      <c r="F1889" s="61">
        <v>4500</v>
      </c>
      <c r="G1889" t="str">
        <f>VLOOKUP(Tabela1[[#This Row],[Cliente]],clientes!$C$3:$D$60,2,FALSE)</f>
        <v>ADISSEO</v>
      </c>
    </row>
    <row r="1890" spans="1:7" x14ac:dyDescent="0.25">
      <c r="A1890" s="10">
        <v>2025</v>
      </c>
      <c r="B1890" s="10" t="s">
        <v>141</v>
      </c>
      <c r="C1890" s="10" t="s">
        <v>156</v>
      </c>
      <c r="D1890" s="10" t="s">
        <v>123</v>
      </c>
      <c r="E1890" s="25" t="str">
        <f>VLOOKUP(D1890,'[2]Lista de Produtos CLASSIFICAÇÃO'!$E$103:$F$114,2,FALSE)</f>
        <v>Aquecidos</v>
      </c>
      <c r="F1890" s="61">
        <v>2100</v>
      </c>
      <c r="G1890" t="str">
        <f>VLOOKUP(Tabela1[[#This Row],[Cliente]],clientes!$C$3:$D$60,2,FALSE)</f>
        <v>BUNGE</v>
      </c>
    </row>
    <row r="1891" spans="1:7" x14ac:dyDescent="0.25">
      <c r="A1891" s="10">
        <v>2025</v>
      </c>
      <c r="B1891" s="10" t="s">
        <v>141</v>
      </c>
      <c r="C1891" s="10" t="s">
        <v>157</v>
      </c>
      <c r="D1891" s="10" t="s">
        <v>122</v>
      </c>
      <c r="E1891" s="25" t="str">
        <f>VLOOKUP(D1891,'[2]Lista de Produtos CLASSIFICAÇÃO'!$E$103:$F$114,2,FALSE)</f>
        <v>Óleo Vegetal</v>
      </c>
      <c r="F1891" s="61">
        <v>1700</v>
      </c>
      <c r="G1891" t="str">
        <f>VLOOKUP(Tabela1[[#This Row],[Cliente]],clientes!$C$3:$D$60,2,FALSE)</f>
        <v>ADM</v>
      </c>
    </row>
    <row r="1892" spans="1:7" x14ac:dyDescent="0.25">
      <c r="A1892" s="10">
        <v>2025</v>
      </c>
      <c r="B1892" s="10" t="s">
        <v>141</v>
      </c>
      <c r="C1892" s="10" t="s">
        <v>158</v>
      </c>
      <c r="D1892" s="10" t="s">
        <v>120</v>
      </c>
      <c r="E1892" s="25" t="str">
        <f>VLOOKUP(D1892,'[2]Lista de Produtos CLASSIFICAÇÃO'!$E$103:$F$114,2,FALSE)</f>
        <v>Derivados</v>
      </c>
      <c r="F1892" s="61">
        <v>45000</v>
      </c>
      <c r="G1892" t="str">
        <f>VLOOKUP(Tabela1[[#This Row],[Cliente]],clientes!$C$3:$D$60,2,FALSE)</f>
        <v>IPIRANGA</v>
      </c>
    </row>
    <row r="1893" spans="1:7" x14ac:dyDescent="0.25">
      <c r="A1893" s="10">
        <v>2025</v>
      </c>
      <c r="B1893" s="10" t="s">
        <v>141</v>
      </c>
      <c r="C1893" s="10" t="s">
        <v>159</v>
      </c>
      <c r="D1893" s="10" t="s">
        <v>120</v>
      </c>
      <c r="E1893" s="25" t="str">
        <f>VLOOKUP(D1893,'[2]Lista de Produtos CLASSIFICAÇÃO'!$E$103:$F$114,2,FALSE)</f>
        <v>Derivados</v>
      </c>
      <c r="F1893" s="61">
        <v>41500</v>
      </c>
      <c r="G1893" t="str">
        <f>VLOOKUP(Tabela1[[#This Row],[Cliente]],clientes!$C$3:$D$60,2,FALSE)</f>
        <v>RAIZEN</v>
      </c>
    </row>
    <row r="1894" spans="1:7" x14ac:dyDescent="0.25">
      <c r="A1894" s="10">
        <v>2025</v>
      </c>
      <c r="B1894" s="10" t="s">
        <v>141</v>
      </c>
      <c r="C1894" s="10" t="s">
        <v>160</v>
      </c>
      <c r="D1894" s="10" t="s">
        <v>120</v>
      </c>
      <c r="E1894" s="25" t="str">
        <f>VLOOKUP(D1894,'[2]Lista de Produtos CLASSIFICAÇÃO'!$E$103:$F$114,2,FALSE)</f>
        <v>Derivados</v>
      </c>
      <c r="F1894" s="61">
        <v>16600</v>
      </c>
      <c r="G1894" t="str">
        <f>VLOOKUP(Tabela1[[#This Row],[Cliente]],clientes!$C$3:$D$60,2,FALSE)</f>
        <v>VIBRA</v>
      </c>
    </row>
    <row r="1895" spans="1:7" x14ac:dyDescent="0.25">
      <c r="A1895" s="10">
        <v>2025</v>
      </c>
      <c r="B1895" s="10" t="s">
        <v>141</v>
      </c>
      <c r="C1895" s="10" t="s">
        <v>161</v>
      </c>
      <c r="D1895" s="10" t="s">
        <v>120</v>
      </c>
      <c r="E1895" s="25" t="str">
        <f>VLOOKUP(D1895,'[2]Lista de Produtos CLASSIFICAÇÃO'!$E$103:$F$114,2,FALSE)</f>
        <v>Derivados</v>
      </c>
      <c r="F1895" s="61">
        <v>20000</v>
      </c>
      <c r="G1895" t="str">
        <f>VLOOKUP(Tabela1[[#This Row],[Cliente]],clientes!$C$3:$D$60,2,FALSE)</f>
        <v>SUL PLATA</v>
      </c>
    </row>
    <row r="1896" spans="1:7" x14ac:dyDescent="0.25">
      <c r="A1896" s="10">
        <v>2025</v>
      </c>
      <c r="B1896" s="10" t="s">
        <v>141</v>
      </c>
      <c r="C1896" s="10" t="s">
        <v>162</v>
      </c>
      <c r="D1896" s="10" t="s">
        <v>115</v>
      </c>
      <c r="E1896" s="25" t="str">
        <f>VLOOKUP(D1896,'[2]Lista de Produtos CLASSIFICAÇÃO'!$E$103:$F$114,2,FALSE)</f>
        <v>Soda Caustica</v>
      </c>
      <c r="F1896" s="61">
        <v>1800</v>
      </c>
      <c r="G1896" t="str">
        <f>VLOOKUP(Tabela1[[#This Row],[Cliente]],clientes!$C$3:$D$60,2,FALSE)</f>
        <v>JBS</v>
      </c>
    </row>
    <row r="1897" spans="1:7" x14ac:dyDescent="0.25">
      <c r="A1897" s="10">
        <v>2025</v>
      </c>
      <c r="B1897" s="10" t="s">
        <v>141</v>
      </c>
      <c r="C1897" s="10" t="s">
        <v>163</v>
      </c>
      <c r="D1897" t="s">
        <v>115</v>
      </c>
      <c r="E1897" s="25" t="str">
        <f>VLOOKUP(D1897,'[2]Lista de Produtos CLASSIFICAÇÃO'!$E$103:$F$114,2,FALSE)</f>
        <v>Soda Caustica</v>
      </c>
      <c r="F1897" s="61">
        <v>3800</v>
      </c>
      <c r="G1897" t="str">
        <f>VLOOKUP(Tabela1[[#This Row],[Cliente]],clientes!$C$3:$D$60,2,FALSE)</f>
        <v>TRICON ENERGY</v>
      </c>
    </row>
    <row r="1898" spans="1:7" x14ac:dyDescent="0.25">
      <c r="A1898" s="10">
        <v>2025</v>
      </c>
      <c r="B1898" s="10" t="s">
        <v>141</v>
      </c>
      <c r="C1898" s="10" t="s">
        <v>164</v>
      </c>
      <c r="D1898" t="s">
        <v>115</v>
      </c>
      <c r="E1898" s="25" t="str">
        <f>VLOOKUP(D1898,'[2]Lista de Produtos CLASSIFICAÇÃO'!$E$103:$F$114,2,FALSE)</f>
        <v>Soda Caustica</v>
      </c>
      <c r="F1898" s="61">
        <v>1300</v>
      </c>
      <c r="G1898" t="str">
        <f>VLOOKUP(Tabela1[[#This Row],[Cliente]],clientes!$C$3:$D$60,2,FALSE)</f>
        <v>BRASKEM</v>
      </c>
    </row>
    <row r="1899" spans="1:7" x14ac:dyDescent="0.25">
      <c r="A1899" s="10">
        <v>2025</v>
      </c>
      <c r="B1899" s="10" t="s">
        <v>141</v>
      </c>
      <c r="C1899" s="10" t="s">
        <v>165</v>
      </c>
      <c r="D1899" s="10" t="s">
        <v>123</v>
      </c>
      <c r="E1899" s="25" t="str">
        <f>VLOOKUP(D1899,'[2]Lista de Produtos CLASSIFICAÇÃO'!$E$103:$F$114,2,FALSE)</f>
        <v>Aquecidos</v>
      </c>
      <c r="F1899" s="61">
        <v>4000</v>
      </c>
      <c r="G1899" t="str">
        <f>VLOOKUP(Tabela1[[#This Row],[Cliente]],clientes!$C$3:$D$60,2,FALSE)</f>
        <v>BRF</v>
      </c>
    </row>
    <row r="1900" spans="1:7" x14ac:dyDescent="0.25">
      <c r="A1900" s="10">
        <v>2025</v>
      </c>
      <c r="B1900" s="10" t="s">
        <v>141</v>
      </c>
      <c r="C1900" s="10" t="s">
        <v>162</v>
      </c>
      <c r="D1900" s="10" t="s">
        <v>123</v>
      </c>
      <c r="E1900" s="25" t="str">
        <f>VLOOKUP(D1900,'[2]Lista de Produtos CLASSIFICAÇÃO'!$E$103:$F$114,2,FALSE)</f>
        <v>Aquecidos</v>
      </c>
      <c r="F1900" s="61">
        <v>4520</v>
      </c>
      <c r="G1900" t="str">
        <f>VLOOKUP(Tabela1[[#This Row],[Cliente]],clientes!$C$3:$D$60,2,FALSE)</f>
        <v>JBS</v>
      </c>
    </row>
    <row r="1901" spans="1:7" x14ac:dyDescent="0.25">
      <c r="A1901" s="10">
        <v>2025</v>
      </c>
      <c r="B1901" s="10" t="s">
        <v>141</v>
      </c>
      <c r="C1901" s="10" t="s">
        <v>166</v>
      </c>
      <c r="D1901" s="10" t="s">
        <v>123</v>
      </c>
      <c r="E1901" s="25" t="str">
        <f>VLOOKUP(D1901,'[2]Lista de Produtos CLASSIFICAÇÃO'!$E$103:$F$114,2,FALSE)</f>
        <v>Aquecidos</v>
      </c>
      <c r="F1901" s="61">
        <v>3900</v>
      </c>
      <c r="G1901" t="str">
        <f>VLOOKUP(Tabela1[[#This Row],[Cliente]],clientes!$C$3:$D$60,2,FALSE)</f>
        <v>CARGILL</v>
      </c>
    </row>
    <row r="1902" spans="1:7" x14ac:dyDescent="0.25">
      <c r="A1902" s="10">
        <v>2025</v>
      </c>
      <c r="B1902" s="10" t="s">
        <v>141</v>
      </c>
      <c r="C1902" s="10" t="s">
        <v>167</v>
      </c>
      <c r="D1902" s="10" t="s">
        <v>122</v>
      </c>
      <c r="E1902" s="25" t="str">
        <f>VLOOKUP(D1902,'[2]Lista de Produtos CLASSIFICAÇÃO'!$E$103:$F$114,2,FALSE)</f>
        <v>Óleo Vegetal</v>
      </c>
      <c r="F1902" s="61">
        <v>24180</v>
      </c>
      <c r="G1902" t="str">
        <f>VLOOKUP(Tabela1[[#This Row],[Cliente]],clientes!$C$3:$D$60,2,FALSE)</f>
        <v>POOL</v>
      </c>
    </row>
    <row r="1903" spans="1:7" x14ac:dyDescent="0.25">
      <c r="A1903" s="10">
        <v>2025</v>
      </c>
      <c r="B1903" s="10" t="s">
        <v>141</v>
      </c>
      <c r="C1903" s="10" t="s">
        <v>168</v>
      </c>
      <c r="D1903" s="10" t="s">
        <v>122</v>
      </c>
      <c r="E1903" s="25" t="str">
        <f>VLOOKUP(D1903,'[2]Lista de Produtos CLASSIFICAÇÃO'!$E$103:$F$114,2,FALSE)</f>
        <v>Óleo Vegetal</v>
      </c>
      <c r="F1903" s="61"/>
      <c r="G1903" t="str">
        <f>VLOOKUP(Tabela1[[#This Row],[Cliente]],clientes!$C$3:$D$60,2,FALSE)</f>
        <v>POOL EXCEDENTE</v>
      </c>
    </row>
    <row r="1904" spans="1:7" x14ac:dyDescent="0.25">
      <c r="A1904" s="10">
        <v>2025</v>
      </c>
      <c r="B1904" s="10" t="s">
        <v>141</v>
      </c>
      <c r="C1904" s="10" t="s">
        <v>169</v>
      </c>
      <c r="D1904" s="10" t="s">
        <v>22</v>
      </c>
      <c r="E1904" s="25" t="str">
        <f>VLOOKUP(D1904,'[2]Lista de Produtos CLASSIFICAÇÃO'!$E$103:$F$114,2,FALSE)</f>
        <v>Metanol</v>
      </c>
      <c r="F1904" s="61">
        <v>75000</v>
      </c>
      <c r="G1904" t="str">
        <f>VLOOKUP(Tabela1[[#This Row],[Cliente]],clientes!$C$3:$D$60,2,FALSE)</f>
        <v>METHANEX</v>
      </c>
    </row>
    <row r="1905" spans="1:7" x14ac:dyDescent="0.25">
      <c r="A1905" s="10">
        <v>2025</v>
      </c>
      <c r="B1905" s="10" t="s">
        <v>141</v>
      </c>
      <c r="C1905" s="10" t="s">
        <v>170</v>
      </c>
      <c r="D1905" s="10" t="s">
        <v>22</v>
      </c>
      <c r="E1905" s="25" t="str">
        <f>VLOOKUP(D1905,'[2]Lista de Produtos CLASSIFICAÇÃO'!$E$103:$F$114,2,FALSE)</f>
        <v>Metanol</v>
      </c>
      <c r="F1905" s="61">
        <v>17000</v>
      </c>
      <c r="G1905" t="str">
        <f>VLOOKUP(Tabela1[[#This Row],[Cliente]],clientes!$C$3:$D$60,2,FALSE)</f>
        <v>MITSUBISHI</v>
      </c>
    </row>
    <row r="1906" spans="1:7" x14ac:dyDescent="0.25">
      <c r="A1906" s="10">
        <v>2025</v>
      </c>
      <c r="B1906" s="10" t="s">
        <v>141</v>
      </c>
      <c r="C1906" s="10" t="s">
        <v>171</v>
      </c>
      <c r="D1906" s="10" t="s">
        <v>22</v>
      </c>
      <c r="E1906" s="25" t="str">
        <f>VLOOKUP(D1906,'[2]Lista de Produtos CLASSIFICAÇÃO'!$E$103:$F$114,2,FALSE)</f>
        <v>Metanol</v>
      </c>
      <c r="F1906" s="61">
        <v>26000</v>
      </c>
      <c r="G1906" t="str">
        <f>VLOOKUP(Tabela1[[#This Row],[Cliente]],clientes!$C$3:$D$60,2,FALSE)</f>
        <v>VALENZ</v>
      </c>
    </row>
    <row r="1907" spans="1:7" x14ac:dyDescent="0.25">
      <c r="A1907" s="10">
        <v>2025</v>
      </c>
      <c r="B1907" s="10" t="s">
        <v>141</v>
      </c>
      <c r="C1907" s="10" t="s">
        <v>172</v>
      </c>
      <c r="D1907" s="10" t="s">
        <v>124</v>
      </c>
      <c r="E1907" s="25" t="str">
        <f>VLOOKUP(D1907,'[2]Lista de Produtos CLASSIFICAÇÃO'!$E$103:$F$114,2,FALSE)</f>
        <v>Outros</v>
      </c>
      <c r="F1907" s="61">
        <v>1500</v>
      </c>
      <c r="G1907" t="str">
        <f>VLOOKUP(Tabela1[[#This Row],[Cliente]],clientes!$C$3:$D$60,2,FALSE)</f>
        <v>EVONIK</v>
      </c>
    </row>
    <row r="1908" spans="1:7" x14ac:dyDescent="0.25">
      <c r="A1908" s="10">
        <v>2025</v>
      </c>
      <c r="B1908" s="10" t="s">
        <v>141</v>
      </c>
      <c r="C1908" s="10" t="s">
        <v>186</v>
      </c>
      <c r="D1908" s="10" t="s">
        <v>22</v>
      </c>
      <c r="E1908" s="25" t="str">
        <f>VLOOKUP(D1908,'[2]Lista de Produtos CLASSIFICAÇÃO'!$E$103:$F$114,2,FALSE)</f>
        <v>Metanol</v>
      </c>
      <c r="F1908" s="61">
        <v>2500</v>
      </c>
      <c r="G1908" t="str">
        <f>VLOOKUP(Tabela1[[#This Row],[Cliente]],clientes!$C$3:$D$60,2,FALSE)</f>
        <v>OQ TRADING</v>
      </c>
    </row>
    <row r="1909" spans="1:7" x14ac:dyDescent="0.25">
      <c r="A1909" s="10">
        <v>2025</v>
      </c>
      <c r="B1909" s="10" t="s">
        <v>141</v>
      </c>
      <c r="C1909" s="10" t="s">
        <v>174</v>
      </c>
      <c r="D1909" s="10" t="s">
        <v>123</v>
      </c>
      <c r="E1909" s="25" t="str">
        <f>VLOOKUP(D1909,'[2]Lista de Produtos CLASSIFICAÇÃO'!$E$103:$F$114,2,FALSE)</f>
        <v>Aquecidos</v>
      </c>
      <c r="F1909" s="61">
        <v>12500</v>
      </c>
      <c r="G1909" t="str">
        <f>VLOOKUP(Tabela1[[#This Row],[Cliente]],clientes!$C$3:$D$60,2,FALSE)</f>
        <v>CELENA</v>
      </c>
    </row>
    <row r="1910" spans="1:7" x14ac:dyDescent="0.25">
      <c r="A1910" s="10">
        <v>2025</v>
      </c>
      <c r="B1910" s="10" t="s">
        <v>141</v>
      </c>
      <c r="C1910" s="10" t="s">
        <v>175</v>
      </c>
      <c r="D1910" s="10" t="s">
        <v>123</v>
      </c>
      <c r="E1910" s="25" t="str">
        <f>VLOOKUP(D1910,'[2]Lista de Produtos CLASSIFICAÇÃO'!$E$103:$F$114,2,FALSE)</f>
        <v>Aquecidos</v>
      </c>
      <c r="F1910" s="61">
        <v>3600</v>
      </c>
      <c r="G1910" t="str">
        <f>VLOOKUP(Tabela1[[#This Row],[Cliente]],clientes!$C$3:$D$60,2,FALSE)</f>
        <v>AAK DO BRASIL</v>
      </c>
    </row>
    <row r="1911" spans="1:7" x14ac:dyDescent="0.25">
      <c r="A1911" s="10">
        <v>2025</v>
      </c>
      <c r="B1911" s="10" t="s">
        <v>141</v>
      </c>
      <c r="C1911" s="10" t="s">
        <v>166</v>
      </c>
      <c r="D1911" s="10" t="s">
        <v>122</v>
      </c>
      <c r="E1911" s="25" t="str">
        <f>VLOOKUP(D1911,'[2]Lista de Produtos CLASSIFICAÇÃO'!$E$103:$F$114,2,FALSE)</f>
        <v>Óleo Vegetal</v>
      </c>
      <c r="F1911" s="61">
        <v>4500</v>
      </c>
      <c r="G1911" t="str">
        <f>VLOOKUP(Tabela1[[#This Row],[Cliente]],clientes!$C$3:$D$60,2,FALSE)</f>
        <v>CARGILL</v>
      </c>
    </row>
    <row r="1912" spans="1:7" x14ac:dyDescent="0.25">
      <c r="A1912" s="10">
        <v>2025</v>
      </c>
      <c r="B1912" s="10" t="s">
        <v>141</v>
      </c>
      <c r="C1912" s="10" t="s">
        <v>176</v>
      </c>
      <c r="D1912" s="10" t="s">
        <v>123</v>
      </c>
      <c r="E1912" s="25" t="str">
        <f>VLOOKUP(D1912,'[2]Lista de Produtos CLASSIFICAÇÃO'!$E$103:$F$114,2,FALSE)</f>
        <v>Aquecidos</v>
      </c>
      <c r="F1912" s="61">
        <v>3500</v>
      </c>
      <c r="G1912" t="str">
        <f>VLOOKUP(Tabela1[[#This Row],[Cliente]],clientes!$C$3:$D$60,2,FALSE)</f>
        <v>AGROPALMA</v>
      </c>
    </row>
    <row r="1913" spans="1:7" x14ac:dyDescent="0.25">
      <c r="A1913" s="10">
        <v>2025</v>
      </c>
      <c r="B1913" s="10" t="s">
        <v>141</v>
      </c>
      <c r="C1913" s="10" t="s">
        <v>177</v>
      </c>
      <c r="D1913" s="10" t="s">
        <v>115</v>
      </c>
      <c r="E1913" s="25" t="str">
        <f>VLOOKUP(D1913,'[2]Lista de Produtos CLASSIFICAÇÃO'!$E$103:$F$114,2,FALSE)</f>
        <v>Soda Caustica</v>
      </c>
      <c r="F1913" s="61">
        <v>2800</v>
      </c>
      <c r="G1913" t="str">
        <f>VLOOKUP(Tabela1[[#This Row],[Cliente]],clientes!$C$3:$D$60,2,FALSE)</f>
        <v>BRENNTAG</v>
      </c>
    </row>
    <row r="1914" spans="1:7" x14ac:dyDescent="0.25">
      <c r="A1914" s="10">
        <v>2025</v>
      </c>
      <c r="B1914" s="10" t="s">
        <v>141</v>
      </c>
      <c r="C1914" s="10" t="s">
        <v>178</v>
      </c>
      <c r="D1914" s="10" t="s">
        <v>115</v>
      </c>
      <c r="E1914" s="25" t="str">
        <f>VLOOKUP(D1914,'[2]Lista de Produtos CLASSIFICAÇÃO'!$E$103:$F$114,2,FALSE)</f>
        <v>Soda Caustica</v>
      </c>
      <c r="F1914" s="61">
        <v>20000</v>
      </c>
      <c r="G1914" t="str">
        <f>VLOOKUP(Tabela1[[#This Row],[Cliente]],clientes!$C$3:$D$60,2,FALSE)</f>
        <v>OLIN BLUE CUBE</v>
      </c>
    </row>
    <row r="1915" spans="1:7" x14ac:dyDescent="0.25">
      <c r="A1915" s="10">
        <v>2025</v>
      </c>
      <c r="B1915" s="10" t="s">
        <v>141</v>
      </c>
      <c r="C1915" s="10" t="s">
        <v>179</v>
      </c>
      <c r="D1915" s="10" t="s">
        <v>26</v>
      </c>
      <c r="E1915" s="25" t="str">
        <f>VLOOKUP(D1915,'[2]Lista de Produtos CLASSIFICAÇÃO'!$E$103:$F$114,2,FALSE)</f>
        <v>Biocombustíveis</v>
      </c>
      <c r="F1915" s="61">
        <v>4000</v>
      </c>
      <c r="G1915" t="str">
        <f>VLOOKUP(Tabela1[[#This Row],[Cliente]],clientes!$C$3:$D$60,2,FALSE)</f>
        <v>BSBIOS</v>
      </c>
    </row>
    <row r="1916" spans="1:7" x14ac:dyDescent="0.25">
      <c r="A1916" s="10">
        <v>2025</v>
      </c>
      <c r="B1916" s="10" t="s">
        <v>141</v>
      </c>
      <c r="C1916" s="10" t="s">
        <v>181</v>
      </c>
      <c r="D1916" s="10" t="s">
        <v>123</v>
      </c>
      <c r="E1916" s="25" t="str">
        <f>VLOOKUP(D1916,'[2]Lista de Produtos CLASSIFICAÇÃO'!$E$103:$F$114,2,FALSE)</f>
        <v>Aquecidos</v>
      </c>
      <c r="F1916" s="61">
        <v>1600</v>
      </c>
      <c r="G1916" t="str">
        <f>VLOOKUP(Tabela1[[#This Row],[Cliente]],clientes!$C$3:$D$60,2,FALSE)</f>
        <v>COAMO</v>
      </c>
    </row>
    <row r="1917" spans="1:7" x14ac:dyDescent="0.25">
      <c r="A1917" s="10">
        <v>2025</v>
      </c>
      <c r="B1917" s="10" t="s">
        <v>141</v>
      </c>
      <c r="C1917" s="10" t="s">
        <v>182</v>
      </c>
      <c r="D1917" s="10" t="s">
        <v>120</v>
      </c>
      <c r="E1917" s="25" t="str">
        <f>VLOOKUP(D1917,'[2]Lista de Produtos CLASSIFICAÇÃO'!$E$103:$F$114,2,FALSE)</f>
        <v>Derivados</v>
      </c>
      <c r="F1917" s="61">
        <v>8300</v>
      </c>
      <c r="G1917" t="str">
        <f>VLOOKUP(Tabela1[[#This Row],[Cliente]],clientes!$C$3:$D$60,2,FALSE)</f>
        <v>ATEM</v>
      </c>
    </row>
    <row r="1918" spans="1:7" x14ac:dyDescent="0.25">
      <c r="A1918" s="10">
        <v>2025</v>
      </c>
      <c r="B1918" s="10" t="s">
        <v>141</v>
      </c>
      <c r="C1918" s="10" t="s">
        <v>184</v>
      </c>
      <c r="D1918" s="10" t="s">
        <v>122</v>
      </c>
      <c r="E1918" s="25" t="str">
        <f>VLOOKUP(D1918,'[2]Lista de Produtos CLASSIFICAÇÃO'!$E$103:$F$114,2,FALSE)</f>
        <v>Óleo Vegetal</v>
      </c>
      <c r="F1918" s="61">
        <v>2600</v>
      </c>
      <c r="G1918" t="str">
        <f>VLOOKUP(Tabela1[[#This Row],[Cliente]],clientes!$C$3:$D$60,2,FALSE)</f>
        <v>INGREDION</v>
      </c>
    </row>
    <row r="1919" spans="1:7" x14ac:dyDescent="0.25">
      <c r="A1919" s="10">
        <v>2025</v>
      </c>
      <c r="B1919" s="10" t="s">
        <v>141</v>
      </c>
      <c r="C1919" s="10" t="s">
        <v>185</v>
      </c>
      <c r="D1919" s="10" t="s">
        <v>120</v>
      </c>
      <c r="E1919" s="25" t="str">
        <f>VLOOKUP(D1919,'[2]Lista de Produtos CLASSIFICAÇÃO'!$E$103:$F$114,2,FALSE)</f>
        <v>Derivados</v>
      </c>
      <c r="F1919" s="61">
        <v>12450</v>
      </c>
      <c r="G1919" t="str">
        <f>VLOOKUP(Tabela1[[#This Row],[Cliente]],clientes!$C$3:$D$60,2,FALSE)</f>
        <v>CIAPETRO</v>
      </c>
    </row>
    <row r="1920" spans="1:7" x14ac:dyDescent="0.25">
      <c r="A1920" s="10">
        <v>2025</v>
      </c>
      <c r="B1920" s="10" t="s">
        <v>141</v>
      </c>
      <c r="C1920" s="10" t="s">
        <v>187</v>
      </c>
      <c r="D1920" s="10" t="s">
        <v>121</v>
      </c>
      <c r="E1920" s="25" t="str">
        <f>VLOOKUP(D1920,'[2]Lista de Produtos CLASSIFICAÇÃO'!$E$103:$F$114,2,FALSE)</f>
        <v>Biocombustíveis</v>
      </c>
      <c r="F1920" s="61">
        <v>7900</v>
      </c>
      <c r="G1920" t="str">
        <f>VLOOKUP(Tabela1[[#This Row],[Cliente]],clientes!$C$3:$D$60,2,FALSE)</f>
        <v>TEREOS / INPASA / GLENCORE / FS</v>
      </c>
    </row>
    <row r="1921" spans="1:7" x14ac:dyDescent="0.25">
      <c r="A1921" s="10">
        <v>2025</v>
      </c>
      <c r="B1921" s="10" t="s">
        <v>141</v>
      </c>
      <c r="C1921" s="10" t="s">
        <v>188</v>
      </c>
      <c r="D1921" s="10" t="s">
        <v>123</v>
      </c>
      <c r="E1921" s="25" t="str">
        <f>VLOOKUP(D1921,'[2]Lista de Produtos CLASSIFICAÇÃO'!$E$103:$F$114,2,FALSE)</f>
        <v>Aquecidos</v>
      </c>
      <c r="F1921" s="61">
        <v>3700</v>
      </c>
      <c r="G1921" t="str">
        <f>VLOOKUP(Tabela1[[#This Row],[Cliente]],clientes!$C$3:$D$60,2,FALSE)</f>
        <v>ARES MERCHANTS PTE LIMITE</v>
      </c>
    </row>
    <row r="1922" spans="1:7" x14ac:dyDescent="0.25">
      <c r="A1922" s="10">
        <v>2025</v>
      </c>
      <c r="B1922" s="10" t="s">
        <v>141</v>
      </c>
      <c r="C1922" s="10" t="s">
        <v>18</v>
      </c>
      <c r="D1922" s="10" t="s">
        <v>17</v>
      </c>
      <c r="E1922" s="25" t="str">
        <f>VLOOKUP(D1922,'[2]Lista de Produtos CLASSIFICAÇÃO'!$E$103:$F$114,2,FALSE)</f>
        <v>Acostagem</v>
      </c>
      <c r="F1922" s="61"/>
      <c r="G1922" t="str">
        <f>VLOOKUP(Tabela1[[#This Row],[Cliente]],clientes!$C$3:$D$60,2,FALSE)</f>
        <v>ACOSTAGEM</v>
      </c>
    </row>
    <row r="1923" spans="1:7" x14ac:dyDescent="0.25">
      <c r="A1923" s="10">
        <v>2025</v>
      </c>
      <c r="B1923" s="10" t="s">
        <v>141</v>
      </c>
      <c r="C1923" s="10" t="s">
        <v>189</v>
      </c>
      <c r="D1923" t="s">
        <v>123</v>
      </c>
      <c r="E1923" s="25" t="str">
        <f>VLOOKUP(D1923,'[2]Lista de Produtos CLASSIFICAÇÃO'!$E$103:$F$114,2,FALSE)</f>
        <v>Aquecidos</v>
      </c>
      <c r="F1923" s="61">
        <v>2500</v>
      </c>
      <c r="G1923" t="str">
        <f>VLOOKUP(Tabela1[[#This Row],[Cliente]],clientes!$C$3:$D$60,2,FALSE)</f>
        <v>ICOF</v>
      </c>
    </row>
    <row r="1924" spans="1:7" x14ac:dyDescent="0.25">
      <c r="A1924" s="10">
        <v>2025</v>
      </c>
      <c r="B1924" s="10" t="s">
        <v>141</v>
      </c>
      <c r="C1924" s="10" t="s">
        <v>191</v>
      </c>
      <c r="D1924" t="s">
        <v>115</v>
      </c>
      <c r="E1924" s="25" t="str">
        <f>VLOOKUP(D1924,'[2]Lista de Produtos CLASSIFICAÇÃO'!$E$103:$F$114,2,FALSE)</f>
        <v>Soda Caustica</v>
      </c>
      <c r="F1924" s="61"/>
      <c r="G1924" t="str">
        <f>VLOOKUP(Tabela1[[#This Row],[Cliente]],clientes!$C$3:$D$60,2,FALSE)</f>
        <v>GPC</v>
      </c>
    </row>
    <row r="1925" spans="1:7" x14ac:dyDescent="0.25">
      <c r="A1925" s="10">
        <v>2025</v>
      </c>
      <c r="B1925" s="10" t="s">
        <v>141</v>
      </c>
      <c r="C1925" s="10" t="s">
        <v>192</v>
      </c>
      <c r="D1925" s="10" t="s">
        <v>121</v>
      </c>
      <c r="E1925" s="25" t="str">
        <f>VLOOKUP(D1925,'[2]Lista de Produtos CLASSIFICAÇÃO'!$E$103:$F$114,2,FALSE)</f>
        <v>Biocombustíveis</v>
      </c>
      <c r="F1925" s="61">
        <v>11850</v>
      </c>
      <c r="G1925" t="str">
        <f>VLOOKUP(Tabela1[[#This Row],[Cliente]],clientes!$C$3:$D$60,2,FALSE)</f>
        <v>INPASA</v>
      </c>
    </row>
    <row r="1926" spans="1:7" x14ac:dyDescent="0.25">
      <c r="A1926" s="10">
        <v>2025</v>
      </c>
      <c r="B1926" s="10" t="s">
        <v>142</v>
      </c>
      <c r="C1926" s="10" t="s">
        <v>155</v>
      </c>
      <c r="D1926" s="10" t="s">
        <v>16</v>
      </c>
      <c r="E1926" s="25" t="str">
        <f>VLOOKUP(D1926,'[2]Lista de Produtos CLASSIFICAÇÃO'!$E$103:$F$114,2,FALSE)</f>
        <v>Outros</v>
      </c>
      <c r="F1926" s="61">
        <v>4500</v>
      </c>
      <c r="G1926" t="str">
        <f>VLOOKUP(Tabela1[[#This Row],[Cliente]],clientes!$C$3:$D$60,2,FALSE)</f>
        <v>ADISSEO</v>
      </c>
    </row>
    <row r="1927" spans="1:7" x14ac:dyDescent="0.25">
      <c r="A1927" s="10">
        <v>2025</v>
      </c>
      <c r="B1927" s="10" t="s">
        <v>142</v>
      </c>
      <c r="C1927" s="10" t="s">
        <v>156</v>
      </c>
      <c r="D1927" s="10" t="s">
        <v>123</v>
      </c>
      <c r="E1927" s="25" t="str">
        <f>VLOOKUP(D1927,'[2]Lista de Produtos CLASSIFICAÇÃO'!$E$103:$F$114,2,FALSE)</f>
        <v>Aquecidos</v>
      </c>
      <c r="F1927" s="61">
        <v>2100</v>
      </c>
      <c r="G1927" t="str">
        <f>VLOOKUP(Tabela1[[#This Row],[Cliente]],clientes!$C$3:$D$60,2,FALSE)</f>
        <v>BUNGE</v>
      </c>
    </row>
    <row r="1928" spans="1:7" x14ac:dyDescent="0.25">
      <c r="A1928" s="10">
        <v>2025</v>
      </c>
      <c r="B1928" s="10" t="s">
        <v>142</v>
      </c>
      <c r="C1928" s="10" t="s">
        <v>157</v>
      </c>
      <c r="D1928" s="10" t="s">
        <v>122</v>
      </c>
      <c r="E1928" s="25" t="str">
        <f>VLOOKUP(D1928,'[2]Lista de Produtos CLASSIFICAÇÃO'!$E$103:$F$114,2,FALSE)</f>
        <v>Óleo Vegetal</v>
      </c>
      <c r="F1928" s="61">
        <v>1700</v>
      </c>
      <c r="G1928" t="str">
        <f>VLOOKUP(Tabela1[[#This Row],[Cliente]],clientes!$C$3:$D$60,2,FALSE)</f>
        <v>ADM</v>
      </c>
    </row>
    <row r="1929" spans="1:7" x14ac:dyDescent="0.25">
      <c r="A1929" s="10">
        <v>2025</v>
      </c>
      <c r="B1929" s="10" t="s">
        <v>142</v>
      </c>
      <c r="C1929" s="10" t="s">
        <v>158</v>
      </c>
      <c r="D1929" s="10" t="s">
        <v>120</v>
      </c>
      <c r="E1929" s="25" t="str">
        <f>VLOOKUP(D1929,'[2]Lista de Produtos CLASSIFICAÇÃO'!$E$103:$F$114,2,FALSE)</f>
        <v>Derivados</v>
      </c>
      <c r="F1929" s="61">
        <v>45000</v>
      </c>
      <c r="G1929" t="str">
        <f>VLOOKUP(Tabela1[[#This Row],[Cliente]],clientes!$C$3:$D$60,2,FALSE)</f>
        <v>IPIRANGA</v>
      </c>
    </row>
    <row r="1930" spans="1:7" x14ac:dyDescent="0.25">
      <c r="A1930" s="10">
        <v>2025</v>
      </c>
      <c r="B1930" s="10" t="s">
        <v>142</v>
      </c>
      <c r="C1930" s="10" t="s">
        <v>159</v>
      </c>
      <c r="D1930" s="10" t="s">
        <v>120</v>
      </c>
      <c r="E1930" s="25" t="str">
        <f>VLOOKUP(D1930,'[2]Lista de Produtos CLASSIFICAÇÃO'!$E$103:$F$114,2,FALSE)</f>
        <v>Derivados</v>
      </c>
      <c r="F1930" s="61">
        <v>41500</v>
      </c>
      <c r="G1930" t="str">
        <f>VLOOKUP(Tabela1[[#This Row],[Cliente]],clientes!$C$3:$D$60,2,FALSE)</f>
        <v>RAIZEN</v>
      </c>
    </row>
    <row r="1931" spans="1:7" x14ac:dyDescent="0.25">
      <c r="A1931" s="10">
        <v>2025</v>
      </c>
      <c r="B1931" s="10" t="s">
        <v>142</v>
      </c>
      <c r="C1931" s="10" t="s">
        <v>160</v>
      </c>
      <c r="D1931" s="10" t="s">
        <v>120</v>
      </c>
      <c r="E1931" s="25" t="str">
        <f>VLOOKUP(D1931,'[2]Lista de Produtos CLASSIFICAÇÃO'!$E$103:$F$114,2,FALSE)</f>
        <v>Derivados</v>
      </c>
      <c r="F1931" s="61">
        <v>16600</v>
      </c>
      <c r="G1931" t="str">
        <f>VLOOKUP(Tabela1[[#This Row],[Cliente]],clientes!$C$3:$D$60,2,FALSE)</f>
        <v>VIBRA</v>
      </c>
    </row>
    <row r="1932" spans="1:7" x14ac:dyDescent="0.25">
      <c r="A1932" s="10">
        <v>2025</v>
      </c>
      <c r="B1932" s="10" t="s">
        <v>142</v>
      </c>
      <c r="C1932" s="10" t="s">
        <v>161</v>
      </c>
      <c r="D1932" s="10" t="s">
        <v>120</v>
      </c>
      <c r="E1932" s="25" t="str">
        <f>VLOOKUP(D1932,'[2]Lista de Produtos CLASSIFICAÇÃO'!$E$103:$F$114,2,FALSE)</f>
        <v>Derivados</v>
      </c>
      <c r="F1932" s="61">
        <v>20000</v>
      </c>
      <c r="G1932" t="str">
        <f>VLOOKUP(Tabela1[[#This Row],[Cliente]],clientes!$C$3:$D$60,2,FALSE)</f>
        <v>SUL PLATA</v>
      </c>
    </row>
    <row r="1933" spans="1:7" x14ac:dyDescent="0.25">
      <c r="A1933" s="10">
        <v>2025</v>
      </c>
      <c r="B1933" s="10" t="s">
        <v>142</v>
      </c>
      <c r="C1933" s="10" t="s">
        <v>162</v>
      </c>
      <c r="D1933" s="10" t="s">
        <v>115</v>
      </c>
      <c r="E1933" s="25" t="str">
        <f>VLOOKUP(D1933,'[2]Lista de Produtos CLASSIFICAÇÃO'!$E$103:$F$114,2,FALSE)</f>
        <v>Soda Caustica</v>
      </c>
      <c r="F1933" s="61">
        <v>1800</v>
      </c>
      <c r="G1933" t="str">
        <f>VLOOKUP(Tabela1[[#This Row],[Cliente]],clientes!$C$3:$D$60,2,FALSE)</f>
        <v>JBS</v>
      </c>
    </row>
    <row r="1934" spans="1:7" x14ac:dyDescent="0.25">
      <c r="A1934" s="10">
        <v>2025</v>
      </c>
      <c r="B1934" s="10" t="s">
        <v>142</v>
      </c>
      <c r="C1934" s="10" t="s">
        <v>163</v>
      </c>
      <c r="D1934" t="s">
        <v>115</v>
      </c>
      <c r="E1934" s="25" t="str">
        <f>VLOOKUP(D1934,'[2]Lista de Produtos CLASSIFICAÇÃO'!$E$103:$F$114,2,FALSE)</f>
        <v>Soda Caustica</v>
      </c>
      <c r="F1934" s="61">
        <v>3800</v>
      </c>
      <c r="G1934" t="str">
        <f>VLOOKUP(Tabela1[[#This Row],[Cliente]],clientes!$C$3:$D$60,2,FALSE)</f>
        <v>TRICON ENERGY</v>
      </c>
    </row>
    <row r="1935" spans="1:7" x14ac:dyDescent="0.25">
      <c r="A1935" s="10">
        <v>2025</v>
      </c>
      <c r="B1935" s="10" t="s">
        <v>142</v>
      </c>
      <c r="C1935" s="10" t="s">
        <v>164</v>
      </c>
      <c r="D1935" t="s">
        <v>115</v>
      </c>
      <c r="E1935" s="25" t="str">
        <f>VLOOKUP(D1935,'[2]Lista de Produtos CLASSIFICAÇÃO'!$E$103:$F$114,2,FALSE)</f>
        <v>Soda Caustica</v>
      </c>
      <c r="F1935" s="61">
        <v>1300</v>
      </c>
      <c r="G1935" t="str">
        <f>VLOOKUP(Tabela1[[#This Row],[Cliente]],clientes!$C$3:$D$60,2,FALSE)</f>
        <v>BRASKEM</v>
      </c>
    </row>
    <row r="1936" spans="1:7" x14ac:dyDescent="0.25">
      <c r="A1936" s="10">
        <v>2025</v>
      </c>
      <c r="B1936" s="10" t="s">
        <v>142</v>
      </c>
      <c r="C1936" s="10" t="s">
        <v>165</v>
      </c>
      <c r="D1936" s="10" t="s">
        <v>123</v>
      </c>
      <c r="E1936" s="25" t="str">
        <f>VLOOKUP(D1936,'[2]Lista de Produtos CLASSIFICAÇÃO'!$E$103:$F$114,2,FALSE)</f>
        <v>Aquecidos</v>
      </c>
      <c r="F1936" s="61">
        <v>4000</v>
      </c>
      <c r="G1936" t="str">
        <f>VLOOKUP(Tabela1[[#This Row],[Cliente]],clientes!$C$3:$D$60,2,FALSE)</f>
        <v>BRF</v>
      </c>
    </row>
    <row r="1937" spans="1:7" x14ac:dyDescent="0.25">
      <c r="A1937" s="10">
        <v>2025</v>
      </c>
      <c r="B1937" s="10" t="s">
        <v>142</v>
      </c>
      <c r="C1937" s="10" t="s">
        <v>162</v>
      </c>
      <c r="D1937" s="10" t="s">
        <v>123</v>
      </c>
      <c r="E1937" s="25" t="str">
        <f>VLOOKUP(D1937,'[2]Lista de Produtos CLASSIFICAÇÃO'!$E$103:$F$114,2,FALSE)</f>
        <v>Aquecidos</v>
      </c>
      <c r="F1937" s="61">
        <v>4520</v>
      </c>
      <c r="G1937" t="str">
        <f>VLOOKUP(Tabela1[[#This Row],[Cliente]],clientes!$C$3:$D$60,2,FALSE)</f>
        <v>JBS</v>
      </c>
    </row>
    <row r="1938" spans="1:7" x14ac:dyDescent="0.25">
      <c r="A1938" s="10">
        <v>2025</v>
      </c>
      <c r="B1938" s="10" t="s">
        <v>142</v>
      </c>
      <c r="C1938" s="10" t="s">
        <v>166</v>
      </c>
      <c r="D1938" s="10" t="s">
        <v>123</v>
      </c>
      <c r="E1938" s="25" t="str">
        <f>VLOOKUP(D1938,'[2]Lista de Produtos CLASSIFICAÇÃO'!$E$103:$F$114,2,FALSE)</f>
        <v>Aquecidos</v>
      </c>
      <c r="F1938" s="61">
        <v>3900</v>
      </c>
      <c r="G1938" t="str">
        <f>VLOOKUP(Tabela1[[#This Row],[Cliente]],clientes!$C$3:$D$60,2,FALSE)</f>
        <v>CARGILL</v>
      </c>
    </row>
    <row r="1939" spans="1:7" x14ac:dyDescent="0.25">
      <c r="A1939" s="10">
        <v>2025</v>
      </c>
      <c r="B1939" s="10" t="s">
        <v>142</v>
      </c>
      <c r="C1939" s="10" t="s">
        <v>167</v>
      </c>
      <c r="D1939" s="10" t="s">
        <v>122</v>
      </c>
      <c r="E1939" s="25" t="str">
        <f>VLOOKUP(D1939,'[2]Lista de Produtos CLASSIFICAÇÃO'!$E$103:$F$114,2,FALSE)</f>
        <v>Óleo Vegetal</v>
      </c>
      <c r="F1939" s="61">
        <v>18600</v>
      </c>
      <c r="G1939" t="str">
        <f>VLOOKUP(Tabela1[[#This Row],[Cliente]],clientes!$C$3:$D$60,2,FALSE)</f>
        <v>POOL</v>
      </c>
    </row>
    <row r="1940" spans="1:7" x14ac:dyDescent="0.25">
      <c r="A1940" s="10">
        <v>2025</v>
      </c>
      <c r="B1940" s="10" t="s">
        <v>142</v>
      </c>
      <c r="C1940" s="10" t="s">
        <v>168</v>
      </c>
      <c r="D1940" s="10" t="s">
        <v>122</v>
      </c>
      <c r="E1940" s="25" t="str">
        <f>VLOOKUP(D1940,'[2]Lista de Produtos CLASSIFICAÇÃO'!$E$103:$F$114,2,FALSE)</f>
        <v>Óleo Vegetal</v>
      </c>
      <c r="F1940" s="61">
        <v>2000</v>
      </c>
      <c r="G1940" t="str">
        <f>VLOOKUP(Tabela1[[#This Row],[Cliente]],clientes!$C$3:$D$60,2,FALSE)</f>
        <v>POOL EXCEDENTE</v>
      </c>
    </row>
    <row r="1941" spans="1:7" x14ac:dyDescent="0.25">
      <c r="A1941" s="10">
        <v>2025</v>
      </c>
      <c r="B1941" s="10" t="s">
        <v>142</v>
      </c>
      <c r="C1941" s="10" t="s">
        <v>169</v>
      </c>
      <c r="D1941" s="10" t="s">
        <v>22</v>
      </c>
      <c r="E1941" s="25" t="str">
        <f>VLOOKUP(D1941,'[2]Lista de Produtos CLASSIFICAÇÃO'!$E$103:$F$114,2,FALSE)</f>
        <v>Metanol</v>
      </c>
      <c r="F1941" s="61">
        <v>75000</v>
      </c>
      <c r="G1941" t="str">
        <f>VLOOKUP(Tabela1[[#This Row],[Cliente]],clientes!$C$3:$D$60,2,FALSE)</f>
        <v>METHANEX</v>
      </c>
    </row>
    <row r="1942" spans="1:7" x14ac:dyDescent="0.25">
      <c r="A1942" s="10">
        <v>2025</v>
      </c>
      <c r="B1942" s="10" t="s">
        <v>142</v>
      </c>
      <c r="C1942" s="10" t="s">
        <v>170</v>
      </c>
      <c r="D1942" s="10" t="s">
        <v>22</v>
      </c>
      <c r="E1942" s="25" t="str">
        <f>VLOOKUP(D1942,'[2]Lista de Produtos CLASSIFICAÇÃO'!$E$103:$F$114,2,FALSE)</f>
        <v>Metanol</v>
      </c>
      <c r="F1942" s="61">
        <v>17000</v>
      </c>
      <c r="G1942" t="str">
        <f>VLOOKUP(Tabela1[[#This Row],[Cliente]],clientes!$C$3:$D$60,2,FALSE)</f>
        <v>MITSUBISHI</v>
      </c>
    </row>
    <row r="1943" spans="1:7" x14ac:dyDescent="0.25">
      <c r="A1943" s="10">
        <v>2025</v>
      </c>
      <c r="B1943" s="10" t="s">
        <v>142</v>
      </c>
      <c r="C1943" s="10" t="s">
        <v>171</v>
      </c>
      <c r="D1943" s="10" t="s">
        <v>22</v>
      </c>
      <c r="E1943" s="25" t="str">
        <f>VLOOKUP(D1943,'[2]Lista de Produtos CLASSIFICAÇÃO'!$E$103:$F$114,2,FALSE)</f>
        <v>Metanol</v>
      </c>
      <c r="F1943" s="61">
        <v>26000</v>
      </c>
      <c r="G1943" t="str">
        <f>VLOOKUP(Tabela1[[#This Row],[Cliente]],clientes!$C$3:$D$60,2,FALSE)</f>
        <v>VALENZ</v>
      </c>
    </row>
    <row r="1944" spans="1:7" x14ac:dyDescent="0.25">
      <c r="A1944" s="10">
        <v>2025</v>
      </c>
      <c r="B1944" s="10" t="s">
        <v>142</v>
      </c>
      <c r="C1944" s="10" t="s">
        <v>172</v>
      </c>
      <c r="D1944" s="10" t="s">
        <v>124</v>
      </c>
      <c r="E1944" s="25" t="str">
        <f>VLOOKUP(D1944,'[2]Lista de Produtos CLASSIFICAÇÃO'!$E$103:$F$114,2,FALSE)</f>
        <v>Outros</v>
      </c>
      <c r="F1944" s="61">
        <v>1500</v>
      </c>
      <c r="G1944" t="str">
        <f>VLOOKUP(Tabela1[[#This Row],[Cliente]],clientes!$C$3:$D$60,2,FALSE)</f>
        <v>EVONIK</v>
      </c>
    </row>
    <row r="1945" spans="1:7" x14ac:dyDescent="0.25">
      <c r="A1945" s="10">
        <v>2025</v>
      </c>
      <c r="B1945" s="10" t="s">
        <v>142</v>
      </c>
      <c r="C1945" s="10" t="s">
        <v>186</v>
      </c>
      <c r="D1945" s="10" t="s">
        <v>22</v>
      </c>
      <c r="E1945" s="25" t="str">
        <f>VLOOKUP(D1945,'[2]Lista de Produtos CLASSIFICAÇÃO'!$E$103:$F$114,2,FALSE)</f>
        <v>Metanol</v>
      </c>
      <c r="F1945" s="61">
        <v>2500</v>
      </c>
      <c r="G1945" t="str">
        <f>VLOOKUP(Tabela1[[#This Row],[Cliente]],clientes!$C$3:$D$60,2,FALSE)</f>
        <v>OQ TRADING</v>
      </c>
    </row>
    <row r="1946" spans="1:7" x14ac:dyDescent="0.25">
      <c r="A1946" s="10">
        <v>2025</v>
      </c>
      <c r="B1946" s="10" t="s">
        <v>142</v>
      </c>
      <c r="C1946" s="10" t="s">
        <v>174</v>
      </c>
      <c r="D1946" s="10" t="s">
        <v>123</v>
      </c>
      <c r="E1946" s="25" t="str">
        <f>VLOOKUP(D1946,'[2]Lista de Produtos CLASSIFICAÇÃO'!$E$103:$F$114,2,FALSE)</f>
        <v>Aquecidos</v>
      </c>
      <c r="F1946" s="61">
        <v>12500</v>
      </c>
      <c r="G1946" t="str">
        <f>VLOOKUP(Tabela1[[#This Row],[Cliente]],clientes!$C$3:$D$60,2,FALSE)</f>
        <v>CELENA</v>
      </c>
    </row>
    <row r="1947" spans="1:7" x14ac:dyDescent="0.25">
      <c r="A1947" s="10">
        <v>2025</v>
      </c>
      <c r="B1947" s="10" t="s">
        <v>142</v>
      </c>
      <c r="C1947" s="10" t="s">
        <v>175</v>
      </c>
      <c r="D1947" s="10" t="s">
        <v>123</v>
      </c>
      <c r="E1947" s="25" t="str">
        <f>VLOOKUP(D1947,'[2]Lista de Produtos CLASSIFICAÇÃO'!$E$103:$F$114,2,FALSE)</f>
        <v>Aquecidos</v>
      </c>
      <c r="F1947" s="61">
        <v>3600</v>
      </c>
      <c r="G1947" t="str">
        <f>VLOOKUP(Tabela1[[#This Row],[Cliente]],clientes!$C$3:$D$60,2,FALSE)</f>
        <v>AAK DO BRASIL</v>
      </c>
    </row>
    <row r="1948" spans="1:7" x14ac:dyDescent="0.25">
      <c r="A1948" s="10">
        <v>2025</v>
      </c>
      <c r="B1948" s="10" t="s">
        <v>142</v>
      </c>
      <c r="C1948" s="10" t="s">
        <v>166</v>
      </c>
      <c r="D1948" s="10" t="s">
        <v>122</v>
      </c>
      <c r="E1948" s="25" t="str">
        <f>VLOOKUP(D1948,'[2]Lista de Produtos CLASSIFICAÇÃO'!$E$103:$F$114,2,FALSE)</f>
        <v>Óleo Vegetal</v>
      </c>
      <c r="F1948" s="61"/>
      <c r="G1948" t="str">
        <f>VLOOKUP(Tabela1[[#This Row],[Cliente]],clientes!$C$3:$D$60,2,FALSE)</f>
        <v>CARGILL</v>
      </c>
    </row>
    <row r="1949" spans="1:7" x14ac:dyDescent="0.25">
      <c r="A1949" s="10">
        <v>2025</v>
      </c>
      <c r="B1949" s="10" t="s">
        <v>142</v>
      </c>
      <c r="C1949" s="10" t="s">
        <v>176</v>
      </c>
      <c r="D1949" s="10" t="s">
        <v>123</v>
      </c>
      <c r="E1949" s="25" t="str">
        <f>VLOOKUP(D1949,'[2]Lista de Produtos CLASSIFICAÇÃO'!$E$103:$F$114,2,FALSE)</f>
        <v>Aquecidos</v>
      </c>
      <c r="F1949" s="61">
        <v>3500</v>
      </c>
      <c r="G1949" t="str">
        <f>VLOOKUP(Tabela1[[#This Row],[Cliente]],clientes!$C$3:$D$60,2,FALSE)</f>
        <v>AGROPALMA</v>
      </c>
    </row>
    <row r="1950" spans="1:7" x14ac:dyDescent="0.25">
      <c r="A1950" s="10">
        <v>2025</v>
      </c>
      <c r="B1950" s="10" t="s">
        <v>142</v>
      </c>
      <c r="C1950" s="10" t="s">
        <v>177</v>
      </c>
      <c r="D1950" s="10" t="s">
        <v>115</v>
      </c>
      <c r="E1950" s="25" t="str">
        <f>VLOOKUP(D1950,'[2]Lista de Produtos CLASSIFICAÇÃO'!$E$103:$F$114,2,FALSE)</f>
        <v>Soda Caustica</v>
      </c>
      <c r="F1950" s="61">
        <v>2800</v>
      </c>
      <c r="G1950" t="str">
        <f>VLOOKUP(Tabela1[[#This Row],[Cliente]],clientes!$C$3:$D$60,2,FALSE)</f>
        <v>BRENNTAG</v>
      </c>
    </row>
    <row r="1951" spans="1:7" x14ac:dyDescent="0.25">
      <c r="A1951" s="10">
        <v>2025</v>
      </c>
      <c r="B1951" s="10" t="s">
        <v>142</v>
      </c>
      <c r="C1951" s="10" t="s">
        <v>178</v>
      </c>
      <c r="D1951" s="10" t="s">
        <v>115</v>
      </c>
      <c r="E1951" s="25" t="str">
        <f>VLOOKUP(D1951,'[2]Lista de Produtos CLASSIFICAÇÃO'!$E$103:$F$114,2,FALSE)</f>
        <v>Soda Caustica</v>
      </c>
      <c r="F1951" s="61">
        <v>20000</v>
      </c>
      <c r="G1951" t="str">
        <f>VLOOKUP(Tabela1[[#This Row],[Cliente]],clientes!$C$3:$D$60,2,FALSE)</f>
        <v>OLIN BLUE CUBE</v>
      </c>
    </row>
    <row r="1952" spans="1:7" x14ac:dyDescent="0.25">
      <c r="A1952" s="10">
        <v>2025</v>
      </c>
      <c r="B1952" s="10" t="s">
        <v>142</v>
      </c>
      <c r="C1952" s="10" t="s">
        <v>179</v>
      </c>
      <c r="D1952" s="10" t="s">
        <v>26</v>
      </c>
      <c r="E1952" s="25" t="str">
        <f>VLOOKUP(D1952,'[2]Lista de Produtos CLASSIFICAÇÃO'!$E$103:$F$114,2,FALSE)</f>
        <v>Biocombustíveis</v>
      </c>
      <c r="F1952" s="61"/>
      <c r="G1952" t="str">
        <f>VLOOKUP(Tabela1[[#This Row],[Cliente]],clientes!$C$3:$D$60,2,FALSE)</f>
        <v>BSBIOS</v>
      </c>
    </row>
    <row r="1953" spans="1:7" x14ac:dyDescent="0.25">
      <c r="A1953" s="10">
        <v>2025</v>
      </c>
      <c r="B1953" s="10" t="s">
        <v>142</v>
      </c>
      <c r="C1953" s="10" t="s">
        <v>181</v>
      </c>
      <c r="D1953" s="10" t="s">
        <v>123</v>
      </c>
      <c r="E1953" s="25" t="str">
        <f>VLOOKUP(D1953,'[2]Lista de Produtos CLASSIFICAÇÃO'!$E$103:$F$114,2,FALSE)</f>
        <v>Aquecidos</v>
      </c>
      <c r="F1953" s="61">
        <v>1600</v>
      </c>
      <c r="G1953" t="str">
        <f>VLOOKUP(Tabela1[[#This Row],[Cliente]],clientes!$C$3:$D$60,2,FALSE)</f>
        <v>COAMO</v>
      </c>
    </row>
    <row r="1954" spans="1:7" x14ac:dyDescent="0.25">
      <c r="A1954" s="10">
        <v>2025</v>
      </c>
      <c r="B1954" s="10" t="s">
        <v>142</v>
      </c>
      <c r="C1954" s="10" t="s">
        <v>182</v>
      </c>
      <c r="D1954" s="10" t="s">
        <v>120</v>
      </c>
      <c r="E1954" s="25" t="str">
        <f>VLOOKUP(D1954,'[2]Lista de Produtos CLASSIFICAÇÃO'!$E$103:$F$114,2,FALSE)</f>
        <v>Derivados</v>
      </c>
      <c r="F1954" s="61">
        <v>8300</v>
      </c>
      <c r="G1954" t="str">
        <f>VLOOKUP(Tabela1[[#This Row],[Cliente]],clientes!$C$3:$D$60,2,FALSE)</f>
        <v>ATEM</v>
      </c>
    </row>
    <row r="1955" spans="1:7" x14ac:dyDescent="0.25">
      <c r="A1955" s="10">
        <v>2025</v>
      </c>
      <c r="B1955" s="10" t="s">
        <v>142</v>
      </c>
      <c r="C1955" s="10" t="s">
        <v>184</v>
      </c>
      <c r="D1955" s="10" t="s">
        <v>122</v>
      </c>
      <c r="E1955" s="25" t="str">
        <f>VLOOKUP(D1955,'[2]Lista de Produtos CLASSIFICAÇÃO'!$E$103:$F$114,2,FALSE)</f>
        <v>Óleo Vegetal</v>
      </c>
      <c r="F1955" s="61"/>
      <c r="G1955" t="str">
        <f>VLOOKUP(Tabela1[[#This Row],[Cliente]],clientes!$C$3:$D$60,2,FALSE)</f>
        <v>INGREDION</v>
      </c>
    </row>
    <row r="1956" spans="1:7" x14ac:dyDescent="0.25">
      <c r="A1956" s="10">
        <v>2025</v>
      </c>
      <c r="B1956" s="10" t="s">
        <v>142</v>
      </c>
      <c r="C1956" s="10" t="s">
        <v>185</v>
      </c>
      <c r="D1956" s="10" t="s">
        <v>120</v>
      </c>
      <c r="E1956" s="25" t="str">
        <f>VLOOKUP(D1956,'[2]Lista de Produtos CLASSIFICAÇÃO'!$E$103:$F$114,2,FALSE)</f>
        <v>Derivados</v>
      </c>
      <c r="F1956" s="61">
        <v>12450</v>
      </c>
      <c r="G1956" t="str">
        <f>VLOOKUP(Tabela1[[#This Row],[Cliente]],clientes!$C$3:$D$60,2,FALSE)</f>
        <v>CIAPETRO</v>
      </c>
    </row>
    <row r="1957" spans="1:7" x14ac:dyDescent="0.25">
      <c r="A1957" s="10">
        <v>2025</v>
      </c>
      <c r="B1957" s="10" t="s">
        <v>142</v>
      </c>
      <c r="C1957" s="10" t="s">
        <v>187</v>
      </c>
      <c r="D1957" s="10" t="s">
        <v>121</v>
      </c>
      <c r="E1957" s="25" t="str">
        <f>VLOOKUP(D1957,'[2]Lista de Produtos CLASSIFICAÇÃO'!$E$103:$F$114,2,FALSE)</f>
        <v>Biocombustíveis</v>
      </c>
      <c r="F1957" s="61"/>
      <c r="G1957" t="str">
        <f>VLOOKUP(Tabela1[[#This Row],[Cliente]],clientes!$C$3:$D$60,2,FALSE)</f>
        <v>TEREOS / INPASA / GLENCORE / FS</v>
      </c>
    </row>
    <row r="1958" spans="1:7" x14ac:dyDescent="0.25">
      <c r="A1958" s="10">
        <v>2025</v>
      </c>
      <c r="B1958" s="10" t="s">
        <v>142</v>
      </c>
      <c r="C1958" s="10" t="s">
        <v>188</v>
      </c>
      <c r="D1958" s="10" t="s">
        <v>123</v>
      </c>
      <c r="E1958" s="25" t="str">
        <f>VLOOKUP(D1958,'[2]Lista de Produtos CLASSIFICAÇÃO'!$E$103:$F$114,2,FALSE)</f>
        <v>Aquecidos</v>
      </c>
      <c r="F1958" s="61">
        <v>3700</v>
      </c>
      <c r="G1958" t="str">
        <f>VLOOKUP(Tabela1[[#This Row],[Cliente]],clientes!$C$3:$D$60,2,FALSE)</f>
        <v>ARES MERCHANTS PTE LIMITE</v>
      </c>
    </row>
    <row r="1959" spans="1:7" x14ac:dyDescent="0.25">
      <c r="A1959" s="10">
        <v>2025</v>
      </c>
      <c r="B1959" s="10" t="s">
        <v>142</v>
      </c>
      <c r="C1959" s="10" t="s">
        <v>18</v>
      </c>
      <c r="D1959" s="10" t="s">
        <v>17</v>
      </c>
      <c r="E1959" s="25" t="str">
        <f>VLOOKUP(D1959,'[2]Lista de Produtos CLASSIFICAÇÃO'!$E$103:$F$114,2,FALSE)</f>
        <v>Acostagem</v>
      </c>
      <c r="F1959" s="61"/>
      <c r="G1959" t="str">
        <f>VLOOKUP(Tabela1[[#This Row],[Cliente]],clientes!$C$3:$D$60,2,FALSE)</f>
        <v>ACOSTAGEM</v>
      </c>
    </row>
    <row r="1960" spans="1:7" x14ac:dyDescent="0.25">
      <c r="A1960" s="10">
        <v>2025</v>
      </c>
      <c r="B1960" s="10" t="s">
        <v>142</v>
      </c>
      <c r="C1960" s="10" t="s">
        <v>189</v>
      </c>
      <c r="D1960" t="s">
        <v>123</v>
      </c>
      <c r="E1960" s="25" t="str">
        <f>VLOOKUP(D1960,'[2]Lista de Produtos CLASSIFICAÇÃO'!$E$103:$F$114,2,FALSE)</f>
        <v>Aquecidos</v>
      </c>
      <c r="F1960" s="61">
        <v>2500</v>
      </c>
      <c r="G1960" t="str">
        <f>VLOOKUP(Tabela1[[#This Row],[Cliente]],clientes!$C$3:$D$60,2,FALSE)</f>
        <v>ICOF</v>
      </c>
    </row>
    <row r="1961" spans="1:7" x14ac:dyDescent="0.25">
      <c r="A1961" s="10">
        <v>2025</v>
      </c>
      <c r="B1961" s="10" t="s">
        <v>142</v>
      </c>
      <c r="C1961" s="10" t="s">
        <v>191</v>
      </c>
      <c r="D1961" t="s">
        <v>115</v>
      </c>
      <c r="E1961" s="25" t="str">
        <f>VLOOKUP(D1961,'[2]Lista de Produtos CLASSIFICAÇÃO'!$E$103:$F$114,2,FALSE)</f>
        <v>Soda Caustica</v>
      </c>
      <c r="F1961" s="61">
        <v>2500</v>
      </c>
      <c r="G1961" t="str">
        <f>VLOOKUP(Tabela1[[#This Row],[Cliente]],clientes!$C$3:$D$60,2,FALSE)</f>
        <v>GPC</v>
      </c>
    </row>
    <row r="1962" spans="1:7" x14ac:dyDescent="0.25">
      <c r="A1962" s="10">
        <v>2025</v>
      </c>
      <c r="B1962" s="10" t="s">
        <v>142</v>
      </c>
      <c r="C1962" s="10" t="s">
        <v>192</v>
      </c>
      <c r="D1962" s="10" t="s">
        <v>121</v>
      </c>
      <c r="E1962" s="50" t="str">
        <f>VLOOKUP(D1962,'[2]Lista de Produtos CLASSIFICAÇÃO'!$E$103:$F$114,2,FALSE)</f>
        <v>Biocombustíveis</v>
      </c>
      <c r="F1962" s="61">
        <v>11850</v>
      </c>
      <c r="G1962" t="str">
        <f>VLOOKUP(Tabela1[[#This Row],[Cliente]],clientes!$C$3:$D$60,2,FALSE)</f>
        <v>INPASA</v>
      </c>
    </row>
    <row r="1963" spans="1:7" x14ac:dyDescent="0.25">
      <c r="A1963">
        <v>2026</v>
      </c>
      <c r="B1963" t="s">
        <v>143</v>
      </c>
      <c r="C1963" t="s">
        <v>155</v>
      </c>
      <c r="D1963" t="s">
        <v>16</v>
      </c>
      <c r="E1963" t="str">
        <f>VLOOKUP(D1963,'[2]Lista de Produtos CLASSIFICAÇÃO'!$E$103:$F$114,2,FALSE)</f>
        <v>Outros</v>
      </c>
      <c r="F1963">
        <v>4500</v>
      </c>
      <c r="G1963" t="str">
        <f>VLOOKUP(Tabela1[[#This Row],[Cliente]],clientes!$C$3:$D$60,2,FALSE)</f>
        <v>ADISSEO</v>
      </c>
    </row>
    <row r="1964" spans="1:7" x14ac:dyDescent="0.25">
      <c r="A1964">
        <v>2026</v>
      </c>
      <c r="B1964" t="s">
        <v>132</v>
      </c>
      <c r="C1964" t="s">
        <v>155</v>
      </c>
      <c r="D1964" t="s">
        <v>16</v>
      </c>
      <c r="E1964" t="str">
        <f>VLOOKUP(D1964,'[2]Lista de Produtos CLASSIFICAÇÃO'!$E$103:$F$114,2,FALSE)</f>
        <v>Outros</v>
      </c>
      <c r="F1964">
        <v>4500</v>
      </c>
      <c r="G1964" t="str">
        <f>VLOOKUP(Tabela1[[#This Row],[Cliente]],clientes!$C$3:$D$60,2,FALSE)</f>
        <v>ADISSEO</v>
      </c>
    </row>
    <row r="1965" spans="1:7" x14ac:dyDescent="0.25">
      <c r="A1965">
        <v>2026</v>
      </c>
      <c r="B1965" t="s">
        <v>133</v>
      </c>
      <c r="C1965" t="s">
        <v>155</v>
      </c>
      <c r="D1965" t="s">
        <v>16</v>
      </c>
      <c r="E1965" t="str">
        <f>VLOOKUP(D1965,'[2]Lista de Produtos CLASSIFICAÇÃO'!$E$103:$F$114,2,FALSE)</f>
        <v>Outros</v>
      </c>
      <c r="F1965">
        <v>4500</v>
      </c>
      <c r="G1965" t="str">
        <f>VLOOKUP(Tabela1[[#This Row],[Cliente]],clientes!$C$3:$D$60,2,FALSE)</f>
        <v>ADISSEO</v>
      </c>
    </row>
    <row r="1966" spans="1:7" x14ac:dyDescent="0.25">
      <c r="A1966">
        <v>2026</v>
      </c>
      <c r="B1966" t="s">
        <v>134</v>
      </c>
      <c r="C1966" t="s">
        <v>155</v>
      </c>
      <c r="D1966" t="s">
        <v>16</v>
      </c>
      <c r="E1966" t="str">
        <f>VLOOKUP(D1966,'[2]Lista de Produtos CLASSIFICAÇÃO'!$E$103:$F$114,2,FALSE)</f>
        <v>Outros</v>
      </c>
      <c r="F1966">
        <v>4500</v>
      </c>
      <c r="G1966" t="str">
        <f>VLOOKUP(Tabela1[[#This Row],[Cliente]],clientes!$C$3:$D$60,2,FALSE)</f>
        <v>ADISSEO</v>
      </c>
    </row>
    <row r="1967" spans="1:7" x14ac:dyDescent="0.25">
      <c r="A1967">
        <v>2026</v>
      </c>
      <c r="B1967" t="s">
        <v>135</v>
      </c>
      <c r="C1967" t="s">
        <v>155</v>
      </c>
      <c r="D1967" t="s">
        <v>16</v>
      </c>
      <c r="E1967" t="str">
        <f>VLOOKUP(D1967,'[2]Lista de Produtos CLASSIFICAÇÃO'!$E$103:$F$114,2,FALSE)</f>
        <v>Outros</v>
      </c>
      <c r="F1967">
        <v>4500</v>
      </c>
      <c r="G1967" t="str">
        <f>VLOOKUP(Tabela1[[#This Row],[Cliente]],clientes!$C$3:$D$60,2,FALSE)</f>
        <v>ADISSEO</v>
      </c>
    </row>
    <row r="1968" spans="1:7" x14ac:dyDescent="0.25">
      <c r="A1968">
        <v>2026</v>
      </c>
      <c r="B1968" t="s">
        <v>136</v>
      </c>
      <c r="C1968" t="s">
        <v>155</v>
      </c>
      <c r="D1968" t="s">
        <v>16</v>
      </c>
      <c r="E1968" t="str">
        <f>VLOOKUP(D1968,'[2]Lista de Produtos CLASSIFICAÇÃO'!$E$103:$F$114,2,FALSE)</f>
        <v>Outros</v>
      </c>
      <c r="F1968">
        <v>4500</v>
      </c>
      <c r="G1968" t="str">
        <f>VLOOKUP(Tabela1[[#This Row],[Cliente]],clientes!$C$3:$D$60,2,FALSE)</f>
        <v>ADISSEO</v>
      </c>
    </row>
    <row r="1969" spans="1:7" x14ac:dyDescent="0.25">
      <c r="A1969">
        <v>2026</v>
      </c>
      <c r="B1969" t="s">
        <v>137</v>
      </c>
      <c r="C1969" t="s">
        <v>155</v>
      </c>
      <c r="D1969" t="s">
        <v>16</v>
      </c>
      <c r="E1969" t="str">
        <f>VLOOKUP(D1969,'[2]Lista de Produtos CLASSIFICAÇÃO'!$E$103:$F$114,2,FALSE)</f>
        <v>Outros</v>
      </c>
      <c r="F1969">
        <v>4500</v>
      </c>
      <c r="G1969" t="str">
        <f>VLOOKUP(Tabela1[[#This Row],[Cliente]],clientes!$C$3:$D$60,2,FALSE)</f>
        <v>ADISSEO</v>
      </c>
    </row>
    <row r="1970" spans="1:7" x14ac:dyDescent="0.25">
      <c r="A1970">
        <v>2026</v>
      </c>
      <c r="B1970" t="s">
        <v>138</v>
      </c>
      <c r="C1970" t="s">
        <v>155</v>
      </c>
      <c r="D1970" t="s">
        <v>16</v>
      </c>
      <c r="E1970" t="str">
        <f>VLOOKUP(D1970,'[2]Lista de Produtos CLASSIFICAÇÃO'!$E$103:$F$114,2,FALSE)</f>
        <v>Outros</v>
      </c>
      <c r="F1970">
        <v>4500</v>
      </c>
      <c r="G1970" t="str">
        <f>VLOOKUP(Tabela1[[#This Row],[Cliente]],clientes!$C$3:$D$60,2,FALSE)</f>
        <v>ADISSEO</v>
      </c>
    </row>
    <row r="1971" spans="1:7" x14ac:dyDescent="0.25">
      <c r="A1971">
        <v>2026</v>
      </c>
      <c r="B1971" t="s">
        <v>139</v>
      </c>
      <c r="C1971" t="s">
        <v>155</v>
      </c>
      <c r="D1971" t="s">
        <v>16</v>
      </c>
      <c r="E1971" t="str">
        <f>VLOOKUP(D1971,'[2]Lista de Produtos CLASSIFICAÇÃO'!$E$103:$F$114,2,FALSE)</f>
        <v>Outros</v>
      </c>
      <c r="F1971">
        <v>4500</v>
      </c>
      <c r="G1971" t="str">
        <f>VLOOKUP(Tabela1[[#This Row],[Cliente]],clientes!$C$3:$D$60,2,FALSE)</f>
        <v>ADISSEO</v>
      </c>
    </row>
    <row r="1972" spans="1:7" x14ac:dyDescent="0.25">
      <c r="A1972">
        <v>2026</v>
      </c>
      <c r="B1972" t="s">
        <v>140</v>
      </c>
      <c r="C1972" t="s">
        <v>155</v>
      </c>
      <c r="D1972" t="s">
        <v>16</v>
      </c>
      <c r="E1972" t="str">
        <f>VLOOKUP(D1972,'[2]Lista de Produtos CLASSIFICAÇÃO'!$E$103:$F$114,2,FALSE)</f>
        <v>Outros</v>
      </c>
      <c r="F1972">
        <v>4500</v>
      </c>
      <c r="G1972" t="str">
        <f>VLOOKUP(Tabela1[[#This Row],[Cliente]],clientes!$C$3:$D$60,2,FALSE)</f>
        <v>ADISSEO</v>
      </c>
    </row>
    <row r="1973" spans="1:7" x14ac:dyDescent="0.25">
      <c r="A1973">
        <v>2026</v>
      </c>
      <c r="B1973" t="s">
        <v>141</v>
      </c>
      <c r="C1973" t="s">
        <v>155</v>
      </c>
      <c r="D1973" t="s">
        <v>16</v>
      </c>
      <c r="E1973" t="str">
        <f>VLOOKUP(D1973,'[2]Lista de Produtos CLASSIFICAÇÃO'!$E$103:$F$114,2,FALSE)</f>
        <v>Outros</v>
      </c>
      <c r="F1973">
        <v>4500</v>
      </c>
      <c r="G1973" t="str">
        <f>VLOOKUP(Tabela1[[#This Row],[Cliente]],clientes!$C$3:$D$60,2,FALSE)</f>
        <v>ADISSEO</v>
      </c>
    </row>
    <row r="1974" spans="1:7" x14ac:dyDescent="0.25">
      <c r="A1974">
        <v>2026</v>
      </c>
      <c r="B1974" t="s">
        <v>142</v>
      </c>
      <c r="C1974" t="s">
        <v>155</v>
      </c>
      <c r="D1974" t="s">
        <v>16</v>
      </c>
      <c r="E1974" t="str">
        <f>VLOOKUP(D1974,'[2]Lista de Produtos CLASSIFICAÇÃO'!$E$103:$F$114,2,FALSE)</f>
        <v>Outros</v>
      </c>
      <c r="F1974">
        <v>4500</v>
      </c>
      <c r="G1974" t="str">
        <f>VLOOKUP(Tabela1[[#This Row],[Cliente]],clientes!$C$3:$D$60,2,FALSE)</f>
        <v>ADISSEO</v>
      </c>
    </row>
    <row r="1975" spans="1:7" x14ac:dyDescent="0.25">
      <c r="A1975">
        <v>2026</v>
      </c>
      <c r="B1975" t="s">
        <v>143</v>
      </c>
      <c r="C1975" t="s">
        <v>156</v>
      </c>
      <c r="D1975" t="s">
        <v>123</v>
      </c>
      <c r="E1975" t="str">
        <f>VLOOKUP(D1975,'[2]Lista de Produtos CLASSIFICAÇÃO'!$E$103:$F$114,2,FALSE)</f>
        <v>Aquecidos</v>
      </c>
      <c r="F1975">
        <v>1900</v>
      </c>
      <c r="G1975" t="str">
        <f>VLOOKUP(Tabela1[[#This Row],[Cliente]],clientes!$C$3:$D$60,2,FALSE)</f>
        <v>BUNGE</v>
      </c>
    </row>
    <row r="1976" spans="1:7" x14ac:dyDescent="0.25">
      <c r="A1976">
        <v>2026</v>
      </c>
      <c r="B1976" t="s">
        <v>132</v>
      </c>
      <c r="C1976" t="s">
        <v>156</v>
      </c>
      <c r="D1976" t="s">
        <v>123</v>
      </c>
      <c r="E1976" t="str">
        <f>VLOOKUP(D1976,'[2]Lista de Produtos CLASSIFICAÇÃO'!$E$103:$F$114,2,FALSE)</f>
        <v>Aquecidos</v>
      </c>
      <c r="F1976">
        <v>1900</v>
      </c>
      <c r="G1976" t="str">
        <f>VLOOKUP(Tabela1[[#This Row],[Cliente]],clientes!$C$3:$D$60,2,FALSE)</f>
        <v>BUNGE</v>
      </c>
    </row>
    <row r="1977" spans="1:7" x14ac:dyDescent="0.25">
      <c r="A1977">
        <v>2026</v>
      </c>
      <c r="B1977" t="s">
        <v>133</v>
      </c>
      <c r="C1977" t="s">
        <v>156</v>
      </c>
      <c r="D1977" t="s">
        <v>123</v>
      </c>
      <c r="E1977" t="str">
        <f>VLOOKUP(D1977,'[2]Lista de Produtos CLASSIFICAÇÃO'!$E$103:$F$114,2,FALSE)</f>
        <v>Aquecidos</v>
      </c>
      <c r="F1977">
        <v>1900</v>
      </c>
      <c r="G1977" t="str">
        <f>VLOOKUP(Tabela1[[#This Row],[Cliente]],clientes!$C$3:$D$60,2,FALSE)</f>
        <v>BUNGE</v>
      </c>
    </row>
    <row r="1978" spans="1:7" x14ac:dyDescent="0.25">
      <c r="A1978">
        <v>2026</v>
      </c>
      <c r="B1978" t="s">
        <v>134</v>
      </c>
      <c r="C1978" t="s">
        <v>156</v>
      </c>
      <c r="D1978" t="s">
        <v>123</v>
      </c>
      <c r="E1978" t="str">
        <f>VLOOKUP(D1978,'[2]Lista de Produtos CLASSIFICAÇÃO'!$E$103:$F$114,2,FALSE)</f>
        <v>Aquecidos</v>
      </c>
      <c r="F1978">
        <v>1900</v>
      </c>
      <c r="G1978" t="str">
        <f>VLOOKUP(Tabela1[[#This Row],[Cliente]],clientes!$C$3:$D$60,2,FALSE)</f>
        <v>BUNGE</v>
      </c>
    </row>
    <row r="1979" spans="1:7" x14ac:dyDescent="0.25">
      <c r="A1979">
        <v>2026</v>
      </c>
      <c r="B1979" t="s">
        <v>135</v>
      </c>
      <c r="C1979" t="s">
        <v>156</v>
      </c>
      <c r="D1979" t="s">
        <v>123</v>
      </c>
      <c r="E1979" t="str">
        <f>VLOOKUP(D1979,'[2]Lista de Produtos CLASSIFICAÇÃO'!$E$103:$F$114,2,FALSE)</f>
        <v>Aquecidos</v>
      </c>
      <c r="F1979">
        <v>1900</v>
      </c>
      <c r="G1979" t="str">
        <f>VLOOKUP(Tabela1[[#This Row],[Cliente]],clientes!$C$3:$D$60,2,FALSE)</f>
        <v>BUNGE</v>
      </c>
    </row>
    <row r="1980" spans="1:7" x14ac:dyDescent="0.25">
      <c r="A1980">
        <v>2026</v>
      </c>
      <c r="B1980" t="s">
        <v>136</v>
      </c>
      <c r="C1980" t="s">
        <v>156</v>
      </c>
      <c r="D1980" t="s">
        <v>123</v>
      </c>
      <c r="E1980" t="str">
        <f>VLOOKUP(D1980,'[2]Lista de Produtos CLASSIFICAÇÃO'!$E$103:$F$114,2,FALSE)</f>
        <v>Aquecidos</v>
      </c>
      <c r="F1980">
        <v>1900</v>
      </c>
      <c r="G1980" t="str">
        <f>VLOOKUP(Tabela1[[#This Row],[Cliente]],clientes!$C$3:$D$60,2,FALSE)</f>
        <v>BUNGE</v>
      </c>
    </row>
    <row r="1981" spans="1:7" x14ac:dyDescent="0.25">
      <c r="A1981">
        <v>2026</v>
      </c>
      <c r="B1981" t="s">
        <v>137</v>
      </c>
      <c r="C1981" t="s">
        <v>156</v>
      </c>
      <c r="D1981" t="s">
        <v>123</v>
      </c>
      <c r="E1981" t="str">
        <f>VLOOKUP(D1981,'[2]Lista de Produtos CLASSIFICAÇÃO'!$E$103:$F$114,2,FALSE)</f>
        <v>Aquecidos</v>
      </c>
      <c r="F1981">
        <v>1900</v>
      </c>
      <c r="G1981" t="str">
        <f>VLOOKUP(Tabela1[[#This Row],[Cliente]],clientes!$C$3:$D$60,2,FALSE)</f>
        <v>BUNGE</v>
      </c>
    </row>
    <row r="1982" spans="1:7" x14ac:dyDescent="0.25">
      <c r="A1982">
        <v>2026</v>
      </c>
      <c r="B1982" t="s">
        <v>138</v>
      </c>
      <c r="C1982" t="s">
        <v>156</v>
      </c>
      <c r="D1982" t="s">
        <v>123</v>
      </c>
      <c r="E1982" t="str">
        <f>VLOOKUP(D1982,'[2]Lista de Produtos CLASSIFICAÇÃO'!$E$103:$F$114,2,FALSE)</f>
        <v>Aquecidos</v>
      </c>
      <c r="F1982">
        <v>1900</v>
      </c>
      <c r="G1982" t="str">
        <f>VLOOKUP(Tabela1[[#This Row],[Cliente]],clientes!$C$3:$D$60,2,FALSE)</f>
        <v>BUNGE</v>
      </c>
    </row>
    <row r="1983" spans="1:7" x14ac:dyDescent="0.25">
      <c r="A1983">
        <v>2026</v>
      </c>
      <c r="B1983" t="s">
        <v>139</v>
      </c>
      <c r="C1983" t="s">
        <v>156</v>
      </c>
      <c r="D1983" t="s">
        <v>123</v>
      </c>
      <c r="E1983" t="str">
        <f>VLOOKUP(D1983,'[2]Lista de Produtos CLASSIFICAÇÃO'!$E$103:$F$114,2,FALSE)</f>
        <v>Aquecidos</v>
      </c>
      <c r="F1983">
        <v>1900</v>
      </c>
      <c r="G1983" t="str">
        <f>VLOOKUP(Tabela1[[#This Row],[Cliente]],clientes!$C$3:$D$60,2,FALSE)</f>
        <v>BUNGE</v>
      </c>
    </row>
    <row r="1984" spans="1:7" x14ac:dyDescent="0.25">
      <c r="A1984">
        <v>2026</v>
      </c>
      <c r="B1984" t="s">
        <v>140</v>
      </c>
      <c r="C1984" t="s">
        <v>156</v>
      </c>
      <c r="D1984" t="s">
        <v>123</v>
      </c>
      <c r="E1984" t="str">
        <f>VLOOKUP(D1984,'[2]Lista de Produtos CLASSIFICAÇÃO'!$E$103:$F$114,2,FALSE)</f>
        <v>Aquecidos</v>
      </c>
      <c r="F1984">
        <v>1900</v>
      </c>
      <c r="G1984" t="str">
        <f>VLOOKUP(Tabela1[[#This Row],[Cliente]],clientes!$C$3:$D$60,2,FALSE)</f>
        <v>BUNGE</v>
      </c>
    </row>
    <row r="1985" spans="1:8" x14ac:dyDescent="0.25">
      <c r="A1985">
        <v>2026</v>
      </c>
      <c r="B1985" t="s">
        <v>141</v>
      </c>
      <c r="C1985" t="s">
        <v>156</v>
      </c>
      <c r="D1985" t="s">
        <v>123</v>
      </c>
      <c r="E1985" t="str">
        <f>VLOOKUP(D1985,'[2]Lista de Produtos CLASSIFICAÇÃO'!$E$103:$F$114,2,FALSE)</f>
        <v>Aquecidos</v>
      </c>
      <c r="F1985">
        <v>1900</v>
      </c>
      <c r="G1985" t="str">
        <f>VLOOKUP(Tabela1[[#This Row],[Cliente]],clientes!$C$3:$D$60,2,FALSE)</f>
        <v>BUNGE</v>
      </c>
    </row>
    <row r="1986" spans="1:8" x14ac:dyDescent="0.25">
      <c r="A1986">
        <v>2026</v>
      </c>
      <c r="B1986" t="s">
        <v>142</v>
      </c>
      <c r="C1986" t="s">
        <v>156</v>
      </c>
      <c r="D1986" t="s">
        <v>123</v>
      </c>
      <c r="E1986" t="str">
        <f>VLOOKUP(D1986,'[2]Lista de Produtos CLASSIFICAÇÃO'!$E$103:$F$114,2,FALSE)</f>
        <v>Aquecidos</v>
      </c>
      <c r="F1986">
        <v>1900</v>
      </c>
      <c r="G1986" t="str">
        <f>VLOOKUP(Tabela1[[#This Row],[Cliente]],clientes!$C$3:$D$60,2,FALSE)</f>
        <v>BUNGE</v>
      </c>
    </row>
    <row r="1987" spans="1:8" x14ac:dyDescent="0.25">
      <c r="A1987">
        <v>2026</v>
      </c>
      <c r="B1987" t="s">
        <v>143</v>
      </c>
      <c r="C1987" t="s">
        <v>157</v>
      </c>
      <c r="D1987" t="s">
        <v>122</v>
      </c>
      <c r="E1987" t="str">
        <f>VLOOKUP(D1987,'[2]Lista de Produtos CLASSIFICAÇÃO'!$E$103:$F$114,2,FALSE)</f>
        <v>Óleo Vegetal</v>
      </c>
      <c r="F1987">
        <v>2600</v>
      </c>
      <c r="G1987" t="str">
        <f>VLOOKUP(Tabela1[[#This Row],[Cliente]],clientes!$C$3:$D$60,2,FALSE)</f>
        <v>ADM</v>
      </c>
    </row>
    <row r="1988" spans="1:8" x14ac:dyDescent="0.25">
      <c r="A1988">
        <v>2026</v>
      </c>
      <c r="B1988" t="s">
        <v>132</v>
      </c>
      <c r="C1988" t="s">
        <v>157</v>
      </c>
      <c r="D1988" t="s">
        <v>122</v>
      </c>
      <c r="E1988" t="str">
        <f>VLOOKUP(D1988,'[2]Lista de Produtos CLASSIFICAÇÃO'!$E$103:$F$114,2,FALSE)</f>
        <v>Óleo Vegetal</v>
      </c>
      <c r="F1988">
        <v>2600</v>
      </c>
      <c r="G1988" t="str">
        <f>VLOOKUP(Tabela1[[#This Row],[Cliente]],clientes!$C$3:$D$60,2,FALSE)</f>
        <v>ADM</v>
      </c>
    </row>
    <row r="1989" spans="1:8" x14ac:dyDescent="0.25">
      <c r="A1989">
        <v>2026</v>
      </c>
      <c r="B1989" t="s">
        <v>133</v>
      </c>
      <c r="C1989" t="s">
        <v>157</v>
      </c>
      <c r="D1989" t="s">
        <v>122</v>
      </c>
      <c r="E1989" t="str">
        <f>VLOOKUP(D1989,'[2]Lista de Produtos CLASSIFICAÇÃO'!$E$103:$F$114,2,FALSE)</f>
        <v>Óleo Vegetal</v>
      </c>
      <c r="F1989">
        <v>2600</v>
      </c>
      <c r="G1989" t="str">
        <f>VLOOKUP(Tabela1[[#This Row],[Cliente]],clientes!$C$3:$D$60,2,FALSE)</f>
        <v>ADM</v>
      </c>
    </row>
    <row r="1990" spans="1:8" x14ac:dyDescent="0.25">
      <c r="A1990">
        <v>2026</v>
      </c>
      <c r="B1990" t="s">
        <v>134</v>
      </c>
      <c r="C1990" t="s">
        <v>157</v>
      </c>
      <c r="D1990" t="s">
        <v>122</v>
      </c>
      <c r="E1990" t="str">
        <f>VLOOKUP(D1990,'[2]Lista de Produtos CLASSIFICAÇÃO'!$E$103:$F$114,2,FALSE)</f>
        <v>Óleo Vegetal</v>
      </c>
      <c r="F1990">
        <v>2600</v>
      </c>
      <c r="G1990" t="str">
        <f>VLOOKUP(Tabela1[[#This Row],[Cliente]],clientes!$C$3:$D$60,2,FALSE)</f>
        <v>ADM</v>
      </c>
    </row>
    <row r="1991" spans="1:8" x14ac:dyDescent="0.25">
      <c r="A1991">
        <v>2026</v>
      </c>
      <c r="B1991" t="s">
        <v>135</v>
      </c>
      <c r="C1991" t="s">
        <v>157</v>
      </c>
      <c r="D1991" t="s">
        <v>122</v>
      </c>
      <c r="E1991" t="str">
        <f>VLOOKUP(D1991,'[2]Lista de Produtos CLASSIFICAÇÃO'!$E$103:$F$114,2,FALSE)</f>
        <v>Óleo Vegetal</v>
      </c>
      <c r="F1991">
        <v>2600</v>
      </c>
      <c r="G1991" t="str">
        <f>VLOOKUP(Tabela1[[#This Row],[Cliente]],clientes!$C$3:$D$60,2,FALSE)</f>
        <v>ADM</v>
      </c>
    </row>
    <row r="1992" spans="1:8" x14ac:dyDescent="0.25">
      <c r="A1992">
        <v>2026</v>
      </c>
      <c r="B1992" t="s">
        <v>136</v>
      </c>
      <c r="C1992" t="s">
        <v>157</v>
      </c>
      <c r="D1992" t="s">
        <v>122</v>
      </c>
      <c r="E1992" t="str">
        <f>VLOOKUP(D1992,'[2]Lista de Produtos CLASSIFICAÇÃO'!$E$103:$F$114,2,FALSE)</f>
        <v>Óleo Vegetal</v>
      </c>
      <c r="F1992">
        <v>2600</v>
      </c>
      <c r="G1992" t="str">
        <f>VLOOKUP(Tabela1[[#This Row],[Cliente]],clientes!$C$3:$D$60,2,FALSE)</f>
        <v>ADM</v>
      </c>
    </row>
    <row r="1993" spans="1:8" x14ac:dyDescent="0.25">
      <c r="A1993">
        <v>2026</v>
      </c>
      <c r="B1993" t="s">
        <v>137</v>
      </c>
      <c r="C1993" t="s">
        <v>157</v>
      </c>
      <c r="D1993" t="s">
        <v>122</v>
      </c>
      <c r="E1993" t="str">
        <f>VLOOKUP(D1993,'[2]Lista de Produtos CLASSIFICAÇÃO'!$E$103:$F$114,2,FALSE)</f>
        <v>Óleo Vegetal</v>
      </c>
      <c r="F1993">
        <v>2600</v>
      </c>
      <c r="G1993" t="str">
        <f>VLOOKUP(Tabela1[[#This Row],[Cliente]],clientes!$C$3:$D$60,2,FALSE)</f>
        <v>ADM</v>
      </c>
    </row>
    <row r="1994" spans="1:8" x14ac:dyDescent="0.25">
      <c r="A1994">
        <v>2026</v>
      </c>
      <c r="B1994" t="s">
        <v>138</v>
      </c>
      <c r="C1994" t="s">
        <v>157</v>
      </c>
      <c r="D1994" t="s">
        <v>122</v>
      </c>
      <c r="E1994" t="str">
        <f>VLOOKUP(D1994,'[2]Lista de Produtos CLASSIFICAÇÃO'!$E$103:$F$114,2,FALSE)</f>
        <v>Óleo Vegetal</v>
      </c>
      <c r="F1994">
        <v>2600</v>
      </c>
      <c r="G1994" t="str">
        <f>VLOOKUP(Tabela1[[#This Row],[Cliente]],clientes!$C$3:$D$60,2,FALSE)</f>
        <v>ADM</v>
      </c>
    </row>
    <row r="1995" spans="1:8" x14ac:dyDescent="0.25">
      <c r="A1995">
        <v>2026</v>
      </c>
      <c r="B1995" t="s">
        <v>139</v>
      </c>
      <c r="C1995" t="s">
        <v>157</v>
      </c>
      <c r="D1995" t="s">
        <v>122</v>
      </c>
      <c r="E1995" t="str">
        <f>VLOOKUP(D1995,'[2]Lista de Produtos CLASSIFICAÇÃO'!$E$103:$F$114,2,FALSE)</f>
        <v>Óleo Vegetal</v>
      </c>
      <c r="F1995">
        <v>2600</v>
      </c>
      <c r="G1995" t="str">
        <f>VLOOKUP(Tabela1[[#This Row],[Cliente]],clientes!$C$3:$D$60,2,FALSE)</f>
        <v>ADM</v>
      </c>
    </row>
    <row r="1996" spans="1:8" x14ac:dyDescent="0.25">
      <c r="A1996">
        <v>2026</v>
      </c>
      <c r="B1996" t="s">
        <v>140</v>
      </c>
      <c r="C1996" t="s">
        <v>157</v>
      </c>
      <c r="D1996" t="s">
        <v>122</v>
      </c>
      <c r="E1996" t="str">
        <f>VLOOKUP(D1996,'[2]Lista de Produtos CLASSIFICAÇÃO'!$E$103:$F$114,2,FALSE)</f>
        <v>Óleo Vegetal</v>
      </c>
      <c r="F1996">
        <v>2600</v>
      </c>
      <c r="G1996" t="str">
        <f>VLOOKUP(Tabela1[[#This Row],[Cliente]],clientes!$C$3:$D$60,2,FALSE)</f>
        <v>ADM</v>
      </c>
    </row>
    <row r="1997" spans="1:8" x14ac:dyDescent="0.25">
      <c r="A1997">
        <v>2026</v>
      </c>
      <c r="B1997" t="s">
        <v>141</v>
      </c>
      <c r="C1997" t="s">
        <v>157</v>
      </c>
      <c r="D1997" t="s">
        <v>122</v>
      </c>
      <c r="E1997" t="str">
        <f>VLOOKUP(D1997,'[2]Lista de Produtos CLASSIFICAÇÃO'!$E$103:$F$114,2,FALSE)</f>
        <v>Óleo Vegetal</v>
      </c>
      <c r="F1997">
        <v>2600</v>
      </c>
      <c r="G1997" t="str">
        <f>VLOOKUP(Tabela1[[#This Row],[Cliente]],clientes!$C$3:$D$60,2,FALSE)</f>
        <v>ADM</v>
      </c>
    </row>
    <row r="1998" spans="1:8" x14ac:dyDescent="0.25">
      <c r="A1998">
        <v>2026</v>
      </c>
      <c r="B1998" t="s">
        <v>142</v>
      </c>
      <c r="C1998" t="s">
        <v>157</v>
      </c>
      <c r="D1998" t="s">
        <v>122</v>
      </c>
      <c r="E1998" t="str">
        <f>VLOOKUP(D1998,'[2]Lista de Produtos CLASSIFICAÇÃO'!$E$103:$F$114,2,FALSE)</f>
        <v>Óleo Vegetal</v>
      </c>
      <c r="F1998">
        <v>2600</v>
      </c>
      <c r="G1998" t="str">
        <f>VLOOKUP(Tabela1[[#This Row],[Cliente]],clientes!$C$3:$D$60,2,FALSE)</f>
        <v>ADM</v>
      </c>
    </row>
    <row r="1999" spans="1:8" x14ac:dyDescent="0.25">
      <c r="A1999">
        <v>2026</v>
      </c>
      <c r="B1999" t="s">
        <v>143</v>
      </c>
      <c r="C1999" t="s">
        <v>158</v>
      </c>
      <c r="D1999" t="s">
        <v>120</v>
      </c>
      <c r="E1999" t="str">
        <f>VLOOKUP(D1999,'[2]Lista de Produtos CLASSIFICAÇÃO'!$E$103:$F$114,2,FALSE)</f>
        <v>Derivados</v>
      </c>
      <c r="F1999">
        <v>52290</v>
      </c>
      <c r="G1999" t="str">
        <f>VLOOKUP(Tabela1[[#This Row],[Cliente]],clientes!$C$3:$D$60,2,FALSE)</f>
        <v>IPIRANGA</v>
      </c>
      <c r="H1999" s="63">
        <f>SUM(F1963:F2374)</f>
        <v>5061243.8000000007</v>
      </c>
    </row>
    <row r="2000" spans="1:8" x14ac:dyDescent="0.25">
      <c r="A2000">
        <v>2026</v>
      </c>
      <c r="B2000" t="s">
        <v>132</v>
      </c>
      <c r="C2000" t="s">
        <v>158</v>
      </c>
      <c r="D2000" t="s">
        <v>120</v>
      </c>
      <c r="E2000" t="str">
        <f>VLOOKUP(D2000,'[2]Lista de Produtos CLASSIFICAÇÃO'!$E$103:$F$114,2,FALSE)</f>
        <v>Derivados</v>
      </c>
      <c r="F2000">
        <v>52290</v>
      </c>
      <c r="G2000" t="str">
        <f>VLOOKUP(Tabela1[[#This Row],[Cliente]],clientes!$C$3:$D$60,2,FALSE)</f>
        <v>IPIRANGA</v>
      </c>
    </row>
    <row r="2001" spans="1:7" x14ac:dyDescent="0.25">
      <c r="A2001">
        <v>2026</v>
      </c>
      <c r="B2001" t="s">
        <v>133</v>
      </c>
      <c r="C2001" t="s">
        <v>158</v>
      </c>
      <c r="D2001" t="s">
        <v>120</v>
      </c>
      <c r="E2001" t="str">
        <f>VLOOKUP(D2001,'[2]Lista de Produtos CLASSIFICAÇÃO'!$E$103:$F$114,2,FALSE)</f>
        <v>Derivados</v>
      </c>
      <c r="F2001">
        <v>52290</v>
      </c>
      <c r="G2001" t="str">
        <f>VLOOKUP(Tabela1[[#This Row],[Cliente]],clientes!$C$3:$D$60,2,FALSE)</f>
        <v>IPIRANGA</v>
      </c>
    </row>
    <row r="2002" spans="1:7" x14ac:dyDescent="0.25">
      <c r="A2002">
        <v>2026</v>
      </c>
      <c r="B2002" t="s">
        <v>134</v>
      </c>
      <c r="C2002" t="s">
        <v>158</v>
      </c>
      <c r="D2002" t="s">
        <v>120</v>
      </c>
      <c r="E2002" t="str">
        <f>VLOOKUP(D2002,'[2]Lista de Produtos CLASSIFICAÇÃO'!$E$103:$F$114,2,FALSE)</f>
        <v>Derivados</v>
      </c>
      <c r="F2002">
        <v>52290</v>
      </c>
      <c r="G2002" t="str">
        <f>VLOOKUP(Tabela1[[#This Row],[Cliente]],clientes!$C$3:$D$60,2,FALSE)</f>
        <v>IPIRANGA</v>
      </c>
    </row>
    <row r="2003" spans="1:7" x14ac:dyDescent="0.25">
      <c r="A2003">
        <v>2026</v>
      </c>
      <c r="B2003" t="s">
        <v>135</v>
      </c>
      <c r="C2003" t="s">
        <v>158</v>
      </c>
      <c r="D2003" t="s">
        <v>120</v>
      </c>
      <c r="E2003" t="str">
        <f>VLOOKUP(D2003,'[2]Lista de Produtos CLASSIFICAÇÃO'!$E$103:$F$114,2,FALSE)</f>
        <v>Derivados</v>
      </c>
      <c r="F2003">
        <v>52290</v>
      </c>
      <c r="G2003" t="str">
        <f>VLOOKUP(Tabela1[[#This Row],[Cliente]],clientes!$C$3:$D$60,2,FALSE)</f>
        <v>IPIRANGA</v>
      </c>
    </row>
    <row r="2004" spans="1:7" x14ac:dyDescent="0.25">
      <c r="A2004">
        <v>2026</v>
      </c>
      <c r="B2004" t="s">
        <v>136</v>
      </c>
      <c r="C2004" t="s">
        <v>158</v>
      </c>
      <c r="D2004" t="s">
        <v>120</v>
      </c>
      <c r="E2004" t="str">
        <f>VLOOKUP(D2004,'[2]Lista de Produtos CLASSIFICAÇÃO'!$E$103:$F$114,2,FALSE)</f>
        <v>Derivados</v>
      </c>
      <c r="F2004">
        <v>52290</v>
      </c>
      <c r="G2004" t="str">
        <f>VLOOKUP(Tabela1[[#This Row],[Cliente]],clientes!$C$3:$D$60,2,FALSE)</f>
        <v>IPIRANGA</v>
      </c>
    </row>
    <row r="2005" spans="1:7" x14ac:dyDescent="0.25">
      <c r="A2005">
        <v>2026</v>
      </c>
      <c r="B2005" t="s">
        <v>137</v>
      </c>
      <c r="C2005" t="s">
        <v>158</v>
      </c>
      <c r="D2005" t="s">
        <v>120</v>
      </c>
      <c r="E2005" t="str">
        <f>VLOOKUP(D2005,'[2]Lista de Produtos CLASSIFICAÇÃO'!$E$103:$F$114,2,FALSE)</f>
        <v>Derivados</v>
      </c>
      <c r="F2005">
        <v>52290</v>
      </c>
      <c r="G2005" t="str">
        <f>VLOOKUP(Tabela1[[#This Row],[Cliente]],clientes!$C$3:$D$60,2,FALSE)</f>
        <v>IPIRANGA</v>
      </c>
    </row>
    <row r="2006" spans="1:7" x14ac:dyDescent="0.25">
      <c r="A2006">
        <v>2026</v>
      </c>
      <c r="B2006" t="s">
        <v>138</v>
      </c>
      <c r="C2006" t="s">
        <v>158</v>
      </c>
      <c r="D2006" t="s">
        <v>120</v>
      </c>
      <c r="E2006" t="str">
        <f>VLOOKUP(D2006,'[2]Lista de Produtos CLASSIFICAÇÃO'!$E$103:$F$114,2,FALSE)</f>
        <v>Derivados</v>
      </c>
      <c r="F2006">
        <v>52290</v>
      </c>
      <c r="G2006" t="str">
        <f>VLOOKUP(Tabela1[[#This Row],[Cliente]],clientes!$C$3:$D$60,2,FALSE)</f>
        <v>IPIRANGA</v>
      </c>
    </row>
    <row r="2007" spans="1:7" x14ac:dyDescent="0.25">
      <c r="A2007">
        <v>2026</v>
      </c>
      <c r="B2007" t="s">
        <v>139</v>
      </c>
      <c r="C2007" t="s">
        <v>158</v>
      </c>
      <c r="D2007" t="s">
        <v>120</v>
      </c>
      <c r="E2007" t="str">
        <f>VLOOKUP(D2007,'[2]Lista de Produtos CLASSIFICAÇÃO'!$E$103:$F$114,2,FALSE)</f>
        <v>Derivados</v>
      </c>
      <c r="F2007">
        <v>52290</v>
      </c>
      <c r="G2007" t="str">
        <f>VLOOKUP(Tabela1[[#This Row],[Cliente]],clientes!$C$3:$D$60,2,FALSE)</f>
        <v>IPIRANGA</v>
      </c>
    </row>
    <row r="2008" spans="1:7" x14ac:dyDescent="0.25">
      <c r="A2008">
        <v>2026</v>
      </c>
      <c r="B2008" t="s">
        <v>140</v>
      </c>
      <c r="C2008" t="s">
        <v>158</v>
      </c>
      <c r="D2008" t="s">
        <v>120</v>
      </c>
      <c r="E2008" t="str">
        <f>VLOOKUP(D2008,'[2]Lista de Produtos CLASSIFICAÇÃO'!$E$103:$F$114,2,FALSE)</f>
        <v>Derivados</v>
      </c>
      <c r="F2008">
        <v>52290</v>
      </c>
      <c r="G2008" t="str">
        <f>VLOOKUP(Tabela1[[#This Row],[Cliente]],clientes!$C$3:$D$60,2,FALSE)</f>
        <v>IPIRANGA</v>
      </c>
    </row>
    <row r="2009" spans="1:7" x14ac:dyDescent="0.25">
      <c r="A2009">
        <v>2026</v>
      </c>
      <c r="B2009" t="s">
        <v>141</v>
      </c>
      <c r="C2009" t="s">
        <v>158</v>
      </c>
      <c r="D2009" t="s">
        <v>120</v>
      </c>
      <c r="E2009" t="str">
        <f>VLOOKUP(D2009,'[2]Lista de Produtos CLASSIFICAÇÃO'!$E$103:$F$114,2,FALSE)</f>
        <v>Derivados</v>
      </c>
      <c r="F2009">
        <v>52290</v>
      </c>
      <c r="G2009" t="str">
        <f>VLOOKUP(Tabela1[[#This Row],[Cliente]],clientes!$C$3:$D$60,2,FALSE)</f>
        <v>IPIRANGA</v>
      </c>
    </row>
    <row r="2010" spans="1:7" x14ac:dyDescent="0.25">
      <c r="A2010">
        <v>2026</v>
      </c>
      <c r="B2010" t="s">
        <v>142</v>
      </c>
      <c r="C2010" t="s">
        <v>158</v>
      </c>
      <c r="D2010" t="s">
        <v>120</v>
      </c>
      <c r="E2010" t="str">
        <f>VLOOKUP(D2010,'[2]Lista de Produtos CLASSIFICAÇÃO'!$E$103:$F$114,2,FALSE)</f>
        <v>Derivados</v>
      </c>
      <c r="F2010">
        <v>52290</v>
      </c>
      <c r="G2010" t="str">
        <f>VLOOKUP(Tabela1[[#This Row],[Cliente]],clientes!$C$3:$D$60,2,FALSE)</f>
        <v>IPIRANGA</v>
      </c>
    </row>
    <row r="2011" spans="1:7" x14ac:dyDescent="0.25">
      <c r="A2011">
        <v>2026</v>
      </c>
      <c r="B2011" t="s">
        <v>143</v>
      </c>
      <c r="C2011" t="s">
        <v>159</v>
      </c>
      <c r="D2011" t="s">
        <v>120</v>
      </c>
      <c r="E2011" t="str">
        <f>VLOOKUP(D2011,'[2]Lista de Produtos CLASSIFICAÇÃO'!$E$103:$F$114,2,FALSE)</f>
        <v>Derivados</v>
      </c>
      <c r="F2011">
        <v>37350</v>
      </c>
      <c r="G2011" t="str">
        <f>VLOOKUP(Tabela1[[#This Row],[Cliente]],clientes!$C$3:$D$60,2,FALSE)</f>
        <v>RAIZEN</v>
      </c>
    </row>
    <row r="2012" spans="1:7" x14ac:dyDescent="0.25">
      <c r="A2012">
        <v>2026</v>
      </c>
      <c r="B2012" t="s">
        <v>132</v>
      </c>
      <c r="C2012" t="s">
        <v>159</v>
      </c>
      <c r="D2012" t="s">
        <v>120</v>
      </c>
      <c r="E2012" t="str">
        <f>VLOOKUP(D2012,'[2]Lista de Produtos CLASSIFICAÇÃO'!$E$103:$F$114,2,FALSE)</f>
        <v>Derivados</v>
      </c>
      <c r="F2012">
        <v>37350</v>
      </c>
      <c r="G2012" t="str">
        <f>VLOOKUP(Tabela1[[#This Row],[Cliente]],clientes!$C$3:$D$60,2,FALSE)</f>
        <v>RAIZEN</v>
      </c>
    </row>
    <row r="2013" spans="1:7" x14ac:dyDescent="0.25">
      <c r="A2013">
        <v>2026</v>
      </c>
      <c r="B2013" t="s">
        <v>133</v>
      </c>
      <c r="C2013" t="s">
        <v>159</v>
      </c>
      <c r="D2013" t="s">
        <v>120</v>
      </c>
      <c r="E2013" t="str">
        <f>VLOOKUP(D2013,'[2]Lista de Produtos CLASSIFICAÇÃO'!$E$103:$F$114,2,FALSE)</f>
        <v>Derivados</v>
      </c>
      <c r="F2013">
        <v>37350</v>
      </c>
      <c r="G2013" t="str">
        <f>VLOOKUP(Tabela1[[#This Row],[Cliente]],clientes!$C$3:$D$60,2,FALSE)</f>
        <v>RAIZEN</v>
      </c>
    </row>
    <row r="2014" spans="1:7" x14ac:dyDescent="0.25">
      <c r="A2014">
        <v>2026</v>
      </c>
      <c r="B2014" t="s">
        <v>134</v>
      </c>
      <c r="C2014" t="s">
        <v>159</v>
      </c>
      <c r="D2014" t="s">
        <v>120</v>
      </c>
      <c r="E2014" t="str">
        <f>VLOOKUP(D2014,'[2]Lista de Produtos CLASSIFICAÇÃO'!$E$103:$F$114,2,FALSE)</f>
        <v>Derivados</v>
      </c>
      <c r="F2014">
        <v>37350</v>
      </c>
      <c r="G2014" t="str">
        <f>VLOOKUP(Tabela1[[#This Row],[Cliente]],clientes!$C$3:$D$60,2,FALSE)</f>
        <v>RAIZEN</v>
      </c>
    </row>
    <row r="2015" spans="1:7" x14ac:dyDescent="0.25">
      <c r="A2015">
        <v>2026</v>
      </c>
      <c r="B2015" t="s">
        <v>135</v>
      </c>
      <c r="C2015" t="s">
        <v>159</v>
      </c>
      <c r="D2015" t="s">
        <v>120</v>
      </c>
      <c r="E2015" t="str">
        <f>VLOOKUP(D2015,'[2]Lista de Produtos CLASSIFICAÇÃO'!$E$103:$F$114,2,FALSE)</f>
        <v>Derivados</v>
      </c>
      <c r="F2015">
        <v>37350</v>
      </c>
      <c r="G2015" t="str">
        <f>VLOOKUP(Tabela1[[#This Row],[Cliente]],clientes!$C$3:$D$60,2,FALSE)</f>
        <v>RAIZEN</v>
      </c>
    </row>
    <row r="2016" spans="1:7" x14ac:dyDescent="0.25">
      <c r="A2016">
        <v>2026</v>
      </c>
      <c r="B2016" t="s">
        <v>136</v>
      </c>
      <c r="C2016" t="s">
        <v>159</v>
      </c>
      <c r="D2016" t="s">
        <v>120</v>
      </c>
      <c r="E2016" t="str">
        <f>VLOOKUP(D2016,'[2]Lista de Produtos CLASSIFICAÇÃO'!$E$103:$F$114,2,FALSE)</f>
        <v>Derivados</v>
      </c>
      <c r="F2016">
        <v>37350</v>
      </c>
      <c r="G2016" t="str">
        <f>VLOOKUP(Tabela1[[#This Row],[Cliente]],clientes!$C$3:$D$60,2,FALSE)</f>
        <v>RAIZEN</v>
      </c>
    </row>
    <row r="2017" spans="1:7" x14ac:dyDescent="0.25">
      <c r="A2017">
        <v>2026</v>
      </c>
      <c r="B2017" t="s">
        <v>137</v>
      </c>
      <c r="C2017" t="s">
        <v>159</v>
      </c>
      <c r="D2017" t="s">
        <v>120</v>
      </c>
      <c r="E2017" t="str">
        <f>VLOOKUP(D2017,'[2]Lista de Produtos CLASSIFICAÇÃO'!$E$103:$F$114,2,FALSE)</f>
        <v>Derivados</v>
      </c>
      <c r="F2017">
        <v>37350</v>
      </c>
      <c r="G2017" t="str">
        <f>VLOOKUP(Tabela1[[#This Row],[Cliente]],clientes!$C$3:$D$60,2,FALSE)</f>
        <v>RAIZEN</v>
      </c>
    </row>
    <row r="2018" spans="1:7" x14ac:dyDescent="0.25">
      <c r="A2018">
        <v>2026</v>
      </c>
      <c r="B2018" t="s">
        <v>138</v>
      </c>
      <c r="C2018" t="s">
        <v>159</v>
      </c>
      <c r="D2018" t="s">
        <v>120</v>
      </c>
      <c r="E2018" t="str">
        <f>VLOOKUP(D2018,'[2]Lista de Produtos CLASSIFICAÇÃO'!$E$103:$F$114,2,FALSE)</f>
        <v>Derivados</v>
      </c>
      <c r="F2018">
        <v>37350</v>
      </c>
      <c r="G2018" t="str">
        <f>VLOOKUP(Tabela1[[#This Row],[Cliente]],clientes!$C$3:$D$60,2,FALSE)</f>
        <v>RAIZEN</v>
      </c>
    </row>
    <row r="2019" spans="1:7" x14ac:dyDescent="0.25">
      <c r="A2019">
        <v>2026</v>
      </c>
      <c r="B2019" t="s">
        <v>139</v>
      </c>
      <c r="C2019" t="s">
        <v>159</v>
      </c>
      <c r="D2019" t="s">
        <v>120</v>
      </c>
      <c r="E2019" t="str">
        <f>VLOOKUP(D2019,'[2]Lista de Produtos CLASSIFICAÇÃO'!$E$103:$F$114,2,FALSE)</f>
        <v>Derivados</v>
      </c>
      <c r="F2019">
        <v>37350</v>
      </c>
      <c r="G2019" t="str">
        <f>VLOOKUP(Tabela1[[#This Row],[Cliente]],clientes!$C$3:$D$60,2,FALSE)</f>
        <v>RAIZEN</v>
      </c>
    </row>
    <row r="2020" spans="1:7" x14ac:dyDescent="0.25">
      <c r="A2020">
        <v>2026</v>
      </c>
      <c r="B2020" t="s">
        <v>140</v>
      </c>
      <c r="C2020" t="s">
        <v>159</v>
      </c>
      <c r="D2020" t="s">
        <v>120</v>
      </c>
      <c r="E2020" t="str">
        <f>VLOOKUP(D2020,'[2]Lista de Produtos CLASSIFICAÇÃO'!$E$103:$F$114,2,FALSE)</f>
        <v>Derivados</v>
      </c>
      <c r="F2020">
        <v>37350</v>
      </c>
      <c r="G2020" t="str">
        <f>VLOOKUP(Tabela1[[#This Row],[Cliente]],clientes!$C$3:$D$60,2,FALSE)</f>
        <v>RAIZEN</v>
      </c>
    </row>
    <row r="2021" spans="1:7" x14ac:dyDescent="0.25">
      <c r="A2021">
        <v>2026</v>
      </c>
      <c r="B2021" t="s">
        <v>141</v>
      </c>
      <c r="C2021" t="s">
        <v>159</v>
      </c>
      <c r="D2021" t="s">
        <v>120</v>
      </c>
      <c r="E2021" t="str">
        <f>VLOOKUP(D2021,'[2]Lista de Produtos CLASSIFICAÇÃO'!$E$103:$F$114,2,FALSE)</f>
        <v>Derivados</v>
      </c>
      <c r="F2021">
        <v>37350</v>
      </c>
      <c r="G2021" t="str">
        <f>VLOOKUP(Tabela1[[#This Row],[Cliente]],clientes!$C$3:$D$60,2,FALSE)</f>
        <v>RAIZEN</v>
      </c>
    </row>
    <row r="2022" spans="1:7" x14ac:dyDescent="0.25">
      <c r="A2022">
        <v>2026</v>
      </c>
      <c r="B2022" t="s">
        <v>142</v>
      </c>
      <c r="C2022" t="s">
        <v>159</v>
      </c>
      <c r="D2022" t="s">
        <v>120</v>
      </c>
      <c r="E2022" t="str">
        <f>VLOOKUP(D2022,'[2]Lista de Produtos CLASSIFICAÇÃO'!$E$103:$F$114,2,FALSE)</f>
        <v>Derivados</v>
      </c>
      <c r="F2022">
        <v>37350</v>
      </c>
      <c r="G2022" t="str">
        <f>VLOOKUP(Tabela1[[#This Row],[Cliente]],clientes!$C$3:$D$60,2,FALSE)</f>
        <v>RAIZEN</v>
      </c>
    </row>
    <row r="2023" spans="1:7" x14ac:dyDescent="0.25">
      <c r="A2023">
        <v>2026</v>
      </c>
      <c r="B2023" t="s">
        <v>143</v>
      </c>
      <c r="C2023" t="s">
        <v>160</v>
      </c>
      <c r="D2023" t="s">
        <v>120</v>
      </c>
      <c r="E2023" t="str">
        <f>VLOOKUP(D2023,'[2]Lista de Produtos CLASSIFICAÇÃO'!$E$103:$F$114,2,FALSE)</f>
        <v>Derivados</v>
      </c>
      <c r="F2023">
        <v>14940</v>
      </c>
      <c r="G2023" t="str">
        <f>VLOOKUP(Tabela1[[#This Row],[Cliente]],clientes!$C$3:$D$60,2,FALSE)</f>
        <v>VIBRA</v>
      </c>
    </row>
    <row r="2024" spans="1:7" x14ac:dyDescent="0.25">
      <c r="A2024">
        <v>2026</v>
      </c>
      <c r="B2024" t="s">
        <v>132</v>
      </c>
      <c r="C2024" t="s">
        <v>160</v>
      </c>
      <c r="D2024" t="s">
        <v>120</v>
      </c>
      <c r="E2024" t="str">
        <f>VLOOKUP(D2024,'[2]Lista de Produtos CLASSIFICAÇÃO'!$E$103:$F$114,2,FALSE)</f>
        <v>Derivados</v>
      </c>
      <c r="F2024">
        <v>14940</v>
      </c>
      <c r="G2024" t="str">
        <f>VLOOKUP(Tabela1[[#This Row],[Cliente]],clientes!$C$3:$D$60,2,FALSE)</f>
        <v>VIBRA</v>
      </c>
    </row>
    <row r="2025" spans="1:7" x14ac:dyDescent="0.25">
      <c r="A2025">
        <v>2026</v>
      </c>
      <c r="B2025" t="s">
        <v>133</v>
      </c>
      <c r="C2025" t="s">
        <v>160</v>
      </c>
      <c r="D2025" t="s">
        <v>120</v>
      </c>
      <c r="E2025" t="str">
        <f>VLOOKUP(D2025,'[2]Lista de Produtos CLASSIFICAÇÃO'!$E$103:$F$114,2,FALSE)</f>
        <v>Derivados</v>
      </c>
      <c r="F2025">
        <v>14940</v>
      </c>
      <c r="G2025" t="str">
        <f>VLOOKUP(Tabela1[[#This Row],[Cliente]],clientes!$C$3:$D$60,2,FALSE)</f>
        <v>VIBRA</v>
      </c>
    </row>
    <row r="2026" spans="1:7" x14ac:dyDescent="0.25">
      <c r="A2026">
        <v>2026</v>
      </c>
      <c r="B2026" t="s">
        <v>134</v>
      </c>
      <c r="C2026" t="s">
        <v>160</v>
      </c>
      <c r="D2026" t="s">
        <v>120</v>
      </c>
      <c r="E2026" t="str">
        <f>VLOOKUP(D2026,'[2]Lista de Produtos CLASSIFICAÇÃO'!$E$103:$F$114,2,FALSE)</f>
        <v>Derivados</v>
      </c>
      <c r="F2026">
        <v>14940</v>
      </c>
      <c r="G2026" t="str">
        <f>VLOOKUP(Tabela1[[#This Row],[Cliente]],clientes!$C$3:$D$60,2,FALSE)</f>
        <v>VIBRA</v>
      </c>
    </row>
    <row r="2027" spans="1:7" x14ac:dyDescent="0.25">
      <c r="A2027">
        <v>2026</v>
      </c>
      <c r="B2027" t="s">
        <v>135</v>
      </c>
      <c r="C2027" t="s">
        <v>160</v>
      </c>
      <c r="D2027" t="s">
        <v>120</v>
      </c>
      <c r="E2027" t="str">
        <f>VLOOKUP(D2027,'[2]Lista de Produtos CLASSIFICAÇÃO'!$E$103:$F$114,2,FALSE)</f>
        <v>Derivados</v>
      </c>
      <c r="F2027">
        <v>14940</v>
      </c>
      <c r="G2027" t="str">
        <f>VLOOKUP(Tabela1[[#This Row],[Cliente]],clientes!$C$3:$D$60,2,FALSE)</f>
        <v>VIBRA</v>
      </c>
    </row>
    <row r="2028" spans="1:7" x14ac:dyDescent="0.25">
      <c r="A2028">
        <v>2026</v>
      </c>
      <c r="B2028" t="s">
        <v>136</v>
      </c>
      <c r="C2028" t="s">
        <v>160</v>
      </c>
      <c r="D2028" t="s">
        <v>120</v>
      </c>
      <c r="E2028" t="str">
        <f>VLOOKUP(D2028,'[2]Lista de Produtos CLASSIFICAÇÃO'!$E$103:$F$114,2,FALSE)</f>
        <v>Derivados</v>
      </c>
      <c r="F2028">
        <v>14940</v>
      </c>
      <c r="G2028" t="str">
        <f>VLOOKUP(Tabela1[[#This Row],[Cliente]],clientes!$C$3:$D$60,2,FALSE)</f>
        <v>VIBRA</v>
      </c>
    </row>
    <row r="2029" spans="1:7" x14ac:dyDescent="0.25">
      <c r="A2029">
        <v>2026</v>
      </c>
      <c r="B2029" t="s">
        <v>137</v>
      </c>
      <c r="C2029" t="s">
        <v>160</v>
      </c>
      <c r="D2029" t="s">
        <v>120</v>
      </c>
      <c r="E2029" t="str">
        <f>VLOOKUP(D2029,'[2]Lista de Produtos CLASSIFICAÇÃO'!$E$103:$F$114,2,FALSE)</f>
        <v>Derivados</v>
      </c>
      <c r="F2029">
        <v>14940</v>
      </c>
      <c r="G2029" t="str">
        <f>VLOOKUP(Tabela1[[#This Row],[Cliente]],clientes!$C$3:$D$60,2,FALSE)</f>
        <v>VIBRA</v>
      </c>
    </row>
    <row r="2030" spans="1:7" x14ac:dyDescent="0.25">
      <c r="A2030">
        <v>2026</v>
      </c>
      <c r="B2030" t="s">
        <v>138</v>
      </c>
      <c r="C2030" t="s">
        <v>160</v>
      </c>
      <c r="D2030" t="s">
        <v>120</v>
      </c>
      <c r="E2030" t="str">
        <f>VLOOKUP(D2030,'[2]Lista de Produtos CLASSIFICAÇÃO'!$E$103:$F$114,2,FALSE)</f>
        <v>Derivados</v>
      </c>
      <c r="F2030">
        <v>14940</v>
      </c>
      <c r="G2030" t="str">
        <f>VLOOKUP(Tabela1[[#This Row],[Cliente]],clientes!$C$3:$D$60,2,FALSE)</f>
        <v>VIBRA</v>
      </c>
    </row>
    <row r="2031" spans="1:7" x14ac:dyDescent="0.25">
      <c r="A2031">
        <v>2026</v>
      </c>
      <c r="B2031" t="s">
        <v>143</v>
      </c>
      <c r="C2031" t="s">
        <v>161</v>
      </c>
      <c r="D2031" t="s">
        <v>120</v>
      </c>
      <c r="E2031" t="str">
        <f>VLOOKUP(D2031,'[2]Lista de Produtos CLASSIFICAÇÃO'!$E$103:$F$114,2,FALSE)</f>
        <v>Derivados</v>
      </c>
      <c r="F2031">
        <v>29880</v>
      </c>
      <c r="G2031" t="str">
        <f>VLOOKUP(Tabela1[[#This Row],[Cliente]],clientes!$C$3:$D$60,2,FALSE)</f>
        <v>SUL PLATA</v>
      </c>
    </row>
    <row r="2032" spans="1:7" x14ac:dyDescent="0.25">
      <c r="A2032">
        <v>2026</v>
      </c>
      <c r="B2032" t="s">
        <v>132</v>
      </c>
      <c r="C2032" t="s">
        <v>161</v>
      </c>
      <c r="D2032" t="s">
        <v>120</v>
      </c>
      <c r="E2032" t="str">
        <f>VLOOKUP(D2032,'[2]Lista de Produtos CLASSIFICAÇÃO'!$E$103:$F$114,2,FALSE)</f>
        <v>Derivados</v>
      </c>
      <c r="F2032">
        <v>29880</v>
      </c>
      <c r="G2032" t="str">
        <f>VLOOKUP(Tabela1[[#This Row],[Cliente]],clientes!$C$3:$D$60,2,FALSE)</f>
        <v>SUL PLATA</v>
      </c>
    </row>
    <row r="2033" spans="1:7" x14ac:dyDescent="0.25">
      <c r="A2033">
        <v>2026</v>
      </c>
      <c r="B2033" t="s">
        <v>133</v>
      </c>
      <c r="C2033" t="s">
        <v>161</v>
      </c>
      <c r="D2033" t="s">
        <v>120</v>
      </c>
      <c r="E2033" t="str">
        <f>VLOOKUP(D2033,'[2]Lista de Produtos CLASSIFICAÇÃO'!$E$103:$F$114,2,FALSE)</f>
        <v>Derivados</v>
      </c>
      <c r="F2033">
        <v>29880</v>
      </c>
      <c r="G2033" t="str">
        <f>VLOOKUP(Tabela1[[#This Row],[Cliente]],clientes!$C$3:$D$60,2,FALSE)</f>
        <v>SUL PLATA</v>
      </c>
    </row>
    <row r="2034" spans="1:7" x14ac:dyDescent="0.25">
      <c r="A2034">
        <v>2026</v>
      </c>
      <c r="B2034" t="s">
        <v>134</v>
      </c>
      <c r="C2034" t="s">
        <v>161</v>
      </c>
      <c r="D2034" t="s">
        <v>120</v>
      </c>
      <c r="E2034" t="str">
        <f>VLOOKUP(D2034,'[2]Lista de Produtos CLASSIFICAÇÃO'!$E$103:$F$114,2,FALSE)</f>
        <v>Derivados</v>
      </c>
      <c r="F2034">
        <v>29880</v>
      </c>
      <c r="G2034" t="str">
        <f>VLOOKUP(Tabela1[[#This Row],[Cliente]],clientes!$C$3:$D$60,2,FALSE)</f>
        <v>SUL PLATA</v>
      </c>
    </row>
    <row r="2035" spans="1:7" x14ac:dyDescent="0.25">
      <c r="A2035">
        <v>2026</v>
      </c>
      <c r="B2035" t="s">
        <v>135</v>
      </c>
      <c r="C2035" t="s">
        <v>161</v>
      </c>
      <c r="D2035" t="s">
        <v>120</v>
      </c>
      <c r="E2035" t="str">
        <f>VLOOKUP(D2035,'[2]Lista de Produtos CLASSIFICAÇÃO'!$E$103:$F$114,2,FALSE)</f>
        <v>Derivados</v>
      </c>
      <c r="F2035">
        <v>29880</v>
      </c>
      <c r="G2035" t="str">
        <f>VLOOKUP(Tabela1[[#This Row],[Cliente]],clientes!$C$3:$D$60,2,FALSE)</f>
        <v>SUL PLATA</v>
      </c>
    </row>
    <row r="2036" spans="1:7" x14ac:dyDescent="0.25">
      <c r="A2036">
        <v>2026</v>
      </c>
      <c r="B2036" t="s">
        <v>136</v>
      </c>
      <c r="C2036" t="s">
        <v>161</v>
      </c>
      <c r="D2036" t="s">
        <v>120</v>
      </c>
      <c r="E2036" t="str">
        <f>VLOOKUP(D2036,'[2]Lista de Produtos CLASSIFICAÇÃO'!$E$103:$F$114,2,FALSE)</f>
        <v>Derivados</v>
      </c>
      <c r="F2036">
        <v>29880</v>
      </c>
      <c r="G2036" t="str">
        <f>VLOOKUP(Tabela1[[#This Row],[Cliente]],clientes!$C$3:$D$60,2,FALSE)</f>
        <v>SUL PLATA</v>
      </c>
    </row>
    <row r="2037" spans="1:7" x14ac:dyDescent="0.25">
      <c r="A2037">
        <v>2026</v>
      </c>
      <c r="B2037" t="s">
        <v>137</v>
      </c>
      <c r="C2037" t="s">
        <v>161</v>
      </c>
      <c r="D2037" t="s">
        <v>120</v>
      </c>
      <c r="E2037" t="str">
        <f>VLOOKUP(D2037,'[2]Lista de Produtos CLASSIFICAÇÃO'!$E$103:$F$114,2,FALSE)</f>
        <v>Derivados</v>
      </c>
      <c r="F2037">
        <v>29880</v>
      </c>
      <c r="G2037" t="str">
        <f>VLOOKUP(Tabela1[[#This Row],[Cliente]],clientes!$C$3:$D$60,2,FALSE)</f>
        <v>SUL PLATA</v>
      </c>
    </row>
    <row r="2038" spans="1:7" x14ac:dyDescent="0.25">
      <c r="A2038">
        <v>2026</v>
      </c>
      <c r="B2038" t="s">
        <v>138</v>
      </c>
      <c r="C2038" t="s">
        <v>161</v>
      </c>
      <c r="D2038" t="s">
        <v>120</v>
      </c>
      <c r="E2038" t="str">
        <f>VLOOKUP(D2038,'[2]Lista de Produtos CLASSIFICAÇÃO'!$E$103:$F$114,2,FALSE)</f>
        <v>Derivados</v>
      </c>
      <c r="F2038">
        <v>29880</v>
      </c>
      <c r="G2038" t="str">
        <f>VLOOKUP(Tabela1[[#This Row],[Cliente]],clientes!$C$3:$D$60,2,FALSE)</f>
        <v>SUL PLATA</v>
      </c>
    </row>
    <row r="2039" spans="1:7" x14ac:dyDescent="0.25">
      <c r="A2039">
        <v>2026</v>
      </c>
      <c r="B2039" t="s">
        <v>139</v>
      </c>
      <c r="C2039" t="s">
        <v>161</v>
      </c>
      <c r="D2039" t="s">
        <v>120</v>
      </c>
      <c r="E2039" t="str">
        <f>VLOOKUP(D2039,'[2]Lista de Produtos CLASSIFICAÇÃO'!$E$103:$F$114,2,FALSE)</f>
        <v>Derivados</v>
      </c>
      <c r="F2039">
        <v>29880</v>
      </c>
      <c r="G2039" t="str">
        <f>VLOOKUP(Tabela1[[#This Row],[Cliente]],clientes!$C$3:$D$60,2,FALSE)</f>
        <v>SUL PLATA</v>
      </c>
    </row>
    <row r="2040" spans="1:7" x14ac:dyDescent="0.25">
      <c r="A2040">
        <v>2026</v>
      </c>
      <c r="B2040" t="s">
        <v>140</v>
      </c>
      <c r="C2040" t="s">
        <v>161</v>
      </c>
      <c r="D2040" t="s">
        <v>120</v>
      </c>
      <c r="E2040" t="str">
        <f>VLOOKUP(D2040,'[2]Lista de Produtos CLASSIFICAÇÃO'!$E$103:$F$114,2,FALSE)</f>
        <v>Derivados</v>
      </c>
      <c r="F2040">
        <v>29880</v>
      </c>
      <c r="G2040" t="str">
        <f>VLOOKUP(Tabela1[[#This Row],[Cliente]],clientes!$C$3:$D$60,2,FALSE)</f>
        <v>SUL PLATA</v>
      </c>
    </row>
    <row r="2041" spans="1:7" x14ac:dyDescent="0.25">
      <c r="A2041">
        <v>2026</v>
      </c>
      <c r="B2041" t="s">
        <v>141</v>
      </c>
      <c r="C2041" t="s">
        <v>161</v>
      </c>
      <c r="D2041" t="s">
        <v>120</v>
      </c>
      <c r="E2041" t="str">
        <f>VLOOKUP(D2041,'[2]Lista de Produtos CLASSIFICAÇÃO'!$E$103:$F$114,2,FALSE)</f>
        <v>Derivados</v>
      </c>
      <c r="F2041">
        <v>29880</v>
      </c>
      <c r="G2041" t="str">
        <f>VLOOKUP(Tabela1[[#This Row],[Cliente]],clientes!$C$3:$D$60,2,FALSE)</f>
        <v>SUL PLATA</v>
      </c>
    </row>
    <row r="2042" spans="1:7" x14ac:dyDescent="0.25">
      <c r="A2042">
        <v>2026</v>
      </c>
      <c r="B2042" t="s">
        <v>142</v>
      </c>
      <c r="C2042" t="s">
        <v>161</v>
      </c>
      <c r="D2042" t="s">
        <v>120</v>
      </c>
      <c r="E2042" t="str">
        <f>VLOOKUP(D2042,'[2]Lista de Produtos CLASSIFICAÇÃO'!$E$103:$F$114,2,FALSE)</f>
        <v>Derivados</v>
      </c>
      <c r="F2042">
        <v>29880</v>
      </c>
      <c r="G2042" t="str">
        <f>VLOOKUP(Tabela1[[#This Row],[Cliente]],clientes!$C$3:$D$60,2,FALSE)</f>
        <v>SUL PLATA</v>
      </c>
    </row>
    <row r="2043" spans="1:7" x14ac:dyDescent="0.25">
      <c r="A2043">
        <v>2026</v>
      </c>
      <c r="B2043" t="s">
        <v>143</v>
      </c>
      <c r="C2043" t="s">
        <v>162</v>
      </c>
      <c r="D2043" t="s">
        <v>115</v>
      </c>
      <c r="E2043" t="str">
        <f>VLOOKUP(D2043,'[2]Lista de Produtos CLASSIFICAÇÃO'!$E$103:$F$114,2,FALSE)</f>
        <v>Soda Caustica</v>
      </c>
      <c r="F2043">
        <v>1800</v>
      </c>
      <c r="G2043" t="str">
        <f>VLOOKUP(Tabela1[[#This Row],[Cliente]],clientes!$C$3:$D$60,2,FALSE)</f>
        <v>JBS</v>
      </c>
    </row>
    <row r="2044" spans="1:7" x14ac:dyDescent="0.25">
      <c r="A2044">
        <v>2026</v>
      </c>
      <c r="B2044" t="s">
        <v>132</v>
      </c>
      <c r="C2044" t="s">
        <v>162</v>
      </c>
      <c r="D2044" t="s">
        <v>115</v>
      </c>
      <c r="E2044" t="str">
        <f>VLOOKUP(D2044,'[2]Lista de Produtos CLASSIFICAÇÃO'!$E$103:$F$114,2,FALSE)</f>
        <v>Soda Caustica</v>
      </c>
      <c r="F2044">
        <v>1800</v>
      </c>
      <c r="G2044" t="str">
        <f>VLOOKUP(Tabela1[[#This Row],[Cliente]],clientes!$C$3:$D$60,2,FALSE)</f>
        <v>JBS</v>
      </c>
    </row>
    <row r="2045" spans="1:7" x14ac:dyDescent="0.25">
      <c r="A2045">
        <v>2026</v>
      </c>
      <c r="B2045" t="s">
        <v>133</v>
      </c>
      <c r="C2045" t="s">
        <v>162</v>
      </c>
      <c r="D2045" t="s">
        <v>115</v>
      </c>
      <c r="E2045" t="str">
        <f>VLOOKUP(D2045,'[2]Lista de Produtos CLASSIFICAÇÃO'!$E$103:$F$114,2,FALSE)</f>
        <v>Soda Caustica</v>
      </c>
      <c r="F2045">
        <v>1800</v>
      </c>
      <c r="G2045" t="str">
        <f>VLOOKUP(Tabela1[[#This Row],[Cliente]],clientes!$C$3:$D$60,2,FALSE)</f>
        <v>JBS</v>
      </c>
    </row>
    <row r="2046" spans="1:7" x14ac:dyDescent="0.25">
      <c r="A2046">
        <v>2026</v>
      </c>
      <c r="B2046" t="s">
        <v>134</v>
      </c>
      <c r="C2046" t="s">
        <v>162</v>
      </c>
      <c r="D2046" t="s">
        <v>115</v>
      </c>
      <c r="E2046" t="str">
        <f>VLOOKUP(D2046,'[2]Lista de Produtos CLASSIFICAÇÃO'!$E$103:$F$114,2,FALSE)</f>
        <v>Soda Caustica</v>
      </c>
      <c r="F2046">
        <v>1800</v>
      </c>
      <c r="G2046" t="str">
        <f>VLOOKUP(Tabela1[[#This Row],[Cliente]],clientes!$C$3:$D$60,2,FALSE)</f>
        <v>JBS</v>
      </c>
    </row>
    <row r="2047" spans="1:7" x14ac:dyDescent="0.25">
      <c r="A2047">
        <v>2026</v>
      </c>
      <c r="B2047" t="s">
        <v>135</v>
      </c>
      <c r="C2047" t="s">
        <v>162</v>
      </c>
      <c r="D2047" t="s">
        <v>115</v>
      </c>
      <c r="E2047" t="str">
        <f>VLOOKUP(D2047,'[2]Lista de Produtos CLASSIFICAÇÃO'!$E$103:$F$114,2,FALSE)</f>
        <v>Soda Caustica</v>
      </c>
      <c r="F2047">
        <v>1800</v>
      </c>
      <c r="G2047" t="str">
        <f>VLOOKUP(Tabela1[[#This Row],[Cliente]],clientes!$C$3:$D$60,2,FALSE)</f>
        <v>JBS</v>
      </c>
    </row>
    <row r="2048" spans="1:7" x14ac:dyDescent="0.25">
      <c r="A2048">
        <v>2026</v>
      </c>
      <c r="B2048" t="s">
        <v>136</v>
      </c>
      <c r="C2048" t="s">
        <v>162</v>
      </c>
      <c r="D2048" t="s">
        <v>115</v>
      </c>
      <c r="E2048" t="str">
        <f>VLOOKUP(D2048,'[2]Lista de Produtos CLASSIFICAÇÃO'!$E$103:$F$114,2,FALSE)</f>
        <v>Soda Caustica</v>
      </c>
      <c r="F2048">
        <v>1800</v>
      </c>
      <c r="G2048" t="str">
        <f>VLOOKUP(Tabela1[[#This Row],[Cliente]],clientes!$C$3:$D$60,2,FALSE)</f>
        <v>JBS</v>
      </c>
    </row>
    <row r="2049" spans="1:7" x14ac:dyDescent="0.25">
      <c r="A2049">
        <v>2026</v>
      </c>
      <c r="B2049" t="s">
        <v>137</v>
      </c>
      <c r="C2049" t="s">
        <v>162</v>
      </c>
      <c r="D2049" t="s">
        <v>115</v>
      </c>
      <c r="E2049" t="str">
        <f>VLOOKUP(D2049,'[2]Lista de Produtos CLASSIFICAÇÃO'!$E$103:$F$114,2,FALSE)</f>
        <v>Soda Caustica</v>
      </c>
      <c r="F2049">
        <v>1800</v>
      </c>
      <c r="G2049" t="str">
        <f>VLOOKUP(Tabela1[[#This Row],[Cliente]],clientes!$C$3:$D$60,2,FALSE)</f>
        <v>JBS</v>
      </c>
    </row>
    <row r="2050" spans="1:7" x14ac:dyDescent="0.25">
      <c r="A2050">
        <v>2026</v>
      </c>
      <c r="B2050" t="s">
        <v>138</v>
      </c>
      <c r="C2050" t="s">
        <v>162</v>
      </c>
      <c r="D2050" t="s">
        <v>115</v>
      </c>
      <c r="E2050" t="str">
        <f>VLOOKUP(D2050,'[2]Lista de Produtos CLASSIFICAÇÃO'!$E$103:$F$114,2,FALSE)</f>
        <v>Soda Caustica</v>
      </c>
      <c r="F2050">
        <v>1800</v>
      </c>
      <c r="G2050" t="str">
        <f>VLOOKUP(Tabela1[[#This Row],[Cliente]],clientes!$C$3:$D$60,2,FALSE)</f>
        <v>JBS</v>
      </c>
    </row>
    <row r="2051" spans="1:7" x14ac:dyDescent="0.25">
      <c r="A2051">
        <v>2026</v>
      </c>
      <c r="B2051" t="s">
        <v>139</v>
      </c>
      <c r="C2051" t="s">
        <v>162</v>
      </c>
      <c r="D2051" t="s">
        <v>115</v>
      </c>
      <c r="E2051" t="str">
        <f>VLOOKUP(D2051,'[2]Lista de Produtos CLASSIFICAÇÃO'!$E$103:$F$114,2,FALSE)</f>
        <v>Soda Caustica</v>
      </c>
      <c r="F2051">
        <v>1800</v>
      </c>
      <c r="G2051" t="str">
        <f>VLOOKUP(Tabela1[[#This Row],[Cliente]],clientes!$C$3:$D$60,2,FALSE)</f>
        <v>JBS</v>
      </c>
    </row>
    <row r="2052" spans="1:7" x14ac:dyDescent="0.25">
      <c r="A2052">
        <v>2026</v>
      </c>
      <c r="B2052" t="s">
        <v>140</v>
      </c>
      <c r="C2052" t="s">
        <v>162</v>
      </c>
      <c r="D2052" t="s">
        <v>115</v>
      </c>
      <c r="E2052" t="str">
        <f>VLOOKUP(D2052,'[2]Lista de Produtos CLASSIFICAÇÃO'!$E$103:$F$114,2,FALSE)</f>
        <v>Soda Caustica</v>
      </c>
      <c r="F2052">
        <v>1800</v>
      </c>
      <c r="G2052" t="str">
        <f>VLOOKUP(Tabela1[[#This Row],[Cliente]],clientes!$C$3:$D$60,2,FALSE)</f>
        <v>JBS</v>
      </c>
    </row>
    <row r="2053" spans="1:7" x14ac:dyDescent="0.25">
      <c r="A2053">
        <v>2026</v>
      </c>
      <c r="B2053" t="s">
        <v>141</v>
      </c>
      <c r="C2053" t="s">
        <v>162</v>
      </c>
      <c r="D2053" t="s">
        <v>115</v>
      </c>
      <c r="E2053" t="str">
        <f>VLOOKUP(D2053,'[2]Lista de Produtos CLASSIFICAÇÃO'!$E$103:$F$114,2,FALSE)</f>
        <v>Soda Caustica</v>
      </c>
      <c r="F2053">
        <v>1800</v>
      </c>
      <c r="G2053" t="str">
        <f>VLOOKUP(Tabela1[[#This Row],[Cliente]],clientes!$C$3:$D$60,2,FALSE)</f>
        <v>JBS</v>
      </c>
    </row>
    <row r="2054" spans="1:7" x14ac:dyDescent="0.25">
      <c r="A2054">
        <v>2026</v>
      </c>
      <c r="B2054" t="s">
        <v>142</v>
      </c>
      <c r="C2054" t="s">
        <v>162</v>
      </c>
      <c r="D2054" t="s">
        <v>115</v>
      </c>
      <c r="E2054" t="str">
        <f>VLOOKUP(D2054,'[2]Lista de Produtos CLASSIFICAÇÃO'!$E$103:$F$114,2,FALSE)</f>
        <v>Soda Caustica</v>
      </c>
      <c r="F2054">
        <v>1800</v>
      </c>
      <c r="G2054" t="str">
        <f>VLOOKUP(Tabela1[[#This Row],[Cliente]],clientes!$C$3:$D$60,2,FALSE)</f>
        <v>JBS</v>
      </c>
    </row>
    <row r="2055" spans="1:7" x14ac:dyDescent="0.25">
      <c r="A2055">
        <v>2026</v>
      </c>
      <c r="B2055" t="s">
        <v>143</v>
      </c>
      <c r="C2055" t="s">
        <v>163</v>
      </c>
      <c r="D2055" t="s">
        <v>115</v>
      </c>
      <c r="E2055" t="str">
        <f>VLOOKUP(D2055,'[2]Lista de Produtos CLASSIFICAÇÃO'!$E$103:$F$114,2,FALSE)</f>
        <v>Soda Caustica</v>
      </c>
      <c r="F2055">
        <v>5800</v>
      </c>
      <c r="G2055" t="str">
        <f>VLOOKUP(Tabela1[[#This Row],[Cliente]],clientes!$C$3:$D$60,2,FALSE)</f>
        <v>TRICON ENERGY</v>
      </c>
    </row>
    <row r="2056" spans="1:7" x14ac:dyDescent="0.25">
      <c r="A2056">
        <v>2026</v>
      </c>
      <c r="B2056" t="s">
        <v>132</v>
      </c>
      <c r="C2056" t="s">
        <v>163</v>
      </c>
      <c r="D2056" t="s">
        <v>115</v>
      </c>
      <c r="E2056" t="str">
        <f>VLOOKUP(D2056,'[2]Lista de Produtos CLASSIFICAÇÃO'!$E$103:$F$114,2,FALSE)</f>
        <v>Soda Caustica</v>
      </c>
      <c r="F2056">
        <v>5800</v>
      </c>
      <c r="G2056" t="str">
        <f>VLOOKUP(Tabela1[[#This Row],[Cliente]],clientes!$C$3:$D$60,2,FALSE)</f>
        <v>TRICON ENERGY</v>
      </c>
    </row>
    <row r="2057" spans="1:7" x14ac:dyDescent="0.25">
      <c r="A2057">
        <v>2026</v>
      </c>
      <c r="B2057" t="s">
        <v>133</v>
      </c>
      <c r="C2057" t="s">
        <v>163</v>
      </c>
      <c r="D2057" t="s">
        <v>115</v>
      </c>
      <c r="E2057" t="str">
        <f>VLOOKUP(D2057,'[2]Lista de Produtos CLASSIFICAÇÃO'!$E$103:$F$114,2,FALSE)</f>
        <v>Soda Caustica</v>
      </c>
      <c r="F2057">
        <v>5800</v>
      </c>
      <c r="G2057" t="str">
        <f>VLOOKUP(Tabela1[[#This Row],[Cliente]],clientes!$C$3:$D$60,2,FALSE)</f>
        <v>TRICON ENERGY</v>
      </c>
    </row>
    <row r="2058" spans="1:7" x14ac:dyDescent="0.25">
      <c r="A2058">
        <v>2026</v>
      </c>
      <c r="B2058" t="s">
        <v>134</v>
      </c>
      <c r="C2058" t="s">
        <v>163</v>
      </c>
      <c r="D2058" t="s">
        <v>115</v>
      </c>
      <c r="E2058" t="str">
        <f>VLOOKUP(D2058,'[2]Lista de Produtos CLASSIFICAÇÃO'!$E$103:$F$114,2,FALSE)</f>
        <v>Soda Caustica</v>
      </c>
      <c r="F2058">
        <v>5800</v>
      </c>
      <c r="G2058" t="str">
        <f>VLOOKUP(Tabela1[[#This Row],[Cliente]],clientes!$C$3:$D$60,2,FALSE)</f>
        <v>TRICON ENERGY</v>
      </c>
    </row>
    <row r="2059" spans="1:7" x14ac:dyDescent="0.25">
      <c r="A2059">
        <v>2026</v>
      </c>
      <c r="B2059" t="s">
        <v>135</v>
      </c>
      <c r="C2059" t="s">
        <v>163</v>
      </c>
      <c r="D2059" t="s">
        <v>115</v>
      </c>
      <c r="E2059" t="str">
        <f>VLOOKUP(D2059,'[2]Lista de Produtos CLASSIFICAÇÃO'!$E$103:$F$114,2,FALSE)</f>
        <v>Soda Caustica</v>
      </c>
      <c r="F2059">
        <v>5800</v>
      </c>
      <c r="G2059" t="str">
        <f>VLOOKUP(Tabela1[[#This Row],[Cliente]],clientes!$C$3:$D$60,2,FALSE)</f>
        <v>TRICON ENERGY</v>
      </c>
    </row>
    <row r="2060" spans="1:7" x14ac:dyDescent="0.25">
      <c r="A2060">
        <v>2026</v>
      </c>
      <c r="B2060" t="s">
        <v>136</v>
      </c>
      <c r="C2060" t="s">
        <v>163</v>
      </c>
      <c r="D2060" t="s">
        <v>115</v>
      </c>
      <c r="E2060" t="str">
        <f>VLOOKUP(D2060,'[2]Lista de Produtos CLASSIFICAÇÃO'!$E$103:$F$114,2,FALSE)</f>
        <v>Soda Caustica</v>
      </c>
      <c r="F2060">
        <v>5800</v>
      </c>
      <c r="G2060" t="str">
        <f>VLOOKUP(Tabela1[[#This Row],[Cliente]],clientes!$C$3:$D$60,2,FALSE)</f>
        <v>TRICON ENERGY</v>
      </c>
    </row>
    <row r="2061" spans="1:7" x14ac:dyDescent="0.25">
      <c r="A2061">
        <v>2026</v>
      </c>
      <c r="B2061" t="s">
        <v>137</v>
      </c>
      <c r="C2061" t="s">
        <v>163</v>
      </c>
      <c r="D2061" t="s">
        <v>115</v>
      </c>
      <c r="E2061" t="str">
        <f>VLOOKUP(D2061,'[2]Lista de Produtos CLASSIFICAÇÃO'!$E$103:$F$114,2,FALSE)</f>
        <v>Soda Caustica</v>
      </c>
      <c r="F2061">
        <v>5800</v>
      </c>
      <c r="G2061" t="str">
        <f>VLOOKUP(Tabela1[[#This Row],[Cliente]],clientes!$C$3:$D$60,2,FALSE)</f>
        <v>TRICON ENERGY</v>
      </c>
    </row>
    <row r="2062" spans="1:7" x14ac:dyDescent="0.25">
      <c r="A2062">
        <v>2026</v>
      </c>
      <c r="B2062" t="s">
        <v>138</v>
      </c>
      <c r="C2062" t="s">
        <v>163</v>
      </c>
      <c r="D2062" t="s">
        <v>115</v>
      </c>
      <c r="E2062" t="str">
        <f>VLOOKUP(D2062,'[2]Lista de Produtos CLASSIFICAÇÃO'!$E$103:$F$114,2,FALSE)</f>
        <v>Soda Caustica</v>
      </c>
      <c r="F2062">
        <v>5800</v>
      </c>
      <c r="G2062" t="str">
        <f>VLOOKUP(Tabela1[[#This Row],[Cliente]],clientes!$C$3:$D$60,2,FALSE)</f>
        <v>TRICON ENERGY</v>
      </c>
    </row>
    <row r="2063" spans="1:7" x14ac:dyDescent="0.25">
      <c r="A2063">
        <v>2026</v>
      </c>
      <c r="B2063" t="s">
        <v>139</v>
      </c>
      <c r="C2063" t="s">
        <v>163</v>
      </c>
      <c r="D2063" t="s">
        <v>115</v>
      </c>
      <c r="E2063" t="str">
        <f>VLOOKUP(D2063,'[2]Lista de Produtos CLASSIFICAÇÃO'!$E$103:$F$114,2,FALSE)</f>
        <v>Soda Caustica</v>
      </c>
      <c r="F2063">
        <v>5800</v>
      </c>
      <c r="G2063" t="str">
        <f>VLOOKUP(Tabela1[[#This Row],[Cliente]],clientes!$C$3:$D$60,2,FALSE)</f>
        <v>TRICON ENERGY</v>
      </c>
    </row>
    <row r="2064" spans="1:7" x14ac:dyDescent="0.25">
      <c r="A2064">
        <v>2026</v>
      </c>
      <c r="B2064" t="s">
        <v>140</v>
      </c>
      <c r="C2064" t="s">
        <v>163</v>
      </c>
      <c r="D2064" t="s">
        <v>115</v>
      </c>
      <c r="E2064" t="str">
        <f>VLOOKUP(D2064,'[2]Lista de Produtos CLASSIFICAÇÃO'!$E$103:$F$114,2,FALSE)</f>
        <v>Soda Caustica</v>
      </c>
      <c r="F2064">
        <v>5800</v>
      </c>
      <c r="G2064" t="str">
        <f>VLOOKUP(Tabela1[[#This Row],[Cliente]],clientes!$C$3:$D$60,2,FALSE)</f>
        <v>TRICON ENERGY</v>
      </c>
    </row>
    <row r="2065" spans="1:7" x14ac:dyDescent="0.25">
      <c r="A2065">
        <v>2026</v>
      </c>
      <c r="B2065" t="s">
        <v>141</v>
      </c>
      <c r="C2065" t="s">
        <v>163</v>
      </c>
      <c r="D2065" t="s">
        <v>115</v>
      </c>
      <c r="E2065" t="str">
        <f>VLOOKUP(D2065,'[2]Lista de Produtos CLASSIFICAÇÃO'!$E$103:$F$114,2,FALSE)</f>
        <v>Soda Caustica</v>
      </c>
      <c r="F2065">
        <v>5800</v>
      </c>
      <c r="G2065" t="str">
        <f>VLOOKUP(Tabela1[[#This Row],[Cliente]],clientes!$C$3:$D$60,2,FALSE)</f>
        <v>TRICON ENERGY</v>
      </c>
    </row>
    <row r="2066" spans="1:7" x14ac:dyDescent="0.25">
      <c r="A2066">
        <v>2026</v>
      </c>
      <c r="B2066" t="s">
        <v>142</v>
      </c>
      <c r="C2066" t="s">
        <v>163</v>
      </c>
      <c r="D2066" t="s">
        <v>115</v>
      </c>
      <c r="E2066" t="str">
        <f>VLOOKUP(D2066,'[2]Lista de Produtos CLASSIFICAÇÃO'!$E$103:$F$114,2,FALSE)</f>
        <v>Soda Caustica</v>
      </c>
      <c r="F2066">
        <v>5800</v>
      </c>
      <c r="G2066" t="str">
        <f>VLOOKUP(Tabela1[[#This Row],[Cliente]],clientes!$C$3:$D$60,2,FALSE)</f>
        <v>TRICON ENERGY</v>
      </c>
    </row>
    <row r="2067" spans="1:7" x14ac:dyDescent="0.25">
      <c r="A2067">
        <v>2026</v>
      </c>
      <c r="B2067" t="s">
        <v>143</v>
      </c>
      <c r="C2067" t="s">
        <v>165</v>
      </c>
      <c r="D2067" t="s">
        <v>123</v>
      </c>
      <c r="E2067" t="str">
        <f>VLOOKUP(D2067,'[2]Lista de Produtos CLASSIFICAÇÃO'!$E$103:$F$114,2,FALSE)</f>
        <v>Aquecidos</v>
      </c>
      <c r="F2067">
        <v>3174</v>
      </c>
      <c r="G2067" t="str">
        <f>VLOOKUP(Tabela1[[#This Row],[Cliente]],clientes!$C$3:$D$60,2,FALSE)</f>
        <v>BRF</v>
      </c>
    </row>
    <row r="2068" spans="1:7" x14ac:dyDescent="0.25">
      <c r="A2068">
        <v>2026</v>
      </c>
      <c r="B2068" t="s">
        <v>132</v>
      </c>
      <c r="C2068" t="s">
        <v>165</v>
      </c>
      <c r="D2068" t="s">
        <v>123</v>
      </c>
      <c r="E2068" t="str">
        <f>VLOOKUP(D2068,'[2]Lista de Produtos CLASSIFICAÇÃO'!$E$103:$F$114,2,FALSE)</f>
        <v>Aquecidos</v>
      </c>
      <c r="F2068">
        <v>3174</v>
      </c>
      <c r="G2068" t="str">
        <f>VLOOKUP(Tabela1[[#This Row],[Cliente]],clientes!$C$3:$D$60,2,FALSE)</f>
        <v>BRF</v>
      </c>
    </row>
    <row r="2069" spans="1:7" x14ac:dyDescent="0.25">
      <c r="A2069">
        <v>2026</v>
      </c>
      <c r="B2069" t="s">
        <v>133</v>
      </c>
      <c r="C2069" t="s">
        <v>165</v>
      </c>
      <c r="D2069" t="s">
        <v>123</v>
      </c>
      <c r="E2069" t="str">
        <f>VLOOKUP(D2069,'[2]Lista de Produtos CLASSIFICAÇÃO'!$E$103:$F$114,2,FALSE)</f>
        <v>Aquecidos</v>
      </c>
      <c r="F2069">
        <v>3174</v>
      </c>
      <c r="G2069" t="str">
        <f>VLOOKUP(Tabela1[[#This Row],[Cliente]],clientes!$C$3:$D$60,2,FALSE)</f>
        <v>BRF</v>
      </c>
    </row>
    <row r="2070" spans="1:7" x14ac:dyDescent="0.25">
      <c r="A2070">
        <v>2026</v>
      </c>
      <c r="B2070" t="s">
        <v>134</v>
      </c>
      <c r="C2070" t="s">
        <v>165</v>
      </c>
      <c r="D2070" t="s">
        <v>123</v>
      </c>
      <c r="E2070" t="str">
        <f>VLOOKUP(D2070,'[2]Lista de Produtos CLASSIFICAÇÃO'!$E$103:$F$114,2,FALSE)</f>
        <v>Aquecidos</v>
      </c>
      <c r="F2070">
        <v>3174</v>
      </c>
      <c r="G2070" t="str">
        <f>VLOOKUP(Tabela1[[#This Row],[Cliente]],clientes!$C$3:$D$60,2,FALSE)</f>
        <v>BRF</v>
      </c>
    </row>
    <row r="2071" spans="1:7" x14ac:dyDescent="0.25">
      <c r="A2071">
        <v>2026</v>
      </c>
      <c r="B2071" t="s">
        <v>135</v>
      </c>
      <c r="C2071" t="s">
        <v>165</v>
      </c>
      <c r="D2071" t="s">
        <v>123</v>
      </c>
      <c r="E2071" t="str">
        <f>VLOOKUP(D2071,'[2]Lista de Produtos CLASSIFICAÇÃO'!$E$103:$F$114,2,FALSE)</f>
        <v>Aquecidos</v>
      </c>
      <c r="F2071">
        <v>3174</v>
      </c>
      <c r="G2071" t="str">
        <f>VLOOKUP(Tabela1[[#This Row],[Cliente]],clientes!$C$3:$D$60,2,FALSE)</f>
        <v>BRF</v>
      </c>
    </row>
    <row r="2072" spans="1:7" x14ac:dyDescent="0.25">
      <c r="A2072">
        <v>2026</v>
      </c>
      <c r="B2072" t="s">
        <v>136</v>
      </c>
      <c r="C2072" t="s">
        <v>165</v>
      </c>
      <c r="D2072" t="s">
        <v>123</v>
      </c>
      <c r="E2072" t="str">
        <f>VLOOKUP(D2072,'[2]Lista de Produtos CLASSIFICAÇÃO'!$E$103:$F$114,2,FALSE)</f>
        <v>Aquecidos</v>
      </c>
      <c r="F2072">
        <v>3174</v>
      </c>
      <c r="G2072" t="str">
        <f>VLOOKUP(Tabela1[[#This Row],[Cliente]],clientes!$C$3:$D$60,2,FALSE)</f>
        <v>BRF</v>
      </c>
    </row>
    <row r="2073" spans="1:7" x14ac:dyDescent="0.25">
      <c r="A2073">
        <v>2026</v>
      </c>
      <c r="B2073" t="s">
        <v>137</v>
      </c>
      <c r="C2073" t="s">
        <v>165</v>
      </c>
      <c r="D2073" t="s">
        <v>123</v>
      </c>
      <c r="E2073" t="str">
        <f>VLOOKUP(D2073,'[2]Lista de Produtos CLASSIFICAÇÃO'!$E$103:$F$114,2,FALSE)</f>
        <v>Aquecidos</v>
      </c>
      <c r="F2073">
        <v>3174</v>
      </c>
      <c r="G2073" t="str">
        <f>VLOOKUP(Tabela1[[#This Row],[Cliente]],clientes!$C$3:$D$60,2,FALSE)</f>
        <v>BRF</v>
      </c>
    </row>
    <row r="2074" spans="1:7" x14ac:dyDescent="0.25">
      <c r="A2074">
        <v>2026</v>
      </c>
      <c r="B2074" t="s">
        <v>138</v>
      </c>
      <c r="C2074" t="s">
        <v>165</v>
      </c>
      <c r="D2074" t="s">
        <v>123</v>
      </c>
      <c r="E2074" t="str">
        <f>VLOOKUP(D2074,'[2]Lista de Produtos CLASSIFICAÇÃO'!$E$103:$F$114,2,FALSE)</f>
        <v>Aquecidos</v>
      </c>
      <c r="F2074">
        <v>3174</v>
      </c>
      <c r="G2074" t="str">
        <f>VLOOKUP(Tabela1[[#This Row],[Cliente]],clientes!$C$3:$D$60,2,FALSE)</f>
        <v>BRF</v>
      </c>
    </row>
    <row r="2075" spans="1:7" x14ac:dyDescent="0.25">
      <c r="A2075">
        <v>2026</v>
      </c>
      <c r="B2075" t="s">
        <v>139</v>
      </c>
      <c r="C2075" t="s">
        <v>165</v>
      </c>
      <c r="D2075" t="s">
        <v>123</v>
      </c>
      <c r="E2075" t="str">
        <f>VLOOKUP(D2075,'[2]Lista de Produtos CLASSIFICAÇÃO'!$E$103:$F$114,2,FALSE)</f>
        <v>Aquecidos</v>
      </c>
      <c r="F2075">
        <v>3174</v>
      </c>
      <c r="G2075" t="str">
        <f>VLOOKUP(Tabela1[[#This Row],[Cliente]],clientes!$C$3:$D$60,2,FALSE)</f>
        <v>BRF</v>
      </c>
    </row>
    <row r="2076" spans="1:7" x14ac:dyDescent="0.25">
      <c r="A2076">
        <v>2026</v>
      </c>
      <c r="B2076" t="s">
        <v>140</v>
      </c>
      <c r="C2076" t="s">
        <v>165</v>
      </c>
      <c r="D2076" t="s">
        <v>123</v>
      </c>
      <c r="E2076" t="str">
        <f>VLOOKUP(D2076,'[2]Lista de Produtos CLASSIFICAÇÃO'!$E$103:$F$114,2,FALSE)</f>
        <v>Aquecidos</v>
      </c>
      <c r="F2076">
        <v>3174</v>
      </c>
      <c r="G2076" t="str">
        <f>VLOOKUP(Tabela1[[#This Row],[Cliente]],clientes!$C$3:$D$60,2,FALSE)</f>
        <v>BRF</v>
      </c>
    </row>
    <row r="2077" spans="1:7" x14ac:dyDescent="0.25">
      <c r="A2077">
        <v>2026</v>
      </c>
      <c r="B2077" t="s">
        <v>141</v>
      </c>
      <c r="C2077" t="s">
        <v>165</v>
      </c>
      <c r="D2077" t="s">
        <v>123</v>
      </c>
      <c r="E2077" t="str">
        <f>VLOOKUP(D2077,'[2]Lista de Produtos CLASSIFICAÇÃO'!$E$103:$F$114,2,FALSE)</f>
        <v>Aquecidos</v>
      </c>
      <c r="F2077">
        <v>3174</v>
      </c>
      <c r="G2077" t="str">
        <f>VLOOKUP(Tabela1[[#This Row],[Cliente]],clientes!$C$3:$D$60,2,FALSE)</f>
        <v>BRF</v>
      </c>
    </row>
    <row r="2078" spans="1:7" x14ac:dyDescent="0.25">
      <c r="A2078">
        <v>2026</v>
      </c>
      <c r="B2078" t="s">
        <v>142</v>
      </c>
      <c r="C2078" t="s">
        <v>165</v>
      </c>
      <c r="D2078" t="s">
        <v>123</v>
      </c>
      <c r="E2078" t="str">
        <f>VLOOKUP(D2078,'[2]Lista de Produtos CLASSIFICAÇÃO'!$E$103:$F$114,2,FALSE)</f>
        <v>Aquecidos</v>
      </c>
      <c r="F2078">
        <v>3174</v>
      </c>
      <c r="G2078" t="str">
        <f>VLOOKUP(Tabela1[[#This Row],[Cliente]],clientes!$C$3:$D$60,2,FALSE)</f>
        <v>BRF</v>
      </c>
    </row>
    <row r="2079" spans="1:7" x14ac:dyDescent="0.25">
      <c r="A2079">
        <v>2026</v>
      </c>
      <c r="B2079" t="s">
        <v>143</v>
      </c>
      <c r="C2079" t="s">
        <v>162</v>
      </c>
      <c r="D2079" t="s">
        <v>123</v>
      </c>
      <c r="E2079" t="str">
        <f>VLOOKUP(D2079,'[2]Lista de Produtos CLASSIFICAÇÃO'!$E$103:$F$114,2,FALSE)</f>
        <v>Aquecidos</v>
      </c>
      <c r="F2079">
        <v>3100</v>
      </c>
      <c r="G2079" t="str">
        <f>VLOOKUP(Tabela1[[#This Row],[Cliente]],clientes!$C$3:$D$60,2,FALSE)</f>
        <v>JBS</v>
      </c>
    </row>
    <row r="2080" spans="1:7" x14ac:dyDescent="0.25">
      <c r="A2080">
        <v>2026</v>
      </c>
      <c r="B2080" t="s">
        <v>132</v>
      </c>
      <c r="C2080" t="s">
        <v>162</v>
      </c>
      <c r="D2080" t="s">
        <v>123</v>
      </c>
      <c r="E2080" t="str">
        <f>VLOOKUP(D2080,'[2]Lista de Produtos CLASSIFICAÇÃO'!$E$103:$F$114,2,FALSE)</f>
        <v>Aquecidos</v>
      </c>
      <c r="F2080">
        <v>3100</v>
      </c>
      <c r="G2080" t="str">
        <f>VLOOKUP(Tabela1[[#This Row],[Cliente]],clientes!$C$3:$D$60,2,FALSE)</f>
        <v>JBS</v>
      </c>
    </row>
    <row r="2081" spans="1:7" x14ac:dyDescent="0.25">
      <c r="A2081">
        <v>2026</v>
      </c>
      <c r="B2081" t="s">
        <v>133</v>
      </c>
      <c r="C2081" t="s">
        <v>162</v>
      </c>
      <c r="D2081" t="s">
        <v>123</v>
      </c>
      <c r="E2081" t="str">
        <f>VLOOKUP(D2081,'[2]Lista de Produtos CLASSIFICAÇÃO'!$E$103:$F$114,2,FALSE)</f>
        <v>Aquecidos</v>
      </c>
      <c r="F2081">
        <v>3100</v>
      </c>
      <c r="G2081" t="str">
        <f>VLOOKUP(Tabela1[[#This Row],[Cliente]],clientes!$C$3:$D$60,2,FALSE)</f>
        <v>JBS</v>
      </c>
    </row>
    <row r="2082" spans="1:7" x14ac:dyDescent="0.25">
      <c r="A2082">
        <v>2026</v>
      </c>
      <c r="B2082" t="s">
        <v>134</v>
      </c>
      <c r="C2082" t="s">
        <v>162</v>
      </c>
      <c r="D2082" t="s">
        <v>123</v>
      </c>
      <c r="E2082" t="str">
        <f>VLOOKUP(D2082,'[2]Lista de Produtos CLASSIFICAÇÃO'!$E$103:$F$114,2,FALSE)</f>
        <v>Aquecidos</v>
      </c>
      <c r="F2082">
        <v>3100</v>
      </c>
      <c r="G2082" t="str">
        <f>VLOOKUP(Tabela1[[#This Row],[Cliente]],clientes!$C$3:$D$60,2,FALSE)</f>
        <v>JBS</v>
      </c>
    </row>
    <row r="2083" spans="1:7" x14ac:dyDescent="0.25">
      <c r="A2083">
        <v>2026</v>
      </c>
      <c r="B2083" t="s">
        <v>135</v>
      </c>
      <c r="C2083" t="s">
        <v>162</v>
      </c>
      <c r="D2083" t="s">
        <v>123</v>
      </c>
      <c r="E2083" t="str">
        <f>VLOOKUP(D2083,'[2]Lista de Produtos CLASSIFICAÇÃO'!$E$103:$F$114,2,FALSE)</f>
        <v>Aquecidos</v>
      </c>
      <c r="F2083">
        <v>3100</v>
      </c>
      <c r="G2083" t="str">
        <f>VLOOKUP(Tabela1[[#This Row],[Cliente]],clientes!$C$3:$D$60,2,FALSE)</f>
        <v>JBS</v>
      </c>
    </row>
    <row r="2084" spans="1:7" x14ac:dyDescent="0.25">
      <c r="A2084">
        <v>2026</v>
      </c>
      <c r="B2084" t="s">
        <v>136</v>
      </c>
      <c r="C2084" t="s">
        <v>162</v>
      </c>
      <c r="D2084" t="s">
        <v>123</v>
      </c>
      <c r="E2084" t="str">
        <f>VLOOKUP(D2084,'[2]Lista de Produtos CLASSIFICAÇÃO'!$E$103:$F$114,2,FALSE)</f>
        <v>Aquecidos</v>
      </c>
      <c r="F2084">
        <v>3100</v>
      </c>
      <c r="G2084" t="str">
        <f>VLOOKUP(Tabela1[[#This Row],[Cliente]],clientes!$C$3:$D$60,2,FALSE)</f>
        <v>JBS</v>
      </c>
    </row>
    <row r="2085" spans="1:7" x14ac:dyDescent="0.25">
      <c r="A2085">
        <v>2026</v>
      </c>
      <c r="B2085" t="s">
        <v>137</v>
      </c>
      <c r="C2085" t="s">
        <v>162</v>
      </c>
      <c r="D2085" t="s">
        <v>123</v>
      </c>
      <c r="E2085" t="str">
        <f>VLOOKUP(D2085,'[2]Lista de Produtos CLASSIFICAÇÃO'!$E$103:$F$114,2,FALSE)</f>
        <v>Aquecidos</v>
      </c>
      <c r="F2085">
        <v>3100</v>
      </c>
      <c r="G2085" t="str">
        <f>VLOOKUP(Tabela1[[#This Row],[Cliente]],clientes!$C$3:$D$60,2,FALSE)</f>
        <v>JBS</v>
      </c>
    </row>
    <row r="2086" spans="1:7" x14ac:dyDescent="0.25">
      <c r="A2086">
        <v>2026</v>
      </c>
      <c r="B2086" t="s">
        <v>138</v>
      </c>
      <c r="C2086" t="s">
        <v>162</v>
      </c>
      <c r="D2086" t="s">
        <v>123</v>
      </c>
      <c r="E2086" t="str">
        <f>VLOOKUP(D2086,'[2]Lista de Produtos CLASSIFICAÇÃO'!$E$103:$F$114,2,FALSE)</f>
        <v>Aquecidos</v>
      </c>
      <c r="F2086">
        <v>3100</v>
      </c>
      <c r="G2086" t="str">
        <f>VLOOKUP(Tabela1[[#This Row],[Cliente]],clientes!$C$3:$D$60,2,FALSE)</f>
        <v>JBS</v>
      </c>
    </row>
    <row r="2087" spans="1:7" x14ac:dyDescent="0.25">
      <c r="A2087">
        <v>2026</v>
      </c>
      <c r="B2087" t="s">
        <v>139</v>
      </c>
      <c r="C2087" t="s">
        <v>162</v>
      </c>
      <c r="D2087" t="s">
        <v>123</v>
      </c>
      <c r="E2087" t="str">
        <f>VLOOKUP(D2087,'[2]Lista de Produtos CLASSIFICAÇÃO'!$E$103:$F$114,2,FALSE)</f>
        <v>Aquecidos</v>
      </c>
      <c r="F2087">
        <v>3100</v>
      </c>
      <c r="G2087" t="str">
        <f>VLOOKUP(Tabela1[[#This Row],[Cliente]],clientes!$C$3:$D$60,2,FALSE)</f>
        <v>JBS</v>
      </c>
    </row>
    <row r="2088" spans="1:7" x14ac:dyDescent="0.25">
      <c r="A2088">
        <v>2026</v>
      </c>
      <c r="B2088" t="s">
        <v>140</v>
      </c>
      <c r="C2088" t="s">
        <v>162</v>
      </c>
      <c r="D2088" t="s">
        <v>123</v>
      </c>
      <c r="E2088" t="str">
        <f>VLOOKUP(D2088,'[2]Lista de Produtos CLASSIFICAÇÃO'!$E$103:$F$114,2,FALSE)</f>
        <v>Aquecidos</v>
      </c>
      <c r="F2088">
        <v>3100</v>
      </c>
      <c r="G2088" t="str">
        <f>VLOOKUP(Tabela1[[#This Row],[Cliente]],clientes!$C$3:$D$60,2,FALSE)</f>
        <v>JBS</v>
      </c>
    </row>
    <row r="2089" spans="1:7" x14ac:dyDescent="0.25">
      <c r="A2089">
        <v>2026</v>
      </c>
      <c r="B2089" t="s">
        <v>141</v>
      </c>
      <c r="C2089" t="s">
        <v>162</v>
      </c>
      <c r="D2089" t="s">
        <v>123</v>
      </c>
      <c r="E2089" t="str">
        <f>VLOOKUP(D2089,'[2]Lista de Produtos CLASSIFICAÇÃO'!$E$103:$F$114,2,FALSE)</f>
        <v>Aquecidos</v>
      </c>
      <c r="F2089">
        <v>3100</v>
      </c>
      <c r="G2089" t="str">
        <f>VLOOKUP(Tabela1[[#This Row],[Cliente]],clientes!$C$3:$D$60,2,FALSE)</f>
        <v>JBS</v>
      </c>
    </row>
    <row r="2090" spans="1:7" x14ac:dyDescent="0.25">
      <c r="A2090">
        <v>2026</v>
      </c>
      <c r="B2090" t="s">
        <v>142</v>
      </c>
      <c r="C2090" t="s">
        <v>162</v>
      </c>
      <c r="D2090" t="s">
        <v>123</v>
      </c>
      <c r="E2090" t="str">
        <f>VLOOKUP(D2090,'[2]Lista de Produtos CLASSIFICAÇÃO'!$E$103:$F$114,2,FALSE)</f>
        <v>Aquecidos</v>
      </c>
      <c r="F2090">
        <v>3100</v>
      </c>
      <c r="G2090" t="str">
        <f>VLOOKUP(Tabela1[[#This Row],[Cliente]],clientes!$C$3:$D$60,2,FALSE)</f>
        <v>JBS</v>
      </c>
    </row>
    <row r="2091" spans="1:7" x14ac:dyDescent="0.25">
      <c r="A2091">
        <v>2026</v>
      </c>
      <c r="B2091" t="s">
        <v>143</v>
      </c>
      <c r="C2091" t="s">
        <v>166</v>
      </c>
      <c r="D2091" t="s">
        <v>123</v>
      </c>
      <c r="E2091" t="str">
        <f>VLOOKUP(D2091,'[2]Lista de Produtos CLASSIFICAÇÃO'!$E$103:$F$114,2,FALSE)</f>
        <v>Aquecidos</v>
      </c>
      <c r="F2091">
        <v>932</v>
      </c>
      <c r="G2091" t="str">
        <f>VLOOKUP(Tabela1[[#This Row],[Cliente]],clientes!$C$3:$D$60,2,FALSE)</f>
        <v>CARGILL</v>
      </c>
    </row>
    <row r="2092" spans="1:7" x14ac:dyDescent="0.25">
      <c r="A2092">
        <v>2026</v>
      </c>
      <c r="B2092" t="s">
        <v>132</v>
      </c>
      <c r="C2092" t="s">
        <v>166</v>
      </c>
      <c r="D2092" t="s">
        <v>123</v>
      </c>
      <c r="E2092" t="str">
        <f>VLOOKUP(D2092,'[2]Lista de Produtos CLASSIFICAÇÃO'!$E$103:$F$114,2,FALSE)</f>
        <v>Aquecidos</v>
      </c>
      <c r="F2092">
        <v>932</v>
      </c>
      <c r="G2092" t="str">
        <f>VLOOKUP(Tabela1[[#This Row],[Cliente]],clientes!$C$3:$D$60,2,FALSE)</f>
        <v>CARGILL</v>
      </c>
    </row>
    <row r="2093" spans="1:7" x14ac:dyDescent="0.25">
      <c r="A2093">
        <v>2026</v>
      </c>
      <c r="B2093" t="s">
        <v>133</v>
      </c>
      <c r="C2093" t="s">
        <v>166</v>
      </c>
      <c r="D2093" t="s">
        <v>123</v>
      </c>
      <c r="E2093" t="str">
        <f>VLOOKUP(D2093,'[2]Lista de Produtos CLASSIFICAÇÃO'!$E$103:$F$114,2,FALSE)</f>
        <v>Aquecidos</v>
      </c>
      <c r="F2093">
        <v>932</v>
      </c>
      <c r="G2093" t="str">
        <f>VLOOKUP(Tabela1[[#This Row],[Cliente]],clientes!$C$3:$D$60,2,FALSE)</f>
        <v>CARGILL</v>
      </c>
    </row>
    <row r="2094" spans="1:7" x14ac:dyDescent="0.25">
      <c r="A2094">
        <v>2026</v>
      </c>
      <c r="B2094" t="s">
        <v>134</v>
      </c>
      <c r="C2094" t="s">
        <v>166</v>
      </c>
      <c r="D2094" t="s">
        <v>123</v>
      </c>
      <c r="E2094" t="str">
        <f>VLOOKUP(D2094,'[2]Lista de Produtos CLASSIFICAÇÃO'!$E$103:$F$114,2,FALSE)</f>
        <v>Aquecidos</v>
      </c>
      <c r="F2094">
        <v>932</v>
      </c>
      <c r="G2094" t="str">
        <f>VLOOKUP(Tabela1[[#This Row],[Cliente]],clientes!$C$3:$D$60,2,FALSE)</f>
        <v>CARGILL</v>
      </c>
    </row>
    <row r="2095" spans="1:7" x14ac:dyDescent="0.25">
      <c r="A2095">
        <v>2026</v>
      </c>
      <c r="B2095" t="s">
        <v>135</v>
      </c>
      <c r="C2095" t="s">
        <v>166</v>
      </c>
      <c r="D2095" t="s">
        <v>123</v>
      </c>
      <c r="E2095" t="str">
        <f>VLOOKUP(D2095,'[2]Lista de Produtos CLASSIFICAÇÃO'!$E$103:$F$114,2,FALSE)</f>
        <v>Aquecidos</v>
      </c>
      <c r="F2095">
        <v>932</v>
      </c>
      <c r="G2095" t="str">
        <f>VLOOKUP(Tabela1[[#This Row],[Cliente]],clientes!$C$3:$D$60,2,FALSE)</f>
        <v>CARGILL</v>
      </c>
    </row>
    <row r="2096" spans="1:7" x14ac:dyDescent="0.25">
      <c r="A2096">
        <v>2026</v>
      </c>
      <c r="B2096" t="s">
        <v>136</v>
      </c>
      <c r="C2096" t="s">
        <v>166</v>
      </c>
      <c r="D2096" t="s">
        <v>123</v>
      </c>
      <c r="E2096" t="str">
        <f>VLOOKUP(D2096,'[2]Lista de Produtos CLASSIFICAÇÃO'!$E$103:$F$114,2,FALSE)</f>
        <v>Aquecidos</v>
      </c>
      <c r="F2096">
        <v>932</v>
      </c>
      <c r="G2096" t="str">
        <f>VLOOKUP(Tabela1[[#This Row],[Cliente]],clientes!$C$3:$D$60,2,FALSE)</f>
        <v>CARGILL</v>
      </c>
    </row>
    <row r="2097" spans="1:7" x14ac:dyDescent="0.25">
      <c r="A2097">
        <v>2026</v>
      </c>
      <c r="B2097" t="s">
        <v>137</v>
      </c>
      <c r="C2097" t="s">
        <v>166</v>
      </c>
      <c r="D2097" t="s">
        <v>123</v>
      </c>
      <c r="E2097" t="str">
        <f>VLOOKUP(D2097,'[2]Lista de Produtos CLASSIFICAÇÃO'!$E$103:$F$114,2,FALSE)</f>
        <v>Aquecidos</v>
      </c>
      <c r="F2097">
        <v>932</v>
      </c>
      <c r="G2097" t="str">
        <f>VLOOKUP(Tabela1[[#This Row],[Cliente]],clientes!$C$3:$D$60,2,FALSE)</f>
        <v>CARGILL</v>
      </c>
    </row>
    <row r="2098" spans="1:7" x14ac:dyDescent="0.25">
      <c r="A2098">
        <v>2026</v>
      </c>
      <c r="B2098" t="s">
        <v>138</v>
      </c>
      <c r="C2098" t="s">
        <v>166</v>
      </c>
      <c r="D2098" t="s">
        <v>123</v>
      </c>
      <c r="E2098" t="str">
        <f>VLOOKUP(D2098,'[2]Lista de Produtos CLASSIFICAÇÃO'!$E$103:$F$114,2,FALSE)</f>
        <v>Aquecidos</v>
      </c>
      <c r="F2098">
        <v>932</v>
      </c>
      <c r="G2098" t="str">
        <f>VLOOKUP(Tabela1[[#This Row],[Cliente]],clientes!$C$3:$D$60,2,FALSE)</f>
        <v>CARGILL</v>
      </c>
    </row>
    <row r="2099" spans="1:7" x14ac:dyDescent="0.25">
      <c r="A2099">
        <v>2026</v>
      </c>
      <c r="B2099" t="s">
        <v>139</v>
      </c>
      <c r="C2099" t="s">
        <v>166</v>
      </c>
      <c r="D2099" t="s">
        <v>123</v>
      </c>
      <c r="E2099" t="str">
        <f>VLOOKUP(D2099,'[2]Lista de Produtos CLASSIFICAÇÃO'!$E$103:$F$114,2,FALSE)</f>
        <v>Aquecidos</v>
      </c>
      <c r="F2099">
        <v>932</v>
      </c>
      <c r="G2099" t="str">
        <f>VLOOKUP(Tabela1[[#This Row],[Cliente]],clientes!$C$3:$D$60,2,FALSE)</f>
        <v>CARGILL</v>
      </c>
    </row>
    <row r="2100" spans="1:7" x14ac:dyDescent="0.25">
      <c r="A2100">
        <v>2026</v>
      </c>
      <c r="B2100" t="s">
        <v>140</v>
      </c>
      <c r="C2100" t="s">
        <v>166</v>
      </c>
      <c r="D2100" t="s">
        <v>123</v>
      </c>
      <c r="E2100" t="str">
        <f>VLOOKUP(D2100,'[2]Lista de Produtos CLASSIFICAÇÃO'!$E$103:$F$114,2,FALSE)</f>
        <v>Aquecidos</v>
      </c>
      <c r="F2100">
        <v>932</v>
      </c>
      <c r="G2100" t="str">
        <f>VLOOKUP(Tabela1[[#This Row],[Cliente]],clientes!$C$3:$D$60,2,FALSE)</f>
        <v>CARGILL</v>
      </c>
    </row>
    <row r="2101" spans="1:7" x14ac:dyDescent="0.25">
      <c r="A2101">
        <v>2026</v>
      </c>
      <c r="B2101" t="s">
        <v>141</v>
      </c>
      <c r="C2101" t="s">
        <v>166</v>
      </c>
      <c r="D2101" t="s">
        <v>123</v>
      </c>
      <c r="E2101" t="str">
        <f>VLOOKUP(D2101,'[2]Lista de Produtos CLASSIFICAÇÃO'!$E$103:$F$114,2,FALSE)</f>
        <v>Aquecidos</v>
      </c>
      <c r="F2101">
        <v>932</v>
      </c>
      <c r="G2101" t="str">
        <f>VLOOKUP(Tabela1[[#This Row],[Cliente]],clientes!$C$3:$D$60,2,FALSE)</f>
        <v>CARGILL</v>
      </c>
    </row>
    <row r="2102" spans="1:7" x14ac:dyDescent="0.25">
      <c r="A2102">
        <v>2026</v>
      </c>
      <c r="B2102" t="s">
        <v>142</v>
      </c>
      <c r="C2102" t="s">
        <v>166</v>
      </c>
      <c r="D2102" t="s">
        <v>123</v>
      </c>
      <c r="E2102" t="str">
        <f>VLOOKUP(D2102,'[2]Lista de Produtos CLASSIFICAÇÃO'!$E$103:$F$114,2,FALSE)</f>
        <v>Aquecidos</v>
      </c>
      <c r="F2102">
        <v>932</v>
      </c>
      <c r="G2102" t="str">
        <f>VLOOKUP(Tabela1[[#This Row],[Cliente]],clientes!$C$3:$D$60,2,FALSE)</f>
        <v>CARGILL</v>
      </c>
    </row>
    <row r="2103" spans="1:7" x14ac:dyDescent="0.25">
      <c r="A2103">
        <v>2026</v>
      </c>
      <c r="B2103" t="s">
        <v>143</v>
      </c>
      <c r="C2103" t="s">
        <v>167</v>
      </c>
      <c r="D2103" t="s">
        <v>122</v>
      </c>
      <c r="E2103" t="str">
        <f>VLOOKUP(D2103,'[2]Lista de Produtos CLASSIFICAÇÃO'!$E$103:$F$114,2,FALSE)</f>
        <v>Óleo Vegetal</v>
      </c>
      <c r="F2103">
        <v>70097.740000000005</v>
      </c>
      <c r="G2103" t="str">
        <f>VLOOKUP(Tabela1[[#This Row],[Cliente]],clientes!$C$3:$D$60,2,FALSE)</f>
        <v>POOL</v>
      </c>
    </row>
    <row r="2104" spans="1:7" x14ac:dyDescent="0.25">
      <c r="A2104">
        <v>2026</v>
      </c>
      <c r="B2104" t="s">
        <v>132</v>
      </c>
      <c r="C2104" t="s">
        <v>167</v>
      </c>
      <c r="D2104" t="s">
        <v>122</v>
      </c>
      <c r="E2104" t="str">
        <f>VLOOKUP(D2104,'[2]Lista de Produtos CLASSIFICAÇÃO'!$E$103:$F$114,2,FALSE)</f>
        <v>Óleo Vegetal</v>
      </c>
      <c r="F2104">
        <v>66115.079999999987</v>
      </c>
      <c r="G2104" t="str">
        <f>VLOOKUP(Tabela1[[#This Row],[Cliente]],clientes!$C$3:$D$60,2,FALSE)</f>
        <v>POOL</v>
      </c>
    </row>
    <row r="2105" spans="1:7" x14ac:dyDescent="0.25">
      <c r="A2105">
        <v>2026</v>
      </c>
      <c r="B2105" t="s">
        <v>133</v>
      </c>
      <c r="C2105" t="s">
        <v>167</v>
      </c>
      <c r="D2105" t="s">
        <v>122</v>
      </c>
      <c r="E2105" t="str">
        <f>VLOOKUP(D2105,'[2]Lista de Produtos CLASSIFICAÇÃO'!$E$103:$F$114,2,FALSE)</f>
        <v>Óleo Vegetal</v>
      </c>
      <c r="F2105">
        <v>116200.62000000001</v>
      </c>
      <c r="G2105" t="str">
        <f>VLOOKUP(Tabela1[[#This Row],[Cliente]],clientes!$C$3:$D$60,2,FALSE)</f>
        <v>POOL</v>
      </c>
    </row>
    <row r="2106" spans="1:7" x14ac:dyDescent="0.25">
      <c r="A2106">
        <v>2026</v>
      </c>
      <c r="B2106" t="s">
        <v>134</v>
      </c>
      <c r="C2106" t="s">
        <v>167</v>
      </c>
      <c r="D2106" t="s">
        <v>122</v>
      </c>
      <c r="E2106" t="str">
        <f>VLOOKUP(D2106,'[2]Lista de Produtos CLASSIFICAÇÃO'!$E$103:$F$114,2,FALSE)</f>
        <v>Óleo Vegetal</v>
      </c>
      <c r="F2106">
        <v>79127.740000000005</v>
      </c>
      <c r="G2106" t="str">
        <f>VLOOKUP(Tabela1[[#This Row],[Cliente]],clientes!$C$3:$D$60,2,FALSE)</f>
        <v>POOL</v>
      </c>
    </row>
    <row r="2107" spans="1:7" x14ac:dyDescent="0.25">
      <c r="A2107">
        <v>2026</v>
      </c>
      <c r="B2107" t="s">
        <v>135</v>
      </c>
      <c r="C2107" t="s">
        <v>167</v>
      </c>
      <c r="D2107" t="s">
        <v>122</v>
      </c>
      <c r="E2107" t="str">
        <f>VLOOKUP(D2107,'[2]Lista de Produtos CLASSIFICAÇÃO'!$E$103:$F$114,2,FALSE)</f>
        <v>Óleo Vegetal</v>
      </c>
      <c r="F2107">
        <v>74820</v>
      </c>
      <c r="G2107" t="str">
        <f>VLOOKUP(Tabela1[[#This Row],[Cliente]],clientes!$C$3:$D$60,2,FALSE)</f>
        <v>POOL</v>
      </c>
    </row>
    <row r="2108" spans="1:7" x14ac:dyDescent="0.25">
      <c r="A2108">
        <v>2026</v>
      </c>
      <c r="B2108" t="s">
        <v>136</v>
      </c>
      <c r="C2108" t="s">
        <v>167</v>
      </c>
      <c r="D2108" t="s">
        <v>122</v>
      </c>
      <c r="E2108" t="str">
        <f>VLOOKUP(D2108,'[2]Lista de Produtos CLASSIFICAÇÃO'!$E$103:$F$114,2,FALSE)</f>
        <v>Óleo Vegetal</v>
      </c>
      <c r="F2108">
        <v>88215.360000000001</v>
      </c>
      <c r="G2108" t="str">
        <f>VLOOKUP(Tabela1[[#This Row],[Cliente]],clientes!$C$3:$D$60,2,FALSE)</f>
        <v>POOL</v>
      </c>
    </row>
    <row r="2109" spans="1:7" x14ac:dyDescent="0.25">
      <c r="A2109">
        <v>2026</v>
      </c>
      <c r="B2109" t="s">
        <v>137</v>
      </c>
      <c r="C2109" t="s">
        <v>167</v>
      </c>
      <c r="D2109" t="s">
        <v>122</v>
      </c>
      <c r="E2109" t="str">
        <f>VLOOKUP(D2109,'[2]Lista de Produtos CLASSIFICAÇÃO'!$E$103:$F$114,2,FALSE)</f>
        <v>Óleo Vegetal</v>
      </c>
      <c r="F2109">
        <v>95202</v>
      </c>
      <c r="G2109" t="str">
        <f>VLOOKUP(Tabela1[[#This Row],[Cliente]],clientes!$C$3:$D$60,2,FALSE)</f>
        <v>POOL</v>
      </c>
    </row>
    <row r="2110" spans="1:7" x14ac:dyDescent="0.25">
      <c r="A2110">
        <v>2026</v>
      </c>
      <c r="B2110" t="s">
        <v>138</v>
      </c>
      <c r="C2110" t="s">
        <v>167</v>
      </c>
      <c r="D2110" t="s">
        <v>122</v>
      </c>
      <c r="E2110" t="str">
        <f>VLOOKUP(D2110,'[2]Lista de Produtos CLASSIFICAÇÃO'!$E$103:$F$114,2,FALSE)</f>
        <v>Óleo Vegetal</v>
      </c>
      <c r="F2110">
        <v>77687.240000000005</v>
      </c>
      <c r="G2110" t="str">
        <f>VLOOKUP(Tabela1[[#This Row],[Cliente]],clientes!$C$3:$D$60,2,FALSE)</f>
        <v>POOL</v>
      </c>
    </row>
    <row r="2111" spans="1:7" x14ac:dyDescent="0.25">
      <c r="A2111">
        <v>2026</v>
      </c>
      <c r="B2111" t="s">
        <v>139</v>
      </c>
      <c r="C2111" t="s">
        <v>167</v>
      </c>
      <c r="D2111" t="s">
        <v>122</v>
      </c>
      <c r="E2111" t="str">
        <f>VLOOKUP(D2111,'[2]Lista de Produtos CLASSIFICAÇÃO'!$E$103:$F$114,2,FALSE)</f>
        <v>Óleo Vegetal</v>
      </c>
      <c r="F2111">
        <v>50247.22</v>
      </c>
      <c r="G2111" t="str">
        <f>VLOOKUP(Tabela1[[#This Row],[Cliente]],clientes!$C$3:$D$60,2,FALSE)</f>
        <v>POOL</v>
      </c>
    </row>
    <row r="2112" spans="1:7" x14ac:dyDescent="0.25">
      <c r="A2112">
        <v>2026</v>
      </c>
      <c r="B2112" t="s">
        <v>140</v>
      </c>
      <c r="C2112" t="s">
        <v>167</v>
      </c>
      <c r="D2112" t="s">
        <v>122</v>
      </c>
      <c r="E2112" t="str">
        <f>VLOOKUP(D2112,'[2]Lista de Produtos CLASSIFICAÇÃO'!$E$103:$F$114,2,FALSE)</f>
        <v>Óleo Vegetal</v>
      </c>
      <c r="F2112">
        <v>34400</v>
      </c>
      <c r="G2112" t="str">
        <f>VLOOKUP(Tabela1[[#This Row],[Cliente]],clientes!$C$3:$D$60,2,FALSE)</f>
        <v>POOL</v>
      </c>
    </row>
    <row r="2113" spans="1:7" x14ac:dyDescent="0.25">
      <c r="A2113">
        <v>2026</v>
      </c>
      <c r="B2113" t="s">
        <v>141</v>
      </c>
      <c r="C2113" t="s">
        <v>167</v>
      </c>
      <c r="D2113" t="s">
        <v>122</v>
      </c>
      <c r="E2113" t="str">
        <f>VLOOKUP(D2113,'[2]Lista de Produtos CLASSIFICAÇÃO'!$E$103:$F$114,2,FALSE)</f>
        <v>Óleo Vegetal</v>
      </c>
      <c r="F2113">
        <v>20794.8</v>
      </c>
      <c r="G2113" t="str">
        <f>VLOOKUP(Tabela1[[#This Row],[Cliente]],clientes!$C$3:$D$60,2,FALSE)</f>
        <v>POOL</v>
      </c>
    </row>
    <row r="2114" spans="1:7" x14ac:dyDescent="0.25">
      <c r="A2114">
        <v>2026</v>
      </c>
      <c r="B2114" t="s">
        <v>142</v>
      </c>
      <c r="C2114" t="s">
        <v>167</v>
      </c>
      <c r="D2114" t="s">
        <v>122</v>
      </c>
      <c r="E2114" t="str">
        <f>VLOOKUP(D2114,'[2]Lista de Produtos CLASSIFICAÇÃO'!$E$103:$F$114,2,FALSE)</f>
        <v>Óleo Vegetal</v>
      </c>
      <c r="F2114">
        <v>15995.999999999998</v>
      </c>
      <c r="G2114" t="str">
        <f>VLOOKUP(Tabela1[[#This Row],[Cliente]],clientes!$C$3:$D$60,2,FALSE)</f>
        <v>POOL</v>
      </c>
    </row>
    <row r="2115" spans="1:7" x14ac:dyDescent="0.25">
      <c r="A2115">
        <v>2026</v>
      </c>
      <c r="B2115" t="s">
        <v>143</v>
      </c>
      <c r="C2115" t="s">
        <v>168</v>
      </c>
      <c r="D2115" t="s">
        <v>122</v>
      </c>
      <c r="E2115" t="str">
        <f>VLOOKUP(D2115,'[2]Lista de Produtos CLASSIFICAÇÃO'!$E$103:$F$114,2,FALSE)</f>
        <v>Óleo Vegetal</v>
      </c>
      <c r="F2115">
        <v>600</v>
      </c>
      <c r="G2115" t="str">
        <f>VLOOKUP(Tabela1[[#This Row],[Cliente]],clientes!$C$3:$D$60,2,FALSE)</f>
        <v>POOL EXCEDENTE</v>
      </c>
    </row>
    <row r="2116" spans="1:7" x14ac:dyDescent="0.25">
      <c r="A2116">
        <v>2026</v>
      </c>
      <c r="B2116" t="s">
        <v>132</v>
      </c>
      <c r="C2116" t="s">
        <v>168</v>
      </c>
      <c r="D2116" t="s">
        <v>122</v>
      </c>
      <c r="E2116" t="str">
        <f>VLOOKUP(D2116,'[2]Lista de Produtos CLASSIFICAÇÃO'!$E$103:$F$114,2,FALSE)</f>
        <v>Óleo Vegetal</v>
      </c>
      <c r="F2116">
        <v>600</v>
      </c>
      <c r="G2116" t="str">
        <f>VLOOKUP(Tabela1[[#This Row],[Cliente]],clientes!$C$3:$D$60,2,FALSE)</f>
        <v>POOL EXCEDENTE</v>
      </c>
    </row>
    <row r="2117" spans="1:7" x14ac:dyDescent="0.25">
      <c r="A2117">
        <v>2026</v>
      </c>
      <c r="B2117" t="s">
        <v>133</v>
      </c>
      <c r="C2117" t="s">
        <v>168</v>
      </c>
      <c r="D2117" t="s">
        <v>122</v>
      </c>
      <c r="E2117" t="str">
        <f>VLOOKUP(D2117,'[2]Lista de Produtos CLASSIFICAÇÃO'!$E$103:$F$114,2,FALSE)</f>
        <v>Óleo Vegetal</v>
      </c>
      <c r="F2117">
        <v>600</v>
      </c>
      <c r="G2117" t="str">
        <f>VLOOKUP(Tabela1[[#This Row],[Cliente]],clientes!$C$3:$D$60,2,FALSE)</f>
        <v>POOL EXCEDENTE</v>
      </c>
    </row>
    <row r="2118" spans="1:7" x14ac:dyDescent="0.25">
      <c r="A2118">
        <v>2026</v>
      </c>
      <c r="B2118" t="s">
        <v>134</v>
      </c>
      <c r="C2118" t="s">
        <v>168</v>
      </c>
      <c r="D2118" t="s">
        <v>122</v>
      </c>
      <c r="E2118" t="str">
        <f>VLOOKUP(D2118,'[2]Lista de Produtos CLASSIFICAÇÃO'!$E$103:$F$114,2,FALSE)</f>
        <v>Óleo Vegetal</v>
      </c>
      <c r="F2118">
        <v>600</v>
      </c>
      <c r="G2118" t="str">
        <f>VLOOKUP(Tabela1[[#This Row],[Cliente]],clientes!$C$3:$D$60,2,FALSE)</f>
        <v>POOL EXCEDENTE</v>
      </c>
    </row>
    <row r="2119" spans="1:7" x14ac:dyDescent="0.25">
      <c r="A2119">
        <v>2026</v>
      </c>
      <c r="B2119" t="s">
        <v>135</v>
      </c>
      <c r="C2119" t="s">
        <v>168</v>
      </c>
      <c r="D2119" t="s">
        <v>122</v>
      </c>
      <c r="E2119" t="str">
        <f>VLOOKUP(D2119,'[2]Lista de Produtos CLASSIFICAÇÃO'!$E$103:$F$114,2,FALSE)</f>
        <v>Óleo Vegetal</v>
      </c>
      <c r="F2119">
        <v>600</v>
      </c>
      <c r="G2119" t="str">
        <f>VLOOKUP(Tabela1[[#This Row],[Cliente]],clientes!$C$3:$D$60,2,FALSE)</f>
        <v>POOL EXCEDENTE</v>
      </c>
    </row>
    <row r="2120" spans="1:7" x14ac:dyDescent="0.25">
      <c r="A2120">
        <v>2026</v>
      </c>
      <c r="B2120" t="s">
        <v>136</v>
      </c>
      <c r="C2120" t="s">
        <v>168</v>
      </c>
      <c r="D2120" t="s">
        <v>122</v>
      </c>
      <c r="E2120" t="str">
        <f>VLOOKUP(D2120,'[2]Lista de Produtos CLASSIFICAÇÃO'!$E$103:$F$114,2,FALSE)</f>
        <v>Óleo Vegetal</v>
      </c>
      <c r="F2120">
        <v>600</v>
      </c>
      <c r="G2120" t="str">
        <f>VLOOKUP(Tabela1[[#This Row],[Cliente]],clientes!$C$3:$D$60,2,FALSE)</f>
        <v>POOL EXCEDENTE</v>
      </c>
    </row>
    <row r="2121" spans="1:7" x14ac:dyDescent="0.25">
      <c r="A2121">
        <v>2026</v>
      </c>
      <c r="B2121" t="s">
        <v>137</v>
      </c>
      <c r="C2121" t="s">
        <v>168</v>
      </c>
      <c r="D2121" t="s">
        <v>122</v>
      </c>
      <c r="E2121" t="str">
        <f>VLOOKUP(D2121,'[2]Lista de Produtos CLASSIFICAÇÃO'!$E$103:$F$114,2,FALSE)</f>
        <v>Óleo Vegetal</v>
      </c>
      <c r="F2121">
        <v>600</v>
      </c>
      <c r="G2121" t="str">
        <f>VLOOKUP(Tabela1[[#This Row],[Cliente]],clientes!$C$3:$D$60,2,FALSE)</f>
        <v>POOL EXCEDENTE</v>
      </c>
    </row>
    <row r="2122" spans="1:7" x14ac:dyDescent="0.25">
      <c r="A2122">
        <v>2026</v>
      </c>
      <c r="B2122" t="s">
        <v>138</v>
      </c>
      <c r="C2122" t="s">
        <v>168</v>
      </c>
      <c r="D2122" t="s">
        <v>122</v>
      </c>
      <c r="E2122" t="str">
        <f>VLOOKUP(D2122,'[2]Lista de Produtos CLASSIFICAÇÃO'!$E$103:$F$114,2,FALSE)</f>
        <v>Óleo Vegetal</v>
      </c>
      <c r="F2122">
        <v>600</v>
      </c>
      <c r="G2122" t="str">
        <f>VLOOKUP(Tabela1[[#This Row],[Cliente]],clientes!$C$3:$D$60,2,FALSE)</f>
        <v>POOL EXCEDENTE</v>
      </c>
    </row>
    <row r="2123" spans="1:7" x14ac:dyDescent="0.25">
      <c r="A2123">
        <v>2026</v>
      </c>
      <c r="B2123" t="s">
        <v>139</v>
      </c>
      <c r="C2123" t="s">
        <v>168</v>
      </c>
      <c r="D2123" t="s">
        <v>122</v>
      </c>
      <c r="E2123" t="str">
        <f>VLOOKUP(D2123,'[2]Lista de Produtos CLASSIFICAÇÃO'!$E$103:$F$114,2,FALSE)</f>
        <v>Óleo Vegetal</v>
      </c>
      <c r="F2123">
        <v>600</v>
      </c>
      <c r="G2123" t="str">
        <f>VLOOKUP(Tabela1[[#This Row],[Cliente]],clientes!$C$3:$D$60,2,FALSE)</f>
        <v>POOL EXCEDENTE</v>
      </c>
    </row>
    <row r="2124" spans="1:7" x14ac:dyDescent="0.25">
      <c r="A2124">
        <v>2026</v>
      </c>
      <c r="B2124" t="s">
        <v>140</v>
      </c>
      <c r="C2124" t="s">
        <v>168</v>
      </c>
      <c r="D2124" t="s">
        <v>122</v>
      </c>
      <c r="E2124" t="str">
        <f>VLOOKUP(D2124,'[2]Lista de Produtos CLASSIFICAÇÃO'!$E$103:$F$114,2,FALSE)</f>
        <v>Óleo Vegetal</v>
      </c>
      <c r="F2124">
        <v>600</v>
      </c>
      <c r="G2124" t="str">
        <f>VLOOKUP(Tabela1[[#This Row],[Cliente]],clientes!$C$3:$D$60,2,FALSE)</f>
        <v>POOL EXCEDENTE</v>
      </c>
    </row>
    <row r="2125" spans="1:7" x14ac:dyDescent="0.25">
      <c r="A2125">
        <v>2026</v>
      </c>
      <c r="B2125" t="s">
        <v>141</v>
      </c>
      <c r="C2125" t="s">
        <v>168</v>
      </c>
      <c r="D2125" t="s">
        <v>122</v>
      </c>
      <c r="E2125" t="str">
        <f>VLOOKUP(D2125,'[2]Lista de Produtos CLASSIFICAÇÃO'!$E$103:$F$114,2,FALSE)</f>
        <v>Óleo Vegetal</v>
      </c>
      <c r="F2125">
        <v>600</v>
      </c>
      <c r="G2125" t="str">
        <f>VLOOKUP(Tabela1[[#This Row],[Cliente]],clientes!$C$3:$D$60,2,FALSE)</f>
        <v>POOL EXCEDENTE</v>
      </c>
    </row>
    <row r="2126" spans="1:7" x14ac:dyDescent="0.25">
      <c r="A2126">
        <v>2026</v>
      </c>
      <c r="B2126" t="s">
        <v>142</v>
      </c>
      <c r="C2126" t="s">
        <v>168</v>
      </c>
      <c r="D2126" t="s">
        <v>122</v>
      </c>
      <c r="E2126" t="str">
        <f>VLOOKUP(D2126,'[2]Lista de Produtos CLASSIFICAÇÃO'!$E$103:$F$114,2,FALSE)</f>
        <v>Óleo Vegetal</v>
      </c>
      <c r="F2126">
        <v>600</v>
      </c>
      <c r="G2126" t="str">
        <f>VLOOKUP(Tabela1[[#This Row],[Cliente]],clientes!$C$3:$D$60,2,FALSE)</f>
        <v>POOL EXCEDENTE</v>
      </c>
    </row>
    <row r="2127" spans="1:7" x14ac:dyDescent="0.25">
      <c r="A2127">
        <v>2026</v>
      </c>
      <c r="B2127" t="s">
        <v>143</v>
      </c>
      <c r="C2127" t="s">
        <v>169</v>
      </c>
      <c r="D2127" t="s">
        <v>22</v>
      </c>
      <c r="E2127" t="str">
        <f>VLOOKUP(D2127,'[2]Lista de Produtos CLASSIFICAÇÃO'!$E$103:$F$114,2,FALSE)</f>
        <v>Metanol</v>
      </c>
      <c r="F2127">
        <v>66339</v>
      </c>
      <c r="G2127" t="str">
        <f>VLOOKUP(Tabela1[[#This Row],[Cliente]],clientes!$C$3:$D$60,2,FALSE)</f>
        <v>METHANEX</v>
      </c>
    </row>
    <row r="2128" spans="1:7" x14ac:dyDescent="0.25">
      <c r="A2128">
        <v>2026</v>
      </c>
      <c r="B2128" t="s">
        <v>132</v>
      </c>
      <c r="C2128" t="s">
        <v>169</v>
      </c>
      <c r="D2128" t="s">
        <v>22</v>
      </c>
      <c r="E2128" t="str">
        <f>VLOOKUP(D2128,'[2]Lista de Produtos CLASSIFICAÇÃO'!$E$103:$F$114,2,FALSE)</f>
        <v>Metanol</v>
      </c>
      <c r="F2128">
        <v>66339</v>
      </c>
      <c r="G2128" t="str">
        <f>VLOOKUP(Tabela1[[#This Row],[Cliente]],clientes!$C$3:$D$60,2,FALSE)</f>
        <v>METHANEX</v>
      </c>
    </row>
    <row r="2129" spans="1:7" x14ac:dyDescent="0.25">
      <c r="A2129">
        <v>2026</v>
      </c>
      <c r="B2129" t="s">
        <v>133</v>
      </c>
      <c r="C2129" t="s">
        <v>169</v>
      </c>
      <c r="D2129" t="s">
        <v>22</v>
      </c>
      <c r="E2129" t="str">
        <f>VLOOKUP(D2129,'[2]Lista de Produtos CLASSIFICAÇÃO'!$E$103:$F$114,2,FALSE)</f>
        <v>Metanol</v>
      </c>
      <c r="F2129">
        <v>66339</v>
      </c>
      <c r="G2129" t="str">
        <f>VLOOKUP(Tabela1[[#This Row],[Cliente]],clientes!$C$3:$D$60,2,FALSE)</f>
        <v>METHANEX</v>
      </c>
    </row>
    <row r="2130" spans="1:7" x14ac:dyDescent="0.25">
      <c r="A2130">
        <v>2026</v>
      </c>
      <c r="B2130" t="s">
        <v>134</v>
      </c>
      <c r="C2130" t="s">
        <v>169</v>
      </c>
      <c r="D2130" t="s">
        <v>22</v>
      </c>
      <c r="E2130" t="str">
        <f>VLOOKUP(D2130,'[2]Lista de Produtos CLASSIFICAÇÃO'!$E$103:$F$114,2,FALSE)</f>
        <v>Metanol</v>
      </c>
      <c r="F2130">
        <v>66339</v>
      </c>
      <c r="G2130" t="str">
        <f>VLOOKUP(Tabela1[[#This Row],[Cliente]],clientes!$C$3:$D$60,2,FALSE)</f>
        <v>METHANEX</v>
      </c>
    </row>
    <row r="2131" spans="1:7" x14ac:dyDescent="0.25">
      <c r="A2131">
        <v>2026</v>
      </c>
      <c r="B2131" t="s">
        <v>135</v>
      </c>
      <c r="C2131" t="s">
        <v>169</v>
      </c>
      <c r="D2131" t="s">
        <v>22</v>
      </c>
      <c r="E2131" t="str">
        <f>VLOOKUP(D2131,'[2]Lista de Produtos CLASSIFICAÇÃO'!$E$103:$F$114,2,FALSE)</f>
        <v>Metanol</v>
      </c>
      <c r="F2131">
        <v>66339</v>
      </c>
      <c r="G2131" t="str">
        <f>VLOOKUP(Tabela1[[#This Row],[Cliente]],clientes!$C$3:$D$60,2,FALSE)</f>
        <v>METHANEX</v>
      </c>
    </row>
    <row r="2132" spans="1:7" x14ac:dyDescent="0.25">
      <c r="A2132">
        <v>2026</v>
      </c>
      <c r="B2132" t="s">
        <v>136</v>
      </c>
      <c r="C2132" t="s">
        <v>169</v>
      </c>
      <c r="D2132" t="s">
        <v>22</v>
      </c>
      <c r="E2132" t="str">
        <f>VLOOKUP(D2132,'[2]Lista de Produtos CLASSIFICAÇÃO'!$E$103:$F$114,2,FALSE)</f>
        <v>Metanol</v>
      </c>
      <c r="F2132">
        <v>66339</v>
      </c>
      <c r="G2132" t="str">
        <f>VLOOKUP(Tabela1[[#This Row],[Cliente]],clientes!$C$3:$D$60,2,FALSE)</f>
        <v>METHANEX</v>
      </c>
    </row>
    <row r="2133" spans="1:7" x14ac:dyDescent="0.25">
      <c r="A2133">
        <v>2026</v>
      </c>
      <c r="B2133" t="s">
        <v>137</v>
      </c>
      <c r="C2133" t="s">
        <v>169</v>
      </c>
      <c r="D2133" t="s">
        <v>22</v>
      </c>
      <c r="E2133" t="str">
        <f>VLOOKUP(D2133,'[2]Lista de Produtos CLASSIFICAÇÃO'!$E$103:$F$114,2,FALSE)</f>
        <v>Metanol</v>
      </c>
      <c r="F2133">
        <v>66339</v>
      </c>
      <c r="G2133" t="str">
        <f>VLOOKUP(Tabela1[[#This Row],[Cliente]],clientes!$C$3:$D$60,2,FALSE)</f>
        <v>METHANEX</v>
      </c>
    </row>
    <row r="2134" spans="1:7" x14ac:dyDescent="0.25">
      <c r="A2134">
        <v>2026</v>
      </c>
      <c r="B2134" t="s">
        <v>138</v>
      </c>
      <c r="C2134" t="s">
        <v>169</v>
      </c>
      <c r="D2134" t="s">
        <v>22</v>
      </c>
      <c r="E2134" t="str">
        <f>VLOOKUP(D2134,'[2]Lista de Produtos CLASSIFICAÇÃO'!$E$103:$F$114,2,FALSE)</f>
        <v>Metanol</v>
      </c>
      <c r="F2134">
        <v>66339</v>
      </c>
      <c r="G2134" t="str">
        <f>VLOOKUP(Tabela1[[#This Row],[Cliente]],clientes!$C$3:$D$60,2,FALSE)</f>
        <v>METHANEX</v>
      </c>
    </row>
    <row r="2135" spans="1:7" x14ac:dyDescent="0.25">
      <c r="A2135">
        <v>2026</v>
      </c>
      <c r="B2135" t="s">
        <v>139</v>
      </c>
      <c r="C2135" t="s">
        <v>169</v>
      </c>
      <c r="D2135" t="s">
        <v>22</v>
      </c>
      <c r="E2135" t="str">
        <f>VLOOKUP(D2135,'[2]Lista de Produtos CLASSIFICAÇÃO'!$E$103:$F$114,2,FALSE)</f>
        <v>Metanol</v>
      </c>
      <c r="F2135">
        <v>66339</v>
      </c>
      <c r="G2135" t="str">
        <f>VLOOKUP(Tabela1[[#This Row],[Cliente]],clientes!$C$3:$D$60,2,FALSE)</f>
        <v>METHANEX</v>
      </c>
    </row>
    <row r="2136" spans="1:7" x14ac:dyDescent="0.25">
      <c r="A2136">
        <v>2026</v>
      </c>
      <c r="B2136" t="s">
        <v>140</v>
      </c>
      <c r="C2136" t="s">
        <v>169</v>
      </c>
      <c r="D2136" t="s">
        <v>22</v>
      </c>
      <c r="E2136" t="str">
        <f>VLOOKUP(D2136,'[2]Lista de Produtos CLASSIFICAÇÃO'!$E$103:$F$114,2,FALSE)</f>
        <v>Metanol</v>
      </c>
      <c r="F2136">
        <v>66339</v>
      </c>
      <c r="G2136" t="str">
        <f>VLOOKUP(Tabela1[[#This Row],[Cliente]],clientes!$C$3:$D$60,2,FALSE)</f>
        <v>METHANEX</v>
      </c>
    </row>
    <row r="2137" spans="1:7" x14ac:dyDescent="0.25">
      <c r="A2137">
        <v>2026</v>
      </c>
      <c r="B2137" t="s">
        <v>141</v>
      </c>
      <c r="C2137" t="s">
        <v>169</v>
      </c>
      <c r="D2137" t="s">
        <v>22</v>
      </c>
      <c r="E2137" t="str">
        <f>VLOOKUP(D2137,'[2]Lista de Produtos CLASSIFICAÇÃO'!$E$103:$F$114,2,FALSE)</f>
        <v>Metanol</v>
      </c>
      <c r="F2137">
        <v>66339</v>
      </c>
      <c r="G2137" t="str">
        <f>VLOOKUP(Tabela1[[#This Row],[Cliente]],clientes!$C$3:$D$60,2,FALSE)</f>
        <v>METHANEX</v>
      </c>
    </row>
    <row r="2138" spans="1:7" x14ac:dyDescent="0.25">
      <c r="A2138">
        <v>2026</v>
      </c>
      <c r="B2138" t="s">
        <v>142</v>
      </c>
      <c r="C2138" t="s">
        <v>169</v>
      </c>
      <c r="D2138" t="s">
        <v>22</v>
      </c>
      <c r="E2138" t="str">
        <f>VLOOKUP(D2138,'[2]Lista de Produtos CLASSIFICAÇÃO'!$E$103:$F$114,2,FALSE)</f>
        <v>Metanol</v>
      </c>
      <c r="F2138">
        <v>66339</v>
      </c>
      <c r="G2138" t="str">
        <f>VLOOKUP(Tabela1[[#This Row],[Cliente]],clientes!$C$3:$D$60,2,FALSE)</f>
        <v>METHANEX</v>
      </c>
    </row>
    <row r="2139" spans="1:7" x14ac:dyDescent="0.25">
      <c r="A2139">
        <v>2026</v>
      </c>
      <c r="B2139" t="s">
        <v>143</v>
      </c>
      <c r="C2139" t="s">
        <v>170</v>
      </c>
      <c r="D2139" t="s">
        <v>22</v>
      </c>
      <c r="E2139" t="str">
        <f>VLOOKUP(D2139,'[2]Lista de Produtos CLASSIFICAÇÃO'!$E$103:$F$114,2,FALSE)</f>
        <v>Metanol</v>
      </c>
      <c r="F2139">
        <v>9669</v>
      </c>
      <c r="G2139" t="str">
        <f>VLOOKUP(Tabela1[[#This Row],[Cliente]],clientes!$C$3:$D$60,2,FALSE)</f>
        <v>MITSUBISHI</v>
      </c>
    </row>
    <row r="2140" spans="1:7" x14ac:dyDescent="0.25">
      <c r="A2140">
        <v>2026</v>
      </c>
      <c r="B2140" t="s">
        <v>132</v>
      </c>
      <c r="C2140" t="s">
        <v>170</v>
      </c>
      <c r="D2140" t="s">
        <v>22</v>
      </c>
      <c r="E2140" t="str">
        <f>VLOOKUP(D2140,'[2]Lista de Produtos CLASSIFICAÇÃO'!$E$103:$F$114,2,FALSE)</f>
        <v>Metanol</v>
      </c>
      <c r="F2140">
        <v>9669</v>
      </c>
      <c r="G2140" t="str">
        <f>VLOOKUP(Tabela1[[#This Row],[Cliente]],clientes!$C$3:$D$60,2,FALSE)</f>
        <v>MITSUBISHI</v>
      </c>
    </row>
    <row r="2141" spans="1:7" x14ac:dyDescent="0.25">
      <c r="A2141">
        <v>2026</v>
      </c>
      <c r="B2141" t="s">
        <v>133</v>
      </c>
      <c r="C2141" t="s">
        <v>170</v>
      </c>
      <c r="D2141" t="s">
        <v>22</v>
      </c>
      <c r="E2141" t="str">
        <f>VLOOKUP(D2141,'[2]Lista de Produtos CLASSIFICAÇÃO'!$E$103:$F$114,2,FALSE)</f>
        <v>Metanol</v>
      </c>
      <c r="F2141">
        <v>9669</v>
      </c>
      <c r="G2141" t="str">
        <f>VLOOKUP(Tabela1[[#This Row],[Cliente]],clientes!$C$3:$D$60,2,FALSE)</f>
        <v>MITSUBISHI</v>
      </c>
    </row>
    <row r="2142" spans="1:7" x14ac:dyDescent="0.25">
      <c r="A2142">
        <v>2026</v>
      </c>
      <c r="B2142" t="s">
        <v>134</v>
      </c>
      <c r="C2142" t="s">
        <v>170</v>
      </c>
      <c r="D2142" t="s">
        <v>22</v>
      </c>
      <c r="E2142" t="str">
        <f>VLOOKUP(D2142,'[2]Lista de Produtos CLASSIFICAÇÃO'!$E$103:$F$114,2,FALSE)</f>
        <v>Metanol</v>
      </c>
      <c r="F2142">
        <v>9669</v>
      </c>
      <c r="G2142" t="str">
        <f>VLOOKUP(Tabela1[[#This Row],[Cliente]],clientes!$C$3:$D$60,2,FALSE)</f>
        <v>MITSUBISHI</v>
      </c>
    </row>
    <row r="2143" spans="1:7" x14ac:dyDescent="0.25">
      <c r="A2143">
        <v>2026</v>
      </c>
      <c r="B2143" t="s">
        <v>135</v>
      </c>
      <c r="C2143" t="s">
        <v>170</v>
      </c>
      <c r="D2143" t="s">
        <v>22</v>
      </c>
      <c r="E2143" t="str">
        <f>VLOOKUP(D2143,'[2]Lista de Produtos CLASSIFICAÇÃO'!$E$103:$F$114,2,FALSE)</f>
        <v>Metanol</v>
      </c>
      <c r="F2143">
        <v>9669</v>
      </c>
      <c r="G2143" t="str">
        <f>VLOOKUP(Tabela1[[#This Row],[Cliente]],clientes!$C$3:$D$60,2,FALSE)</f>
        <v>MITSUBISHI</v>
      </c>
    </row>
    <row r="2144" spans="1:7" x14ac:dyDescent="0.25">
      <c r="A2144">
        <v>2026</v>
      </c>
      <c r="B2144" t="s">
        <v>136</v>
      </c>
      <c r="C2144" t="s">
        <v>170</v>
      </c>
      <c r="D2144" t="s">
        <v>22</v>
      </c>
      <c r="E2144" t="str">
        <f>VLOOKUP(D2144,'[2]Lista de Produtos CLASSIFICAÇÃO'!$E$103:$F$114,2,FALSE)</f>
        <v>Metanol</v>
      </c>
      <c r="F2144">
        <v>9669</v>
      </c>
      <c r="G2144" t="str">
        <f>VLOOKUP(Tabela1[[#This Row],[Cliente]],clientes!$C$3:$D$60,2,FALSE)</f>
        <v>MITSUBISHI</v>
      </c>
    </row>
    <row r="2145" spans="1:7" x14ac:dyDescent="0.25">
      <c r="A2145">
        <v>2026</v>
      </c>
      <c r="B2145" t="s">
        <v>137</v>
      </c>
      <c r="C2145" t="s">
        <v>170</v>
      </c>
      <c r="D2145" t="s">
        <v>22</v>
      </c>
      <c r="E2145" t="str">
        <f>VLOOKUP(D2145,'[2]Lista de Produtos CLASSIFICAÇÃO'!$E$103:$F$114,2,FALSE)</f>
        <v>Metanol</v>
      </c>
      <c r="F2145">
        <v>9669</v>
      </c>
      <c r="G2145" t="str">
        <f>VLOOKUP(Tabela1[[#This Row],[Cliente]],clientes!$C$3:$D$60,2,FALSE)</f>
        <v>MITSUBISHI</v>
      </c>
    </row>
    <row r="2146" spans="1:7" x14ac:dyDescent="0.25">
      <c r="A2146">
        <v>2026</v>
      </c>
      <c r="B2146" t="s">
        <v>138</v>
      </c>
      <c r="C2146" t="s">
        <v>170</v>
      </c>
      <c r="D2146" t="s">
        <v>22</v>
      </c>
      <c r="E2146" t="str">
        <f>VLOOKUP(D2146,'[2]Lista de Produtos CLASSIFICAÇÃO'!$E$103:$F$114,2,FALSE)</f>
        <v>Metanol</v>
      </c>
      <c r="F2146">
        <v>9669</v>
      </c>
      <c r="G2146" t="str">
        <f>VLOOKUP(Tabela1[[#This Row],[Cliente]],clientes!$C$3:$D$60,2,FALSE)</f>
        <v>MITSUBISHI</v>
      </c>
    </row>
    <row r="2147" spans="1:7" x14ac:dyDescent="0.25">
      <c r="A2147">
        <v>2026</v>
      </c>
      <c r="B2147" t="s">
        <v>139</v>
      </c>
      <c r="C2147" t="s">
        <v>170</v>
      </c>
      <c r="D2147" t="s">
        <v>22</v>
      </c>
      <c r="E2147" t="str">
        <f>VLOOKUP(D2147,'[2]Lista de Produtos CLASSIFICAÇÃO'!$E$103:$F$114,2,FALSE)</f>
        <v>Metanol</v>
      </c>
      <c r="F2147">
        <v>9669</v>
      </c>
      <c r="G2147" t="str">
        <f>VLOOKUP(Tabela1[[#This Row],[Cliente]],clientes!$C$3:$D$60,2,FALSE)</f>
        <v>MITSUBISHI</v>
      </c>
    </row>
    <row r="2148" spans="1:7" x14ac:dyDescent="0.25">
      <c r="A2148">
        <v>2026</v>
      </c>
      <c r="B2148" t="s">
        <v>140</v>
      </c>
      <c r="C2148" t="s">
        <v>170</v>
      </c>
      <c r="D2148" t="s">
        <v>22</v>
      </c>
      <c r="E2148" t="str">
        <f>VLOOKUP(D2148,'[2]Lista de Produtos CLASSIFICAÇÃO'!$E$103:$F$114,2,FALSE)</f>
        <v>Metanol</v>
      </c>
      <c r="F2148">
        <v>9669</v>
      </c>
      <c r="G2148" t="str">
        <f>VLOOKUP(Tabela1[[#This Row],[Cliente]],clientes!$C$3:$D$60,2,FALSE)</f>
        <v>MITSUBISHI</v>
      </c>
    </row>
    <row r="2149" spans="1:7" x14ac:dyDescent="0.25">
      <c r="A2149">
        <v>2026</v>
      </c>
      <c r="B2149" t="s">
        <v>141</v>
      </c>
      <c r="C2149" t="s">
        <v>170</v>
      </c>
      <c r="D2149" t="s">
        <v>22</v>
      </c>
      <c r="E2149" t="str">
        <f>VLOOKUP(D2149,'[2]Lista de Produtos CLASSIFICAÇÃO'!$E$103:$F$114,2,FALSE)</f>
        <v>Metanol</v>
      </c>
      <c r="F2149">
        <v>9669</v>
      </c>
      <c r="G2149" t="str">
        <f>VLOOKUP(Tabela1[[#This Row],[Cliente]],clientes!$C$3:$D$60,2,FALSE)</f>
        <v>MITSUBISHI</v>
      </c>
    </row>
    <row r="2150" spans="1:7" x14ac:dyDescent="0.25">
      <c r="A2150">
        <v>2026</v>
      </c>
      <c r="B2150" t="s">
        <v>142</v>
      </c>
      <c r="C2150" t="s">
        <v>170</v>
      </c>
      <c r="D2150" t="s">
        <v>22</v>
      </c>
      <c r="E2150" t="str">
        <f>VLOOKUP(D2150,'[2]Lista de Produtos CLASSIFICAÇÃO'!$E$103:$F$114,2,FALSE)</f>
        <v>Metanol</v>
      </c>
      <c r="F2150">
        <v>9669</v>
      </c>
      <c r="G2150" t="str">
        <f>VLOOKUP(Tabela1[[#This Row],[Cliente]],clientes!$C$3:$D$60,2,FALSE)</f>
        <v>MITSUBISHI</v>
      </c>
    </row>
    <row r="2151" spans="1:7" x14ac:dyDescent="0.25">
      <c r="A2151">
        <v>2026</v>
      </c>
      <c r="B2151" t="s">
        <v>143</v>
      </c>
      <c r="C2151" t="s">
        <v>171</v>
      </c>
      <c r="D2151" t="s">
        <v>22</v>
      </c>
      <c r="E2151" t="str">
        <f>VLOOKUP(D2151,'[2]Lista de Produtos CLASSIFICAÇÃO'!$E$103:$F$114,2,FALSE)</f>
        <v>Metanol</v>
      </c>
      <c r="F2151">
        <v>28225</v>
      </c>
      <c r="G2151" t="str">
        <f>VLOOKUP(Tabela1[[#This Row],[Cliente]],clientes!$C$3:$D$60,2,FALSE)</f>
        <v>VALENZ</v>
      </c>
    </row>
    <row r="2152" spans="1:7" x14ac:dyDescent="0.25">
      <c r="A2152">
        <v>2026</v>
      </c>
      <c r="B2152" t="s">
        <v>132</v>
      </c>
      <c r="C2152" t="s">
        <v>171</v>
      </c>
      <c r="D2152" t="s">
        <v>22</v>
      </c>
      <c r="E2152" t="str">
        <f>VLOOKUP(D2152,'[2]Lista de Produtos CLASSIFICAÇÃO'!$E$103:$F$114,2,FALSE)</f>
        <v>Metanol</v>
      </c>
      <c r="F2152">
        <v>28225</v>
      </c>
      <c r="G2152" t="str">
        <f>VLOOKUP(Tabela1[[#This Row],[Cliente]],clientes!$C$3:$D$60,2,FALSE)</f>
        <v>VALENZ</v>
      </c>
    </row>
    <row r="2153" spans="1:7" x14ac:dyDescent="0.25">
      <c r="A2153">
        <v>2026</v>
      </c>
      <c r="B2153" t="s">
        <v>133</v>
      </c>
      <c r="C2153" t="s">
        <v>171</v>
      </c>
      <c r="D2153" t="s">
        <v>22</v>
      </c>
      <c r="E2153" t="str">
        <f>VLOOKUP(D2153,'[2]Lista de Produtos CLASSIFICAÇÃO'!$E$103:$F$114,2,FALSE)</f>
        <v>Metanol</v>
      </c>
      <c r="F2153">
        <v>28225</v>
      </c>
      <c r="G2153" t="str">
        <f>VLOOKUP(Tabela1[[#This Row],[Cliente]],clientes!$C$3:$D$60,2,FALSE)</f>
        <v>VALENZ</v>
      </c>
    </row>
    <row r="2154" spans="1:7" x14ac:dyDescent="0.25">
      <c r="A2154">
        <v>2026</v>
      </c>
      <c r="B2154" t="s">
        <v>134</v>
      </c>
      <c r="C2154" t="s">
        <v>171</v>
      </c>
      <c r="D2154" t="s">
        <v>22</v>
      </c>
      <c r="E2154" t="str">
        <f>VLOOKUP(D2154,'[2]Lista de Produtos CLASSIFICAÇÃO'!$E$103:$F$114,2,FALSE)</f>
        <v>Metanol</v>
      </c>
      <c r="F2154">
        <v>28225</v>
      </c>
      <c r="G2154" t="str">
        <f>VLOOKUP(Tabela1[[#This Row],[Cliente]],clientes!$C$3:$D$60,2,FALSE)</f>
        <v>VALENZ</v>
      </c>
    </row>
    <row r="2155" spans="1:7" x14ac:dyDescent="0.25">
      <c r="A2155">
        <v>2026</v>
      </c>
      <c r="B2155" t="s">
        <v>135</v>
      </c>
      <c r="C2155" t="s">
        <v>171</v>
      </c>
      <c r="D2155" t="s">
        <v>22</v>
      </c>
      <c r="E2155" t="str">
        <f>VLOOKUP(D2155,'[2]Lista de Produtos CLASSIFICAÇÃO'!$E$103:$F$114,2,FALSE)</f>
        <v>Metanol</v>
      </c>
      <c r="F2155">
        <v>28225</v>
      </c>
      <c r="G2155" t="str">
        <f>VLOOKUP(Tabela1[[#This Row],[Cliente]],clientes!$C$3:$D$60,2,FALSE)</f>
        <v>VALENZ</v>
      </c>
    </row>
    <row r="2156" spans="1:7" x14ac:dyDescent="0.25">
      <c r="A2156">
        <v>2026</v>
      </c>
      <c r="B2156" t="s">
        <v>136</v>
      </c>
      <c r="C2156" t="s">
        <v>171</v>
      </c>
      <c r="D2156" t="s">
        <v>22</v>
      </c>
      <c r="E2156" t="str">
        <f>VLOOKUP(D2156,'[2]Lista de Produtos CLASSIFICAÇÃO'!$E$103:$F$114,2,FALSE)</f>
        <v>Metanol</v>
      </c>
      <c r="F2156">
        <v>28225</v>
      </c>
      <c r="G2156" t="str">
        <f>VLOOKUP(Tabela1[[#This Row],[Cliente]],clientes!$C$3:$D$60,2,FALSE)</f>
        <v>VALENZ</v>
      </c>
    </row>
    <row r="2157" spans="1:7" x14ac:dyDescent="0.25">
      <c r="A2157">
        <v>2026</v>
      </c>
      <c r="B2157" t="s">
        <v>137</v>
      </c>
      <c r="C2157" t="s">
        <v>171</v>
      </c>
      <c r="D2157" t="s">
        <v>22</v>
      </c>
      <c r="E2157" t="str">
        <f>VLOOKUP(D2157,'[2]Lista de Produtos CLASSIFICAÇÃO'!$E$103:$F$114,2,FALSE)</f>
        <v>Metanol</v>
      </c>
      <c r="F2157">
        <v>28225</v>
      </c>
      <c r="G2157" t="str">
        <f>VLOOKUP(Tabela1[[#This Row],[Cliente]],clientes!$C$3:$D$60,2,FALSE)</f>
        <v>VALENZ</v>
      </c>
    </row>
    <row r="2158" spans="1:7" x14ac:dyDescent="0.25">
      <c r="A2158">
        <v>2026</v>
      </c>
      <c r="B2158" t="s">
        <v>138</v>
      </c>
      <c r="C2158" t="s">
        <v>171</v>
      </c>
      <c r="D2158" t="s">
        <v>22</v>
      </c>
      <c r="E2158" t="str">
        <f>VLOOKUP(D2158,'[2]Lista de Produtos CLASSIFICAÇÃO'!$E$103:$F$114,2,FALSE)</f>
        <v>Metanol</v>
      </c>
      <c r="F2158">
        <v>28225</v>
      </c>
      <c r="G2158" t="str">
        <f>VLOOKUP(Tabela1[[#This Row],[Cliente]],clientes!$C$3:$D$60,2,FALSE)</f>
        <v>VALENZ</v>
      </c>
    </row>
    <row r="2159" spans="1:7" x14ac:dyDescent="0.25">
      <c r="A2159">
        <v>2026</v>
      </c>
      <c r="B2159" t="s">
        <v>139</v>
      </c>
      <c r="C2159" t="s">
        <v>171</v>
      </c>
      <c r="D2159" t="s">
        <v>22</v>
      </c>
      <c r="E2159" t="str">
        <f>VLOOKUP(D2159,'[2]Lista de Produtos CLASSIFICAÇÃO'!$E$103:$F$114,2,FALSE)</f>
        <v>Metanol</v>
      </c>
      <c r="F2159">
        <v>28225</v>
      </c>
      <c r="G2159" t="str">
        <f>VLOOKUP(Tabela1[[#This Row],[Cliente]],clientes!$C$3:$D$60,2,FALSE)</f>
        <v>VALENZ</v>
      </c>
    </row>
    <row r="2160" spans="1:7" x14ac:dyDescent="0.25">
      <c r="A2160">
        <v>2026</v>
      </c>
      <c r="B2160" t="s">
        <v>140</v>
      </c>
      <c r="C2160" t="s">
        <v>171</v>
      </c>
      <c r="D2160" t="s">
        <v>22</v>
      </c>
      <c r="E2160" t="str">
        <f>VLOOKUP(D2160,'[2]Lista de Produtos CLASSIFICAÇÃO'!$E$103:$F$114,2,FALSE)</f>
        <v>Metanol</v>
      </c>
      <c r="F2160">
        <v>28225</v>
      </c>
      <c r="G2160" t="str">
        <f>VLOOKUP(Tabela1[[#This Row],[Cliente]],clientes!$C$3:$D$60,2,FALSE)</f>
        <v>VALENZ</v>
      </c>
    </row>
    <row r="2161" spans="1:7" x14ac:dyDescent="0.25">
      <c r="A2161">
        <v>2026</v>
      </c>
      <c r="B2161" t="s">
        <v>141</v>
      </c>
      <c r="C2161" t="s">
        <v>171</v>
      </c>
      <c r="D2161" t="s">
        <v>22</v>
      </c>
      <c r="E2161" t="str">
        <f>VLOOKUP(D2161,'[2]Lista de Produtos CLASSIFICAÇÃO'!$E$103:$F$114,2,FALSE)</f>
        <v>Metanol</v>
      </c>
      <c r="F2161">
        <v>28225</v>
      </c>
      <c r="G2161" t="str">
        <f>VLOOKUP(Tabela1[[#This Row],[Cliente]],clientes!$C$3:$D$60,2,FALSE)</f>
        <v>VALENZ</v>
      </c>
    </row>
    <row r="2162" spans="1:7" x14ac:dyDescent="0.25">
      <c r="A2162">
        <v>2026</v>
      </c>
      <c r="B2162" t="s">
        <v>142</v>
      </c>
      <c r="C2162" t="s">
        <v>171</v>
      </c>
      <c r="D2162" t="s">
        <v>22</v>
      </c>
      <c r="E2162" t="str">
        <f>VLOOKUP(D2162,'[2]Lista de Produtos CLASSIFICAÇÃO'!$E$103:$F$114,2,FALSE)</f>
        <v>Metanol</v>
      </c>
      <c r="F2162">
        <v>28225</v>
      </c>
      <c r="G2162" t="str">
        <f>VLOOKUP(Tabela1[[#This Row],[Cliente]],clientes!$C$3:$D$60,2,FALSE)</f>
        <v>VALENZ</v>
      </c>
    </row>
    <row r="2163" spans="1:7" x14ac:dyDescent="0.25">
      <c r="A2163">
        <v>2026</v>
      </c>
      <c r="B2163" t="s">
        <v>143</v>
      </c>
      <c r="C2163" t="s">
        <v>172</v>
      </c>
      <c r="D2163" t="s">
        <v>124</v>
      </c>
      <c r="E2163" t="str">
        <f>VLOOKUP(D2163,'[2]Lista de Produtos CLASSIFICAÇÃO'!$E$103:$F$114,2,FALSE)</f>
        <v>Outros</v>
      </c>
      <c r="F2163">
        <v>1523</v>
      </c>
      <c r="G2163" t="str">
        <f>VLOOKUP(Tabela1[[#This Row],[Cliente]],clientes!$C$3:$D$60,2,FALSE)</f>
        <v>EVONIK</v>
      </c>
    </row>
    <row r="2164" spans="1:7" x14ac:dyDescent="0.25">
      <c r="A2164">
        <v>2026</v>
      </c>
      <c r="B2164" t="s">
        <v>132</v>
      </c>
      <c r="C2164" t="s">
        <v>172</v>
      </c>
      <c r="D2164" t="s">
        <v>124</v>
      </c>
      <c r="E2164" t="str">
        <f>VLOOKUP(D2164,'[2]Lista de Produtos CLASSIFICAÇÃO'!$E$103:$F$114,2,FALSE)</f>
        <v>Outros</v>
      </c>
      <c r="F2164">
        <v>1523</v>
      </c>
      <c r="G2164" t="str">
        <f>VLOOKUP(Tabela1[[#This Row],[Cliente]],clientes!$C$3:$D$60,2,FALSE)</f>
        <v>EVONIK</v>
      </c>
    </row>
    <row r="2165" spans="1:7" x14ac:dyDescent="0.25">
      <c r="A2165">
        <v>2026</v>
      </c>
      <c r="B2165" t="s">
        <v>133</v>
      </c>
      <c r="C2165" t="s">
        <v>172</v>
      </c>
      <c r="D2165" t="s">
        <v>124</v>
      </c>
      <c r="E2165" t="str">
        <f>VLOOKUP(D2165,'[2]Lista de Produtos CLASSIFICAÇÃO'!$E$103:$F$114,2,FALSE)</f>
        <v>Outros</v>
      </c>
      <c r="F2165">
        <v>1523</v>
      </c>
      <c r="G2165" t="str">
        <f>VLOOKUP(Tabela1[[#This Row],[Cliente]],clientes!$C$3:$D$60,2,FALSE)</f>
        <v>EVONIK</v>
      </c>
    </row>
    <row r="2166" spans="1:7" x14ac:dyDescent="0.25">
      <c r="A2166">
        <v>2026</v>
      </c>
      <c r="B2166" t="s">
        <v>134</v>
      </c>
      <c r="C2166" t="s">
        <v>172</v>
      </c>
      <c r="D2166" t="s">
        <v>124</v>
      </c>
      <c r="E2166" t="str">
        <f>VLOOKUP(D2166,'[2]Lista de Produtos CLASSIFICAÇÃO'!$E$103:$F$114,2,FALSE)</f>
        <v>Outros</v>
      </c>
      <c r="F2166">
        <v>1523</v>
      </c>
      <c r="G2166" t="str">
        <f>VLOOKUP(Tabela1[[#This Row],[Cliente]],clientes!$C$3:$D$60,2,FALSE)</f>
        <v>EVONIK</v>
      </c>
    </row>
    <row r="2167" spans="1:7" x14ac:dyDescent="0.25">
      <c r="A2167">
        <v>2026</v>
      </c>
      <c r="B2167" t="s">
        <v>135</v>
      </c>
      <c r="C2167" t="s">
        <v>172</v>
      </c>
      <c r="D2167" t="s">
        <v>124</v>
      </c>
      <c r="E2167" t="str">
        <f>VLOOKUP(D2167,'[2]Lista de Produtos CLASSIFICAÇÃO'!$E$103:$F$114,2,FALSE)</f>
        <v>Outros</v>
      </c>
      <c r="F2167">
        <v>1523</v>
      </c>
      <c r="G2167" t="str">
        <f>VLOOKUP(Tabela1[[#This Row],[Cliente]],clientes!$C$3:$D$60,2,FALSE)</f>
        <v>EVONIK</v>
      </c>
    </row>
    <row r="2168" spans="1:7" x14ac:dyDescent="0.25">
      <c r="A2168">
        <v>2026</v>
      </c>
      <c r="B2168" t="s">
        <v>136</v>
      </c>
      <c r="C2168" t="s">
        <v>172</v>
      </c>
      <c r="D2168" t="s">
        <v>124</v>
      </c>
      <c r="E2168" t="str">
        <f>VLOOKUP(D2168,'[2]Lista de Produtos CLASSIFICAÇÃO'!$E$103:$F$114,2,FALSE)</f>
        <v>Outros</v>
      </c>
      <c r="F2168">
        <v>1523</v>
      </c>
      <c r="G2168" t="str">
        <f>VLOOKUP(Tabela1[[#This Row],[Cliente]],clientes!$C$3:$D$60,2,FALSE)</f>
        <v>EVONIK</v>
      </c>
    </row>
    <row r="2169" spans="1:7" x14ac:dyDescent="0.25">
      <c r="A2169">
        <v>2026</v>
      </c>
      <c r="B2169" t="s">
        <v>137</v>
      </c>
      <c r="C2169" t="s">
        <v>172</v>
      </c>
      <c r="D2169" t="s">
        <v>124</v>
      </c>
      <c r="E2169" t="str">
        <f>VLOOKUP(D2169,'[2]Lista de Produtos CLASSIFICAÇÃO'!$E$103:$F$114,2,FALSE)</f>
        <v>Outros</v>
      </c>
      <c r="F2169">
        <v>1523</v>
      </c>
      <c r="G2169" t="str">
        <f>VLOOKUP(Tabela1[[#This Row],[Cliente]],clientes!$C$3:$D$60,2,FALSE)</f>
        <v>EVONIK</v>
      </c>
    </row>
    <row r="2170" spans="1:7" x14ac:dyDescent="0.25">
      <c r="A2170">
        <v>2026</v>
      </c>
      <c r="B2170" t="s">
        <v>138</v>
      </c>
      <c r="C2170" t="s">
        <v>172</v>
      </c>
      <c r="D2170" t="s">
        <v>124</v>
      </c>
      <c r="E2170" t="str">
        <f>VLOOKUP(D2170,'[2]Lista de Produtos CLASSIFICAÇÃO'!$E$103:$F$114,2,FALSE)</f>
        <v>Outros</v>
      </c>
      <c r="F2170">
        <v>1523</v>
      </c>
      <c r="G2170" t="str">
        <f>VLOOKUP(Tabela1[[#This Row],[Cliente]],clientes!$C$3:$D$60,2,FALSE)</f>
        <v>EVONIK</v>
      </c>
    </row>
    <row r="2171" spans="1:7" x14ac:dyDescent="0.25">
      <c r="A2171">
        <v>2026</v>
      </c>
      <c r="B2171" t="s">
        <v>139</v>
      </c>
      <c r="C2171" t="s">
        <v>172</v>
      </c>
      <c r="D2171" t="s">
        <v>124</v>
      </c>
      <c r="E2171" t="str">
        <f>VLOOKUP(D2171,'[2]Lista de Produtos CLASSIFICAÇÃO'!$E$103:$F$114,2,FALSE)</f>
        <v>Outros</v>
      </c>
      <c r="F2171">
        <v>1523</v>
      </c>
      <c r="G2171" t="str">
        <f>VLOOKUP(Tabela1[[#This Row],[Cliente]],clientes!$C$3:$D$60,2,FALSE)</f>
        <v>EVONIK</v>
      </c>
    </row>
    <row r="2172" spans="1:7" x14ac:dyDescent="0.25">
      <c r="A2172">
        <v>2026</v>
      </c>
      <c r="B2172" t="s">
        <v>140</v>
      </c>
      <c r="C2172" t="s">
        <v>172</v>
      </c>
      <c r="D2172" t="s">
        <v>124</v>
      </c>
      <c r="E2172" t="str">
        <f>VLOOKUP(D2172,'[2]Lista de Produtos CLASSIFICAÇÃO'!$E$103:$F$114,2,FALSE)</f>
        <v>Outros</v>
      </c>
      <c r="F2172">
        <v>1523</v>
      </c>
      <c r="G2172" t="str">
        <f>VLOOKUP(Tabela1[[#This Row],[Cliente]],clientes!$C$3:$D$60,2,FALSE)</f>
        <v>EVONIK</v>
      </c>
    </row>
    <row r="2173" spans="1:7" x14ac:dyDescent="0.25">
      <c r="A2173">
        <v>2026</v>
      </c>
      <c r="B2173" t="s">
        <v>141</v>
      </c>
      <c r="C2173" t="s">
        <v>172</v>
      </c>
      <c r="D2173" t="s">
        <v>124</v>
      </c>
      <c r="E2173" t="str">
        <f>VLOOKUP(D2173,'[2]Lista de Produtos CLASSIFICAÇÃO'!$E$103:$F$114,2,FALSE)</f>
        <v>Outros</v>
      </c>
      <c r="F2173">
        <v>1523</v>
      </c>
      <c r="G2173" t="str">
        <f>VLOOKUP(Tabela1[[#This Row],[Cliente]],clientes!$C$3:$D$60,2,FALSE)</f>
        <v>EVONIK</v>
      </c>
    </row>
    <row r="2174" spans="1:7" x14ac:dyDescent="0.25">
      <c r="A2174">
        <v>2026</v>
      </c>
      <c r="B2174" t="s">
        <v>142</v>
      </c>
      <c r="C2174" t="s">
        <v>172</v>
      </c>
      <c r="D2174" t="s">
        <v>124</v>
      </c>
      <c r="E2174" t="str">
        <f>VLOOKUP(D2174,'[2]Lista de Produtos CLASSIFICAÇÃO'!$E$103:$F$114,2,FALSE)</f>
        <v>Outros</v>
      </c>
      <c r="F2174">
        <v>1523</v>
      </c>
      <c r="G2174" t="str">
        <f>VLOOKUP(Tabela1[[#This Row],[Cliente]],clientes!$C$3:$D$60,2,FALSE)</f>
        <v>EVONIK</v>
      </c>
    </row>
    <row r="2175" spans="1:7" x14ac:dyDescent="0.25">
      <c r="A2175">
        <v>2026</v>
      </c>
      <c r="B2175" t="s">
        <v>143</v>
      </c>
      <c r="C2175" t="s">
        <v>186</v>
      </c>
      <c r="D2175" t="s">
        <v>22</v>
      </c>
      <c r="E2175" t="str">
        <f>VLOOKUP(D2175,'[2]Lista de Produtos CLASSIFICAÇÃO'!$E$103:$F$114,2,FALSE)</f>
        <v>Metanol</v>
      </c>
      <c r="F2175">
        <v>17000</v>
      </c>
      <c r="G2175" t="str">
        <f>VLOOKUP(Tabela1[[#This Row],[Cliente]],clientes!$C$3:$D$60,2,FALSE)</f>
        <v>OQ TRADING</v>
      </c>
    </row>
    <row r="2176" spans="1:7" x14ac:dyDescent="0.25">
      <c r="A2176">
        <v>2026</v>
      </c>
      <c r="B2176" t="s">
        <v>133</v>
      </c>
      <c r="C2176" t="s">
        <v>186</v>
      </c>
      <c r="D2176" t="s">
        <v>22</v>
      </c>
      <c r="E2176" t="str">
        <f>VLOOKUP(D2176,'[2]Lista de Produtos CLASSIFICAÇÃO'!$E$103:$F$114,2,FALSE)</f>
        <v>Metanol</v>
      </c>
      <c r="F2176">
        <v>17000</v>
      </c>
      <c r="G2176" t="str">
        <f>VLOOKUP(Tabela1[[#This Row],[Cliente]],clientes!$C$3:$D$60,2,FALSE)</f>
        <v>OQ TRADING</v>
      </c>
    </row>
    <row r="2177" spans="1:7" x14ac:dyDescent="0.25">
      <c r="A2177">
        <v>2026</v>
      </c>
      <c r="B2177" t="s">
        <v>135</v>
      </c>
      <c r="C2177" t="s">
        <v>186</v>
      </c>
      <c r="D2177" t="s">
        <v>22</v>
      </c>
      <c r="E2177" t="str">
        <f>VLOOKUP(D2177,'[2]Lista de Produtos CLASSIFICAÇÃO'!$E$103:$F$114,2,FALSE)</f>
        <v>Metanol</v>
      </c>
      <c r="F2177">
        <v>12000</v>
      </c>
      <c r="G2177" t="str">
        <f>VLOOKUP(Tabela1[[#This Row],[Cliente]],clientes!$C$3:$D$60,2,FALSE)</f>
        <v>OQ TRADING</v>
      </c>
    </row>
    <row r="2178" spans="1:7" x14ac:dyDescent="0.25">
      <c r="A2178">
        <v>2026</v>
      </c>
      <c r="B2178" t="s">
        <v>137</v>
      </c>
      <c r="C2178" t="s">
        <v>186</v>
      </c>
      <c r="D2178" t="s">
        <v>22</v>
      </c>
      <c r="E2178" t="str">
        <f>VLOOKUP(D2178,'[2]Lista de Produtos CLASSIFICAÇÃO'!$E$103:$F$114,2,FALSE)</f>
        <v>Metanol</v>
      </c>
      <c r="F2178">
        <v>12000</v>
      </c>
      <c r="G2178" t="str">
        <f>VLOOKUP(Tabela1[[#This Row],[Cliente]],clientes!$C$3:$D$60,2,FALSE)</f>
        <v>OQ TRADING</v>
      </c>
    </row>
    <row r="2179" spans="1:7" x14ac:dyDescent="0.25">
      <c r="A2179">
        <v>2026</v>
      </c>
      <c r="B2179" t="s">
        <v>139</v>
      </c>
      <c r="C2179" t="s">
        <v>186</v>
      </c>
      <c r="D2179" t="s">
        <v>22</v>
      </c>
      <c r="E2179" t="str">
        <f>VLOOKUP(D2179,'[2]Lista de Produtos CLASSIFICAÇÃO'!$E$103:$F$114,2,FALSE)</f>
        <v>Metanol</v>
      </c>
      <c r="F2179">
        <v>12000</v>
      </c>
      <c r="G2179" t="str">
        <f>VLOOKUP(Tabela1[[#This Row],[Cliente]],clientes!$C$3:$D$60,2,FALSE)</f>
        <v>OQ TRADING</v>
      </c>
    </row>
    <row r="2180" spans="1:7" x14ac:dyDescent="0.25">
      <c r="A2180">
        <v>2026</v>
      </c>
      <c r="B2180" t="s">
        <v>141</v>
      </c>
      <c r="C2180" t="s">
        <v>186</v>
      </c>
      <c r="D2180" t="s">
        <v>22</v>
      </c>
      <c r="E2180" t="str">
        <f>VLOOKUP(D2180,'[2]Lista de Produtos CLASSIFICAÇÃO'!$E$103:$F$114,2,FALSE)</f>
        <v>Metanol</v>
      </c>
      <c r="F2180">
        <v>12000</v>
      </c>
      <c r="G2180" t="str">
        <f>VLOOKUP(Tabela1[[#This Row],[Cliente]],clientes!$C$3:$D$60,2,FALSE)</f>
        <v>OQ TRADING</v>
      </c>
    </row>
    <row r="2181" spans="1:7" x14ac:dyDescent="0.25">
      <c r="A2181">
        <v>2026</v>
      </c>
      <c r="B2181" t="s">
        <v>143</v>
      </c>
      <c r="C2181" t="s">
        <v>174</v>
      </c>
      <c r="D2181" t="s">
        <v>123</v>
      </c>
      <c r="E2181" t="str">
        <f>VLOOKUP(D2181,'[2]Lista de Produtos CLASSIFICAÇÃO'!$E$103:$F$114,2,FALSE)</f>
        <v>Aquecidos</v>
      </c>
      <c r="F2181">
        <v>12061</v>
      </c>
      <c r="G2181" t="str">
        <f>VLOOKUP(Tabela1[[#This Row],[Cliente]],clientes!$C$3:$D$60,2,FALSE)</f>
        <v>CELENA</v>
      </c>
    </row>
    <row r="2182" spans="1:7" x14ac:dyDescent="0.25">
      <c r="A2182">
        <v>2026</v>
      </c>
      <c r="B2182" t="s">
        <v>132</v>
      </c>
      <c r="C2182" t="s">
        <v>174</v>
      </c>
      <c r="D2182" t="s">
        <v>123</v>
      </c>
      <c r="E2182" t="str">
        <f>VLOOKUP(D2182,'[2]Lista de Produtos CLASSIFICAÇÃO'!$E$103:$F$114,2,FALSE)</f>
        <v>Aquecidos</v>
      </c>
      <c r="F2182">
        <v>12061</v>
      </c>
      <c r="G2182" t="str">
        <f>VLOOKUP(Tabela1[[#This Row],[Cliente]],clientes!$C$3:$D$60,2,FALSE)</f>
        <v>CELENA</v>
      </c>
    </row>
    <row r="2183" spans="1:7" x14ac:dyDescent="0.25">
      <c r="A2183">
        <v>2026</v>
      </c>
      <c r="B2183" t="s">
        <v>133</v>
      </c>
      <c r="C2183" t="s">
        <v>174</v>
      </c>
      <c r="D2183" t="s">
        <v>123</v>
      </c>
      <c r="E2183" t="str">
        <f>VLOOKUP(D2183,'[2]Lista de Produtos CLASSIFICAÇÃO'!$E$103:$F$114,2,FALSE)</f>
        <v>Aquecidos</v>
      </c>
      <c r="F2183">
        <v>12061</v>
      </c>
      <c r="G2183" t="str">
        <f>VLOOKUP(Tabela1[[#This Row],[Cliente]],clientes!$C$3:$D$60,2,FALSE)</f>
        <v>CELENA</v>
      </c>
    </row>
    <row r="2184" spans="1:7" x14ac:dyDescent="0.25">
      <c r="A2184">
        <v>2026</v>
      </c>
      <c r="B2184" t="s">
        <v>134</v>
      </c>
      <c r="C2184" t="s">
        <v>174</v>
      </c>
      <c r="D2184" t="s">
        <v>123</v>
      </c>
      <c r="E2184" t="str">
        <f>VLOOKUP(D2184,'[2]Lista de Produtos CLASSIFICAÇÃO'!$E$103:$F$114,2,FALSE)</f>
        <v>Aquecidos</v>
      </c>
      <c r="F2184">
        <v>12061</v>
      </c>
      <c r="G2184" t="str">
        <f>VLOOKUP(Tabela1[[#This Row],[Cliente]],clientes!$C$3:$D$60,2,FALSE)</f>
        <v>CELENA</v>
      </c>
    </row>
    <row r="2185" spans="1:7" x14ac:dyDescent="0.25">
      <c r="A2185">
        <v>2026</v>
      </c>
      <c r="B2185" t="s">
        <v>135</v>
      </c>
      <c r="C2185" t="s">
        <v>174</v>
      </c>
      <c r="D2185" t="s">
        <v>123</v>
      </c>
      <c r="E2185" t="str">
        <f>VLOOKUP(D2185,'[2]Lista de Produtos CLASSIFICAÇÃO'!$E$103:$F$114,2,FALSE)</f>
        <v>Aquecidos</v>
      </c>
      <c r="F2185">
        <v>12061</v>
      </c>
      <c r="G2185" t="str">
        <f>VLOOKUP(Tabela1[[#This Row],[Cliente]],clientes!$C$3:$D$60,2,FALSE)</f>
        <v>CELENA</v>
      </c>
    </row>
    <row r="2186" spans="1:7" x14ac:dyDescent="0.25">
      <c r="A2186">
        <v>2026</v>
      </c>
      <c r="B2186" t="s">
        <v>136</v>
      </c>
      <c r="C2186" t="s">
        <v>174</v>
      </c>
      <c r="D2186" t="s">
        <v>123</v>
      </c>
      <c r="E2186" t="str">
        <f>VLOOKUP(D2186,'[2]Lista de Produtos CLASSIFICAÇÃO'!$E$103:$F$114,2,FALSE)</f>
        <v>Aquecidos</v>
      </c>
      <c r="F2186">
        <v>12061</v>
      </c>
      <c r="G2186" t="str">
        <f>VLOOKUP(Tabela1[[#This Row],[Cliente]],clientes!$C$3:$D$60,2,FALSE)</f>
        <v>CELENA</v>
      </c>
    </row>
    <row r="2187" spans="1:7" x14ac:dyDescent="0.25">
      <c r="A2187">
        <v>2026</v>
      </c>
      <c r="B2187" t="s">
        <v>137</v>
      </c>
      <c r="C2187" t="s">
        <v>174</v>
      </c>
      <c r="D2187" t="s">
        <v>123</v>
      </c>
      <c r="E2187" t="str">
        <f>VLOOKUP(D2187,'[2]Lista de Produtos CLASSIFICAÇÃO'!$E$103:$F$114,2,FALSE)</f>
        <v>Aquecidos</v>
      </c>
      <c r="F2187">
        <v>12061</v>
      </c>
      <c r="G2187" t="str">
        <f>VLOOKUP(Tabela1[[#This Row],[Cliente]],clientes!$C$3:$D$60,2,FALSE)</f>
        <v>CELENA</v>
      </c>
    </row>
    <row r="2188" spans="1:7" x14ac:dyDescent="0.25">
      <c r="A2188">
        <v>2026</v>
      </c>
      <c r="B2188" t="s">
        <v>138</v>
      </c>
      <c r="C2188" t="s">
        <v>174</v>
      </c>
      <c r="D2188" t="s">
        <v>123</v>
      </c>
      <c r="E2188" t="str">
        <f>VLOOKUP(D2188,'[2]Lista de Produtos CLASSIFICAÇÃO'!$E$103:$F$114,2,FALSE)</f>
        <v>Aquecidos</v>
      </c>
      <c r="F2188">
        <v>12061</v>
      </c>
      <c r="G2188" t="str">
        <f>VLOOKUP(Tabela1[[#This Row],[Cliente]],clientes!$C$3:$D$60,2,FALSE)</f>
        <v>CELENA</v>
      </c>
    </row>
    <row r="2189" spans="1:7" x14ac:dyDescent="0.25">
      <c r="A2189">
        <v>2026</v>
      </c>
      <c r="B2189" t="s">
        <v>139</v>
      </c>
      <c r="C2189" t="s">
        <v>174</v>
      </c>
      <c r="D2189" t="s">
        <v>123</v>
      </c>
      <c r="E2189" t="str">
        <f>VLOOKUP(D2189,'[2]Lista de Produtos CLASSIFICAÇÃO'!$E$103:$F$114,2,FALSE)</f>
        <v>Aquecidos</v>
      </c>
      <c r="F2189">
        <v>12061</v>
      </c>
      <c r="G2189" t="str">
        <f>VLOOKUP(Tabela1[[#This Row],[Cliente]],clientes!$C$3:$D$60,2,FALSE)</f>
        <v>CELENA</v>
      </c>
    </row>
    <row r="2190" spans="1:7" x14ac:dyDescent="0.25">
      <c r="A2190">
        <v>2026</v>
      </c>
      <c r="B2190" t="s">
        <v>140</v>
      </c>
      <c r="C2190" t="s">
        <v>174</v>
      </c>
      <c r="D2190" t="s">
        <v>123</v>
      </c>
      <c r="E2190" t="str">
        <f>VLOOKUP(D2190,'[2]Lista de Produtos CLASSIFICAÇÃO'!$E$103:$F$114,2,FALSE)</f>
        <v>Aquecidos</v>
      </c>
      <c r="F2190">
        <v>12061</v>
      </c>
      <c r="G2190" t="str">
        <f>VLOOKUP(Tabela1[[#This Row],[Cliente]],clientes!$C$3:$D$60,2,FALSE)</f>
        <v>CELENA</v>
      </c>
    </row>
    <row r="2191" spans="1:7" x14ac:dyDescent="0.25">
      <c r="A2191">
        <v>2026</v>
      </c>
      <c r="B2191" t="s">
        <v>141</v>
      </c>
      <c r="C2191" t="s">
        <v>174</v>
      </c>
      <c r="D2191" t="s">
        <v>123</v>
      </c>
      <c r="E2191" t="str">
        <f>VLOOKUP(D2191,'[2]Lista de Produtos CLASSIFICAÇÃO'!$E$103:$F$114,2,FALSE)</f>
        <v>Aquecidos</v>
      </c>
      <c r="F2191">
        <v>12061</v>
      </c>
      <c r="G2191" t="str">
        <f>VLOOKUP(Tabela1[[#This Row],[Cliente]],clientes!$C$3:$D$60,2,FALSE)</f>
        <v>CELENA</v>
      </c>
    </row>
    <row r="2192" spans="1:7" x14ac:dyDescent="0.25">
      <c r="A2192">
        <v>2026</v>
      </c>
      <c r="B2192" t="s">
        <v>142</v>
      </c>
      <c r="C2192" t="s">
        <v>174</v>
      </c>
      <c r="D2192" t="s">
        <v>123</v>
      </c>
      <c r="E2192" t="str">
        <f>VLOOKUP(D2192,'[2]Lista de Produtos CLASSIFICAÇÃO'!$E$103:$F$114,2,FALSE)</f>
        <v>Aquecidos</v>
      </c>
      <c r="F2192">
        <v>12061</v>
      </c>
      <c r="G2192" t="str">
        <f>VLOOKUP(Tabela1[[#This Row],[Cliente]],clientes!$C$3:$D$60,2,FALSE)</f>
        <v>CELENA</v>
      </c>
    </row>
    <row r="2193" spans="1:7" x14ac:dyDescent="0.25">
      <c r="A2193">
        <v>2026</v>
      </c>
      <c r="B2193" t="s">
        <v>143</v>
      </c>
      <c r="C2193" t="s">
        <v>175</v>
      </c>
      <c r="D2193" t="s">
        <v>123</v>
      </c>
      <c r="E2193" t="str">
        <f>VLOOKUP(D2193,'[2]Lista de Produtos CLASSIFICAÇÃO'!$E$103:$F$114,2,FALSE)</f>
        <v>Aquecidos</v>
      </c>
      <c r="F2193">
        <v>3935</v>
      </c>
      <c r="G2193" t="str">
        <f>VLOOKUP(Tabela1[[#This Row],[Cliente]],clientes!$C$3:$D$60,2,FALSE)</f>
        <v>AAK DO BRASIL</v>
      </c>
    </row>
    <row r="2194" spans="1:7" x14ac:dyDescent="0.25">
      <c r="A2194">
        <v>2026</v>
      </c>
      <c r="B2194" t="s">
        <v>132</v>
      </c>
      <c r="C2194" t="s">
        <v>175</v>
      </c>
      <c r="D2194" t="s">
        <v>123</v>
      </c>
      <c r="E2194" t="str">
        <f>VLOOKUP(D2194,'[2]Lista de Produtos CLASSIFICAÇÃO'!$E$103:$F$114,2,FALSE)</f>
        <v>Aquecidos</v>
      </c>
      <c r="F2194">
        <v>3935</v>
      </c>
      <c r="G2194" t="str">
        <f>VLOOKUP(Tabela1[[#This Row],[Cliente]],clientes!$C$3:$D$60,2,FALSE)</f>
        <v>AAK DO BRASIL</v>
      </c>
    </row>
    <row r="2195" spans="1:7" x14ac:dyDescent="0.25">
      <c r="A2195">
        <v>2026</v>
      </c>
      <c r="B2195" t="s">
        <v>133</v>
      </c>
      <c r="C2195" t="s">
        <v>175</v>
      </c>
      <c r="D2195" t="s">
        <v>123</v>
      </c>
      <c r="E2195" t="str">
        <f>VLOOKUP(D2195,'[2]Lista de Produtos CLASSIFICAÇÃO'!$E$103:$F$114,2,FALSE)</f>
        <v>Aquecidos</v>
      </c>
      <c r="F2195">
        <v>3935</v>
      </c>
      <c r="G2195" t="str">
        <f>VLOOKUP(Tabela1[[#This Row],[Cliente]],clientes!$C$3:$D$60,2,FALSE)</f>
        <v>AAK DO BRASIL</v>
      </c>
    </row>
    <row r="2196" spans="1:7" x14ac:dyDescent="0.25">
      <c r="A2196">
        <v>2026</v>
      </c>
      <c r="B2196" t="s">
        <v>134</v>
      </c>
      <c r="C2196" t="s">
        <v>175</v>
      </c>
      <c r="D2196" t="s">
        <v>123</v>
      </c>
      <c r="E2196" t="str">
        <f>VLOOKUP(D2196,'[2]Lista de Produtos CLASSIFICAÇÃO'!$E$103:$F$114,2,FALSE)</f>
        <v>Aquecidos</v>
      </c>
      <c r="F2196">
        <v>3935</v>
      </c>
      <c r="G2196" t="str">
        <f>VLOOKUP(Tabela1[[#This Row],[Cliente]],clientes!$C$3:$D$60,2,FALSE)</f>
        <v>AAK DO BRASIL</v>
      </c>
    </row>
    <row r="2197" spans="1:7" x14ac:dyDescent="0.25">
      <c r="A2197">
        <v>2026</v>
      </c>
      <c r="B2197" t="s">
        <v>135</v>
      </c>
      <c r="C2197" t="s">
        <v>175</v>
      </c>
      <c r="D2197" t="s">
        <v>123</v>
      </c>
      <c r="E2197" t="str">
        <f>VLOOKUP(D2197,'[2]Lista de Produtos CLASSIFICAÇÃO'!$E$103:$F$114,2,FALSE)</f>
        <v>Aquecidos</v>
      </c>
      <c r="F2197">
        <v>3935</v>
      </c>
      <c r="G2197" t="str">
        <f>VLOOKUP(Tabela1[[#This Row],[Cliente]],clientes!$C$3:$D$60,2,FALSE)</f>
        <v>AAK DO BRASIL</v>
      </c>
    </row>
    <row r="2198" spans="1:7" x14ac:dyDescent="0.25">
      <c r="A2198">
        <v>2026</v>
      </c>
      <c r="B2198" t="s">
        <v>136</v>
      </c>
      <c r="C2198" t="s">
        <v>175</v>
      </c>
      <c r="D2198" t="s">
        <v>123</v>
      </c>
      <c r="E2198" t="str">
        <f>VLOOKUP(D2198,'[2]Lista de Produtos CLASSIFICAÇÃO'!$E$103:$F$114,2,FALSE)</f>
        <v>Aquecidos</v>
      </c>
      <c r="F2198">
        <v>3935</v>
      </c>
      <c r="G2198" t="str">
        <f>VLOOKUP(Tabela1[[#This Row],[Cliente]],clientes!$C$3:$D$60,2,FALSE)</f>
        <v>AAK DO BRASIL</v>
      </c>
    </row>
    <row r="2199" spans="1:7" x14ac:dyDescent="0.25">
      <c r="A2199">
        <v>2026</v>
      </c>
      <c r="B2199" t="s">
        <v>137</v>
      </c>
      <c r="C2199" t="s">
        <v>175</v>
      </c>
      <c r="D2199" t="s">
        <v>123</v>
      </c>
      <c r="E2199" t="str">
        <f>VLOOKUP(D2199,'[2]Lista de Produtos CLASSIFICAÇÃO'!$E$103:$F$114,2,FALSE)</f>
        <v>Aquecidos</v>
      </c>
      <c r="F2199">
        <v>3935</v>
      </c>
      <c r="G2199" t="str">
        <f>VLOOKUP(Tabela1[[#This Row],[Cliente]],clientes!$C$3:$D$60,2,FALSE)</f>
        <v>AAK DO BRASIL</v>
      </c>
    </row>
    <row r="2200" spans="1:7" x14ac:dyDescent="0.25">
      <c r="A2200">
        <v>2026</v>
      </c>
      <c r="B2200" t="s">
        <v>138</v>
      </c>
      <c r="C2200" t="s">
        <v>175</v>
      </c>
      <c r="D2200" t="s">
        <v>123</v>
      </c>
      <c r="E2200" t="str">
        <f>VLOOKUP(D2200,'[2]Lista de Produtos CLASSIFICAÇÃO'!$E$103:$F$114,2,FALSE)</f>
        <v>Aquecidos</v>
      </c>
      <c r="F2200">
        <v>3935</v>
      </c>
      <c r="G2200" t="str">
        <f>VLOOKUP(Tabela1[[#This Row],[Cliente]],clientes!$C$3:$D$60,2,FALSE)</f>
        <v>AAK DO BRASIL</v>
      </c>
    </row>
    <row r="2201" spans="1:7" x14ac:dyDescent="0.25">
      <c r="A2201">
        <v>2026</v>
      </c>
      <c r="B2201" t="s">
        <v>139</v>
      </c>
      <c r="C2201" t="s">
        <v>175</v>
      </c>
      <c r="D2201" t="s">
        <v>123</v>
      </c>
      <c r="E2201" t="str">
        <f>VLOOKUP(D2201,'[2]Lista de Produtos CLASSIFICAÇÃO'!$E$103:$F$114,2,FALSE)</f>
        <v>Aquecidos</v>
      </c>
      <c r="F2201">
        <v>3935</v>
      </c>
      <c r="G2201" t="str">
        <f>VLOOKUP(Tabela1[[#This Row],[Cliente]],clientes!$C$3:$D$60,2,FALSE)</f>
        <v>AAK DO BRASIL</v>
      </c>
    </row>
    <row r="2202" spans="1:7" x14ac:dyDescent="0.25">
      <c r="A2202">
        <v>2026</v>
      </c>
      <c r="B2202" t="s">
        <v>140</v>
      </c>
      <c r="C2202" t="s">
        <v>175</v>
      </c>
      <c r="D2202" t="s">
        <v>123</v>
      </c>
      <c r="E2202" t="str">
        <f>VLOOKUP(D2202,'[2]Lista de Produtos CLASSIFICAÇÃO'!$E$103:$F$114,2,FALSE)</f>
        <v>Aquecidos</v>
      </c>
      <c r="F2202">
        <v>3935</v>
      </c>
      <c r="G2202" t="str">
        <f>VLOOKUP(Tabela1[[#This Row],[Cliente]],clientes!$C$3:$D$60,2,FALSE)</f>
        <v>AAK DO BRASIL</v>
      </c>
    </row>
    <row r="2203" spans="1:7" x14ac:dyDescent="0.25">
      <c r="A2203">
        <v>2026</v>
      </c>
      <c r="B2203" t="s">
        <v>141</v>
      </c>
      <c r="C2203" t="s">
        <v>175</v>
      </c>
      <c r="D2203" t="s">
        <v>123</v>
      </c>
      <c r="E2203" t="str">
        <f>VLOOKUP(D2203,'[2]Lista de Produtos CLASSIFICAÇÃO'!$E$103:$F$114,2,FALSE)</f>
        <v>Aquecidos</v>
      </c>
      <c r="F2203">
        <v>3935</v>
      </c>
      <c r="G2203" t="str">
        <f>VLOOKUP(Tabela1[[#This Row],[Cliente]],clientes!$C$3:$D$60,2,FALSE)</f>
        <v>AAK DO BRASIL</v>
      </c>
    </row>
    <row r="2204" spans="1:7" x14ac:dyDescent="0.25">
      <c r="A2204">
        <v>2026</v>
      </c>
      <c r="B2204" t="s">
        <v>142</v>
      </c>
      <c r="C2204" t="s">
        <v>175</v>
      </c>
      <c r="D2204" t="s">
        <v>123</v>
      </c>
      <c r="E2204" t="str">
        <f>VLOOKUP(D2204,'[2]Lista de Produtos CLASSIFICAÇÃO'!$E$103:$F$114,2,FALSE)</f>
        <v>Aquecidos</v>
      </c>
      <c r="F2204">
        <v>3935</v>
      </c>
      <c r="G2204" t="str">
        <f>VLOOKUP(Tabela1[[#This Row],[Cliente]],clientes!$C$3:$D$60,2,FALSE)</f>
        <v>AAK DO BRASIL</v>
      </c>
    </row>
    <row r="2205" spans="1:7" x14ac:dyDescent="0.25">
      <c r="A2205">
        <v>2026</v>
      </c>
      <c r="B2205" t="s">
        <v>143</v>
      </c>
      <c r="C2205" t="s">
        <v>166</v>
      </c>
      <c r="D2205" t="s">
        <v>122</v>
      </c>
      <c r="E2205" t="str">
        <f>VLOOKUP(D2205,'[2]Lista de Produtos CLASSIFICAÇÃO'!$E$103:$F$114,2,FALSE)</f>
        <v>Óleo Vegetal</v>
      </c>
      <c r="F2205">
        <v>445</v>
      </c>
      <c r="G2205" t="str">
        <f>VLOOKUP(Tabela1[[#This Row],[Cliente]],clientes!$C$3:$D$60,2,FALSE)</f>
        <v>CARGILL</v>
      </c>
    </row>
    <row r="2206" spans="1:7" x14ac:dyDescent="0.25">
      <c r="A2206">
        <v>2026</v>
      </c>
      <c r="B2206" t="s">
        <v>132</v>
      </c>
      <c r="C2206" t="s">
        <v>166</v>
      </c>
      <c r="D2206" t="s">
        <v>122</v>
      </c>
      <c r="E2206" t="str">
        <f>VLOOKUP(D2206,'[2]Lista de Produtos CLASSIFICAÇÃO'!$E$103:$F$114,2,FALSE)</f>
        <v>Óleo Vegetal</v>
      </c>
      <c r="F2206">
        <v>445</v>
      </c>
      <c r="G2206" t="str">
        <f>VLOOKUP(Tabela1[[#This Row],[Cliente]],clientes!$C$3:$D$60,2,FALSE)</f>
        <v>CARGILL</v>
      </c>
    </row>
    <row r="2207" spans="1:7" x14ac:dyDescent="0.25">
      <c r="A2207">
        <v>2026</v>
      </c>
      <c r="B2207" t="s">
        <v>133</v>
      </c>
      <c r="C2207" t="s">
        <v>166</v>
      </c>
      <c r="D2207" t="s">
        <v>122</v>
      </c>
      <c r="E2207" t="str">
        <f>VLOOKUP(D2207,'[2]Lista de Produtos CLASSIFICAÇÃO'!$E$103:$F$114,2,FALSE)</f>
        <v>Óleo Vegetal</v>
      </c>
      <c r="F2207">
        <v>445</v>
      </c>
      <c r="G2207" t="str">
        <f>VLOOKUP(Tabela1[[#This Row],[Cliente]],clientes!$C$3:$D$60,2,FALSE)</f>
        <v>CARGILL</v>
      </c>
    </row>
    <row r="2208" spans="1:7" x14ac:dyDescent="0.25">
      <c r="A2208">
        <v>2026</v>
      </c>
      <c r="B2208" t="s">
        <v>134</v>
      </c>
      <c r="C2208" t="s">
        <v>166</v>
      </c>
      <c r="D2208" t="s">
        <v>122</v>
      </c>
      <c r="E2208" t="str">
        <f>VLOOKUP(D2208,'[2]Lista de Produtos CLASSIFICAÇÃO'!$E$103:$F$114,2,FALSE)</f>
        <v>Óleo Vegetal</v>
      </c>
      <c r="F2208">
        <v>445</v>
      </c>
      <c r="G2208" t="str">
        <f>VLOOKUP(Tabela1[[#This Row],[Cliente]],clientes!$C$3:$D$60,2,FALSE)</f>
        <v>CARGILL</v>
      </c>
    </row>
    <row r="2209" spans="1:7" x14ac:dyDescent="0.25">
      <c r="A2209">
        <v>2026</v>
      </c>
      <c r="B2209" t="s">
        <v>135</v>
      </c>
      <c r="C2209" t="s">
        <v>166</v>
      </c>
      <c r="D2209" t="s">
        <v>122</v>
      </c>
      <c r="E2209" t="str">
        <f>VLOOKUP(D2209,'[2]Lista de Produtos CLASSIFICAÇÃO'!$E$103:$F$114,2,FALSE)</f>
        <v>Óleo Vegetal</v>
      </c>
      <c r="F2209">
        <v>445</v>
      </c>
      <c r="G2209" t="str">
        <f>VLOOKUP(Tabela1[[#This Row],[Cliente]],clientes!$C$3:$D$60,2,FALSE)</f>
        <v>CARGILL</v>
      </c>
    </row>
    <row r="2210" spans="1:7" x14ac:dyDescent="0.25">
      <c r="A2210">
        <v>2026</v>
      </c>
      <c r="B2210" t="s">
        <v>136</v>
      </c>
      <c r="C2210" t="s">
        <v>166</v>
      </c>
      <c r="D2210" t="s">
        <v>122</v>
      </c>
      <c r="E2210" t="str">
        <f>VLOOKUP(D2210,'[2]Lista de Produtos CLASSIFICAÇÃO'!$E$103:$F$114,2,FALSE)</f>
        <v>Óleo Vegetal</v>
      </c>
      <c r="F2210">
        <v>445</v>
      </c>
      <c r="G2210" t="str">
        <f>VLOOKUP(Tabela1[[#This Row],[Cliente]],clientes!$C$3:$D$60,2,FALSE)</f>
        <v>CARGILL</v>
      </c>
    </row>
    <row r="2211" spans="1:7" x14ac:dyDescent="0.25">
      <c r="A2211">
        <v>2026</v>
      </c>
      <c r="B2211" t="s">
        <v>137</v>
      </c>
      <c r="C2211" t="s">
        <v>166</v>
      </c>
      <c r="D2211" t="s">
        <v>122</v>
      </c>
      <c r="E2211" t="str">
        <f>VLOOKUP(D2211,'[2]Lista de Produtos CLASSIFICAÇÃO'!$E$103:$F$114,2,FALSE)</f>
        <v>Óleo Vegetal</v>
      </c>
      <c r="F2211">
        <v>445</v>
      </c>
      <c r="G2211" t="str">
        <f>VLOOKUP(Tabela1[[#This Row],[Cliente]],clientes!$C$3:$D$60,2,FALSE)</f>
        <v>CARGILL</v>
      </c>
    </row>
    <row r="2212" spans="1:7" x14ac:dyDescent="0.25">
      <c r="A2212">
        <v>2026</v>
      </c>
      <c r="B2212" t="s">
        <v>138</v>
      </c>
      <c r="C2212" t="s">
        <v>166</v>
      </c>
      <c r="D2212" t="s">
        <v>122</v>
      </c>
      <c r="E2212" t="str">
        <f>VLOOKUP(D2212,'[2]Lista de Produtos CLASSIFICAÇÃO'!$E$103:$F$114,2,FALSE)</f>
        <v>Óleo Vegetal</v>
      </c>
      <c r="F2212">
        <v>445</v>
      </c>
      <c r="G2212" t="str">
        <f>VLOOKUP(Tabela1[[#This Row],[Cliente]],clientes!$C$3:$D$60,2,FALSE)</f>
        <v>CARGILL</v>
      </c>
    </row>
    <row r="2213" spans="1:7" x14ac:dyDescent="0.25">
      <c r="A2213">
        <v>2026</v>
      </c>
      <c r="B2213" t="s">
        <v>139</v>
      </c>
      <c r="C2213" t="s">
        <v>166</v>
      </c>
      <c r="D2213" t="s">
        <v>122</v>
      </c>
      <c r="E2213" t="str">
        <f>VLOOKUP(D2213,'[2]Lista de Produtos CLASSIFICAÇÃO'!$E$103:$F$114,2,FALSE)</f>
        <v>Óleo Vegetal</v>
      </c>
      <c r="F2213">
        <v>445</v>
      </c>
      <c r="G2213" t="str">
        <f>VLOOKUP(Tabela1[[#This Row],[Cliente]],clientes!$C$3:$D$60,2,FALSE)</f>
        <v>CARGILL</v>
      </c>
    </row>
    <row r="2214" spans="1:7" x14ac:dyDescent="0.25">
      <c r="A2214">
        <v>2026</v>
      </c>
      <c r="B2214" t="s">
        <v>140</v>
      </c>
      <c r="C2214" t="s">
        <v>166</v>
      </c>
      <c r="D2214" t="s">
        <v>122</v>
      </c>
      <c r="E2214" t="str">
        <f>VLOOKUP(D2214,'[2]Lista de Produtos CLASSIFICAÇÃO'!$E$103:$F$114,2,FALSE)</f>
        <v>Óleo Vegetal</v>
      </c>
      <c r="F2214">
        <v>445</v>
      </c>
      <c r="G2214" t="str">
        <f>VLOOKUP(Tabela1[[#This Row],[Cliente]],clientes!$C$3:$D$60,2,FALSE)</f>
        <v>CARGILL</v>
      </c>
    </row>
    <row r="2215" spans="1:7" x14ac:dyDescent="0.25">
      <c r="A2215">
        <v>2026</v>
      </c>
      <c r="B2215" t="s">
        <v>141</v>
      </c>
      <c r="C2215" t="s">
        <v>166</v>
      </c>
      <c r="D2215" t="s">
        <v>122</v>
      </c>
      <c r="E2215" t="str">
        <f>VLOOKUP(D2215,'[2]Lista de Produtos CLASSIFICAÇÃO'!$E$103:$F$114,2,FALSE)</f>
        <v>Óleo Vegetal</v>
      </c>
      <c r="F2215">
        <v>445</v>
      </c>
      <c r="G2215" t="str">
        <f>VLOOKUP(Tabela1[[#This Row],[Cliente]],clientes!$C$3:$D$60,2,FALSE)</f>
        <v>CARGILL</v>
      </c>
    </row>
    <row r="2216" spans="1:7" x14ac:dyDescent="0.25">
      <c r="A2216">
        <v>2026</v>
      </c>
      <c r="B2216" t="s">
        <v>142</v>
      </c>
      <c r="C2216" t="s">
        <v>166</v>
      </c>
      <c r="D2216" t="s">
        <v>122</v>
      </c>
      <c r="E2216" t="str">
        <f>VLOOKUP(D2216,'[2]Lista de Produtos CLASSIFICAÇÃO'!$E$103:$F$114,2,FALSE)</f>
        <v>Óleo Vegetal</v>
      </c>
      <c r="F2216">
        <v>445</v>
      </c>
      <c r="G2216" t="str">
        <f>VLOOKUP(Tabela1[[#This Row],[Cliente]],clientes!$C$3:$D$60,2,FALSE)</f>
        <v>CARGILL</v>
      </c>
    </row>
    <row r="2217" spans="1:7" x14ac:dyDescent="0.25">
      <c r="A2217">
        <v>2026</v>
      </c>
      <c r="B2217" t="s">
        <v>143</v>
      </c>
      <c r="C2217" t="s">
        <v>177</v>
      </c>
      <c r="D2217" t="s">
        <v>115</v>
      </c>
      <c r="E2217" t="str">
        <f>VLOOKUP(D2217,'[2]Lista de Produtos CLASSIFICAÇÃO'!$E$103:$F$114,2,FALSE)</f>
        <v>Soda Caustica</v>
      </c>
      <c r="F2217">
        <v>1530</v>
      </c>
      <c r="G2217" t="str">
        <f>VLOOKUP(Tabela1[[#This Row],[Cliente]],clientes!$C$3:$D$60,2,FALSE)</f>
        <v>BRENNTAG</v>
      </c>
    </row>
    <row r="2218" spans="1:7" x14ac:dyDescent="0.25">
      <c r="A2218">
        <v>2026</v>
      </c>
      <c r="B2218" t="s">
        <v>132</v>
      </c>
      <c r="C2218" t="s">
        <v>177</v>
      </c>
      <c r="D2218" t="s">
        <v>115</v>
      </c>
      <c r="E2218" t="str">
        <f>VLOOKUP(D2218,'[2]Lista de Produtos CLASSIFICAÇÃO'!$E$103:$F$114,2,FALSE)</f>
        <v>Soda Caustica</v>
      </c>
      <c r="F2218">
        <v>1530</v>
      </c>
      <c r="G2218" t="str">
        <f>VLOOKUP(Tabela1[[#This Row],[Cliente]],clientes!$C$3:$D$60,2,FALSE)</f>
        <v>BRENNTAG</v>
      </c>
    </row>
    <row r="2219" spans="1:7" x14ac:dyDescent="0.25">
      <c r="A2219">
        <v>2026</v>
      </c>
      <c r="B2219" t="s">
        <v>133</v>
      </c>
      <c r="C2219" t="s">
        <v>177</v>
      </c>
      <c r="D2219" t="s">
        <v>115</v>
      </c>
      <c r="E2219" t="str">
        <f>VLOOKUP(D2219,'[2]Lista de Produtos CLASSIFICAÇÃO'!$E$103:$F$114,2,FALSE)</f>
        <v>Soda Caustica</v>
      </c>
      <c r="F2219">
        <v>1530</v>
      </c>
      <c r="G2219" t="str">
        <f>VLOOKUP(Tabela1[[#This Row],[Cliente]],clientes!$C$3:$D$60,2,FALSE)</f>
        <v>BRENNTAG</v>
      </c>
    </row>
    <row r="2220" spans="1:7" x14ac:dyDescent="0.25">
      <c r="A2220">
        <v>2026</v>
      </c>
      <c r="B2220" t="s">
        <v>134</v>
      </c>
      <c r="C2220" t="s">
        <v>177</v>
      </c>
      <c r="D2220" t="s">
        <v>115</v>
      </c>
      <c r="E2220" t="str">
        <f>VLOOKUP(D2220,'[2]Lista de Produtos CLASSIFICAÇÃO'!$E$103:$F$114,2,FALSE)</f>
        <v>Soda Caustica</v>
      </c>
      <c r="F2220">
        <v>1530</v>
      </c>
      <c r="G2220" t="str">
        <f>VLOOKUP(Tabela1[[#This Row],[Cliente]],clientes!$C$3:$D$60,2,FALSE)</f>
        <v>BRENNTAG</v>
      </c>
    </row>
    <row r="2221" spans="1:7" x14ac:dyDescent="0.25">
      <c r="A2221">
        <v>2026</v>
      </c>
      <c r="B2221" t="s">
        <v>135</v>
      </c>
      <c r="C2221" t="s">
        <v>177</v>
      </c>
      <c r="D2221" t="s">
        <v>115</v>
      </c>
      <c r="E2221" t="str">
        <f>VLOOKUP(D2221,'[2]Lista de Produtos CLASSIFICAÇÃO'!$E$103:$F$114,2,FALSE)</f>
        <v>Soda Caustica</v>
      </c>
      <c r="F2221">
        <v>1530</v>
      </c>
      <c r="G2221" t="str">
        <f>VLOOKUP(Tabela1[[#This Row],[Cliente]],clientes!$C$3:$D$60,2,FALSE)</f>
        <v>BRENNTAG</v>
      </c>
    </row>
    <row r="2222" spans="1:7" x14ac:dyDescent="0.25">
      <c r="A2222">
        <v>2026</v>
      </c>
      <c r="B2222" t="s">
        <v>136</v>
      </c>
      <c r="C2222" t="s">
        <v>177</v>
      </c>
      <c r="D2222" t="s">
        <v>115</v>
      </c>
      <c r="E2222" t="str">
        <f>VLOOKUP(D2222,'[2]Lista de Produtos CLASSIFICAÇÃO'!$E$103:$F$114,2,FALSE)</f>
        <v>Soda Caustica</v>
      </c>
      <c r="F2222">
        <v>1530</v>
      </c>
      <c r="G2222" t="str">
        <f>VLOOKUP(Tabela1[[#This Row],[Cliente]],clientes!$C$3:$D$60,2,FALSE)</f>
        <v>BRENNTAG</v>
      </c>
    </row>
    <row r="2223" spans="1:7" x14ac:dyDescent="0.25">
      <c r="A2223">
        <v>2026</v>
      </c>
      <c r="B2223" t="s">
        <v>137</v>
      </c>
      <c r="C2223" t="s">
        <v>177</v>
      </c>
      <c r="D2223" t="s">
        <v>115</v>
      </c>
      <c r="E2223" t="str">
        <f>VLOOKUP(D2223,'[2]Lista de Produtos CLASSIFICAÇÃO'!$E$103:$F$114,2,FALSE)</f>
        <v>Soda Caustica</v>
      </c>
      <c r="F2223">
        <v>1530</v>
      </c>
      <c r="G2223" t="str">
        <f>VLOOKUP(Tabela1[[#This Row],[Cliente]],clientes!$C$3:$D$60,2,FALSE)</f>
        <v>BRENNTAG</v>
      </c>
    </row>
    <row r="2224" spans="1:7" x14ac:dyDescent="0.25">
      <c r="A2224">
        <v>2026</v>
      </c>
      <c r="B2224" t="s">
        <v>138</v>
      </c>
      <c r="C2224" t="s">
        <v>177</v>
      </c>
      <c r="D2224" t="s">
        <v>115</v>
      </c>
      <c r="E2224" t="str">
        <f>VLOOKUP(D2224,'[2]Lista de Produtos CLASSIFICAÇÃO'!$E$103:$F$114,2,FALSE)</f>
        <v>Soda Caustica</v>
      </c>
      <c r="F2224">
        <v>1530</v>
      </c>
      <c r="G2224" t="str">
        <f>VLOOKUP(Tabela1[[#This Row],[Cliente]],clientes!$C$3:$D$60,2,FALSE)</f>
        <v>BRENNTAG</v>
      </c>
    </row>
    <row r="2225" spans="1:7" x14ac:dyDescent="0.25">
      <c r="A2225">
        <v>2026</v>
      </c>
      <c r="B2225" t="s">
        <v>139</v>
      </c>
      <c r="C2225" t="s">
        <v>177</v>
      </c>
      <c r="D2225" t="s">
        <v>115</v>
      </c>
      <c r="E2225" t="str">
        <f>VLOOKUP(D2225,'[2]Lista de Produtos CLASSIFICAÇÃO'!$E$103:$F$114,2,FALSE)</f>
        <v>Soda Caustica</v>
      </c>
      <c r="F2225">
        <v>1530</v>
      </c>
      <c r="G2225" t="str">
        <f>VLOOKUP(Tabela1[[#This Row],[Cliente]],clientes!$C$3:$D$60,2,FALSE)</f>
        <v>BRENNTAG</v>
      </c>
    </row>
    <row r="2226" spans="1:7" x14ac:dyDescent="0.25">
      <c r="A2226">
        <v>2026</v>
      </c>
      <c r="B2226" t="s">
        <v>140</v>
      </c>
      <c r="C2226" t="s">
        <v>177</v>
      </c>
      <c r="D2226" t="s">
        <v>115</v>
      </c>
      <c r="E2226" t="str">
        <f>VLOOKUP(D2226,'[2]Lista de Produtos CLASSIFICAÇÃO'!$E$103:$F$114,2,FALSE)</f>
        <v>Soda Caustica</v>
      </c>
      <c r="F2226">
        <v>1530</v>
      </c>
      <c r="G2226" t="str">
        <f>VLOOKUP(Tabela1[[#This Row],[Cliente]],clientes!$C$3:$D$60,2,FALSE)</f>
        <v>BRENNTAG</v>
      </c>
    </row>
    <row r="2227" spans="1:7" x14ac:dyDescent="0.25">
      <c r="A2227">
        <v>2026</v>
      </c>
      <c r="B2227" t="s">
        <v>141</v>
      </c>
      <c r="C2227" t="s">
        <v>177</v>
      </c>
      <c r="D2227" t="s">
        <v>115</v>
      </c>
      <c r="E2227" t="str">
        <f>VLOOKUP(D2227,'[2]Lista de Produtos CLASSIFICAÇÃO'!$E$103:$F$114,2,FALSE)</f>
        <v>Soda Caustica</v>
      </c>
      <c r="F2227">
        <v>1530</v>
      </c>
      <c r="G2227" t="str">
        <f>VLOOKUP(Tabela1[[#This Row],[Cliente]],clientes!$C$3:$D$60,2,FALSE)</f>
        <v>BRENNTAG</v>
      </c>
    </row>
    <row r="2228" spans="1:7" x14ac:dyDescent="0.25">
      <c r="A2228">
        <v>2026</v>
      </c>
      <c r="B2228" t="s">
        <v>142</v>
      </c>
      <c r="C2228" t="s">
        <v>177</v>
      </c>
      <c r="D2228" t="s">
        <v>115</v>
      </c>
      <c r="E2228" t="str">
        <f>VLOOKUP(D2228,'[2]Lista de Produtos CLASSIFICAÇÃO'!$E$103:$F$114,2,FALSE)</f>
        <v>Soda Caustica</v>
      </c>
      <c r="F2228">
        <v>1530</v>
      </c>
      <c r="G2228" t="str">
        <f>VLOOKUP(Tabela1[[#This Row],[Cliente]],clientes!$C$3:$D$60,2,FALSE)</f>
        <v>BRENNTAG</v>
      </c>
    </row>
    <row r="2229" spans="1:7" x14ac:dyDescent="0.25">
      <c r="A2229">
        <v>2026</v>
      </c>
      <c r="B2229" t="s">
        <v>143</v>
      </c>
      <c r="C2229" t="s">
        <v>178</v>
      </c>
      <c r="D2229" t="s">
        <v>115</v>
      </c>
      <c r="E2229" t="str">
        <f>VLOOKUP(D2229,'[2]Lista de Produtos CLASSIFICAÇÃO'!$E$103:$F$114,2,FALSE)</f>
        <v>Soda Caustica</v>
      </c>
      <c r="F2229">
        <v>22633</v>
      </c>
      <c r="G2229" t="str">
        <f>VLOOKUP(Tabela1[[#This Row],[Cliente]],clientes!$C$3:$D$60,2,FALSE)</f>
        <v>OLIN BLUE CUBE</v>
      </c>
    </row>
    <row r="2230" spans="1:7" x14ac:dyDescent="0.25">
      <c r="A2230">
        <v>2026</v>
      </c>
      <c r="B2230" t="s">
        <v>132</v>
      </c>
      <c r="C2230" t="s">
        <v>178</v>
      </c>
      <c r="D2230" t="s">
        <v>115</v>
      </c>
      <c r="E2230" t="str">
        <f>VLOOKUP(D2230,'[2]Lista de Produtos CLASSIFICAÇÃO'!$E$103:$F$114,2,FALSE)</f>
        <v>Soda Caustica</v>
      </c>
      <c r="F2230">
        <v>22633</v>
      </c>
      <c r="G2230" t="str">
        <f>VLOOKUP(Tabela1[[#This Row],[Cliente]],clientes!$C$3:$D$60,2,FALSE)</f>
        <v>OLIN BLUE CUBE</v>
      </c>
    </row>
    <row r="2231" spans="1:7" x14ac:dyDescent="0.25">
      <c r="A2231">
        <v>2026</v>
      </c>
      <c r="B2231" t="s">
        <v>133</v>
      </c>
      <c r="C2231" t="s">
        <v>178</v>
      </c>
      <c r="D2231" t="s">
        <v>115</v>
      </c>
      <c r="E2231" t="str">
        <f>VLOOKUP(D2231,'[2]Lista de Produtos CLASSIFICAÇÃO'!$E$103:$F$114,2,FALSE)</f>
        <v>Soda Caustica</v>
      </c>
      <c r="F2231">
        <v>22633</v>
      </c>
      <c r="G2231" t="str">
        <f>VLOOKUP(Tabela1[[#This Row],[Cliente]],clientes!$C$3:$D$60,2,FALSE)</f>
        <v>OLIN BLUE CUBE</v>
      </c>
    </row>
    <row r="2232" spans="1:7" x14ac:dyDescent="0.25">
      <c r="A2232">
        <v>2026</v>
      </c>
      <c r="B2232" t="s">
        <v>134</v>
      </c>
      <c r="C2232" t="s">
        <v>178</v>
      </c>
      <c r="D2232" t="s">
        <v>115</v>
      </c>
      <c r="E2232" t="str">
        <f>VLOOKUP(D2232,'[2]Lista de Produtos CLASSIFICAÇÃO'!$E$103:$F$114,2,FALSE)</f>
        <v>Soda Caustica</v>
      </c>
      <c r="F2232">
        <v>22633</v>
      </c>
      <c r="G2232" t="str">
        <f>VLOOKUP(Tabela1[[#This Row],[Cliente]],clientes!$C$3:$D$60,2,FALSE)</f>
        <v>OLIN BLUE CUBE</v>
      </c>
    </row>
    <row r="2233" spans="1:7" x14ac:dyDescent="0.25">
      <c r="A2233">
        <v>2026</v>
      </c>
      <c r="B2233" t="s">
        <v>135</v>
      </c>
      <c r="C2233" t="s">
        <v>178</v>
      </c>
      <c r="D2233" t="s">
        <v>115</v>
      </c>
      <c r="E2233" t="str">
        <f>VLOOKUP(D2233,'[2]Lista de Produtos CLASSIFICAÇÃO'!$E$103:$F$114,2,FALSE)</f>
        <v>Soda Caustica</v>
      </c>
      <c r="F2233">
        <v>22633</v>
      </c>
      <c r="G2233" t="str">
        <f>VLOOKUP(Tabela1[[#This Row],[Cliente]],clientes!$C$3:$D$60,2,FALSE)</f>
        <v>OLIN BLUE CUBE</v>
      </c>
    </row>
    <row r="2234" spans="1:7" x14ac:dyDescent="0.25">
      <c r="A2234">
        <v>2026</v>
      </c>
      <c r="B2234" t="s">
        <v>136</v>
      </c>
      <c r="C2234" t="s">
        <v>178</v>
      </c>
      <c r="D2234" t="s">
        <v>115</v>
      </c>
      <c r="E2234" t="str">
        <f>VLOOKUP(D2234,'[2]Lista de Produtos CLASSIFICAÇÃO'!$E$103:$F$114,2,FALSE)</f>
        <v>Soda Caustica</v>
      </c>
      <c r="F2234">
        <v>22633</v>
      </c>
      <c r="G2234" t="str">
        <f>VLOOKUP(Tabela1[[#This Row],[Cliente]],clientes!$C$3:$D$60,2,FALSE)</f>
        <v>OLIN BLUE CUBE</v>
      </c>
    </row>
    <row r="2235" spans="1:7" x14ac:dyDescent="0.25">
      <c r="A2235">
        <v>2026</v>
      </c>
      <c r="B2235" t="s">
        <v>137</v>
      </c>
      <c r="C2235" t="s">
        <v>178</v>
      </c>
      <c r="D2235" t="s">
        <v>115</v>
      </c>
      <c r="E2235" t="str">
        <f>VLOOKUP(D2235,'[2]Lista de Produtos CLASSIFICAÇÃO'!$E$103:$F$114,2,FALSE)</f>
        <v>Soda Caustica</v>
      </c>
      <c r="F2235">
        <v>22633</v>
      </c>
      <c r="G2235" t="str">
        <f>VLOOKUP(Tabela1[[#This Row],[Cliente]],clientes!$C$3:$D$60,2,FALSE)</f>
        <v>OLIN BLUE CUBE</v>
      </c>
    </row>
    <row r="2236" spans="1:7" x14ac:dyDescent="0.25">
      <c r="A2236">
        <v>2026</v>
      </c>
      <c r="B2236" t="s">
        <v>138</v>
      </c>
      <c r="C2236" t="s">
        <v>178</v>
      </c>
      <c r="D2236" t="s">
        <v>115</v>
      </c>
      <c r="E2236" t="str">
        <f>VLOOKUP(D2236,'[2]Lista de Produtos CLASSIFICAÇÃO'!$E$103:$F$114,2,FALSE)</f>
        <v>Soda Caustica</v>
      </c>
      <c r="F2236">
        <v>22633</v>
      </c>
      <c r="G2236" t="str">
        <f>VLOOKUP(Tabela1[[#This Row],[Cliente]],clientes!$C$3:$D$60,2,FALSE)</f>
        <v>OLIN BLUE CUBE</v>
      </c>
    </row>
    <row r="2237" spans="1:7" x14ac:dyDescent="0.25">
      <c r="A2237">
        <v>2026</v>
      </c>
      <c r="B2237" t="s">
        <v>139</v>
      </c>
      <c r="C2237" t="s">
        <v>178</v>
      </c>
      <c r="D2237" t="s">
        <v>115</v>
      </c>
      <c r="E2237" t="str">
        <f>VLOOKUP(D2237,'[2]Lista de Produtos CLASSIFICAÇÃO'!$E$103:$F$114,2,FALSE)</f>
        <v>Soda Caustica</v>
      </c>
      <c r="F2237">
        <v>22633</v>
      </c>
      <c r="G2237" t="str">
        <f>VLOOKUP(Tabela1[[#This Row],[Cliente]],clientes!$C$3:$D$60,2,FALSE)</f>
        <v>OLIN BLUE CUBE</v>
      </c>
    </row>
    <row r="2238" spans="1:7" x14ac:dyDescent="0.25">
      <c r="A2238">
        <v>2026</v>
      </c>
      <c r="B2238" t="s">
        <v>140</v>
      </c>
      <c r="C2238" t="s">
        <v>178</v>
      </c>
      <c r="D2238" t="s">
        <v>115</v>
      </c>
      <c r="E2238" t="str">
        <f>VLOOKUP(D2238,'[2]Lista de Produtos CLASSIFICAÇÃO'!$E$103:$F$114,2,FALSE)</f>
        <v>Soda Caustica</v>
      </c>
      <c r="F2238">
        <v>22633</v>
      </c>
      <c r="G2238" t="str">
        <f>VLOOKUP(Tabela1[[#This Row],[Cliente]],clientes!$C$3:$D$60,2,FALSE)</f>
        <v>OLIN BLUE CUBE</v>
      </c>
    </row>
    <row r="2239" spans="1:7" x14ac:dyDescent="0.25">
      <c r="A2239">
        <v>2026</v>
      </c>
      <c r="B2239" t="s">
        <v>141</v>
      </c>
      <c r="C2239" t="s">
        <v>178</v>
      </c>
      <c r="D2239" t="s">
        <v>115</v>
      </c>
      <c r="E2239" t="str">
        <f>VLOOKUP(D2239,'[2]Lista de Produtos CLASSIFICAÇÃO'!$E$103:$F$114,2,FALSE)</f>
        <v>Soda Caustica</v>
      </c>
      <c r="F2239">
        <v>22633</v>
      </c>
      <c r="G2239" t="str">
        <f>VLOOKUP(Tabela1[[#This Row],[Cliente]],clientes!$C$3:$D$60,2,FALSE)</f>
        <v>OLIN BLUE CUBE</v>
      </c>
    </row>
    <row r="2240" spans="1:7" x14ac:dyDescent="0.25">
      <c r="A2240">
        <v>2026</v>
      </c>
      <c r="B2240" t="s">
        <v>142</v>
      </c>
      <c r="C2240" t="s">
        <v>178</v>
      </c>
      <c r="D2240" t="s">
        <v>115</v>
      </c>
      <c r="E2240" t="str">
        <f>VLOOKUP(D2240,'[2]Lista de Produtos CLASSIFICAÇÃO'!$E$103:$F$114,2,FALSE)</f>
        <v>Soda Caustica</v>
      </c>
      <c r="F2240">
        <v>22633</v>
      </c>
      <c r="G2240" t="str">
        <f>VLOOKUP(Tabela1[[#This Row],[Cliente]],clientes!$C$3:$D$60,2,FALSE)</f>
        <v>OLIN BLUE CUBE</v>
      </c>
    </row>
    <row r="2241" spans="1:7" x14ac:dyDescent="0.25">
      <c r="A2241">
        <v>2026</v>
      </c>
      <c r="B2241" t="s">
        <v>143</v>
      </c>
      <c r="C2241" t="s">
        <v>179</v>
      </c>
      <c r="D2241" t="s">
        <v>26</v>
      </c>
      <c r="E2241" t="str">
        <f>VLOOKUP(D2241,'[2]Lista de Produtos CLASSIFICAÇÃO'!$E$103:$F$114,2,FALSE)</f>
        <v>Biocombustíveis</v>
      </c>
      <c r="F2241">
        <v>5467</v>
      </c>
      <c r="G2241" t="str">
        <f>VLOOKUP(Tabela1[[#This Row],[Cliente]],clientes!$C$3:$D$60,2,FALSE)</f>
        <v>BSBIOS</v>
      </c>
    </row>
    <row r="2242" spans="1:7" x14ac:dyDescent="0.25">
      <c r="A2242">
        <v>2026</v>
      </c>
      <c r="B2242" t="s">
        <v>132</v>
      </c>
      <c r="C2242" t="s">
        <v>179</v>
      </c>
      <c r="D2242" t="s">
        <v>26</v>
      </c>
      <c r="E2242" t="str">
        <f>VLOOKUP(D2242,'[2]Lista de Produtos CLASSIFICAÇÃO'!$E$103:$F$114,2,FALSE)</f>
        <v>Biocombustíveis</v>
      </c>
      <c r="F2242">
        <v>5467</v>
      </c>
      <c r="G2242" t="str">
        <f>VLOOKUP(Tabela1[[#This Row],[Cliente]],clientes!$C$3:$D$60,2,FALSE)</f>
        <v>BSBIOS</v>
      </c>
    </row>
    <row r="2243" spans="1:7" x14ac:dyDescent="0.25">
      <c r="A2243">
        <v>2026</v>
      </c>
      <c r="B2243" t="s">
        <v>133</v>
      </c>
      <c r="C2243" t="s">
        <v>179</v>
      </c>
      <c r="D2243" t="s">
        <v>26</v>
      </c>
      <c r="E2243" t="str">
        <f>VLOOKUP(D2243,'[2]Lista de Produtos CLASSIFICAÇÃO'!$E$103:$F$114,2,FALSE)</f>
        <v>Biocombustíveis</v>
      </c>
      <c r="F2243">
        <v>5467</v>
      </c>
      <c r="G2243" t="str">
        <f>VLOOKUP(Tabela1[[#This Row],[Cliente]],clientes!$C$3:$D$60,2,FALSE)</f>
        <v>BSBIOS</v>
      </c>
    </row>
    <row r="2244" spans="1:7" x14ac:dyDescent="0.25">
      <c r="A2244">
        <v>2026</v>
      </c>
      <c r="B2244" t="s">
        <v>134</v>
      </c>
      <c r="C2244" t="s">
        <v>179</v>
      </c>
      <c r="D2244" t="s">
        <v>26</v>
      </c>
      <c r="E2244" t="str">
        <f>VLOOKUP(D2244,'[2]Lista de Produtos CLASSIFICAÇÃO'!$E$103:$F$114,2,FALSE)</f>
        <v>Biocombustíveis</v>
      </c>
      <c r="F2244">
        <v>5467</v>
      </c>
      <c r="G2244" t="str">
        <f>VLOOKUP(Tabela1[[#This Row],[Cliente]],clientes!$C$3:$D$60,2,FALSE)</f>
        <v>BSBIOS</v>
      </c>
    </row>
    <row r="2245" spans="1:7" x14ac:dyDescent="0.25">
      <c r="A2245">
        <v>2026</v>
      </c>
      <c r="B2245" t="s">
        <v>135</v>
      </c>
      <c r="C2245" t="s">
        <v>179</v>
      </c>
      <c r="D2245" t="s">
        <v>26</v>
      </c>
      <c r="E2245" t="str">
        <f>VLOOKUP(D2245,'[2]Lista de Produtos CLASSIFICAÇÃO'!$E$103:$F$114,2,FALSE)</f>
        <v>Biocombustíveis</v>
      </c>
      <c r="F2245">
        <v>5467</v>
      </c>
      <c r="G2245" t="str">
        <f>VLOOKUP(Tabela1[[#This Row],[Cliente]],clientes!$C$3:$D$60,2,FALSE)</f>
        <v>BSBIOS</v>
      </c>
    </row>
    <row r="2246" spans="1:7" x14ac:dyDescent="0.25">
      <c r="A2246">
        <v>2026</v>
      </c>
      <c r="B2246" t="s">
        <v>136</v>
      </c>
      <c r="C2246" t="s">
        <v>179</v>
      </c>
      <c r="D2246" t="s">
        <v>26</v>
      </c>
      <c r="E2246" t="str">
        <f>VLOOKUP(D2246,'[2]Lista de Produtos CLASSIFICAÇÃO'!$E$103:$F$114,2,FALSE)</f>
        <v>Biocombustíveis</v>
      </c>
      <c r="F2246">
        <v>5467</v>
      </c>
      <c r="G2246" t="str">
        <f>VLOOKUP(Tabela1[[#This Row],[Cliente]],clientes!$C$3:$D$60,2,FALSE)</f>
        <v>BSBIOS</v>
      </c>
    </row>
    <row r="2247" spans="1:7" x14ac:dyDescent="0.25">
      <c r="A2247">
        <v>2026</v>
      </c>
      <c r="B2247" t="s">
        <v>137</v>
      </c>
      <c r="C2247" t="s">
        <v>179</v>
      </c>
      <c r="D2247" t="s">
        <v>26</v>
      </c>
      <c r="E2247" t="str">
        <f>VLOOKUP(D2247,'[2]Lista de Produtos CLASSIFICAÇÃO'!$E$103:$F$114,2,FALSE)</f>
        <v>Biocombustíveis</v>
      </c>
      <c r="F2247">
        <v>5467</v>
      </c>
      <c r="G2247" t="str">
        <f>VLOOKUP(Tabela1[[#This Row],[Cliente]],clientes!$C$3:$D$60,2,FALSE)</f>
        <v>BSBIOS</v>
      </c>
    </row>
    <row r="2248" spans="1:7" x14ac:dyDescent="0.25">
      <c r="A2248">
        <v>2026</v>
      </c>
      <c r="B2248" t="s">
        <v>138</v>
      </c>
      <c r="C2248" t="s">
        <v>179</v>
      </c>
      <c r="D2248" t="s">
        <v>26</v>
      </c>
      <c r="E2248" t="str">
        <f>VLOOKUP(D2248,'[2]Lista de Produtos CLASSIFICAÇÃO'!$E$103:$F$114,2,FALSE)</f>
        <v>Biocombustíveis</v>
      </c>
      <c r="F2248">
        <v>5467</v>
      </c>
      <c r="G2248" t="str">
        <f>VLOOKUP(Tabela1[[#This Row],[Cliente]],clientes!$C$3:$D$60,2,FALSE)</f>
        <v>BSBIOS</v>
      </c>
    </row>
    <row r="2249" spans="1:7" x14ac:dyDescent="0.25">
      <c r="A2249">
        <v>2026</v>
      </c>
      <c r="B2249" t="s">
        <v>139</v>
      </c>
      <c r="C2249" t="s">
        <v>179</v>
      </c>
      <c r="D2249" t="s">
        <v>26</v>
      </c>
      <c r="E2249" t="str">
        <f>VLOOKUP(D2249,'[2]Lista de Produtos CLASSIFICAÇÃO'!$E$103:$F$114,2,FALSE)</f>
        <v>Biocombustíveis</v>
      </c>
      <c r="F2249">
        <v>5467</v>
      </c>
      <c r="G2249" t="str">
        <f>VLOOKUP(Tabela1[[#This Row],[Cliente]],clientes!$C$3:$D$60,2,FALSE)</f>
        <v>BSBIOS</v>
      </c>
    </row>
    <row r="2250" spans="1:7" x14ac:dyDescent="0.25">
      <c r="A2250">
        <v>2026</v>
      </c>
      <c r="B2250" t="s">
        <v>140</v>
      </c>
      <c r="C2250" t="s">
        <v>179</v>
      </c>
      <c r="D2250" t="s">
        <v>26</v>
      </c>
      <c r="E2250" t="str">
        <f>VLOOKUP(D2250,'[2]Lista de Produtos CLASSIFICAÇÃO'!$E$103:$F$114,2,FALSE)</f>
        <v>Biocombustíveis</v>
      </c>
      <c r="F2250">
        <v>5467</v>
      </c>
      <c r="G2250" t="str">
        <f>VLOOKUP(Tabela1[[#This Row],[Cliente]],clientes!$C$3:$D$60,2,FALSE)</f>
        <v>BSBIOS</v>
      </c>
    </row>
    <row r="2251" spans="1:7" x14ac:dyDescent="0.25">
      <c r="A2251">
        <v>2026</v>
      </c>
      <c r="B2251" t="s">
        <v>141</v>
      </c>
      <c r="C2251" t="s">
        <v>179</v>
      </c>
      <c r="D2251" t="s">
        <v>26</v>
      </c>
      <c r="E2251" t="str">
        <f>VLOOKUP(D2251,'[2]Lista de Produtos CLASSIFICAÇÃO'!$E$103:$F$114,2,FALSE)</f>
        <v>Biocombustíveis</v>
      </c>
      <c r="F2251">
        <v>5467</v>
      </c>
      <c r="G2251" t="str">
        <f>VLOOKUP(Tabela1[[#This Row],[Cliente]],clientes!$C$3:$D$60,2,FALSE)</f>
        <v>BSBIOS</v>
      </c>
    </row>
    <row r="2252" spans="1:7" x14ac:dyDescent="0.25">
      <c r="A2252">
        <v>2026</v>
      </c>
      <c r="B2252" t="s">
        <v>142</v>
      </c>
      <c r="C2252" t="s">
        <v>179</v>
      </c>
      <c r="D2252" t="s">
        <v>26</v>
      </c>
      <c r="E2252" t="str">
        <f>VLOOKUP(D2252,'[2]Lista de Produtos CLASSIFICAÇÃO'!$E$103:$F$114,2,FALSE)</f>
        <v>Biocombustíveis</v>
      </c>
      <c r="F2252">
        <v>5467</v>
      </c>
      <c r="G2252" t="str">
        <f>VLOOKUP(Tabela1[[#This Row],[Cliente]],clientes!$C$3:$D$60,2,FALSE)</f>
        <v>BSBIOS</v>
      </c>
    </row>
    <row r="2253" spans="1:7" x14ac:dyDescent="0.25">
      <c r="A2253">
        <v>2026</v>
      </c>
      <c r="B2253" t="s">
        <v>143</v>
      </c>
      <c r="C2253" t="s">
        <v>181</v>
      </c>
      <c r="D2253" t="s">
        <v>123</v>
      </c>
      <c r="E2253" t="str">
        <f>VLOOKUP(D2253,'[2]Lista de Produtos CLASSIFICAÇÃO'!$E$103:$F$114,2,FALSE)</f>
        <v>Aquecidos</v>
      </c>
      <c r="F2253">
        <v>1608</v>
      </c>
      <c r="G2253" t="str">
        <f>VLOOKUP(Tabela1[[#This Row],[Cliente]],clientes!$C$3:$D$60,2,FALSE)</f>
        <v>COAMO</v>
      </c>
    </row>
    <row r="2254" spans="1:7" x14ac:dyDescent="0.25">
      <c r="A2254">
        <v>2026</v>
      </c>
      <c r="B2254" t="s">
        <v>132</v>
      </c>
      <c r="C2254" t="s">
        <v>181</v>
      </c>
      <c r="D2254" t="s">
        <v>123</v>
      </c>
      <c r="E2254" t="str">
        <f>VLOOKUP(D2254,'[2]Lista de Produtos CLASSIFICAÇÃO'!$E$103:$F$114,2,FALSE)</f>
        <v>Aquecidos</v>
      </c>
      <c r="F2254">
        <v>1608</v>
      </c>
      <c r="G2254" t="str">
        <f>VLOOKUP(Tabela1[[#This Row],[Cliente]],clientes!$C$3:$D$60,2,FALSE)</f>
        <v>COAMO</v>
      </c>
    </row>
    <row r="2255" spans="1:7" x14ac:dyDescent="0.25">
      <c r="A2255">
        <v>2026</v>
      </c>
      <c r="B2255" t="s">
        <v>133</v>
      </c>
      <c r="C2255" t="s">
        <v>181</v>
      </c>
      <c r="D2255" t="s">
        <v>123</v>
      </c>
      <c r="E2255" t="str">
        <f>VLOOKUP(D2255,'[2]Lista de Produtos CLASSIFICAÇÃO'!$E$103:$F$114,2,FALSE)</f>
        <v>Aquecidos</v>
      </c>
      <c r="F2255">
        <v>1608</v>
      </c>
      <c r="G2255" t="str">
        <f>VLOOKUP(Tabela1[[#This Row],[Cliente]],clientes!$C$3:$D$60,2,FALSE)</f>
        <v>COAMO</v>
      </c>
    </row>
    <row r="2256" spans="1:7" x14ac:dyDescent="0.25">
      <c r="A2256">
        <v>2026</v>
      </c>
      <c r="B2256" t="s">
        <v>134</v>
      </c>
      <c r="C2256" t="s">
        <v>181</v>
      </c>
      <c r="D2256" t="s">
        <v>123</v>
      </c>
      <c r="E2256" t="str">
        <f>VLOOKUP(D2256,'[2]Lista de Produtos CLASSIFICAÇÃO'!$E$103:$F$114,2,FALSE)</f>
        <v>Aquecidos</v>
      </c>
      <c r="F2256">
        <v>1608</v>
      </c>
      <c r="G2256" t="str">
        <f>VLOOKUP(Tabela1[[#This Row],[Cliente]],clientes!$C$3:$D$60,2,FALSE)</f>
        <v>COAMO</v>
      </c>
    </row>
    <row r="2257" spans="1:7" x14ac:dyDescent="0.25">
      <c r="A2257">
        <v>2026</v>
      </c>
      <c r="B2257" t="s">
        <v>135</v>
      </c>
      <c r="C2257" t="s">
        <v>181</v>
      </c>
      <c r="D2257" t="s">
        <v>123</v>
      </c>
      <c r="E2257" t="str">
        <f>VLOOKUP(D2257,'[2]Lista de Produtos CLASSIFICAÇÃO'!$E$103:$F$114,2,FALSE)</f>
        <v>Aquecidos</v>
      </c>
      <c r="F2257">
        <v>1608</v>
      </c>
      <c r="G2257" t="str">
        <f>VLOOKUP(Tabela1[[#This Row],[Cliente]],clientes!$C$3:$D$60,2,FALSE)</f>
        <v>COAMO</v>
      </c>
    </row>
    <row r="2258" spans="1:7" x14ac:dyDescent="0.25">
      <c r="A2258">
        <v>2026</v>
      </c>
      <c r="B2258" t="s">
        <v>136</v>
      </c>
      <c r="C2258" t="s">
        <v>181</v>
      </c>
      <c r="D2258" t="s">
        <v>123</v>
      </c>
      <c r="E2258" t="str">
        <f>VLOOKUP(D2258,'[2]Lista de Produtos CLASSIFICAÇÃO'!$E$103:$F$114,2,FALSE)</f>
        <v>Aquecidos</v>
      </c>
      <c r="F2258">
        <v>1608</v>
      </c>
      <c r="G2258" t="str">
        <f>VLOOKUP(Tabela1[[#This Row],[Cliente]],clientes!$C$3:$D$60,2,FALSE)</f>
        <v>COAMO</v>
      </c>
    </row>
    <row r="2259" spans="1:7" x14ac:dyDescent="0.25">
      <c r="A2259">
        <v>2026</v>
      </c>
      <c r="B2259" t="s">
        <v>137</v>
      </c>
      <c r="C2259" t="s">
        <v>181</v>
      </c>
      <c r="D2259" t="s">
        <v>123</v>
      </c>
      <c r="E2259" t="str">
        <f>VLOOKUP(D2259,'[2]Lista de Produtos CLASSIFICAÇÃO'!$E$103:$F$114,2,FALSE)</f>
        <v>Aquecidos</v>
      </c>
      <c r="F2259">
        <v>1608</v>
      </c>
      <c r="G2259" t="str">
        <f>VLOOKUP(Tabela1[[#This Row],[Cliente]],clientes!$C$3:$D$60,2,FALSE)</f>
        <v>COAMO</v>
      </c>
    </row>
    <row r="2260" spans="1:7" x14ac:dyDescent="0.25">
      <c r="A2260">
        <v>2026</v>
      </c>
      <c r="B2260" t="s">
        <v>138</v>
      </c>
      <c r="C2260" t="s">
        <v>181</v>
      </c>
      <c r="D2260" t="s">
        <v>123</v>
      </c>
      <c r="E2260" t="str">
        <f>VLOOKUP(D2260,'[2]Lista de Produtos CLASSIFICAÇÃO'!$E$103:$F$114,2,FALSE)</f>
        <v>Aquecidos</v>
      </c>
      <c r="F2260">
        <v>1608</v>
      </c>
      <c r="G2260" t="str">
        <f>VLOOKUP(Tabela1[[#This Row],[Cliente]],clientes!$C$3:$D$60,2,FALSE)</f>
        <v>COAMO</v>
      </c>
    </row>
    <row r="2261" spans="1:7" x14ac:dyDescent="0.25">
      <c r="A2261">
        <v>2026</v>
      </c>
      <c r="B2261" t="s">
        <v>139</v>
      </c>
      <c r="C2261" t="s">
        <v>181</v>
      </c>
      <c r="D2261" t="s">
        <v>123</v>
      </c>
      <c r="E2261" t="str">
        <f>VLOOKUP(D2261,'[2]Lista de Produtos CLASSIFICAÇÃO'!$E$103:$F$114,2,FALSE)</f>
        <v>Aquecidos</v>
      </c>
      <c r="F2261">
        <v>1608</v>
      </c>
      <c r="G2261" t="str">
        <f>VLOOKUP(Tabela1[[#This Row],[Cliente]],clientes!$C$3:$D$60,2,FALSE)</f>
        <v>COAMO</v>
      </c>
    </row>
    <row r="2262" spans="1:7" x14ac:dyDescent="0.25">
      <c r="A2262">
        <v>2026</v>
      </c>
      <c r="B2262" t="s">
        <v>140</v>
      </c>
      <c r="C2262" t="s">
        <v>181</v>
      </c>
      <c r="D2262" t="s">
        <v>123</v>
      </c>
      <c r="E2262" t="str">
        <f>VLOOKUP(D2262,'[2]Lista de Produtos CLASSIFICAÇÃO'!$E$103:$F$114,2,FALSE)</f>
        <v>Aquecidos</v>
      </c>
      <c r="F2262">
        <v>1608</v>
      </c>
      <c r="G2262" t="str">
        <f>VLOOKUP(Tabela1[[#This Row],[Cliente]],clientes!$C$3:$D$60,2,FALSE)</f>
        <v>COAMO</v>
      </c>
    </row>
    <row r="2263" spans="1:7" x14ac:dyDescent="0.25">
      <c r="A2263">
        <v>2026</v>
      </c>
      <c r="B2263" t="s">
        <v>141</v>
      </c>
      <c r="C2263" t="s">
        <v>181</v>
      </c>
      <c r="D2263" t="s">
        <v>123</v>
      </c>
      <c r="E2263" t="str">
        <f>VLOOKUP(D2263,'[2]Lista de Produtos CLASSIFICAÇÃO'!$E$103:$F$114,2,FALSE)</f>
        <v>Aquecidos</v>
      </c>
      <c r="F2263">
        <v>1608</v>
      </c>
      <c r="G2263" t="str">
        <f>VLOOKUP(Tabela1[[#This Row],[Cliente]],clientes!$C$3:$D$60,2,FALSE)</f>
        <v>COAMO</v>
      </c>
    </row>
    <row r="2264" spans="1:7" x14ac:dyDescent="0.25">
      <c r="A2264">
        <v>2026</v>
      </c>
      <c r="B2264" t="s">
        <v>142</v>
      </c>
      <c r="C2264" t="s">
        <v>181</v>
      </c>
      <c r="D2264" t="s">
        <v>123</v>
      </c>
      <c r="E2264" t="str">
        <f>VLOOKUP(D2264,'[2]Lista de Produtos CLASSIFICAÇÃO'!$E$103:$F$114,2,FALSE)</f>
        <v>Aquecidos</v>
      </c>
      <c r="F2264">
        <v>1608</v>
      </c>
      <c r="G2264" t="str">
        <f>VLOOKUP(Tabela1[[#This Row],[Cliente]],clientes!$C$3:$D$60,2,FALSE)</f>
        <v>COAMO</v>
      </c>
    </row>
    <row r="2265" spans="1:7" x14ac:dyDescent="0.25">
      <c r="A2265">
        <v>2026</v>
      </c>
      <c r="B2265" t="s">
        <v>143</v>
      </c>
      <c r="C2265" t="s">
        <v>184</v>
      </c>
      <c r="D2265" t="s">
        <v>122</v>
      </c>
      <c r="E2265" t="str">
        <f>VLOOKUP(D2265,'[2]Lista de Produtos CLASSIFICAÇÃO'!$E$103:$F$114,2,FALSE)</f>
        <v>Óleo Vegetal</v>
      </c>
      <c r="F2265">
        <v>272</v>
      </c>
      <c r="G2265" t="str">
        <f>VLOOKUP(Tabela1[[#This Row],[Cliente]],clientes!$C$3:$D$60,2,FALSE)</f>
        <v>INGREDION</v>
      </c>
    </row>
    <row r="2266" spans="1:7" x14ac:dyDescent="0.25">
      <c r="A2266">
        <v>2026</v>
      </c>
      <c r="B2266" t="s">
        <v>132</v>
      </c>
      <c r="C2266" t="s">
        <v>184</v>
      </c>
      <c r="D2266" t="s">
        <v>122</v>
      </c>
      <c r="E2266" t="str">
        <f>VLOOKUP(D2266,'[2]Lista de Produtos CLASSIFICAÇÃO'!$E$103:$F$114,2,FALSE)</f>
        <v>Óleo Vegetal</v>
      </c>
      <c r="F2266">
        <v>272</v>
      </c>
      <c r="G2266" t="str">
        <f>VLOOKUP(Tabela1[[#This Row],[Cliente]],clientes!$C$3:$D$60,2,FALSE)</f>
        <v>INGREDION</v>
      </c>
    </row>
    <row r="2267" spans="1:7" x14ac:dyDescent="0.25">
      <c r="A2267">
        <v>2026</v>
      </c>
      <c r="B2267" t="s">
        <v>133</v>
      </c>
      <c r="C2267" t="s">
        <v>184</v>
      </c>
      <c r="D2267" t="s">
        <v>122</v>
      </c>
      <c r="E2267" t="str">
        <f>VLOOKUP(D2267,'[2]Lista de Produtos CLASSIFICAÇÃO'!$E$103:$F$114,2,FALSE)</f>
        <v>Óleo Vegetal</v>
      </c>
      <c r="F2267">
        <v>272</v>
      </c>
      <c r="G2267" t="str">
        <f>VLOOKUP(Tabela1[[#This Row],[Cliente]],clientes!$C$3:$D$60,2,FALSE)</f>
        <v>INGREDION</v>
      </c>
    </row>
    <row r="2268" spans="1:7" x14ac:dyDescent="0.25">
      <c r="A2268">
        <v>2026</v>
      </c>
      <c r="B2268" t="s">
        <v>134</v>
      </c>
      <c r="C2268" t="s">
        <v>184</v>
      </c>
      <c r="D2268" t="s">
        <v>122</v>
      </c>
      <c r="E2268" t="str">
        <f>VLOOKUP(D2268,'[2]Lista de Produtos CLASSIFICAÇÃO'!$E$103:$F$114,2,FALSE)</f>
        <v>Óleo Vegetal</v>
      </c>
      <c r="F2268">
        <v>272</v>
      </c>
      <c r="G2268" t="str">
        <f>VLOOKUP(Tabela1[[#This Row],[Cliente]],clientes!$C$3:$D$60,2,FALSE)</f>
        <v>INGREDION</v>
      </c>
    </row>
    <row r="2269" spans="1:7" x14ac:dyDescent="0.25">
      <c r="A2269">
        <v>2026</v>
      </c>
      <c r="B2269" t="s">
        <v>135</v>
      </c>
      <c r="C2269" t="s">
        <v>184</v>
      </c>
      <c r="D2269" t="s">
        <v>122</v>
      </c>
      <c r="E2269" t="str">
        <f>VLOOKUP(D2269,'[2]Lista de Produtos CLASSIFICAÇÃO'!$E$103:$F$114,2,FALSE)</f>
        <v>Óleo Vegetal</v>
      </c>
      <c r="F2269">
        <v>272</v>
      </c>
      <c r="G2269" t="str">
        <f>VLOOKUP(Tabela1[[#This Row],[Cliente]],clientes!$C$3:$D$60,2,FALSE)</f>
        <v>INGREDION</v>
      </c>
    </row>
    <row r="2270" spans="1:7" x14ac:dyDescent="0.25">
      <c r="A2270">
        <v>2026</v>
      </c>
      <c r="B2270" t="s">
        <v>136</v>
      </c>
      <c r="C2270" t="s">
        <v>184</v>
      </c>
      <c r="D2270" t="s">
        <v>122</v>
      </c>
      <c r="E2270" t="str">
        <f>VLOOKUP(D2270,'[2]Lista de Produtos CLASSIFICAÇÃO'!$E$103:$F$114,2,FALSE)</f>
        <v>Óleo Vegetal</v>
      </c>
      <c r="F2270">
        <v>272</v>
      </c>
      <c r="G2270" t="str">
        <f>VLOOKUP(Tabela1[[#This Row],[Cliente]],clientes!$C$3:$D$60,2,FALSE)</f>
        <v>INGREDION</v>
      </c>
    </row>
    <row r="2271" spans="1:7" x14ac:dyDescent="0.25">
      <c r="A2271">
        <v>2026</v>
      </c>
      <c r="B2271" t="s">
        <v>137</v>
      </c>
      <c r="C2271" t="s">
        <v>184</v>
      </c>
      <c r="D2271" t="s">
        <v>122</v>
      </c>
      <c r="E2271" t="str">
        <f>VLOOKUP(D2271,'[2]Lista de Produtos CLASSIFICAÇÃO'!$E$103:$F$114,2,FALSE)</f>
        <v>Óleo Vegetal</v>
      </c>
      <c r="F2271">
        <v>272</v>
      </c>
      <c r="G2271" t="str">
        <f>VLOOKUP(Tabela1[[#This Row],[Cliente]],clientes!$C$3:$D$60,2,FALSE)</f>
        <v>INGREDION</v>
      </c>
    </row>
    <row r="2272" spans="1:7" x14ac:dyDescent="0.25">
      <c r="A2272">
        <v>2026</v>
      </c>
      <c r="B2272" t="s">
        <v>138</v>
      </c>
      <c r="C2272" t="s">
        <v>184</v>
      </c>
      <c r="D2272" t="s">
        <v>122</v>
      </c>
      <c r="E2272" t="str">
        <f>VLOOKUP(D2272,'[2]Lista de Produtos CLASSIFICAÇÃO'!$E$103:$F$114,2,FALSE)</f>
        <v>Óleo Vegetal</v>
      </c>
      <c r="F2272">
        <v>272</v>
      </c>
      <c r="G2272" t="str">
        <f>VLOOKUP(Tabela1[[#This Row],[Cliente]],clientes!$C$3:$D$60,2,FALSE)</f>
        <v>INGREDION</v>
      </c>
    </row>
    <row r="2273" spans="1:7" x14ac:dyDescent="0.25">
      <c r="A2273">
        <v>2026</v>
      </c>
      <c r="B2273" t="s">
        <v>139</v>
      </c>
      <c r="C2273" t="s">
        <v>184</v>
      </c>
      <c r="D2273" t="s">
        <v>122</v>
      </c>
      <c r="E2273" t="str">
        <f>VLOOKUP(D2273,'[2]Lista de Produtos CLASSIFICAÇÃO'!$E$103:$F$114,2,FALSE)</f>
        <v>Óleo Vegetal</v>
      </c>
      <c r="F2273">
        <v>272</v>
      </c>
      <c r="G2273" t="str">
        <f>VLOOKUP(Tabela1[[#This Row],[Cliente]],clientes!$C$3:$D$60,2,FALSE)</f>
        <v>INGREDION</v>
      </c>
    </row>
    <row r="2274" spans="1:7" x14ac:dyDescent="0.25">
      <c r="A2274">
        <v>2026</v>
      </c>
      <c r="B2274" t="s">
        <v>140</v>
      </c>
      <c r="C2274" t="s">
        <v>184</v>
      </c>
      <c r="D2274" t="s">
        <v>122</v>
      </c>
      <c r="E2274" t="str">
        <f>VLOOKUP(D2274,'[2]Lista de Produtos CLASSIFICAÇÃO'!$E$103:$F$114,2,FALSE)</f>
        <v>Óleo Vegetal</v>
      </c>
      <c r="F2274">
        <v>272</v>
      </c>
      <c r="G2274" t="str">
        <f>VLOOKUP(Tabela1[[#This Row],[Cliente]],clientes!$C$3:$D$60,2,FALSE)</f>
        <v>INGREDION</v>
      </c>
    </row>
    <row r="2275" spans="1:7" x14ac:dyDescent="0.25">
      <c r="A2275">
        <v>2026</v>
      </c>
      <c r="B2275" t="s">
        <v>141</v>
      </c>
      <c r="C2275" t="s">
        <v>184</v>
      </c>
      <c r="D2275" t="s">
        <v>122</v>
      </c>
      <c r="E2275" t="str">
        <f>VLOOKUP(D2275,'[2]Lista de Produtos CLASSIFICAÇÃO'!$E$103:$F$114,2,FALSE)</f>
        <v>Óleo Vegetal</v>
      </c>
      <c r="F2275">
        <v>272</v>
      </c>
      <c r="G2275" t="str">
        <f>VLOOKUP(Tabela1[[#This Row],[Cliente]],clientes!$C$3:$D$60,2,FALSE)</f>
        <v>INGREDION</v>
      </c>
    </row>
    <row r="2276" spans="1:7" x14ac:dyDescent="0.25">
      <c r="A2276">
        <v>2026</v>
      </c>
      <c r="B2276" t="s">
        <v>142</v>
      </c>
      <c r="C2276" t="s">
        <v>184</v>
      </c>
      <c r="D2276" t="s">
        <v>122</v>
      </c>
      <c r="E2276" t="str">
        <f>VLOOKUP(D2276,'[2]Lista de Produtos CLASSIFICAÇÃO'!$E$103:$F$114,2,FALSE)</f>
        <v>Óleo Vegetal</v>
      </c>
      <c r="F2276">
        <v>272</v>
      </c>
      <c r="G2276" t="str">
        <f>VLOOKUP(Tabela1[[#This Row],[Cliente]],clientes!$C$3:$D$60,2,FALSE)</f>
        <v>INGREDION</v>
      </c>
    </row>
    <row r="2277" spans="1:7" x14ac:dyDescent="0.25">
      <c r="A2277">
        <v>2026</v>
      </c>
      <c r="B2277" t="s">
        <v>143</v>
      </c>
      <c r="C2277" t="s">
        <v>185</v>
      </c>
      <c r="D2277" t="s">
        <v>120</v>
      </c>
      <c r="E2277" t="str">
        <f>VLOOKUP(D2277,'[2]Lista de Produtos CLASSIFICAÇÃO'!$E$103:$F$114,2,FALSE)</f>
        <v>Derivados</v>
      </c>
      <c r="F2277">
        <v>11200</v>
      </c>
      <c r="G2277" t="str">
        <f>VLOOKUP(Tabela1[[#This Row],[Cliente]],clientes!$C$3:$D$60,2,FALSE)</f>
        <v>CIAPETRO</v>
      </c>
    </row>
    <row r="2278" spans="1:7" x14ac:dyDescent="0.25">
      <c r="A2278">
        <v>2026</v>
      </c>
      <c r="B2278" t="s">
        <v>132</v>
      </c>
      <c r="C2278" t="s">
        <v>185</v>
      </c>
      <c r="D2278" t="s">
        <v>120</v>
      </c>
      <c r="E2278" t="str">
        <f>VLOOKUP(D2278,'[2]Lista de Produtos CLASSIFICAÇÃO'!$E$103:$F$114,2,FALSE)</f>
        <v>Derivados</v>
      </c>
      <c r="F2278">
        <v>11200</v>
      </c>
      <c r="G2278" t="str">
        <f>VLOOKUP(Tabela1[[#This Row],[Cliente]],clientes!$C$3:$D$60,2,FALSE)</f>
        <v>CIAPETRO</v>
      </c>
    </row>
    <row r="2279" spans="1:7" x14ac:dyDescent="0.25">
      <c r="A2279">
        <v>2026</v>
      </c>
      <c r="B2279" t="s">
        <v>133</v>
      </c>
      <c r="C2279" t="s">
        <v>185</v>
      </c>
      <c r="D2279" t="s">
        <v>120</v>
      </c>
      <c r="E2279" t="str">
        <f>VLOOKUP(D2279,'[2]Lista de Produtos CLASSIFICAÇÃO'!$E$103:$F$114,2,FALSE)</f>
        <v>Derivados</v>
      </c>
      <c r="F2279">
        <v>11200</v>
      </c>
      <c r="G2279" t="str">
        <f>VLOOKUP(Tabela1[[#This Row],[Cliente]],clientes!$C$3:$D$60,2,FALSE)</f>
        <v>CIAPETRO</v>
      </c>
    </row>
    <row r="2280" spans="1:7" x14ac:dyDescent="0.25">
      <c r="A2280">
        <v>2026</v>
      </c>
      <c r="B2280" t="s">
        <v>134</v>
      </c>
      <c r="C2280" t="s">
        <v>185</v>
      </c>
      <c r="D2280" t="s">
        <v>120</v>
      </c>
      <c r="E2280" t="str">
        <f>VLOOKUP(D2280,'[2]Lista de Produtos CLASSIFICAÇÃO'!$E$103:$F$114,2,FALSE)</f>
        <v>Derivados</v>
      </c>
      <c r="F2280">
        <v>11200</v>
      </c>
      <c r="G2280" t="str">
        <f>VLOOKUP(Tabela1[[#This Row],[Cliente]],clientes!$C$3:$D$60,2,FALSE)</f>
        <v>CIAPETRO</v>
      </c>
    </row>
    <row r="2281" spans="1:7" x14ac:dyDescent="0.25">
      <c r="A2281">
        <v>2026</v>
      </c>
      <c r="B2281" t="s">
        <v>135</v>
      </c>
      <c r="C2281" t="s">
        <v>185</v>
      </c>
      <c r="D2281" t="s">
        <v>120</v>
      </c>
      <c r="E2281" t="str">
        <f>VLOOKUP(D2281,'[2]Lista de Produtos CLASSIFICAÇÃO'!$E$103:$F$114,2,FALSE)</f>
        <v>Derivados</v>
      </c>
      <c r="F2281">
        <v>11200</v>
      </c>
      <c r="G2281" t="str">
        <f>VLOOKUP(Tabela1[[#This Row],[Cliente]],clientes!$C$3:$D$60,2,FALSE)</f>
        <v>CIAPETRO</v>
      </c>
    </row>
    <row r="2282" spans="1:7" x14ac:dyDescent="0.25">
      <c r="A2282">
        <v>2026</v>
      </c>
      <c r="B2282" t="s">
        <v>136</v>
      </c>
      <c r="C2282" t="s">
        <v>185</v>
      </c>
      <c r="D2282" t="s">
        <v>120</v>
      </c>
      <c r="E2282" t="str">
        <f>VLOOKUP(D2282,'[2]Lista de Produtos CLASSIFICAÇÃO'!$E$103:$F$114,2,FALSE)</f>
        <v>Derivados</v>
      </c>
      <c r="F2282">
        <v>11200</v>
      </c>
      <c r="G2282" t="str">
        <f>VLOOKUP(Tabela1[[#This Row],[Cliente]],clientes!$C$3:$D$60,2,FALSE)</f>
        <v>CIAPETRO</v>
      </c>
    </row>
    <row r="2283" spans="1:7" x14ac:dyDescent="0.25">
      <c r="A2283">
        <v>2026</v>
      </c>
      <c r="B2283" t="s">
        <v>137</v>
      </c>
      <c r="C2283" t="s">
        <v>185</v>
      </c>
      <c r="D2283" t="s">
        <v>120</v>
      </c>
      <c r="E2283" t="str">
        <f>VLOOKUP(D2283,'[2]Lista de Produtos CLASSIFICAÇÃO'!$E$103:$F$114,2,FALSE)</f>
        <v>Derivados</v>
      </c>
      <c r="F2283">
        <v>11200</v>
      </c>
      <c r="G2283" t="str">
        <f>VLOOKUP(Tabela1[[#This Row],[Cliente]],clientes!$C$3:$D$60,2,FALSE)</f>
        <v>CIAPETRO</v>
      </c>
    </row>
    <row r="2284" spans="1:7" x14ac:dyDescent="0.25">
      <c r="A2284">
        <v>2026</v>
      </c>
      <c r="B2284" t="s">
        <v>138</v>
      </c>
      <c r="C2284" t="s">
        <v>185</v>
      </c>
      <c r="D2284" t="s">
        <v>120</v>
      </c>
      <c r="E2284" t="str">
        <f>VLOOKUP(D2284,'[2]Lista de Produtos CLASSIFICAÇÃO'!$E$103:$F$114,2,FALSE)</f>
        <v>Derivados</v>
      </c>
      <c r="F2284">
        <v>11200</v>
      </c>
      <c r="G2284" t="str">
        <f>VLOOKUP(Tabela1[[#This Row],[Cliente]],clientes!$C$3:$D$60,2,FALSE)</f>
        <v>CIAPETRO</v>
      </c>
    </row>
    <row r="2285" spans="1:7" x14ac:dyDescent="0.25">
      <c r="A2285">
        <v>2026</v>
      </c>
      <c r="B2285" t="s">
        <v>139</v>
      </c>
      <c r="C2285" t="s">
        <v>185</v>
      </c>
      <c r="D2285" t="s">
        <v>120</v>
      </c>
      <c r="E2285" t="str">
        <f>VLOOKUP(D2285,'[2]Lista de Produtos CLASSIFICAÇÃO'!$E$103:$F$114,2,FALSE)</f>
        <v>Derivados</v>
      </c>
      <c r="F2285">
        <v>11200</v>
      </c>
      <c r="G2285" t="str">
        <f>VLOOKUP(Tabela1[[#This Row],[Cliente]],clientes!$C$3:$D$60,2,FALSE)</f>
        <v>CIAPETRO</v>
      </c>
    </row>
    <row r="2286" spans="1:7" x14ac:dyDescent="0.25">
      <c r="A2286">
        <v>2026</v>
      </c>
      <c r="B2286" t="s">
        <v>140</v>
      </c>
      <c r="C2286" t="s">
        <v>185</v>
      </c>
      <c r="D2286" t="s">
        <v>120</v>
      </c>
      <c r="E2286" t="str">
        <f>VLOOKUP(D2286,'[2]Lista de Produtos CLASSIFICAÇÃO'!$E$103:$F$114,2,FALSE)</f>
        <v>Derivados</v>
      </c>
      <c r="F2286">
        <v>11200</v>
      </c>
      <c r="G2286" t="str">
        <f>VLOOKUP(Tabela1[[#This Row],[Cliente]],clientes!$C$3:$D$60,2,FALSE)</f>
        <v>CIAPETRO</v>
      </c>
    </row>
    <row r="2287" spans="1:7" x14ac:dyDescent="0.25">
      <c r="A2287">
        <v>2026</v>
      </c>
      <c r="B2287" t="s">
        <v>141</v>
      </c>
      <c r="C2287" t="s">
        <v>185</v>
      </c>
      <c r="D2287" t="s">
        <v>120</v>
      </c>
      <c r="E2287" t="str">
        <f>VLOOKUP(D2287,'[2]Lista de Produtos CLASSIFICAÇÃO'!$E$103:$F$114,2,FALSE)</f>
        <v>Derivados</v>
      </c>
      <c r="F2287">
        <v>11200</v>
      </c>
      <c r="G2287" t="str">
        <f>VLOOKUP(Tabela1[[#This Row],[Cliente]],clientes!$C$3:$D$60,2,FALSE)</f>
        <v>CIAPETRO</v>
      </c>
    </row>
    <row r="2288" spans="1:7" x14ac:dyDescent="0.25">
      <c r="A2288">
        <v>2026</v>
      </c>
      <c r="B2288" t="s">
        <v>142</v>
      </c>
      <c r="C2288" t="s">
        <v>185</v>
      </c>
      <c r="D2288" t="s">
        <v>120</v>
      </c>
      <c r="E2288" t="str">
        <f>VLOOKUP(D2288,'[2]Lista de Produtos CLASSIFICAÇÃO'!$E$103:$F$114,2,FALSE)</f>
        <v>Derivados</v>
      </c>
      <c r="F2288">
        <v>11200</v>
      </c>
      <c r="G2288" t="str">
        <f>VLOOKUP(Tabela1[[#This Row],[Cliente]],clientes!$C$3:$D$60,2,FALSE)</f>
        <v>CIAPETRO</v>
      </c>
    </row>
    <row r="2289" spans="1:7" x14ac:dyDescent="0.25">
      <c r="A2289">
        <v>2026</v>
      </c>
      <c r="B2289" t="s">
        <v>143</v>
      </c>
      <c r="C2289" t="s">
        <v>188</v>
      </c>
      <c r="D2289" t="s">
        <v>123</v>
      </c>
      <c r="E2289" t="str">
        <f>VLOOKUP(D2289,'[2]Lista de Produtos CLASSIFICAÇÃO'!$E$103:$F$114,2,FALSE)</f>
        <v>Aquecidos</v>
      </c>
      <c r="F2289">
        <v>3129</v>
      </c>
      <c r="G2289" t="str">
        <f>VLOOKUP(Tabela1[[#This Row],[Cliente]],clientes!$C$3:$D$60,2,FALSE)</f>
        <v>ARES MERCHANTS PTE LIMITE</v>
      </c>
    </row>
    <row r="2290" spans="1:7" x14ac:dyDescent="0.25">
      <c r="A2290">
        <v>2026</v>
      </c>
      <c r="B2290" t="s">
        <v>132</v>
      </c>
      <c r="C2290" t="s">
        <v>188</v>
      </c>
      <c r="D2290" t="s">
        <v>123</v>
      </c>
      <c r="E2290" t="str">
        <f>VLOOKUP(D2290,'[2]Lista de Produtos CLASSIFICAÇÃO'!$E$103:$F$114,2,FALSE)</f>
        <v>Aquecidos</v>
      </c>
      <c r="F2290">
        <v>3129</v>
      </c>
      <c r="G2290" t="str">
        <f>VLOOKUP(Tabela1[[#This Row],[Cliente]],clientes!$C$3:$D$60,2,FALSE)</f>
        <v>ARES MERCHANTS PTE LIMITE</v>
      </c>
    </row>
    <row r="2291" spans="1:7" x14ac:dyDescent="0.25">
      <c r="A2291">
        <v>2026</v>
      </c>
      <c r="B2291" t="s">
        <v>133</v>
      </c>
      <c r="C2291" t="s">
        <v>188</v>
      </c>
      <c r="D2291" t="s">
        <v>123</v>
      </c>
      <c r="E2291" t="str">
        <f>VLOOKUP(D2291,'[2]Lista de Produtos CLASSIFICAÇÃO'!$E$103:$F$114,2,FALSE)</f>
        <v>Aquecidos</v>
      </c>
      <c r="F2291">
        <v>3129</v>
      </c>
      <c r="G2291" t="str">
        <f>VLOOKUP(Tabela1[[#This Row],[Cliente]],clientes!$C$3:$D$60,2,FALSE)</f>
        <v>ARES MERCHANTS PTE LIMITE</v>
      </c>
    </row>
    <row r="2292" spans="1:7" x14ac:dyDescent="0.25">
      <c r="A2292">
        <v>2026</v>
      </c>
      <c r="B2292" t="s">
        <v>134</v>
      </c>
      <c r="C2292" t="s">
        <v>188</v>
      </c>
      <c r="D2292" t="s">
        <v>123</v>
      </c>
      <c r="E2292" t="str">
        <f>VLOOKUP(D2292,'[2]Lista de Produtos CLASSIFICAÇÃO'!$E$103:$F$114,2,FALSE)</f>
        <v>Aquecidos</v>
      </c>
      <c r="F2292">
        <v>3129</v>
      </c>
      <c r="G2292" t="str">
        <f>VLOOKUP(Tabela1[[#This Row],[Cliente]],clientes!$C$3:$D$60,2,FALSE)</f>
        <v>ARES MERCHANTS PTE LIMITE</v>
      </c>
    </row>
    <row r="2293" spans="1:7" x14ac:dyDescent="0.25">
      <c r="A2293">
        <v>2026</v>
      </c>
      <c r="B2293" t="s">
        <v>135</v>
      </c>
      <c r="C2293" t="s">
        <v>188</v>
      </c>
      <c r="D2293" t="s">
        <v>123</v>
      </c>
      <c r="E2293" t="str">
        <f>VLOOKUP(D2293,'[2]Lista de Produtos CLASSIFICAÇÃO'!$E$103:$F$114,2,FALSE)</f>
        <v>Aquecidos</v>
      </c>
      <c r="F2293">
        <v>3129</v>
      </c>
      <c r="G2293" t="str">
        <f>VLOOKUP(Tabela1[[#This Row],[Cliente]],clientes!$C$3:$D$60,2,FALSE)</f>
        <v>ARES MERCHANTS PTE LIMITE</v>
      </c>
    </row>
    <row r="2294" spans="1:7" x14ac:dyDescent="0.25">
      <c r="A2294">
        <v>2026</v>
      </c>
      <c r="B2294" t="s">
        <v>136</v>
      </c>
      <c r="C2294" t="s">
        <v>188</v>
      </c>
      <c r="D2294" t="s">
        <v>123</v>
      </c>
      <c r="E2294" t="str">
        <f>VLOOKUP(D2294,'[2]Lista de Produtos CLASSIFICAÇÃO'!$E$103:$F$114,2,FALSE)</f>
        <v>Aquecidos</v>
      </c>
      <c r="F2294">
        <v>3129</v>
      </c>
      <c r="G2294" t="str">
        <f>VLOOKUP(Tabela1[[#This Row],[Cliente]],clientes!$C$3:$D$60,2,FALSE)</f>
        <v>ARES MERCHANTS PTE LIMITE</v>
      </c>
    </row>
    <row r="2295" spans="1:7" x14ac:dyDescent="0.25">
      <c r="A2295">
        <v>2026</v>
      </c>
      <c r="B2295" t="s">
        <v>137</v>
      </c>
      <c r="C2295" t="s">
        <v>188</v>
      </c>
      <c r="D2295" t="s">
        <v>123</v>
      </c>
      <c r="E2295" t="str">
        <f>VLOOKUP(D2295,'[2]Lista de Produtos CLASSIFICAÇÃO'!$E$103:$F$114,2,FALSE)</f>
        <v>Aquecidos</v>
      </c>
      <c r="F2295">
        <v>3129</v>
      </c>
      <c r="G2295" t="str">
        <f>VLOOKUP(Tabela1[[#This Row],[Cliente]],clientes!$C$3:$D$60,2,FALSE)</f>
        <v>ARES MERCHANTS PTE LIMITE</v>
      </c>
    </row>
    <row r="2296" spans="1:7" x14ac:dyDescent="0.25">
      <c r="A2296">
        <v>2026</v>
      </c>
      <c r="B2296" t="s">
        <v>138</v>
      </c>
      <c r="C2296" t="s">
        <v>188</v>
      </c>
      <c r="D2296" t="s">
        <v>123</v>
      </c>
      <c r="E2296" t="str">
        <f>VLOOKUP(D2296,'[2]Lista de Produtos CLASSIFICAÇÃO'!$E$103:$F$114,2,FALSE)</f>
        <v>Aquecidos</v>
      </c>
      <c r="F2296">
        <v>3129</v>
      </c>
      <c r="G2296" t="str">
        <f>VLOOKUP(Tabela1[[#This Row],[Cliente]],clientes!$C$3:$D$60,2,FALSE)</f>
        <v>ARES MERCHANTS PTE LIMITE</v>
      </c>
    </row>
    <row r="2297" spans="1:7" x14ac:dyDescent="0.25">
      <c r="A2297">
        <v>2026</v>
      </c>
      <c r="B2297" t="s">
        <v>139</v>
      </c>
      <c r="C2297" t="s">
        <v>188</v>
      </c>
      <c r="D2297" t="s">
        <v>123</v>
      </c>
      <c r="E2297" t="str">
        <f>VLOOKUP(D2297,'[2]Lista de Produtos CLASSIFICAÇÃO'!$E$103:$F$114,2,FALSE)</f>
        <v>Aquecidos</v>
      </c>
      <c r="F2297">
        <v>3129</v>
      </c>
      <c r="G2297" t="str">
        <f>VLOOKUP(Tabela1[[#This Row],[Cliente]],clientes!$C$3:$D$60,2,FALSE)</f>
        <v>ARES MERCHANTS PTE LIMITE</v>
      </c>
    </row>
    <row r="2298" spans="1:7" x14ac:dyDescent="0.25">
      <c r="A2298">
        <v>2026</v>
      </c>
      <c r="B2298" t="s">
        <v>140</v>
      </c>
      <c r="C2298" t="s">
        <v>188</v>
      </c>
      <c r="D2298" t="s">
        <v>123</v>
      </c>
      <c r="E2298" t="str">
        <f>VLOOKUP(D2298,'[2]Lista de Produtos CLASSIFICAÇÃO'!$E$103:$F$114,2,FALSE)</f>
        <v>Aquecidos</v>
      </c>
      <c r="F2298">
        <v>3129</v>
      </c>
      <c r="G2298" t="str">
        <f>VLOOKUP(Tabela1[[#This Row],[Cliente]],clientes!$C$3:$D$60,2,FALSE)</f>
        <v>ARES MERCHANTS PTE LIMITE</v>
      </c>
    </row>
    <row r="2299" spans="1:7" x14ac:dyDescent="0.25">
      <c r="A2299">
        <v>2026</v>
      </c>
      <c r="B2299" t="s">
        <v>141</v>
      </c>
      <c r="C2299" t="s">
        <v>188</v>
      </c>
      <c r="D2299" t="s">
        <v>123</v>
      </c>
      <c r="E2299" t="str">
        <f>VLOOKUP(D2299,'[2]Lista de Produtos CLASSIFICAÇÃO'!$E$103:$F$114,2,FALSE)</f>
        <v>Aquecidos</v>
      </c>
      <c r="F2299">
        <v>3129</v>
      </c>
      <c r="G2299" t="str">
        <f>VLOOKUP(Tabela1[[#This Row],[Cliente]],clientes!$C$3:$D$60,2,FALSE)</f>
        <v>ARES MERCHANTS PTE LIMITE</v>
      </c>
    </row>
    <row r="2300" spans="1:7" x14ac:dyDescent="0.25">
      <c r="A2300">
        <v>2026</v>
      </c>
      <c r="B2300" t="s">
        <v>142</v>
      </c>
      <c r="C2300" t="s">
        <v>188</v>
      </c>
      <c r="D2300" t="s">
        <v>123</v>
      </c>
      <c r="E2300" t="str">
        <f>VLOOKUP(D2300,'[2]Lista de Produtos CLASSIFICAÇÃO'!$E$103:$F$114,2,FALSE)</f>
        <v>Aquecidos</v>
      </c>
      <c r="F2300">
        <v>3129</v>
      </c>
      <c r="G2300" t="str">
        <f>VLOOKUP(Tabela1[[#This Row],[Cliente]],clientes!$C$3:$D$60,2,FALSE)</f>
        <v>ARES MERCHANTS PTE LIMITE</v>
      </c>
    </row>
    <row r="2301" spans="1:7" x14ac:dyDescent="0.25">
      <c r="A2301">
        <v>2026</v>
      </c>
      <c r="B2301" t="s">
        <v>143</v>
      </c>
      <c r="C2301" t="s">
        <v>189</v>
      </c>
      <c r="D2301" t="s">
        <v>123</v>
      </c>
      <c r="E2301" t="str">
        <f>VLOOKUP(D2301,'[2]Lista de Produtos CLASSIFICAÇÃO'!$E$103:$F$114,2,FALSE)</f>
        <v>Aquecidos</v>
      </c>
      <c r="F2301">
        <v>4485</v>
      </c>
      <c r="G2301" t="str">
        <f>VLOOKUP(Tabela1[[#This Row],[Cliente]],clientes!$C$3:$D$60,2,FALSE)</f>
        <v>ICOF</v>
      </c>
    </row>
    <row r="2302" spans="1:7" x14ac:dyDescent="0.25">
      <c r="A2302">
        <v>2026</v>
      </c>
      <c r="B2302" t="s">
        <v>132</v>
      </c>
      <c r="C2302" t="s">
        <v>189</v>
      </c>
      <c r="D2302" t="s">
        <v>123</v>
      </c>
      <c r="E2302" t="str">
        <f>VLOOKUP(D2302,'[2]Lista de Produtos CLASSIFICAÇÃO'!$E$103:$F$114,2,FALSE)</f>
        <v>Aquecidos</v>
      </c>
      <c r="F2302">
        <v>4485</v>
      </c>
      <c r="G2302" t="str">
        <f>VLOOKUP(Tabela1[[#This Row],[Cliente]],clientes!$C$3:$D$60,2,FALSE)</f>
        <v>ICOF</v>
      </c>
    </row>
    <row r="2303" spans="1:7" x14ac:dyDescent="0.25">
      <c r="A2303">
        <v>2026</v>
      </c>
      <c r="B2303" t="s">
        <v>133</v>
      </c>
      <c r="C2303" t="s">
        <v>189</v>
      </c>
      <c r="D2303" t="s">
        <v>123</v>
      </c>
      <c r="E2303" t="str">
        <f>VLOOKUP(D2303,'[2]Lista de Produtos CLASSIFICAÇÃO'!$E$103:$F$114,2,FALSE)</f>
        <v>Aquecidos</v>
      </c>
      <c r="F2303">
        <v>4485</v>
      </c>
      <c r="G2303" t="str">
        <f>VLOOKUP(Tabela1[[#This Row],[Cliente]],clientes!$C$3:$D$60,2,FALSE)</f>
        <v>ICOF</v>
      </c>
    </row>
    <row r="2304" spans="1:7" x14ac:dyDescent="0.25">
      <c r="A2304">
        <v>2026</v>
      </c>
      <c r="B2304" t="s">
        <v>134</v>
      </c>
      <c r="C2304" t="s">
        <v>189</v>
      </c>
      <c r="D2304" t="s">
        <v>123</v>
      </c>
      <c r="E2304" t="str">
        <f>VLOOKUP(D2304,'[2]Lista de Produtos CLASSIFICAÇÃO'!$E$103:$F$114,2,FALSE)</f>
        <v>Aquecidos</v>
      </c>
      <c r="F2304">
        <v>4485</v>
      </c>
      <c r="G2304" t="str">
        <f>VLOOKUP(Tabela1[[#This Row],[Cliente]],clientes!$C$3:$D$60,2,FALSE)</f>
        <v>ICOF</v>
      </c>
    </row>
    <row r="2305" spans="1:7" x14ac:dyDescent="0.25">
      <c r="A2305">
        <v>2026</v>
      </c>
      <c r="B2305" t="s">
        <v>135</v>
      </c>
      <c r="C2305" t="s">
        <v>189</v>
      </c>
      <c r="D2305" t="s">
        <v>123</v>
      </c>
      <c r="E2305" t="str">
        <f>VLOOKUP(D2305,'[2]Lista de Produtos CLASSIFICAÇÃO'!$E$103:$F$114,2,FALSE)</f>
        <v>Aquecidos</v>
      </c>
      <c r="F2305">
        <v>4485</v>
      </c>
      <c r="G2305" t="str">
        <f>VLOOKUP(Tabela1[[#This Row],[Cliente]],clientes!$C$3:$D$60,2,FALSE)</f>
        <v>ICOF</v>
      </c>
    </row>
    <row r="2306" spans="1:7" x14ac:dyDescent="0.25">
      <c r="A2306">
        <v>2026</v>
      </c>
      <c r="B2306" t="s">
        <v>136</v>
      </c>
      <c r="C2306" t="s">
        <v>189</v>
      </c>
      <c r="D2306" t="s">
        <v>123</v>
      </c>
      <c r="E2306" t="str">
        <f>VLOOKUP(D2306,'[2]Lista de Produtos CLASSIFICAÇÃO'!$E$103:$F$114,2,FALSE)</f>
        <v>Aquecidos</v>
      </c>
      <c r="F2306">
        <v>4485</v>
      </c>
      <c r="G2306" t="str">
        <f>VLOOKUP(Tabela1[[#This Row],[Cliente]],clientes!$C$3:$D$60,2,FALSE)</f>
        <v>ICOF</v>
      </c>
    </row>
    <row r="2307" spans="1:7" x14ac:dyDescent="0.25">
      <c r="A2307">
        <v>2026</v>
      </c>
      <c r="B2307" t="s">
        <v>137</v>
      </c>
      <c r="C2307" t="s">
        <v>189</v>
      </c>
      <c r="D2307" t="s">
        <v>123</v>
      </c>
      <c r="E2307" t="str">
        <f>VLOOKUP(D2307,'[2]Lista de Produtos CLASSIFICAÇÃO'!$E$103:$F$114,2,FALSE)</f>
        <v>Aquecidos</v>
      </c>
      <c r="F2307">
        <v>4485</v>
      </c>
      <c r="G2307" t="str">
        <f>VLOOKUP(Tabela1[[#This Row],[Cliente]],clientes!$C$3:$D$60,2,FALSE)</f>
        <v>ICOF</v>
      </c>
    </row>
    <row r="2308" spans="1:7" x14ac:dyDescent="0.25">
      <c r="A2308">
        <v>2026</v>
      </c>
      <c r="B2308" t="s">
        <v>138</v>
      </c>
      <c r="C2308" t="s">
        <v>189</v>
      </c>
      <c r="D2308" t="s">
        <v>123</v>
      </c>
      <c r="E2308" t="str">
        <f>VLOOKUP(D2308,'[2]Lista de Produtos CLASSIFICAÇÃO'!$E$103:$F$114,2,FALSE)</f>
        <v>Aquecidos</v>
      </c>
      <c r="F2308">
        <v>4485</v>
      </c>
      <c r="G2308" t="str">
        <f>VLOOKUP(Tabela1[[#This Row],[Cliente]],clientes!$C$3:$D$60,2,FALSE)</f>
        <v>ICOF</v>
      </c>
    </row>
    <row r="2309" spans="1:7" x14ac:dyDescent="0.25">
      <c r="A2309">
        <v>2026</v>
      </c>
      <c r="B2309" t="s">
        <v>139</v>
      </c>
      <c r="C2309" t="s">
        <v>189</v>
      </c>
      <c r="D2309" t="s">
        <v>123</v>
      </c>
      <c r="E2309" t="str">
        <f>VLOOKUP(D2309,'[2]Lista de Produtos CLASSIFICAÇÃO'!$E$103:$F$114,2,FALSE)</f>
        <v>Aquecidos</v>
      </c>
      <c r="F2309">
        <v>4485</v>
      </c>
      <c r="G2309" t="str">
        <f>VLOOKUP(Tabela1[[#This Row],[Cliente]],clientes!$C$3:$D$60,2,FALSE)</f>
        <v>ICOF</v>
      </c>
    </row>
    <row r="2310" spans="1:7" x14ac:dyDescent="0.25">
      <c r="A2310">
        <v>2026</v>
      </c>
      <c r="B2310" t="s">
        <v>140</v>
      </c>
      <c r="C2310" t="s">
        <v>189</v>
      </c>
      <c r="D2310" t="s">
        <v>123</v>
      </c>
      <c r="E2310" t="str">
        <f>VLOOKUP(D2310,'[2]Lista de Produtos CLASSIFICAÇÃO'!$E$103:$F$114,2,FALSE)</f>
        <v>Aquecidos</v>
      </c>
      <c r="F2310">
        <v>4485</v>
      </c>
      <c r="G2310" t="str">
        <f>VLOOKUP(Tabela1[[#This Row],[Cliente]],clientes!$C$3:$D$60,2,FALSE)</f>
        <v>ICOF</v>
      </c>
    </row>
    <row r="2311" spans="1:7" x14ac:dyDescent="0.25">
      <c r="A2311">
        <v>2026</v>
      </c>
      <c r="B2311" t="s">
        <v>141</v>
      </c>
      <c r="C2311" t="s">
        <v>189</v>
      </c>
      <c r="D2311" t="s">
        <v>123</v>
      </c>
      <c r="E2311" t="str">
        <f>VLOOKUP(D2311,'[2]Lista de Produtos CLASSIFICAÇÃO'!$E$103:$F$114,2,FALSE)</f>
        <v>Aquecidos</v>
      </c>
      <c r="F2311">
        <v>4485</v>
      </c>
      <c r="G2311" t="str">
        <f>VLOOKUP(Tabela1[[#This Row],[Cliente]],clientes!$C$3:$D$60,2,FALSE)</f>
        <v>ICOF</v>
      </c>
    </row>
    <row r="2312" spans="1:7" x14ac:dyDescent="0.25">
      <c r="A2312">
        <v>2026</v>
      </c>
      <c r="B2312" t="s">
        <v>142</v>
      </c>
      <c r="C2312" t="s">
        <v>189</v>
      </c>
      <c r="D2312" t="s">
        <v>123</v>
      </c>
      <c r="E2312" t="str">
        <f>VLOOKUP(D2312,'[2]Lista de Produtos CLASSIFICAÇÃO'!$E$103:$F$114,2,FALSE)</f>
        <v>Aquecidos</v>
      </c>
      <c r="F2312">
        <v>4485</v>
      </c>
      <c r="G2312" t="str">
        <f>VLOOKUP(Tabela1[[#This Row],[Cliente]],clientes!$C$3:$D$60,2,FALSE)</f>
        <v>ICOF</v>
      </c>
    </row>
    <row r="2313" spans="1:7" x14ac:dyDescent="0.25">
      <c r="A2313">
        <v>2026</v>
      </c>
      <c r="B2313" t="s">
        <v>143</v>
      </c>
      <c r="C2313" t="s">
        <v>191</v>
      </c>
      <c r="D2313" t="s">
        <v>115</v>
      </c>
      <c r="E2313" t="str">
        <f>VLOOKUP(D2313,'[2]Lista de Produtos CLASSIFICAÇÃO'!$E$103:$F$114,2,FALSE)</f>
        <v>Soda Caustica</v>
      </c>
      <c r="F2313">
        <v>3700</v>
      </c>
      <c r="G2313" t="str">
        <f>VLOOKUP(Tabela1[[#This Row],[Cliente]],clientes!$C$3:$D$60,2,FALSE)</f>
        <v>GPC</v>
      </c>
    </row>
    <row r="2314" spans="1:7" x14ac:dyDescent="0.25">
      <c r="A2314">
        <v>2026</v>
      </c>
      <c r="B2314" t="s">
        <v>132</v>
      </c>
      <c r="C2314" t="s">
        <v>191</v>
      </c>
      <c r="D2314" t="s">
        <v>115</v>
      </c>
      <c r="E2314" t="str">
        <f>VLOOKUP(D2314,'[2]Lista de Produtos CLASSIFICAÇÃO'!$E$103:$F$114,2,FALSE)</f>
        <v>Soda Caustica</v>
      </c>
      <c r="F2314">
        <v>3700</v>
      </c>
      <c r="G2314" t="str">
        <f>VLOOKUP(Tabela1[[#This Row],[Cliente]],clientes!$C$3:$D$60,2,FALSE)</f>
        <v>GPC</v>
      </c>
    </row>
    <row r="2315" spans="1:7" x14ac:dyDescent="0.25">
      <c r="A2315">
        <v>2026</v>
      </c>
      <c r="B2315" t="s">
        <v>133</v>
      </c>
      <c r="C2315" t="s">
        <v>191</v>
      </c>
      <c r="D2315" t="s">
        <v>115</v>
      </c>
      <c r="E2315" t="str">
        <f>VLOOKUP(D2315,'[2]Lista de Produtos CLASSIFICAÇÃO'!$E$103:$F$114,2,FALSE)</f>
        <v>Soda Caustica</v>
      </c>
      <c r="F2315">
        <v>1310</v>
      </c>
      <c r="G2315" t="str">
        <f>VLOOKUP(Tabela1[[#This Row],[Cliente]],clientes!$C$3:$D$60,2,FALSE)</f>
        <v>GPC</v>
      </c>
    </row>
    <row r="2316" spans="1:7" x14ac:dyDescent="0.25">
      <c r="A2316">
        <v>2026</v>
      </c>
      <c r="B2316" t="s">
        <v>134</v>
      </c>
      <c r="C2316" t="s">
        <v>191</v>
      </c>
      <c r="D2316" t="s">
        <v>115</v>
      </c>
      <c r="E2316" t="str">
        <f>VLOOKUP(D2316,'[2]Lista de Produtos CLASSIFICAÇÃO'!$E$103:$F$114,2,FALSE)</f>
        <v>Soda Caustica</v>
      </c>
      <c r="F2316">
        <v>1310</v>
      </c>
      <c r="G2316" t="str">
        <f>VLOOKUP(Tabela1[[#This Row],[Cliente]],clientes!$C$3:$D$60,2,FALSE)</f>
        <v>GPC</v>
      </c>
    </row>
    <row r="2317" spans="1:7" x14ac:dyDescent="0.25">
      <c r="A2317">
        <v>2026</v>
      </c>
      <c r="B2317" t="s">
        <v>135</v>
      </c>
      <c r="C2317" t="s">
        <v>191</v>
      </c>
      <c r="D2317" t="s">
        <v>115</v>
      </c>
      <c r="E2317" t="str">
        <f>VLOOKUP(D2317,'[2]Lista de Produtos CLASSIFICAÇÃO'!$E$103:$F$114,2,FALSE)</f>
        <v>Soda Caustica</v>
      </c>
      <c r="F2317">
        <v>1310</v>
      </c>
      <c r="G2317" t="str">
        <f>VLOOKUP(Tabela1[[#This Row],[Cliente]],clientes!$C$3:$D$60,2,FALSE)</f>
        <v>GPC</v>
      </c>
    </row>
    <row r="2318" spans="1:7" x14ac:dyDescent="0.25">
      <c r="A2318">
        <v>2026</v>
      </c>
      <c r="B2318" t="s">
        <v>136</v>
      </c>
      <c r="C2318" t="s">
        <v>191</v>
      </c>
      <c r="D2318" t="s">
        <v>115</v>
      </c>
      <c r="E2318" t="str">
        <f>VLOOKUP(D2318,'[2]Lista de Produtos CLASSIFICAÇÃO'!$E$103:$F$114,2,FALSE)</f>
        <v>Soda Caustica</v>
      </c>
      <c r="F2318">
        <v>1310</v>
      </c>
      <c r="G2318" t="str">
        <f>VLOOKUP(Tabela1[[#This Row],[Cliente]],clientes!$C$3:$D$60,2,FALSE)</f>
        <v>GPC</v>
      </c>
    </row>
    <row r="2319" spans="1:7" x14ac:dyDescent="0.25">
      <c r="A2319">
        <v>2026</v>
      </c>
      <c r="B2319" t="s">
        <v>137</v>
      </c>
      <c r="C2319" t="s">
        <v>191</v>
      </c>
      <c r="D2319" t="s">
        <v>115</v>
      </c>
      <c r="E2319" t="str">
        <f>VLOOKUP(D2319,'[2]Lista de Produtos CLASSIFICAÇÃO'!$E$103:$F$114,2,FALSE)</f>
        <v>Soda Caustica</v>
      </c>
      <c r="F2319">
        <v>1310</v>
      </c>
      <c r="G2319" t="str">
        <f>VLOOKUP(Tabela1[[#This Row],[Cliente]],clientes!$C$3:$D$60,2,FALSE)</f>
        <v>GPC</v>
      </c>
    </row>
    <row r="2320" spans="1:7" x14ac:dyDescent="0.25">
      <c r="A2320">
        <v>2026</v>
      </c>
      <c r="B2320" t="s">
        <v>138</v>
      </c>
      <c r="C2320" t="s">
        <v>191</v>
      </c>
      <c r="D2320" t="s">
        <v>115</v>
      </c>
      <c r="E2320" t="str">
        <f>VLOOKUP(D2320,'[2]Lista de Produtos CLASSIFICAÇÃO'!$E$103:$F$114,2,FALSE)</f>
        <v>Soda Caustica</v>
      </c>
      <c r="F2320">
        <v>1310</v>
      </c>
      <c r="G2320" t="str">
        <f>VLOOKUP(Tabela1[[#This Row],[Cliente]],clientes!$C$3:$D$60,2,FALSE)</f>
        <v>GPC</v>
      </c>
    </row>
    <row r="2321" spans="1:7" x14ac:dyDescent="0.25">
      <c r="A2321">
        <v>2026</v>
      </c>
      <c r="B2321" t="s">
        <v>139</v>
      </c>
      <c r="C2321" t="s">
        <v>191</v>
      </c>
      <c r="D2321" t="s">
        <v>115</v>
      </c>
      <c r="E2321" t="str">
        <f>VLOOKUP(D2321,'[2]Lista de Produtos CLASSIFICAÇÃO'!$E$103:$F$114,2,FALSE)</f>
        <v>Soda Caustica</v>
      </c>
      <c r="F2321">
        <v>1310</v>
      </c>
      <c r="G2321" t="str">
        <f>VLOOKUP(Tabela1[[#This Row],[Cliente]],clientes!$C$3:$D$60,2,FALSE)</f>
        <v>GPC</v>
      </c>
    </row>
    <row r="2322" spans="1:7" x14ac:dyDescent="0.25">
      <c r="A2322">
        <v>2026</v>
      </c>
      <c r="B2322" t="s">
        <v>140</v>
      </c>
      <c r="C2322" t="s">
        <v>191</v>
      </c>
      <c r="D2322" t="s">
        <v>115</v>
      </c>
      <c r="E2322" t="str">
        <f>VLOOKUP(D2322,'[2]Lista de Produtos CLASSIFICAÇÃO'!$E$103:$F$114,2,FALSE)</f>
        <v>Soda Caustica</v>
      </c>
      <c r="F2322">
        <v>1310</v>
      </c>
      <c r="G2322" t="str">
        <f>VLOOKUP(Tabela1[[#This Row],[Cliente]],clientes!$C$3:$D$60,2,FALSE)</f>
        <v>GPC</v>
      </c>
    </row>
    <row r="2323" spans="1:7" x14ac:dyDescent="0.25">
      <c r="A2323">
        <v>2026</v>
      </c>
      <c r="B2323" t="s">
        <v>141</v>
      </c>
      <c r="C2323" t="s">
        <v>191</v>
      </c>
      <c r="D2323" t="s">
        <v>115</v>
      </c>
      <c r="E2323" t="str">
        <f>VLOOKUP(D2323,'[2]Lista de Produtos CLASSIFICAÇÃO'!$E$103:$F$114,2,FALSE)</f>
        <v>Soda Caustica</v>
      </c>
      <c r="F2323">
        <v>1310</v>
      </c>
      <c r="G2323" t="str">
        <f>VLOOKUP(Tabela1[[#This Row],[Cliente]],clientes!$C$3:$D$60,2,FALSE)</f>
        <v>GPC</v>
      </c>
    </row>
    <row r="2324" spans="1:7" x14ac:dyDescent="0.25">
      <c r="A2324">
        <v>2026</v>
      </c>
      <c r="B2324" t="s">
        <v>142</v>
      </c>
      <c r="C2324" t="s">
        <v>191</v>
      </c>
      <c r="D2324" t="s">
        <v>115</v>
      </c>
      <c r="E2324" t="str">
        <f>VLOOKUP(D2324,'[2]Lista de Produtos CLASSIFICAÇÃO'!$E$103:$F$114,2,FALSE)</f>
        <v>Soda Caustica</v>
      </c>
      <c r="F2324">
        <v>1310</v>
      </c>
      <c r="G2324" t="str">
        <f>VLOOKUP(Tabela1[[#This Row],[Cliente]],clientes!$C$3:$D$60,2,FALSE)</f>
        <v>GPC</v>
      </c>
    </row>
    <row r="2325" spans="1:7" x14ac:dyDescent="0.25">
      <c r="A2325">
        <v>2026</v>
      </c>
      <c r="B2325" t="s">
        <v>143</v>
      </c>
      <c r="C2325" t="s">
        <v>192</v>
      </c>
      <c r="D2325" t="s">
        <v>121</v>
      </c>
      <c r="E2325" t="str">
        <f>VLOOKUP(D2325,'[2]Lista de Produtos CLASSIFICAÇÃO'!$E$103:$F$114,2,FALSE)</f>
        <v>Biocombustíveis</v>
      </c>
      <c r="F2325">
        <v>9717</v>
      </c>
      <c r="G2325" t="str">
        <f>VLOOKUP(Tabela1[[#This Row],[Cliente]],clientes!$C$3:$D$60,2,FALSE)</f>
        <v>INPASA</v>
      </c>
    </row>
    <row r="2326" spans="1:7" x14ac:dyDescent="0.25">
      <c r="A2326">
        <v>2026</v>
      </c>
      <c r="B2326" t="s">
        <v>132</v>
      </c>
      <c r="C2326" t="s">
        <v>192</v>
      </c>
      <c r="D2326" t="s">
        <v>121</v>
      </c>
      <c r="E2326" t="str">
        <f>VLOOKUP(D2326,'[2]Lista de Produtos CLASSIFICAÇÃO'!$E$103:$F$114,2,FALSE)</f>
        <v>Biocombustíveis</v>
      </c>
      <c r="F2326">
        <v>9717</v>
      </c>
      <c r="G2326" t="str">
        <f>VLOOKUP(Tabela1[[#This Row],[Cliente]],clientes!$C$3:$D$60,2,FALSE)</f>
        <v>INPASA</v>
      </c>
    </row>
    <row r="2327" spans="1:7" x14ac:dyDescent="0.25">
      <c r="A2327">
        <v>2026</v>
      </c>
      <c r="B2327" t="s">
        <v>133</v>
      </c>
      <c r="C2327" t="s">
        <v>192</v>
      </c>
      <c r="D2327" t="s">
        <v>121</v>
      </c>
      <c r="E2327" t="str">
        <f>VLOOKUP(D2327,'[2]Lista de Produtos CLASSIFICAÇÃO'!$E$103:$F$114,2,FALSE)</f>
        <v>Biocombustíveis</v>
      </c>
      <c r="F2327">
        <v>9717</v>
      </c>
      <c r="G2327" t="str">
        <f>VLOOKUP(Tabela1[[#This Row],[Cliente]],clientes!$C$3:$D$60,2,FALSE)</f>
        <v>INPASA</v>
      </c>
    </row>
    <row r="2328" spans="1:7" x14ac:dyDescent="0.25">
      <c r="A2328">
        <v>2026</v>
      </c>
      <c r="B2328" t="s">
        <v>134</v>
      </c>
      <c r="C2328" t="s">
        <v>192</v>
      </c>
      <c r="D2328" t="s">
        <v>121</v>
      </c>
      <c r="E2328" t="str">
        <f>VLOOKUP(D2328,'[2]Lista de Produtos CLASSIFICAÇÃO'!$E$103:$F$114,2,FALSE)</f>
        <v>Biocombustíveis</v>
      </c>
      <c r="F2328">
        <v>9717</v>
      </c>
      <c r="G2328" t="str">
        <f>VLOOKUP(Tabela1[[#This Row],[Cliente]],clientes!$C$3:$D$60,2,FALSE)</f>
        <v>INPASA</v>
      </c>
    </row>
    <row r="2329" spans="1:7" x14ac:dyDescent="0.25">
      <c r="A2329">
        <v>2026</v>
      </c>
      <c r="B2329" t="s">
        <v>135</v>
      </c>
      <c r="C2329" t="s">
        <v>192</v>
      </c>
      <c r="D2329" t="s">
        <v>121</v>
      </c>
      <c r="E2329" t="str">
        <f>VLOOKUP(D2329,'[2]Lista de Produtos CLASSIFICAÇÃO'!$E$103:$F$114,2,FALSE)</f>
        <v>Biocombustíveis</v>
      </c>
      <c r="F2329">
        <v>9717</v>
      </c>
      <c r="G2329" t="str">
        <f>VLOOKUP(Tabela1[[#This Row],[Cliente]],clientes!$C$3:$D$60,2,FALSE)</f>
        <v>INPASA</v>
      </c>
    </row>
    <row r="2330" spans="1:7" x14ac:dyDescent="0.25">
      <c r="A2330">
        <v>2026</v>
      </c>
      <c r="B2330" t="s">
        <v>136</v>
      </c>
      <c r="C2330" t="s">
        <v>192</v>
      </c>
      <c r="D2330" t="s">
        <v>121</v>
      </c>
      <c r="E2330" t="str">
        <f>VLOOKUP(D2330,'[2]Lista de Produtos CLASSIFICAÇÃO'!$E$103:$F$114,2,FALSE)</f>
        <v>Biocombustíveis</v>
      </c>
      <c r="F2330">
        <v>9717</v>
      </c>
      <c r="G2330" t="str">
        <f>VLOOKUP(Tabela1[[#This Row],[Cliente]],clientes!$C$3:$D$60,2,FALSE)</f>
        <v>INPASA</v>
      </c>
    </row>
    <row r="2331" spans="1:7" x14ac:dyDescent="0.25">
      <c r="A2331">
        <v>2026</v>
      </c>
      <c r="B2331" t="s">
        <v>137</v>
      </c>
      <c r="C2331" t="s">
        <v>192</v>
      </c>
      <c r="D2331" t="s">
        <v>121</v>
      </c>
      <c r="E2331" t="str">
        <f>VLOOKUP(D2331,'[2]Lista de Produtos CLASSIFICAÇÃO'!$E$103:$F$114,2,FALSE)</f>
        <v>Biocombustíveis</v>
      </c>
      <c r="F2331">
        <v>9717</v>
      </c>
      <c r="G2331" t="str">
        <f>VLOOKUP(Tabela1[[#This Row],[Cliente]],clientes!$C$3:$D$60,2,FALSE)</f>
        <v>INPASA</v>
      </c>
    </row>
    <row r="2332" spans="1:7" x14ac:dyDescent="0.25">
      <c r="A2332">
        <v>2026</v>
      </c>
      <c r="B2332" t="s">
        <v>138</v>
      </c>
      <c r="C2332" t="s">
        <v>192</v>
      </c>
      <c r="D2332" t="s">
        <v>121</v>
      </c>
      <c r="E2332" t="str">
        <f>VLOOKUP(D2332,'[2]Lista de Produtos CLASSIFICAÇÃO'!$E$103:$F$114,2,FALSE)</f>
        <v>Biocombustíveis</v>
      </c>
      <c r="F2332">
        <v>9717</v>
      </c>
      <c r="G2332" t="str">
        <f>VLOOKUP(Tabela1[[#This Row],[Cliente]],clientes!$C$3:$D$60,2,FALSE)</f>
        <v>INPASA</v>
      </c>
    </row>
    <row r="2333" spans="1:7" x14ac:dyDescent="0.25">
      <c r="A2333">
        <v>2026</v>
      </c>
      <c r="B2333" t="s">
        <v>139</v>
      </c>
      <c r="C2333" t="s">
        <v>192</v>
      </c>
      <c r="D2333" t="s">
        <v>121</v>
      </c>
      <c r="E2333" t="str">
        <f>VLOOKUP(D2333,'[2]Lista de Produtos CLASSIFICAÇÃO'!$E$103:$F$114,2,FALSE)</f>
        <v>Biocombustíveis</v>
      </c>
      <c r="F2333">
        <v>9717</v>
      </c>
      <c r="G2333" t="str">
        <f>VLOOKUP(Tabela1[[#This Row],[Cliente]],clientes!$C$3:$D$60,2,FALSE)</f>
        <v>INPASA</v>
      </c>
    </row>
    <row r="2334" spans="1:7" x14ac:dyDescent="0.25">
      <c r="A2334">
        <v>2026</v>
      </c>
      <c r="B2334" t="s">
        <v>140</v>
      </c>
      <c r="C2334" t="s">
        <v>192</v>
      </c>
      <c r="D2334" t="s">
        <v>121</v>
      </c>
      <c r="E2334" t="str">
        <f>VLOOKUP(D2334,'[2]Lista de Produtos CLASSIFICAÇÃO'!$E$103:$F$114,2,FALSE)</f>
        <v>Biocombustíveis</v>
      </c>
      <c r="F2334">
        <v>9717</v>
      </c>
      <c r="G2334" t="str">
        <f>VLOOKUP(Tabela1[[#This Row],[Cliente]],clientes!$C$3:$D$60,2,FALSE)</f>
        <v>INPASA</v>
      </c>
    </row>
    <row r="2335" spans="1:7" x14ac:dyDescent="0.25">
      <c r="A2335">
        <v>2026</v>
      </c>
      <c r="B2335" t="s">
        <v>141</v>
      </c>
      <c r="C2335" t="s">
        <v>192</v>
      </c>
      <c r="D2335" t="s">
        <v>121</v>
      </c>
      <c r="E2335" t="str">
        <f>VLOOKUP(D2335,'[2]Lista de Produtos CLASSIFICAÇÃO'!$E$103:$F$114,2,FALSE)</f>
        <v>Biocombustíveis</v>
      </c>
      <c r="F2335">
        <v>9717</v>
      </c>
      <c r="G2335" t="str">
        <f>VLOOKUP(Tabela1[[#This Row],[Cliente]],clientes!$C$3:$D$60,2,FALSE)</f>
        <v>INPASA</v>
      </c>
    </row>
    <row r="2336" spans="1:7" x14ac:dyDescent="0.25">
      <c r="A2336">
        <v>2026</v>
      </c>
      <c r="B2336" t="s">
        <v>142</v>
      </c>
      <c r="C2336" t="s">
        <v>192</v>
      </c>
      <c r="D2336" t="s">
        <v>121</v>
      </c>
      <c r="E2336" t="str">
        <f>VLOOKUP(D2336,'[2]Lista de Produtos CLASSIFICAÇÃO'!$E$103:$F$114,2,FALSE)</f>
        <v>Biocombustíveis</v>
      </c>
      <c r="F2336">
        <v>9717</v>
      </c>
      <c r="G2336" t="str">
        <f>VLOOKUP(Tabela1[[#This Row],[Cliente]],clientes!$C$3:$D$60,2,FALSE)</f>
        <v>INPASA</v>
      </c>
    </row>
    <row r="2337" spans="1:7" x14ac:dyDescent="0.25">
      <c r="A2337">
        <v>2026</v>
      </c>
      <c r="B2337" t="s">
        <v>143</v>
      </c>
      <c r="C2337" t="s">
        <v>237</v>
      </c>
      <c r="D2337" t="s">
        <v>120</v>
      </c>
      <c r="E2337" t="str">
        <f>VLOOKUP(D2337,'[2]Lista de Produtos CLASSIFICAÇÃO'!$E$103:$F$114,2,FALSE)</f>
        <v>Derivados</v>
      </c>
      <c r="F2337">
        <v>3038</v>
      </c>
      <c r="G2337" t="str">
        <f>VLOOKUP(Tabela1[[#This Row],[Cliente]],clientes!$C$3:$D$60,2,FALSE)</f>
        <v>FORTEZA TRADING DMCC</v>
      </c>
    </row>
    <row r="2338" spans="1:7" x14ac:dyDescent="0.25">
      <c r="A2338">
        <v>2026</v>
      </c>
      <c r="B2338" t="s">
        <v>132</v>
      </c>
      <c r="C2338" t="s">
        <v>237</v>
      </c>
      <c r="D2338" t="s">
        <v>120</v>
      </c>
      <c r="E2338" t="str">
        <f>VLOOKUP(D2338,'[2]Lista de Produtos CLASSIFICAÇÃO'!$E$103:$F$114,2,FALSE)</f>
        <v>Derivados</v>
      </c>
      <c r="F2338">
        <v>3038</v>
      </c>
      <c r="G2338" t="str">
        <f>VLOOKUP(Tabela1[[#This Row],[Cliente]],clientes!$C$3:$D$60,2,FALSE)</f>
        <v>FORTEZA TRADING DMCC</v>
      </c>
    </row>
    <row r="2339" spans="1:7" x14ac:dyDescent="0.25">
      <c r="A2339">
        <v>2026</v>
      </c>
      <c r="B2339" t="s">
        <v>133</v>
      </c>
      <c r="C2339" t="s">
        <v>237</v>
      </c>
      <c r="D2339" t="s">
        <v>120</v>
      </c>
      <c r="E2339" t="str">
        <f>VLOOKUP(D2339,'[2]Lista de Produtos CLASSIFICAÇÃO'!$E$103:$F$114,2,FALSE)</f>
        <v>Derivados</v>
      </c>
      <c r="F2339">
        <v>3038</v>
      </c>
      <c r="G2339" t="str">
        <f>VLOOKUP(Tabela1[[#This Row],[Cliente]],clientes!$C$3:$D$60,2,FALSE)</f>
        <v>FORTEZA TRADING DMCC</v>
      </c>
    </row>
    <row r="2340" spans="1:7" x14ac:dyDescent="0.25">
      <c r="A2340">
        <v>2026</v>
      </c>
      <c r="B2340" t="s">
        <v>134</v>
      </c>
      <c r="C2340" t="s">
        <v>237</v>
      </c>
      <c r="D2340" t="s">
        <v>120</v>
      </c>
      <c r="E2340" t="str">
        <f>VLOOKUP(D2340,'[2]Lista de Produtos CLASSIFICAÇÃO'!$E$103:$F$114,2,FALSE)</f>
        <v>Derivados</v>
      </c>
      <c r="F2340">
        <v>3038</v>
      </c>
      <c r="G2340" t="str">
        <f>VLOOKUP(Tabela1[[#This Row],[Cliente]],clientes!$C$3:$D$60,2,FALSE)</f>
        <v>FORTEZA TRADING DMCC</v>
      </c>
    </row>
    <row r="2341" spans="1:7" x14ac:dyDescent="0.25">
      <c r="A2341">
        <v>2026</v>
      </c>
      <c r="B2341" t="s">
        <v>135</v>
      </c>
      <c r="C2341" t="s">
        <v>237</v>
      </c>
      <c r="D2341" t="s">
        <v>120</v>
      </c>
      <c r="E2341" t="str">
        <f>VLOOKUP(D2341,'[2]Lista de Produtos CLASSIFICAÇÃO'!$E$103:$F$114,2,FALSE)</f>
        <v>Derivados</v>
      </c>
      <c r="F2341">
        <v>3038</v>
      </c>
      <c r="G2341" t="str">
        <f>VLOOKUP(Tabela1[[#This Row],[Cliente]],clientes!$C$3:$D$60,2,FALSE)</f>
        <v>FORTEZA TRADING DMCC</v>
      </c>
    </row>
    <row r="2342" spans="1:7" x14ac:dyDescent="0.25">
      <c r="A2342">
        <v>2026</v>
      </c>
      <c r="B2342" t="s">
        <v>136</v>
      </c>
      <c r="C2342" t="s">
        <v>237</v>
      </c>
      <c r="D2342" t="s">
        <v>120</v>
      </c>
      <c r="E2342" t="str">
        <f>VLOOKUP(D2342,'[2]Lista de Produtos CLASSIFICAÇÃO'!$E$103:$F$114,2,FALSE)</f>
        <v>Derivados</v>
      </c>
      <c r="F2342">
        <v>3038</v>
      </c>
      <c r="G2342" t="str">
        <f>VLOOKUP(Tabela1[[#This Row],[Cliente]],clientes!$C$3:$D$60,2,FALSE)</f>
        <v>FORTEZA TRADING DMCC</v>
      </c>
    </row>
    <row r="2343" spans="1:7" x14ac:dyDescent="0.25">
      <c r="A2343">
        <v>2026</v>
      </c>
      <c r="B2343" t="s">
        <v>137</v>
      </c>
      <c r="C2343" t="s">
        <v>237</v>
      </c>
      <c r="D2343" t="s">
        <v>120</v>
      </c>
      <c r="E2343" t="str">
        <f>VLOOKUP(D2343,'[2]Lista de Produtos CLASSIFICAÇÃO'!$E$103:$F$114,2,FALSE)</f>
        <v>Derivados</v>
      </c>
      <c r="F2343">
        <v>3038</v>
      </c>
      <c r="G2343" t="str">
        <f>VLOOKUP(Tabela1[[#This Row],[Cliente]],clientes!$C$3:$D$60,2,FALSE)</f>
        <v>FORTEZA TRADING DMCC</v>
      </c>
    </row>
    <row r="2344" spans="1:7" x14ac:dyDescent="0.25">
      <c r="A2344">
        <v>2026</v>
      </c>
      <c r="B2344" t="s">
        <v>138</v>
      </c>
      <c r="C2344" t="s">
        <v>237</v>
      </c>
      <c r="D2344" t="s">
        <v>120</v>
      </c>
      <c r="E2344" t="str">
        <f>VLOOKUP(D2344,'[2]Lista de Produtos CLASSIFICAÇÃO'!$E$103:$F$114,2,FALSE)</f>
        <v>Derivados</v>
      </c>
      <c r="F2344">
        <v>3038</v>
      </c>
      <c r="G2344" t="str">
        <f>VLOOKUP(Tabela1[[#This Row],[Cliente]],clientes!$C$3:$D$60,2,FALSE)</f>
        <v>FORTEZA TRADING DMCC</v>
      </c>
    </row>
    <row r="2345" spans="1:7" x14ac:dyDescent="0.25">
      <c r="A2345">
        <v>2026</v>
      </c>
      <c r="B2345" t="s">
        <v>139</v>
      </c>
      <c r="C2345" t="s">
        <v>237</v>
      </c>
      <c r="D2345" t="s">
        <v>120</v>
      </c>
      <c r="E2345" t="str">
        <f>VLOOKUP(D2345,'[2]Lista de Produtos CLASSIFICAÇÃO'!$E$103:$F$114,2,FALSE)</f>
        <v>Derivados</v>
      </c>
      <c r="F2345">
        <v>3038</v>
      </c>
      <c r="G2345" t="str">
        <f>VLOOKUP(Tabela1[[#This Row],[Cliente]],clientes!$C$3:$D$60,2,FALSE)</f>
        <v>FORTEZA TRADING DMCC</v>
      </c>
    </row>
    <row r="2346" spans="1:7" x14ac:dyDescent="0.25">
      <c r="A2346">
        <v>2026</v>
      </c>
      <c r="B2346" t="s">
        <v>140</v>
      </c>
      <c r="C2346" t="s">
        <v>237</v>
      </c>
      <c r="D2346" t="s">
        <v>120</v>
      </c>
      <c r="E2346" t="str">
        <f>VLOOKUP(D2346,'[2]Lista de Produtos CLASSIFICAÇÃO'!$E$103:$F$114,2,FALSE)</f>
        <v>Derivados</v>
      </c>
      <c r="F2346">
        <v>3038</v>
      </c>
      <c r="G2346" t="str">
        <f>VLOOKUP(Tabela1[[#This Row],[Cliente]],clientes!$C$3:$D$60,2,FALSE)</f>
        <v>FORTEZA TRADING DMCC</v>
      </c>
    </row>
    <row r="2347" spans="1:7" x14ac:dyDescent="0.25">
      <c r="A2347">
        <v>2026</v>
      </c>
      <c r="B2347" t="s">
        <v>141</v>
      </c>
      <c r="C2347" t="s">
        <v>237</v>
      </c>
      <c r="D2347" t="s">
        <v>120</v>
      </c>
      <c r="E2347" t="str">
        <f>VLOOKUP(D2347,'[2]Lista de Produtos CLASSIFICAÇÃO'!$E$103:$F$114,2,FALSE)</f>
        <v>Derivados</v>
      </c>
      <c r="F2347">
        <v>3038</v>
      </c>
      <c r="G2347" t="str">
        <f>VLOOKUP(Tabela1[[#This Row],[Cliente]],clientes!$C$3:$D$60,2,FALSE)</f>
        <v>FORTEZA TRADING DMCC</v>
      </c>
    </row>
    <row r="2348" spans="1:7" x14ac:dyDescent="0.25">
      <c r="A2348">
        <v>2026</v>
      </c>
      <c r="B2348" t="s">
        <v>142</v>
      </c>
      <c r="C2348" t="s">
        <v>237</v>
      </c>
      <c r="D2348" t="s">
        <v>120</v>
      </c>
      <c r="E2348" t="str">
        <f>VLOOKUP(D2348,'[2]Lista de Produtos CLASSIFICAÇÃO'!$E$103:$F$114,2,FALSE)</f>
        <v>Derivados</v>
      </c>
      <c r="F2348">
        <v>3038</v>
      </c>
      <c r="G2348" t="str">
        <f>VLOOKUP(Tabela1[[#This Row],[Cliente]],clientes!$C$3:$D$60,2,FALSE)</f>
        <v>FORTEZA TRADING DMCC</v>
      </c>
    </row>
    <row r="2349" spans="1:7" x14ac:dyDescent="0.25">
      <c r="A2349">
        <v>2026</v>
      </c>
      <c r="B2349" t="s">
        <v>143</v>
      </c>
      <c r="C2349" t="s">
        <v>238</v>
      </c>
      <c r="D2349" t="s">
        <v>26</v>
      </c>
      <c r="E2349" t="str">
        <f>VLOOKUP(D2349,'[2]Lista de Produtos CLASSIFICAÇÃO'!$E$103:$F$114,2,FALSE)</f>
        <v>Biocombustíveis</v>
      </c>
      <c r="F2349">
        <v>4418</v>
      </c>
      <c r="G2349" t="str">
        <f>VLOOKUP(Tabela1[[#This Row],[Cliente]],clientes!$C$3:$D$60,2,FALSE)</f>
        <v>PRISMA</v>
      </c>
    </row>
    <row r="2350" spans="1:7" x14ac:dyDescent="0.25">
      <c r="A2350">
        <v>2026</v>
      </c>
      <c r="B2350" t="s">
        <v>132</v>
      </c>
      <c r="C2350" t="s">
        <v>238</v>
      </c>
      <c r="D2350" t="s">
        <v>26</v>
      </c>
      <c r="E2350" t="str">
        <f>VLOOKUP(D2350,'[2]Lista de Produtos CLASSIFICAÇÃO'!$E$103:$F$114,2,FALSE)</f>
        <v>Biocombustíveis</v>
      </c>
      <c r="F2350">
        <v>4418</v>
      </c>
      <c r="G2350" t="str">
        <f>VLOOKUP(Tabela1[[#This Row],[Cliente]],clientes!$C$3:$D$60,2,FALSE)</f>
        <v>PRISMA</v>
      </c>
    </row>
    <row r="2351" spans="1:7" x14ac:dyDescent="0.25">
      <c r="A2351">
        <v>2026</v>
      </c>
      <c r="B2351" t="s">
        <v>133</v>
      </c>
      <c r="C2351" t="s">
        <v>238</v>
      </c>
      <c r="D2351" t="s">
        <v>26</v>
      </c>
      <c r="E2351" t="str">
        <f>VLOOKUP(D2351,'[2]Lista de Produtos CLASSIFICAÇÃO'!$E$103:$F$114,2,FALSE)</f>
        <v>Biocombustíveis</v>
      </c>
      <c r="F2351">
        <v>4418</v>
      </c>
      <c r="G2351" t="str">
        <f>VLOOKUP(Tabela1[[#This Row],[Cliente]],clientes!$C$3:$D$60,2,FALSE)</f>
        <v>PRISMA</v>
      </c>
    </row>
    <row r="2352" spans="1:7" x14ac:dyDescent="0.25">
      <c r="A2352">
        <v>2026</v>
      </c>
      <c r="B2352" t="s">
        <v>134</v>
      </c>
      <c r="C2352" t="s">
        <v>238</v>
      </c>
      <c r="D2352" t="s">
        <v>26</v>
      </c>
      <c r="E2352" t="str">
        <f>VLOOKUP(D2352,'[2]Lista de Produtos CLASSIFICAÇÃO'!$E$103:$F$114,2,FALSE)</f>
        <v>Biocombustíveis</v>
      </c>
      <c r="F2352">
        <v>4418</v>
      </c>
      <c r="G2352" t="str">
        <f>VLOOKUP(Tabela1[[#This Row],[Cliente]],clientes!$C$3:$D$60,2,FALSE)</f>
        <v>PRISMA</v>
      </c>
    </row>
    <row r="2353" spans="1:7" x14ac:dyDescent="0.25">
      <c r="A2353">
        <v>2026</v>
      </c>
      <c r="B2353" t="s">
        <v>135</v>
      </c>
      <c r="C2353" t="s">
        <v>238</v>
      </c>
      <c r="D2353" t="s">
        <v>26</v>
      </c>
      <c r="E2353" t="str">
        <f>VLOOKUP(D2353,'[2]Lista de Produtos CLASSIFICAÇÃO'!$E$103:$F$114,2,FALSE)</f>
        <v>Biocombustíveis</v>
      </c>
      <c r="F2353">
        <v>4418</v>
      </c>
      <c r="G2353" t="str">
        <f>VLOOKUP(Tabela1[[#This Row],[Cliente]],clientes!$C$3:$D$60,2,FALSE)</f>
        <v>PRISMA</v>
      </c>
    </row>
    <row r="2354" spans="1:7" x14ac:dyDescent="0.25">
      <c r="A2354">
        <v>2026</v>
      </c>
      <c r="B2354" t="s">
        <v>136</v>
      </c>
      <c r="C2354" t="s">
        <v>238</v>
      </c>
      <c r="D2354" t="s">
        <v>26</v>
      </c>
      <c r="E2354" t="str">
        <f>VLOOKUP(D2354,'[2]Lista de Produtos CLASSIFICAÇÃO'!$E$103:$F$114,2,FALSE)</f>
        <v>Biocombustíveis</v>
      </c>
      <c r="F2354">
        <v>4418</v>
      </c>
      <c r="G2354" t="str">
        <f>VLOOKUP(Tabela1[[#This Row],[Cliente]],clientes!$C$3:$D$60,2,FALSE)</f>
        <v>PRISMA</v>
      </c>
    </row>
    <row r="2355" spans="1:7" x14ac:dyDescent="0.25">
      <c r="A2355">
        <v>2026</v>
      </c>
      <c r="B2355" t="s">
        <v>137</v>
      </c>
      <c r="C2355" t="s">
        <v>238</v>
      </c>
      <c r="D2355" t="s">
        <v>26</v>
      </c>
      <c r="E2355" t="str">
        <f>VLOOKUP(D2355,'[2]Lista de Produtos CLASSIFICAÇÃO'!$E$103:$F$114,2,FALSE)</f>
        <v>Biocombustíveis</v>
      </c>
      <c r="F2355">
        <v>4418</v>
      </c>
      <c r="G2355" t="str">
        <f>VLOOKUP(Tabela1[[#This Row],[Cliente]],clientes!$C$3:$D$60,2,FALSE)</f>
        <v>PRISMA</v>
      </c>
    </row>
    <row r="2356" spans="1:7" x14ac:dyDescent="0.25">
      <c r="A2356">
        <v>2026</v>
      </c>
      <c r="B2356" t="s">
        <v>138</v>
      </c>
      <c r="C2356" t="s">
        <v>238</v>
      </c>
      <c r="D2356" t="s">
        <v>26</v>
      </c>
      <c r="E2356" t="str">
        <f>VLOOKUP(D2356,'[2]Lista de Produtos CLASSIFICAÇÃO'!$E$103:$F$114,2,FALSE)</f>
        <v>Biocombustíveis</v>
      </c>
      <c r="F2356">
        <v>4418</v>
      </c>
      <c r="G2356" t="str">
        <f>VLOOKUP(Tabela1[[#This Row],[Cliente]],clientes!$C$3:$D$60,2,FALSE)</f>
        <v>PRISMA</v>
      </c>
    </row>
    <row r="2357" spans="1:7" x14ac:dyDescent="0.25">
      <c r="A2357">
        <v>2026</v>
      </c>
      <c r="B2357" t="s">
        <v>139</v>
      </c>
      <c r="C2357" t="s">
        <v>238</v>
      </c>
      <c r="D2357" t="s">
        <v>26</v>
      </c>
      <c r="E2357" t="str">
        <f>VLOOKUP(D2357,'[2]Lista de Produtos CLASSIFICAÇÃO'!$E$103:$F$114,2,FALSE)</f>
        <v>Biocombustíveis</v>
      </c>
      <c r="F2357">
        <v>4418</v>
      </c>
      <c r="G2357" t="str">
        <f>VLOOKUP(Tabela1[[#This Row],[Cliente]],clientes!$C$3:$D$60,2,FALSE)</f>
        <v>PRISMA</v>
      </c>
    </row>
    <row r="2358" spans="1:7" x14ac:dyDescent="0.25">
      <c r="A2358">
        <v>2026</v>
      </c>
      <c r="B2358" t="s">
        <v>140</v>
      </c>
      <c r="C2358" t="s">
        <v>238</v>
      </c>
      <c r="D2358" t="s">
        <v>26</v>
      </c>
      <c r="E2358" t="str">
        <f>VLOOKUP(D2358,'[2]Lista de Produtos CLASSIFICAÇÃO'!$E$103:$F$114,2,FALSE)</f>
        <v>Biocombustíveis</v>
      </c>
      <c r="F2358">
        <v>4418</v>
      </c>
      <c r="G2358" t="str">
        <f>VLOOKUP(Tabela1[[#This Row],[Cliente]],clientes!$C$3:$D$60,2,FALSE)</f>
        <v>PRISMA</v>
      </c>
    </row>
    <row r="2359" spans="1:7" x14ac:dyDescent="0.25">
      <c r="A2359">
        <v>2026</v>
      </c>
      <c r="B2359" t="s">
        <v>141</v>
      </c>
      <c r="C2359" t="s">
        <v>238</v>
      </c>
      <c r="D2359" t="s">
        <v>26</v>
      </c>
      <c r="E2359" t="str">
        <f>VLOOKUP(D2359,'[2]Lista de Produtos CLASSIFICAÇÃO'!$E$103:$F$114,2,FALSE)</f>
        <v>Biocombustíveis</v>
      </c>
      <c r="F2359">
        <v>4418</v>
      </c>
      <c r="G2359" t="str">
        <f>VLOOKUP(Tabela1[[#This Row],[Cliente]],clientes!$C$3:$D$60,2,FALSE)</f>
        <v>PRISMA</v>
      </c>
    </row>
    <row r="2360" spans="1:7" x14ac:dyDescent="0.25">
      <c r="A2360">
        <v>2026</v>
      </c>
      <c r="B2360" t="s">
        <v>142</v>
      </c>
      <c r="C2360" t="s">
        <v>238</v>
      </c>
      <c r="D2360" t="s">
        <v>26</v>
      </c>
      <c r="E2360" t="str">
        <f>VLOOKUP(D2360,'[2]Lista de Produtos CLASSIFICAÇÃO'!$E$103:$F$114,2,FALSE)</f>
        <v>Biocombustíveis</v>
      </c>
      <c r="F2360">
        <v>4418</v>
      </c>
      <c r="G2360" t="str">
        <f>VLOOKUP(Tabela1[[#This Row],[Cliente]],clientes!$C$3:$D$60,2,FALSE)</f>
        <v>PRISMA</v>
      </c>
    </row>
    <row r="2361" spans="1:7" x14ac:dyDescent="0.25">
      <c r="A2361">
        <v>2026</v>
      </c>
      <c r="B2361" t="s">
        <v>143</v>
      </c>
      <c r="C2361" t="s">
        <v>239</v>
      </c>
      <c r="D2361" t="s">
        <v>115</v>
      </c>
      <c r="E2361" t="str">
        <f>VLOOKUP(D2361,'[2]Lista de Produtos CLASSIFICAÇÃO'!$E$103:$F$114,2,FALSE)</f>
        <v>Soda Caustica</v>
      </c>
      <c r="F2361">
        <v>2680</v>
      </c>
      <c r="G2361" t="str">
        <f>VLOOKUP(Tabela1[[#This Row],[Cliente]],clientes!$C$3:$D$60,2,FALSE)</f>
        <v>BSC QUIMICA</v>
      </c>
    </row>
    <row r="2362" spans="1:7" x14ac:dyDescent="0.25">
      <c r="A2362">
        <v>2026</v>
      </c>
      <c r="B2362" t="s">
        <v>132</v>
      </c>
      <c r="C2362" t="s">
        <v>239</v>
      </c>
      <c r="D2362" t="s">
        <v>115</v>
      </c>
      <c r="E2362" t="str">
        <f>VLOOKUP(D2362,'[2]Lista de Produtos CLASSIFICAÇÃO'!$E$103:$F$114,2,FALSE)</f>
        <v>Soda Caustica</v>
      </c>
      <c r="F2362">
        <v>2680</v>
      </c>
      <c r="G2362" t="str">
        <f>VLOOKUP(Tabela1[[#This Row],[Cliente]],clientes!$C$3:$D$60,2,FALSE)</f>
        <v>BSC QUIMICA</v>
      </c>
    </row>
    <row r="2363" spans="1:7" x14ac:dyDescent="0.25">
      <c r="A2363">
        <v>2026</v>
      </c>
      <c r="B2363" t="s">
        <v>133</v>
      </c>
      <c r="C2363" t="s">
        <v>239</v>
      </c>
      <c r="D2363" t="s">
        <v>115</v>
      </c>
      <c r="E2363" t="str">
        <f>VLOOKUP(D2363,'[2]Lista de Produtos CLASSIFICAÇÃO'!$E$103:$F$114,2,FALSE)</f>
        <v>Soda Caustica</v>
      </c>
      <c r="F2363">
        <v>2680</v>
      </c>
      <c r="G2363" t="str">
        <f>VLOOKUP(Tabela1[[#This Row],[Cliente]],clientes!$C$3:$D$60,2,FALSE)</f>
        <v>BSC QUIMICA</v>
      </c>
    </row>
    <row r="2364" spans="1:7" x14ac:dyDescent="0.25">
      <c r="A2364">
        <v>2026</v>
      </c>
      <c r="B2364" t="s">
        <v>134</v>
      </c>
      <c r="C2364" t="s">
        <v>239</v>
      </c>
      <c r="D2364" t="s">
        <v>115</v>
      </c>
      <c r="E2364" t="str">
        <f>VLOOKUP(D2364,'[2]Lista de Produtos CLASSIFICAÇÃO'!$E$103:$F$114,2,FALSE)</f>
        <v>Soda Caustica</v>
      </c>
      <c r="F2364">
        <v>2680</v>
      </c>
      <c r="G2364" t="str">
        <f>VLOOKUP(Tabela1[[#This Row],[Cliente]],clientes!$C$3:$D$60,2,FALSE)</f>
        <v>BSC QUIMICA</v>
      </c>
    </row>
    <row r="2365" spans="1:7" x14ac:dyDescent="0.25">
      <c r="A2365">
        <v>2026</v>
      </c>
      <c r="B2365" t="s">
        <v>135</v>
      </c>
      <c r="C2365" t="s">
        <v>239</v>
      </c>
      <c r="D2365" t="s">
        <v>115</v>
      </c>
      <c r="E2365" t="str">
        <f>VLOOKUP(D2365,'[2]Lista de Produtos CLASSIFICAÇÃO'!$E$103:$F$114,2,FALSE)</f>
        <v>Soda Caustica</v>
      </c>
      <c r="F2365">
        <v>2680</v>
      </c>
      <c r="G2365" t="str">
        <f>VLOOKUP(Tabela1[[#This Row],[Cliente]],clientes!$C$3:$D$60,2,FALSE)</f>
        <v>BSC QUIMICA</v>
      </c>
    </row>
    <row r="2366" spans="1:7" x14ac:dyDescent="0.25">
      <c r="A2366">
        <v>2026</v>
      </c>
      <c r="B2366" t="s">
        <v>136</v>
      </c>
      <c r="C2366" t="s">
        <v>239</v>
      </c>
      <c r="D2366" t="s">
        <v>115</v>
      </c>
      <c r="E2366" t="str">
        <f>VLOOKUP(D2366,'[2]Lista de Produtos CLASSIFICAÇÃO'!$E$103:$F$114,2,FALSE)</f>
        <v>Soda Caustica</v>
      </c>
      <c r="F2366">
        <v>2680</v>
      </c>
      <c r="G2366" t="str">
        <f>VLOOKUP(Tabela1[[#This Row],[Cliente]],clientes!$C$3:$D$60,2,FALSE)</f>
        <v>BSC QUIMICA</v>
      </c>
    </row>
    <row r="2367" spans="1:7" x14ac:dyDescent="0.25">
      <c r="A2367">
        <v>2026</v>
      </c>
      <c r="B2367" t="s">
        <v>137</v>
      </c>
      <c r="C2367" t="s">
        <v>239</v>
      </c>
      <c r="D2367" t="s">
        <v>115</v>
      </c>
      <c r="E2367" t="str">
        <f>VLOOKUP(D2367,'[2]Lista de Produtos CLASSIFICAÇÃO'!$E$103:$F$114,2,FALSE)</f>
        <v>Soda Caustica</v>
      </c>
      <c r="F2367">
        <v>2680</v>
      </c>
      <c r="G2367" t="str">
        <f>VLOOKUP(Tabela1[[#This Row],[Cliente]],clientes!$C$3:$D$60,2,FALSE)</f>
        <v>BSC QUIMICA</v>
      </c>
    </row>
    <row r="2368" spans="1:7" x14ac:dyDescent="0.25">
      <c r="A2368">
        <v>2026</v>
      </c>
      <c r="B2368" t="s">
        <v>138</v>
      </c>
      <c r="C2368" t="s">
        <v>239</v>
      </c>
      <c r="D2368" t="s">
        <v>115</v>
      </c>
      <c r="E2368" t="str">
        <f>VLOOKUP(D2368,'[2]Lista de Produtos CLASSIFICAÇÃO'!$E$103:$F$114,2,FALSE)</f>
        <v>Soda Caustica</v>
      </c>
      <c r="F2368">
        <v>2680</v>
      </c>
      <c r="G2368" t="str">
        <f>VLOOKUP(Tabela1[[#This Row],[Cliente]],clientes!$C$3:$D$60,2,FALSE)</f>
        <v>BSC QUIMICA</v>
      </c>
    </row>
    <row r="2369" spans="1:7" x14ac:dyDescent="0.25">
      <c r="A2369">
        <v>2026</v>
      </c>
      <c r="B2369" t="s">
        <v>139</v>
      </c>
      <c r="C2369" t="s">
        <v>239</v>
      </c>
      <c r="D2369" t="s">
        <v>115</v>
      </c>
      <c r="E2369" t="str">
        <f>VLOOKUP(D2369,'[2]Lista de Produtos CLASSIFICAÇÃO'!$E$103:$F$114,2,FALSE)</f>
        <v>Soda Caustica</v>
      </c>
      <c r="F2369">
        <v>2680</v>
      </c>
      <c r="G2369" t="str">
        <f>VLOOKUP(Tabela1[[#This Row],[Cliente]],clientes!$C$3:$D$60,2,FALSE)</f>
        <v>BSC QUIMICA</v>
      </c>
    </row>
    <row r="2370" spans="1:7" x14ac:dyDescent="0.25">
      <c r="A2370">
        <v>2026</v>
      </c>
      <c r="B2370" t="s">
        <v>140</v>
      </c>
      <c r="C2370" t="s">
        <v>239</v>
      </c>
      <c r="D2370" t="s">
        <v>115</v>
      </c>
      <c r="E2370" t="str">
        <f>VLOOKUP(D2370,'[2]Lista de Produtos CLASSIFICAÇÃO'!$E$103:$F$114,2,FALSE)</f>
        <v>Soda Caustica</v>
      </c>
      <c r="F2370">
        <v>2680</v>
      </c>
      <c r="G2370" t="str">
        <f>VLOOKUP(Tabela1[[#This Row],[Cliente]],clientes!$C$3:$D$60,2,FALSE)</f>
        <v>BSC QUIMICA</v>
      </c>
    </row>
    <row r="2371" spans="1:7" x14ac:dyDescent="0.25">
      <c r="A2371">
        <v>2026</v>
      </c>
      <c r="B2371" t="s">
        <v>141</v>
      </c>
      <c r="C2371" t="s">
        <v>239</v>
      </c>
      <c r="D2371" t="s">
        <v>115</v>
      </c>
      <c r="E2371" t="str">
        <f>VLOOKUP(D2371,'[2]Lista de Produtos CLASSIFICAÇÃO'!$E$103:$F$114,2,FALSE)</f>
        <v>Soda Caustica</v>
      </c>
      <c r="F2371">
        <v>2680</v>
      </c>
      <c r="G2371" t="str">
        <f>VLOOKUP(Tabela1[[#This Row],[Cliente]],clientes!$C$3:$D$60,2,FALSE)</f>
        <v>BSC QUIMICA</v>
      </c>
    </row>
    <row r="2372" spans="1:7" x14ac:dyDescent="0.25">
      <c r="A2372">
        <v>2026</v>
      </c>
      <c r="B2372" t="s">
        <v>142</v>
      </c>
      <c r="C2372" t="s">
        <v>239</v>
      </c>
      <c r="D2372" t="s">
        <v>115</v>
      </c>
      <c r="E2372" t="str">
        <f>VLOOKUP(D2372,'[2]Lista de Produtos CLASSIFICAÇÃO'!$E$103:$F$114,2,FALSE)</f>
        <v>Soda Caustica</v>
      </c>
      <c r="F2372">
        <v>2680</v>
      </c>
      <c r="G2372" t="str">
        <f>VLOOKUP(Tabela1[[#This Row],[Cliente]],clientes!$C$3:$D$60,2,FALSE)</f>
        <v>BSC QUIMICA</v>
      </c>
    </row>
    <row r="2373" spans="1:7" x14ac:dyDescent="0.25">
      <c r="A2373">
        <v>2026</v>
      </c>
      <c r="B2373" t="s">
        <v>143</v>
      </c>
      <c r="C2373" t="s">
        <v>240</v>
      </c>
      <c r="D2373" t="s">
        <v>121</v>
      </c>
      <c r="E2373" t="str">
        <f>VLOOKUP(D2373,'[2]Lista de Produtos CLASSIFICAÇÃO'!$E$103:$F$114,2,FALSE)</f>
        <v>Biocombustíveis</v>
      </c>
      <c r="F2373">
        <v>7360</v>
      </c>
      <c r="G2373" t="str">
        <f>VLOOKUP(Tabela1[[#This Row],[Cliente]],clientes!$C$3:$D$60,2,FALSE)</f>
        <v>FS</v>
      </c>
    </row>
    <row r="2374" spans="1:7" x14ac:dyDescent="0.25">
      <c r="A2374">
        <v>2026</v>
      </c>
      <c r="B2374" t="s">
        <v>132</v>
      </c>
      <c r="C2374" t="s">
        <v>240</v>
      </c>
      <c r="D2374" t="s">
        <v>121</v>
      </c>
      <c r="E2374" t="str">
        <f>VLOOKUP(D2374,'[2]Lista de Produtos CLASSIFICAÇÃO'!$E$103:$F$114,2,FALSE)</f>
        <v>Biocombustíveis</v>
      </c>
      <c r="F2374">
        <v>7360</v>
      </c>
      <c r="G2374" t="str">
        <f>VLOOKUP(Tabela1[[#This Row],[Cliente]],clientes!$C$3:$D$60,2,FALSE)</f>
        <v>FS</v>
      </c>
    </row>
    <row r="2375" spans="1:7" x14ac:dyDescent="0.25">
      <c r="A2375">
        <v>2026</v>
      </c>
      <c r="B2375" t="s">
        <v>133</v>
      </c>
      <c r="C2375" t="s">
        <v>240</v>
      </c>
      <c r="D2375" t="s">
        <v>121</v>
      </c>
      <c r="E2375" t="str">
        <f>VLOOKUP(D2375,'[2]Lista de Produtos CLASSIFICAÇÃO'!$E$103:$F$114,2,FALSE)</f>
        <v>Biocombustíveis</v>
      </c>
      <c r="F2375">
        <v>7360</v>
      </c>
      <c r="G2375" t="str">
        <f>VLOOKUP(Tabela1[[#This Row],[Cliente]],clientes!$C$3:$D$60,2,FALSE)</f>
        <v>FS</v>
      </c>
    </row>
    <row r="2376" spans="1:7" x14ac:dyDescent="0.25">
      <c r="A2376">
        <v>2026</v>
      </c>
      <c r="B2376" t="s">
        <v>134</v>
      </c>
      <c r="C2376" t="s">
        <v>240</v>
      </c>
      <c r="D2376" t="s">
        <v>121</v>
      </c>
      <c r="E2376" t="str">
        <f>VLOOKUP(D2376,'[2]Lista de Produtos CLASSIFICAÇÃO'!$E$103:$F$114,2,FALSE)</f>
        <v>Biocombustíveis</v>
      </c>
      <c r="F2376">
        <v>7360</v>
      </c>
      <c r="G2376" t="str">
        <f>VLOOKUP(Tabela1[[#This Row],[Cliente]],clientes!$C$3:$D$60,2,FALSE)</f>
        <v>FS</v>
      </c>
    </row>
    <row r="2377" spans="1:7" x14ac:dyDescent="0.25">
      <c r="A2377">
        <v>2026</v>
      </c>
      <c r="B2377" t="s">
        <v>135</v>
      </c>
      <c r="C2377" t="s">
        <v>240</v>
      </c>
      <c r="D2377" t="s">
        <v>121</v>
      </c>
      <c r="E2377" t="str">
        <f>VLOOKUP(D2377,'[2]Lista de Produtos CLASSIFICAÇÃO'!$E$103:$F$114,2,FALSE)</f>
        <v>Biocombustíveis</v>
      </c>
      <c r="F2377">
        <v>7360</v>
      </c>
      <c r="G2377" t="str">
        <f>VLOOKUP(Tabela1[[#This Row],[Cliente]],clientes!$C$3:$D$60,2,FALSE)</f>
        <v>FS</v>
      </c>
    </row>
    <row r="2378" spans="1:7" x14ac:dyDescent="0.25">
      <c r="A2378">
        <v>2026</v>
      </c>
      <c r="B2378" t="s">
        <v>136</v>
      </c>
      <c r="C2378" t="s">
        <v>240</v>
      </c>
      <c r="D2378" t="s">
        <v>121</v>
      </c>
      <c r="E2378" t="str">
        <f>VLOOKUP(D2378,'[2]Lista de Produtos CLASSIFICAÇÃO'!$E$103:$F$114,2,FALSE)</f>
        <v>Biocombustíveis</v>
      </c>
      <c r="F2378">
        <v>7360</v>
      </c>
      <c r="G2378" t="str">
        <f>VLOOKUP(Tabela1[[#This Row],[Cliente]],clientes!$C$3:$D$60,2,FALSE)</f>
        <v>FS</v>
      </c>
    </row>
    <row r="2379" spans="1:7" x14ac:dyDescent="0.25">
      <c r="A2379">
        <v>2026</v>
      </c>
      <c r="B2379" t="s">
        <v>137</v>
      </c>
      <c r="C2379" t="s">
        <v>240</v>
      </c>
      <c r="D2379" t="s">
        <v>121</v>
      </c>
      <c r="E2379" t="str">
        <f>VLOOKUP(D2379,'[2]Lista de Produtos CLASSIFICAÇÃO'!$E$103:$F$114,2,FALSE)</f>
        <v>Biocombustíveis</v>
      </c>
      <c r="F2379">
        <v>7360</v>
      </c>
      <c r="G2379" t="str">
        <f>VLOOKUP(Tabela1[[#This Row],[Cliente]],clientes!$C$3:$D$60,2,FALSE)</f>
        <v>FS</v>
      </c>
    </row>
    <row r="2380" spans="1:7" x14ac:dyDescent="0.25">
      <c r="A2380">
        <v>2026</v>
      </c>
      <c r="B2380" t="s">
        <v>138</v>
      </c>
      <c r="C2380" t="s">
        <v>240</v>
      </c>
      <c r="D2380" t="s">
        <v>121</v>
      </c>
      <c r="E2380" t="str">
        <f>VLOOKUP(D2380,'[2]Lista de Produtos CLASSIFICAÇÃO'!$E$103:$F$114,2,FALSE)</f>
        <v>Biocombustíveis</v>
      </c>
      <c r="F2380">
        <v>7360</v>
      </c>
      <c r="G2380" t="str">
        <f>VLOOKUP(Tabela1[[#This Row],[Cliente]],clientes!$C$3:$D$60,2,FALSE)</f>
        <v>FS</v>
      </c>
    </row>
    <row r="2381" spans="1:7" x14ac:dyDescent="0.25">
      <c r="A2381">
        <v>2026</v>
      </c>
      <c r="B2381" t="s">
        <v>139</v>
      </c>
      <c r="C2381" t="s">
        <v>240</v>
      </c>
      <c r="D2381" t="s">
        <v>121</v>
      </c>
      <c r="E2381" t="str">
        <f>VLOOKUP(D2381,'[2]Lista de Produtos CLASSIFICAÇÃO'!$E$103:$F$114,2,FALSE)</f>
        <v>Biocombustíveis</v>
      </c>
      <c r="F2381">
        <v>7360</v>
      </c>
      <c r="G2381" t="str">
        <f>VLOOKUP(Tabela1[[#This Row],[Cliente]],clientes!$C$3:$D$60,2,FALSE)</f>
        <v>FS</v>
      </c>
    </row>
    <row r="2382" spans="1:7" x14ac:dyDescent="0.25">
      <c r="A2382">
        <v>2026</v>
      </c>
      <c r="B2382" t="s">
        <v>140</v>
      </c>
      <c r="C2382" t="s">
        <v>240</v>
      </c>
      <c r="D2382" t="s">
        <v>121</v>
      </c>
      <c r="E2382" t="str">
        <f>VLOOKUP(D2382,'[2]Lista de Produtos CLASSIFICAÇÃO'!$E$103:$F$114,2,FALSE)</f>
        <v>Biocombustíveis</v>
      </c>
      <c r="F2382">
        <v>7360</v>
      </c>
      <c r="G2382" t="str">
        <f>VLOOKUP(Tabela1[[#This Row],[Cliente]],clientes!$C$3:$D$60,2,FALSE)</f>
        <v>FS</v>
      </c>
    </row>
    <row r="2383" spans="1:7" x14ac:dyDescent="0.25">
      <c r="A2383">
        <v>2026</v>
      </c>
      <c r="B2383" t="s">
        <v>141</v>
      </c>
      <c r="C2383" t="s">
        <v>240</v>
      </c>
      <c r="D2383" t="s">
        <v>121</v>
      </c>
      <c r="E2383" t="str">
        <f>VLOOKUP(D2383,'[2]Lista de Produtos CLASSIFICAÇÃO'!$E$103:$F$114,2,FALSE)</f>
        <v>Biocombustíveis</v>
      </c>
      <c r="F2383">
        <v>7360</v>
      </c>
      <c r="G2383" t="str">
        <f>VLOOKUP(Tabela1[[#This Row],[Cliente]],clientes!$C$3:$D$60,2,FALSE)</f>
        <v>FS</v>
      </c>
    </row>
    <row r="2384" spans="1:7" x14ac:dyDescent="0.25">
      <c r="A2384">
        <v>2026</v>
      </c>
      <c r="B2384" t="s">
        <v>142</v>
      </c>
      <c r="C2384" t="s">
        <v>240</v>
      </c>
      <c r="D2384" t="s">
        <v>121</v>
      </c>
      <c r="E2384" t="str">
        <f>VLOOKUP(D2384,'[2]Lista de Produtos CLASSIFICAÇÃO'!$E$103:$F$114,2,FALSE)</f>
        <v>Biocombustíveis</v>
      </c>
      <c r="F2384">
        <v>7360</v>
      </c>
      <c r="G2384" t="str">
        <f>VLOOKUP(Tabela1[[#This Row],[Cliente]],clientes!$C$3:$D$60,2,FALSE)</f>
        <v>FS</v>
      </c>
    </row>
    <row r="2385" spans="1:7" x14ac:dyDescent="0.25">
      <c r="A2385">
        <v>2026</v>
      </c>
      <c r="B2385" t="s">
        <v>135</v>
      </c>
      <c r="C2385" t="s">
        <v>240</v>
      </c>
      <c r="D2385" t="s">
        <v>121</v>
      </c>
      <c r="E2385" t="str">
        <f>VLOOKUP(D2385,'[2]Lista de Produtos CLASSIFICAÇÃO'!$E$103:$F$114,2,FALSE)</f>
        <v>Biocombustíveis</v>
      </c>
      <c r="F2385">
        <v>16000</v>
      </c>
      <c r="G2385" t="str">
        <f>VLOOKUP(Tabela1[[#This Row],[Cliente]],clientes!$C$3:$D$60,2,FALSE)</f>
        <v>FS</v>
      </c>
    </row>
    <row r="2386" spans="1:7" x14ac:dyDescent="0.25">
      <c r="A2386">
        <v>2026</v>
      </c>
      <c r="B2386" t="s">
        <v>137</v>
      </c>
      <c r="C2386" t="s">
        <v>240</v>
      </c>
      <c r="D2386" t="s">
        <v>121</v>
      </c>
      <c r="E2386" t="str">
        <f>VLOOKUP(D2386,'[2]Lista de Produtos CLASSIFICAÇÃO'!$E$103:$F$114,2,FALSE)</f>
        <v>Biocombustíveis</v>
      </c>
      <c r="F2386">
        <v>16000</v>
      </c>
      <c r="G2386" t="str">
        <f>VLOOKUP(Tabela1[[#This Row],[Cliente]],clientes!$C$3:$D$60,2,FALSE)</f>
        <v>FS</v>
      </c>
    </row>
    <row r="2387" spans="1:7" x14ac:dyDescent="0.25">
      <c r="A2387">
        <v>2026</v>
      </c>
      <c r="B2387" t="s">
        <v>139</v>
      </c>
      <c r="C2387" t="s">
        <v>240</v>
      </c>
      <c r="D2387" t="s">
        <v>121</v>
      </c>
      <c r="E2387" t="str">
        <f>VLOOKUP(D2387,'[2]Lista de Produtos CLASSIFICAÇÃO'!$E$103:$F$114,2,FALSE)</f>
        <v>Biocombustíveis</v>
      </c>
      <c r="F2387">
        <v>16000</v>
      </c>
      <c r="G2387" t="str">
        <f>VLOOKUP(Tabela1[[#This Row],[Cliente]],clientes!$C$3:$D$60,2,FALSE)</f>
        <v>FS</v>
      </c>
    </row>
    <row r="2388" spans="1:7" x14ac:dyDescent="0.25">
      <c r="A2388">
        <v>2026</v>
      </c>
      <c r="B2388" t="s">
        <v>141</v>
      </c>
      <c r="C2388" t="s">
        <v>240</v>
      </c>
      <c r="D2388" t="s">
        <v>121</v>
      </c>
      <c r="E2388" t="str">
        <f>VLOOKUP(D2388,'[2]Lista de Produtos CLASSIFICAÇÃO'!$E$103:$F$114,2,FALSE)</f>
        <v>Biocombustíveis</v>
      </c>
      <c r="F2388">
        <v>16000</v>
      </c>
      <c r="G2388" t="str">
        <f>VLOOKUP(Tabela1[[#This Row],[Cliente]],clientes!$C$3:$D$60,2,FALSE)</f>
        <v>FS</v>
      </c>
    </row>
    <row r="2389" spans="1:7" x14ac:dyDescent="0.25">
      <c r="A2389">
        <v>2026</v>
      </c>
      <c r="B2389" t="s">
        <v>135</v>
      </c>
      <c r="C2389" t="s">
        <v>192</v>
      </c>
      <c r="D2389" t="s">
        <v>121</v>
      </c>
      <c r="E2389" t="str">
        <f>VLOOKUP(D2389,'[2]Lista de Produtos CLASSIFICAÇÃO'!$E$103:$F$114,2,FALSE)</f>
        <v>Biocombustíveis</v>
      </c>
      <c r="F2389">
        <v>16000</v>
      </c>
      <c r="G2389" t="str">
        <f>VLOOKUP(Tabela1[[#This Row],[Cliente]],clientes!$C$3:$D$60,2,FALSE)</f>
        <v>INPASA</v>
      </c>
    </row>
    <row r="2390" spans="1:7" x14ac:dyDescent="0.25">
      <c r="A2390">
        <v>2026</v>
      </c>
      <c r="B2390" t="s">
        <v>136</v>
      </c>
      <c r="C2390" t="s">
        <v>192</v>
      </c>
      <c r="D2390" t="s">
        <v>121</v>
      </c>
      <c r="E2390" t="str">
        <f>VLOOKUP(D2390,'[2]Lista de Produtos CLASSIFICAÇÃO'!$E$103:$F$114,2,FALSE)</f>
        <v>Biocombustíveis</v>
      </c>
      <c r="F2390">
        <v>16000</v>
      </c>
      <c r="G2390" t="str">
        <f>VLOOKUP(Tabela1[[#This Row],[Cliente]],clientes!$C$3:$D$60,2,FALSE)</f>
        <v>INPASA</v>
      </c>
    </row>
    <row r="2391" spans="1:7" x14ac:dyDescent="0.25">
      <c r="A2391">
        <v>2026</v>
      </c>
      <c r="B2391" t="s">
        <v>137</v>
      </c>
      <c r="C2391" t="s">
        <v>192</v>
      </c>
      <c r="D2391" t="s">
        <v>121</v>
      </c>
      <c r="E2391" t="str">
        <f>VLOOKUP(D2391,'[2]Lista de Produtos CLASSIFICAÇÃO'!$E$103:$F$114,2,FALSE)</f>
        <v>Biocombustíveis</v>
      </c>
      <c r="F2391">
        <v>16000</v>
      </c>
      <c r="G2391" t="str">
        <f>VLOOKUP(Tabela1[[#This Row],[Cliente]],clientes!$C$3:$D$60,2,FALSE)</f>
        <v>INPASA</v>
      </c>
    </row>
    <row r="2392" spans="1:7" x14ac:dyDescent="0.25">
      <c r="A2392">
        <v>2026</v>
      </c>
      <c r="B2392" t="s">
        <v>138</v>
      </c>
      <c r="C2392" t="s">
        <v>192</v>
      </c>
      <c r="D2392" t="s">
        <v>121</v>
      </c>
      <c r="E2392" t="str">
        <f>VLOOKUP(D2392,'[2]Lista de Produtos CLASSIFICAÇÃO'!$E$103:$F$114,2,FALSE)</f>
        <v>Biocombustíveis</v>
      </c>
      <c r="F2392">
        <v>16000</v>
      </c>
      <c r="G2392" t="str">
        <f>VLOOKUP(Tabela1[[#This Row],[Cliente]],clientes!$C$3:$D$60,2,FALSE)</f>
        <v>INPASA</v>
      </c>
    </row>
    <row r="2393" spans="1:7" x14ac:dyDescent="0.25">
      <c r="A2393">
        <v>2026</v>
      </c>
      <c r="B2393" t="s">
        <v>139</v>
      </c>
      <c r="C2393" t="s">
        <v>192</v>
      </c>
      <c r="D2393" t="s">
        <v>121</v>
      </c>
      <c r="E2393" t="str">
        <f>VLOOKUP(D2393,'[2]Lista de Produtos CLASSIFICAÇÃO'!$E$103:$F$114,2,FALSE)</f>
        <v>Biocombustíveis</v>
      </c>
      <c r="F2393">
        <v>16000</v>
      </c>
      <c r="G2393" t="str">
        <f>VLOOKUP(Tabela1[[#This Row],[Cliente]],clientes!$C$3:$D$60,2,FALSE)</f>
        <v>INPASA</v>
      </c>
    </row>
    <row r="2394" spans="1:7" x14ac:dyDescent="0.25">
      <c r="A2394">
        <v>2026</v>
      </c>
      <c r="B2394" t="s">
        <v>140</v>
      </c>
      <c r="C2394" t="s">
        <v>192</v>
      </c>
      <c r="D2394" t="s">
        <v>121</v>
      </c>
      <c r="E2394" t="str">
        <f>VLOOKUP(D2394,'[2]Lista de Produtos CLASSIFICAÇÃO'!$E$103:$F$114,2,FALSE)</f>
        <v>Biocombustíveis</v>
      </c>
      <c r="F2394">
        <v>16000</v>
      </c>
      <c r="G2394" t="str">
        <f>VLOOKUP(Tabela1[[#This Row],[Cliente]],clientes!$C$3:$D$60,2,FALSE)</f>
        <v>INPASA</v>
      </c>
    </row>
    <row r="2395" spans="1:7" x14ac:dyDescent="0.25">
      <c r="A2395">
        <v>2026</v>
      </c>
      <c r="B2395" t="s">
        <v>141</v>
      </c>
      <c r="C2395" t="s">
        <v>192</v>
      </c>
      <c r="D2395" t="s">
        <v>121</v>
      </c>
      <c r="E2395" t="str">
        <f>VLOOKUP(D2395,'[2]Lista de Produtos CLASSIFICAÇÃO'!$E$103:$F$114,2,FALSE)</f>
        <v>Biocombustíveis</v>
      </c>
      <c r="F2395">
        <v>16000</v>
      </c>
      <c r="G2395" t="str">
        <f>VLOOKUP(Tabela1[[#This Row],[Cliente]],clientes!$C$3:$D$60,2,FALSE)</f>
        <v>INPASA</v>
      </c>
    </row>
    <row r="2396" spans="1:7" x14ac:dyDescent="0.25">
      <c r="A2396">
        <v>2026</v>
      </c>
      <c r="B2396" t="s">
        <v>142</v>
      </c>
      <c r="C2396" t="s">
        <v>192</v>
      </c>
      <c r="D2396" t="s">
        <v>121</v>
      </c>
      <c r="E2396" t="str">
        <f>VLOOKUP(D2396,'[2]Lista de Produtos CLASSIFICAÇÃO'!$E$103:$F$114,2,FALSE)</f>
        <v>Biocombustíveis</v>
      </c>
      <c r="F2396">
        <v>16000</v>
      </c>
      <c r="G2396" t="str">
        <f>VLOOKUP(Tabela1[[#This Row],[Cliente]],clientes!$C$3:$D$60,2,FALSE)</f>
        <v>INPASA</v>
      </c>
    </row>
    <row r="2397" spans="1:7" x14ac:dyDescent="0.25">
      <c r="A2397">
        <v>2026</v>
      </c>
      <c r="B2397" t="s">
        <v>135</v>
      </c>
      <c r="C2397" t="s">
        <v>169</v>
      </c>
      <c r="D2397" t="s">
        <v>22</v>
      </c>
      <c r="E2397" t="str">
        <f>VLOOKUP(D2397,'[2]Lista de Produtos CLASSIFICAÇÃO'!$E$103:$F$114,2,FALSE)</f>
        <v>Metanol</v>
      </c>
      <c r="F2397">
        <v>21298</v>
      </c>
      <c r="G2397" t="str">
        <f>VLOOKUP(Tabela1[[#This Row],[Cliente]],clientes!$C$3:$D$60,2,FALSE)</f>
        <v>METHANEX</v>
      </c>
    </row>
    <row r="2398" spans="1:7" x14ac:dyDescent="0.25">
      <c r="A2398">
        <v>2026</v>
      </c>
      <c r="B2398" t="s">
        <v>136</v>
      </c>
      <c r="C2398" t="s">
        <v>169</v>
      </c>
      <c r="D2398" t="s">
        <v>22</v>
      </c>
      <c r="E2398" t="str">
        <f>VLOOKUP(D2398,'[2]Lista de Produtos CLASSIFICAÇÃO'!$E$103:$F$114,2,FALSE)</f>
        <v>Metanol</v>
      </c>
      <c r="F2398">
        <v>21298</v>
      </c>
      <c r="G2398" t="str">
        <f>VLOOKUP(Tabela1[[#This Row],[Cliente]],clientes!$C$3:$D$60,2,FALSE)</f>
        <v>METHANEX</v>
      </c>
    </row>
    <row r="2399" spans="1:7" x14ac:dyDescent="0.25">
      <c r="A2399">
        <v>2026</v>
      </c>
      <c r="B2399" t="s">
        <v>137</v>
      </c>
      <c r="C2399" t="s">
        <v>169</v>
      </c>
      <c r="D2399" t="s">
        <v>22</v>
      </c>
      <c r="E2399" t="str">
        <f>VLOOKUP(D2399,'[2]Lista de Produtos CLASSIFICAÇÃO'!$E$103:$F$114,2,FALSE)</f>
        <v>Metanol</v>
      </c>
      <c r="F2399">
        <v>21298</v>
      </c>
      <c r="G2399" t="str">
        <f>VLOOKUP(Tabela1[[#This Row],[Cliente]],clientes!$C$3:$D$60,2,FALSE)</f>
        <v>METHANEX</v>
      </c>
    </row>
    <row r="2400" spans="1:7" x14ac:dyDescent="0.25">
      <c r="A2400">
        <v>2026</v>
      </c>
      <c r="B2400" t="s">
        <v>138</v>
      </c>
      <c r="C2400" t="s">
        <v>169</v>
      </c>
      <c r="D2400" t="s">
        <v>22</v>
      </c>
      <c r="E2400" t="str">
        <f>VLOOKUP(D2400,'[2]Lista de Produtos CLASSIFICAÇÃO'!$E$103:$F$114,2,FALSE)</f>
        <v>Metanol</v>
      </c>
      <c r="F2400">
        <v>21298</v>
      </c>
      <c r="G2400" t="str">
        <f>VLOOKUP(Tabela1[[#This Row],[Cliente]],clientes!$C$3:$D$60,2,FALSE)</f>
        <v>METHANEX</v>
      </c>
    </row>
    <row r="2401" spans="1:7" x14ac:dyDescent="0.25">
      <c r="A2401">
        <v>2026</v>
      </c>
      <c r="B2401" t="s">
        <v>139</v>
      </c>
      <c r="C2401" t="s">
        <v>169</v>
      </c>
      <c r="D2401" t="s">
        <v>22</v>
      </c>
      <c r="E2401" t="str">
        <f>VLOOKUP(D2401,'[2]Lista de Produtos CLASSIFICAÇÃO'!$E$103:$F$114,2,FALSE)</f>
        <v>Metanol</v>
      </c>
      <c r="F2401">
        <v>21298</v>
      </c>
      <c r="G2401" t="str">
        <f>VLOOKUP(Tabela1[[#This Row],[Cliente]],clientes!$C$3:$D$60,2,FALSE)</f>
        <v>METHANEX</v>
      </c>
    </row>
    <row r="2402" spans="1:7" x14ac:dyDescent="0.25">
      <c r="A2402">
        <v>2026</v>
      </c>
      <c r="B2402" t="s">
        <v>140</v>
      </c>
      <c r="C2402" t="s">
        <v>169</v>
      </c>
      <c r="D2402" t="s">
        <v>22</v>
      </c>
      <c r="E2402" t="str">
        <f>VLOOKUP(D2402,'[2]Lista de Produtos CLASSIFICAÇÃO'!$E$103:$F$114,2,FALSE)</f>
        <v>Metanol</v>
      </c>
      <c r="F2402">
        <v>21298</v>
      </c>
      <c r="G2402" t="str">
        <f>VLOOKUP(Tabela1[[#This Row],[Cliente]],clientes!$C$3:$D$60,2,FALSE)</f>
        <v>METHANEX</v>
      </c>
    </row>
    <row r="2403" spans="1:7" x14ac:dyDescent="0.25">
      <c r="A2403">
        <v>2026</v>
      </c>
      <c r="B2403" t="s">
        <v>141</v>
      </c>
      <c r="C2403" t="s">
        <v>169</v>
      </c>
      <c r="D2403" t="s">
        <v>22</v>
      </c>
      <c r="E2403" t="str">
        <f>VLOOKUP(D2403,'[2]Lista de Produtos CLASSIFICAÇÃO'!$E$103:$F$114,2,FALSE)</f>
        <v>Metanol</v>
      </c>
      <c r="F2403">
        <v>21298</v>
      </c>
      <c r="G2403" t="str">
        <f>VLOOKUP(Tabela1[[#This Row],[Cliente]],clientes!$C$3:$D$60,2,FALSE)</f>
        <v>METHANEX</v>
      </c>
    </row>
    <row r="2404" spans="1:7" x14ac:dyDescent="0.25">
      <c r="A2404">
        <v>2026</v>
      </c>
      <c r="B2404" t="s">
        <v>142</v>
      </c>
      <c r="C2404" t="s">
        <v>169</v>
      </c>
      <c r="D2404" t="s">
        <v>22</v>
      </c>
      <c r="E2404" t="str">
        <f>VLOOKUP(D2404,'[2]Lista de Produtos CLASSIFICAÇÃO'!$E$103:$F$114,2,FALSE)</f>
        <v>Metanol</v>
      </c>
      <c r="F2404">
        <v>21298</v>
      </c>
      <c r="G2404" t="str">
        <f>VLOOKUP(Tabela1[[#This Row],[Cliente]],clientes!$C$3:$D$60,2,FALSE)</f>
        <v>METHANEX</v>
      </c>
    </row>
    <row r="2405" spans="1:7" x14ac:dyDescent="0.25">
      <c r="A2405">
        <v>2026</v>
      </c>
      <c r="B2405" t="s">
        <v>135</v>
      </c>
      <c r="C2405" t="s">
        <v>186</v>
      </c>
      <c r="D2405" t="s">
        <v>22</v>
      </c>
      <c r="E2405" t="str">
        <f>VLOOKUP(D2405,'[2]Lista de Produtos CLASSIFICAÇÃO'!$E$103:$F$114,2,FALSE)</f>
        <v>Metanol</v>
      </c>
      <c r="F2405">
        <v>5000</v>
      </c>
      <c r="G2405" t="str">
        <f>VLOOKUP(Tabela1[[#This Row],[Cliente]],clientes!$C$3:$D$60,2,FALSE)</f>
        <v>OQ TRADING</v>
      </c>
    </row>
    <row r="2406" spans="1:7" x14ac:dyDescent="0.25">
      <c r="A2406">
        <v>2026</v>
      </c>
      <c r="B2406" t="s">
        <v>137</v>
      </c>
      <c r="C2406" t="s">
        <v>186</v>
      </c>
      <c r="D2406" t="s">
        <v>22</v>
      </c>
      <c r="E2406" t="str">
        <f>VLOOKUP(D2406,'[2]Lista de Produtos CLASSIFICAÇÃO'!$E$103:$F$114,2,FALSE)</f>
        <v>Metanol</v>
      </c>
      <c r="F2406">
        <v>5000</v>
      </c>
      <c r="G2406" t="str">
        <f>VLOOKUP(Tabela1[[#This Row],[Cliente]],clientes!$C$3:$D$60,2,FALSE)</f>
        <v>OQ TRADING</v>
      </c>
    </row>
    <row r="2407" spans="1:7" x14ac:dyDescent="0.25">
      <c r="A2407">
        <v>2026</v>
      </c>
      <c r="B2407" t="s">
        <v>139</v>
      </c>
      <c r="C2407" t="s">
        <v>186</v>
      </c>
      <c r="D2407" t="s">
        <v>22</v>
      </c>
      <c r="E2407" t="str">
        <f>VLOOKUP(D2407,'[2]Lista de Produtos CLASSIFICAÇÃO'!$E$103:$F$114,2,FALSE)</f>
        <v>Metanol</v>
      </c>
      <c r="F2407">
        <v>5000</v>
      </c>
      <c r="G2407" t="str">
        <f>VLOOKUP(Tabela1[[#This Row],[Cliente]],clientes!$C$3:$D$60,2,FALSE)</f>
        <v>OQ TRADING</v>
      </c>
    </row>
    <row r="2408" spans="1:7" x14ac:dyDescent="0.25">
      <c r="A2408">
        <v>2026</v>
      </c>
      <c r="B2408" t="s">
        <v>141</v>
      </c>
      <c r="C2408" t="s">
        <v>186</v>
      </c>
      <c r="D2408" t="s">
        <v>22</v>
      </c>
      <c r="E2408" t="str">
        <f>VLOOKUP(D2408,'[2]Lista de Produtos CLASSIFICAÇÃO'!$E$103:$F$114,2,FALSE)</f>
        <v>Metanol</v>
      </c>
      <c r="F2408">
        <v>5000</v>
      </c>
      <c r="G2408" t="str">
        <f>VLOOKUP(Tabela1[[#This Row],[Cliente]],clientes!$C$3:$D$60,2,FALSE)</f>
        <v>OQ TRADING</v>
      </c>
    </row>
    <row r="2409" spans="1:7" x14ac:dyDescent="0.25">
      <c r="A2409">
        <v>2026</v>
      </c>
      <c r="B2409" t="s">
        <v>135</v>
      </c>
      <c r="C2409" t="s">
        <v>241</v>
      </c>
      <c r="D2409" t="s">
        <v>120</v>
      </c>
      <c r="E2409" t="str">
        <f>VLOOKUP(D2409,'[2]Lista de Produtos CLASSIFICAÇÃO'!$E$103:$F$114,2,FALSE)</f>
        <v>Derivados</v>
      </c>
      <c r="F2409">
        <v>14940</v>
      </c>
      <c r="G2409" t="str">
        <f>VLOOKUP(Tabela1[[#This Row],[Cliente]],clientes!$C$3:$D$60,2,FALSE)</f>
        <v>ROYAL FIC</v>
      </c>
    </row>
    <row r="2410" spans="1:7" x14ac:dyDescent="0.25">
      <c r="A2410">
        <v>2026</v>
      </c>
      <c r="B2410" t="s">
        <v>136</v>
      </c>
      <c r="C2410" t="s">
        <v>241</v>
      </c>
      <c r="D2410" t="s">
        <v>120</v>
      </c>
      <c r="E2410" t="str">
        <f>VLOOKUP(D2410,'[2]Lista de Produtos CLASSIFICAÇÃO'!$E$103:$F$114,2,FALSE)</f>
        <v>Derivados</v>
      </c>
      <c r="F2410">
        <v>14940</v>
      </c>
      <c r="G2410" t="str">
        <f>VLOOKUP(Tabela1[[#This Row],[Cliente]],clientes!$C$3:$D$60,2,FALSE)</f>
        <v>ROYAL FIC</v>
      </c>
    </row>
    <row r="2411" spans="1:7" x14ac:dyDescent="0.25">
      <c r="A2411">
        <v>2026</v>
      </c>
      <c r="B2411" t="s">
        <v>137</v>
      </c>
      <c r="C2411" t="s">
        <v>241</v>
      </c>
      <c r="D2411" t="s">
        <v>120</v>
      </c>
      <c r="E2411" t="str">
        <f>VLOOKUP(D2411,'[2]Lista de Produtos CLASSIFICAÇÃO'!$E$103:$F$114,2,FALSE)</f>
        <v>Derivados</v>
      </c>
      <c r="F2411">
        <v>14940</v>
      </c>
      <c r="G2411" t="str">
        <f>VLOOKUP(Tabela1[[#This Row],[Cliente]],clientes!$C$3:$D$60,2,FALSE)</f>
        <v>ROYAL FIC</v>
      </c>
    </row>
    <row r="2412" spans="1:7" x14ac:dyDescent="0.25">
      <c r="A2412">
        <v>2026</v>
      </c>
      <c r="B2412" t="s">
        <v>138</v>
      </c>
      <c r="C2412" t="s">
        <v>241</v>
      </c>
      <c r="D2412" t="s">
        <v>120</v>
      </c>
      <c r="E2412" t="str">
        <f>VLOOKUP(D2412,'[2]Lista de Produtos CLASSIFICAÇÃO'!$E$103:$F$114,2,FALSE)</f>
        <v>Derivados</v>
      </c>
      <c r="F2412">
        <v>14940</v>
      </c>
      <c r="G2412" t="str">
        <f>VLOOKUP(Tabela1[[#This Row],[Cliente]],clientes!$C$3:$D$60,2,FALSE)</f>
        <v>ROYAL FIC</v>
      </c>
    </row>
    <row r="2413" spans="1:7" x14ac:dyDescent="0.25">
      <c r="A2413">
        <v>2026</v>
      </c>
      <c r="B2413" t="s">
        <v>139</v>
      </c>
      <c r="C2413" t="s">
        <v>241</v>
      </c>
      <c r="D2413" t="s">
        <v>120</v>
      </c>
      <c r="E2413" t="str">
        <f>VLOOKUP(D2413,'[2]Lista de Produtos CLASSIFICAÇÃO'!$E$103:$F$114,2,FALSE)</f>
        <v>Derivados</v>
      </c>
      <c r="F2413">
        <v>14940</v>
      </c>
      <c r="G2413" t="str">
        <f>VLOOKUP(Tabela1[[#This Row],[Cliente]],clientes!$C$3:$D$60,2,FALSE)</f>
        <v>ROYAL FIC</v>
      </c>
    </row>
    <row r="2414" spans="1:7" x14ac:dyDescent="0.25">
      <c r="A2414">
        <v>2026</v>
      </c>
      <c r="B2414" t="s">
        <v>140</v>
      </c>
      <c r="C2414" t="s">
        <v>241</v>
      </c>
      <c r="D2414" t="s">
        <v>120</v>
      </c>
      <c r="E2414" t="str">
        <f>VLOOKUP(D2414,'[2]Lista de Produtos CLASSIFICAÇÃO'!$E$103:$F$114,2,FALSE)</f>
        <v>Derivados</v>
      </c>
      <c r="F2414">
        <v>14940</v>
      </c>
      <c r="G2414" t="str">
        <f>VLOOKUP(Tabela1[[#This Row],[Cliente]],clientes!$C$3:$D$60,2,FALSE)</f>
        <v>ROYAL FIC</v>
      </c>
    </row>
    <row r="2415" spans="1:7" x14ac:dyDescent="0.25">
      <c r="A2415">
        <v>2026</v>
      </c>
      <c r="B2415" t="s">
        <v>141</v>
      </c>
      <c r="C2415" t="s">
        <v>241</v>
      </c>
      <c r="D2415" t="s">
        <v>120</v>
      </c>
      <c r="E2415" t="str">
        <f>VLOOKUP(D2415,'[2]Lista de Produtos CLASSIFICAÇÃO'!$E$103:$F$114,2,FALSE)</f>
        <v>Derivados</v>
      </c>
      <c r="F2415">
        <v>14940</v>
      </c>
      <c r="G2415" t="str">
        <f>VLOOKUP(Tabela1[[#This Row],[Cliente]],clientes!$C$3:$D$60,2,FALSE)</f>
        <v>ROYAL FIC</v>
      </c>
    </row>
    <row r="2416" spans="1:7" x14ac:dyDescent="0.25">
      <c r="A2416">
        <v>2026</v>
      </c>
      <c r="B2416" t="s">
        <v>142</v>
      </c>
      <c r="C2416" t="s">
        <v>241</v>
      </c>
      <c r="D2416" t="s">
        <v>120</v>
      </c>
      <c r="E2416" t="str">
        <f>VLOOKUP(D2416,'[2]Lista de Produtos CLASSIFICAÇÃO'!$E$103:$F$114,2,FALSE)</f>
        <v>Derivados</v>
      </c>
      <c r="F2416">
        <v>14940</v>
      </c>
      <c r="G2416" t="str">
        <f>VLOOKUP(Tabela1[[#This Row],[Cliente]],clientes!$C$3:$D$60,2,FALSE)</f>
        <v>ROYAL FIC</v>
      </c>
    </row>
    <row r="2417" spans="1:7" x14ac:dyDescent="0.25">
      <c r="A2417">
        <v>2026</v>
      </c>
      <c r="B2417" t="s">
        <v>135</v>
      </c>
      <c r="C2417" t="s">
        <v>242</v>
      </c>
      <c r="D2417" t="s">
        <v>120</v>
      </c>
      <c r="E2417" t="str">
        <f>VLOOKUP(D2417,'[2]Lista de Produtos CLASSIFICAÇÃO'!$E$103:$F$114,2,FALSE)</f>
        <v>Derivados</v>
      </c>
      <c r="F2417">
        <v>14940</v>
      </c>
      <c r="G2417" t="str">
        <f>VLOOKUP(Tabela1[[#This Row],[Cliente]],clientes!$C$3:$D$60,2,FALSE)</f>
        <v>RODOOIL DISTRIBUIDORA</v>
      </c>
    </row>
    <row r="2418" spans="1:7" x14ac:dyDescent="0.25">
      <c r="A2418">
        <v>2026</v>
      </c>
      <c r="B2418" t="s">
        <v>136</v>
      </c>
      <c r="C2418" t="s">
        <v>242</v>
      </c>
      <c r="D2418" t="s">
        <v>120</v>
      </c>
      <c r="E2418" t="str">
        <f>VLOOKUP(D2418,'[2]Lista de Produtos CLASSIFICAÇÃO'!$E$103:$F$114,2,FALSE)</f>
        <v>Derivados</v>
      </c>
      <c r="F2418">
        <v>14940</v>
      </c>
      <c r="G2418" t="str">
        <f>VLOOKUP(Tabela1[[#This Row],[Cliente]],clientes!$C$3:$D$60,2,FALSE)</f>
        <v>RODOOIL DISTRIBUIDORA</v>
      </c>
    </row>
    <row r="2419" spans="1:7" x14ac:dyDescent="0.25">
      <c r="A2419">
        <v>2026</v>
      </c>
      <c r="B2419" t="s">
        <v>137</v>
      </c>
      <c r="C2419" t="s">
        <v>242</v>
      </c>
      <c r="D2419" t="s">
        <v>120</v>
      </c>
      <c r="E2419" t="str">
        <f>VLOOKUP(D2419,'[2]Lista de Produtos CLASSIFICAÇÃO'!$E$103:$F$114,2,FALSE)</f>
        <v>Derivados</v>
      </c>
      <c r="F2419">
        <v>14940</v>
      </c>
      <c r="G2419" t="str">
        <f>VLOOKUP(Tabela1[[#This Row],[Cliente]],clientes!$C$3:$D$60,2,FALSE)</f>
        <v>RODOOIL DISTRIBUIDORA</v>
      </c>
    </row>
    <row r="2420" spans="1:7" x14ac:dyDescent="0.25">
      <c r="A2420">
        <v>2026</v>
      </c>
      <c r="B2420" t="s">
        <v>138</v>
      </c>
      <c r="C2420" t="s">
        <v>242</v>
      </c>
      <c r="D2420" t="s">
        <v>120</v>
      </c>
      <c r="E2420" t="str">
        <f>VLOOKUP(D2420,'[2]Lista de Produtos CLASSIFICAÇÃO'!$E$103:$F$114,2,FALSE)</f>
        <v>Derivados</v>
      </c>
      <c r="F2420">
        <v>14940</v>
      </c>
      <c r="G2420" t="str">
        <f>VLOOKUP(Tabela1[[#This Row],[Cliente]],clientes!$C$3:$D$60,2,FALSE)</f>
        <v>RODOOIL DISTRIBUIDORA</v>
      </c>
    </row>
    <row r="2421" spans="1:7" x14ac:dyDescent="0.25">
      <c r="A2421">
        <v>2026</v>
      </c>
      <c r="B2421" t="s">
        <v>139</v>
      </c>
      <c r="C2421" t="s">
        <v>242</v>
      </c>
      <c r="D2421" t="s">
        <v>120</v>
      </c>
      <c r="E2421" t="str">
        <f>VLOOKUP(D2421,'[2]Lista de Produtos CLASSIFICAÇÃO'!$E$103:$F$114,2,FALSE)</f>
        <v>Derivados</v>
      </c>
      <c r="F2421">
        <v>14940</v>
      </c>
      <c r="G2421" t="str">
        <f>VLOOKUP(Tabela1[[#This Row],[Cliente]],clientes!$C$3:$D$60,2,FALSE)</f>
        <v>RODOOIL DISTRIBUIDORA</v>
      </c>
    </row>
    <row r="2422" spans="1:7" x14ac:dyDescent="0.25">
      <c r="A2422">
        <v>2026</v>
      </c>
      <c r="B2422" t="s">
        <v>140</v>
      </c>
      <c r="C2422" t="s">
        <v>242</v>
      </c>
      <c r="D2422" t="s">
        <v>120</v>
      </c>
      <c r="E2422" t="str">
        <f>VLOOKUP(D2422,'[2]Lista de Produtos CLASSIFICAÇÃO'!$E$103:$F$114,2,FALSE)</f>
        <v>Derivados</v>
      </c>
      <c r="F2422">
        <v>14940</v>
      </c>
      <c r="G2422" t="str">
        <f>VLOOKUP(Tabela1[[#This Row],[Cliente]],clientes!$C$3:$D$60,2,FALSE)</f>
        <v>RODOOIL DISTRIBUIDORA</v>
      </c>
    </row>
    <row r="2423" spans="1:7" x14ac:dyDescent="0.25">
      <c r="A2423">
        <v>2026</v>
      </c>
      <c r="B2423" t="s">
        <v>141</v>
      </c>
      <c r="C2423" t="s">
        <v>242</v>
      </c>
      <c r="D2423" t="s">
        <v>120</v>
      </c>
      <c r="E2423" t="str">
        <f>VLOOKUP(D2423,'[2]Lista de Produtos CLASSIFICAÇÃO'!$E$103:$F$114,2,FALSE)</f>
        <v>Derivados</v>
      </c>
      <c r="F2423">
        <v>14940</v>
      </c>
      <c r="G2423" t="str">
        <f>VLOOKUP(Tabela1[[#This Row],[Cliente]],clientes!$C$3:$D$60,2,FALSE)</f>
        <v>RODOOIL DISTRIBUIDORA</v>
      </c>
    </row>
    <row r="2424" spans="1:7" x14ac:dyDescent="0.25">
      <c r="A2424">
        <v>2026</v>
      </c>
      <c r="B2424" t="s">
        <v>142</v>
      </c>
      <c r="C2424" t="s">
        <v>242</v>
      </c>
      <c r="D2424" t="s">
        <v>120</v>
      </c>
      <c r="E2424" t="str">
        <f>VLOOKUP(D2424,'[2]Lista de Produtos CLASSIFICAÇÃO'!$E$103:$F$114,2,FALSE)</f>
        <v>Derivados</v>
      </c>
      <c r="F2424">
        <v>14940</v>
      </c>
      <c r="G2424" t="str">
        <f>VLOOKUP(Tabela1[[#This Row],[Cliente]],clientes!$C$3:$D$60,2,FALSE)</f>
        <v>RODOOIL DISTRIBUIDORA</v>
      </c>
    </row>
    <row r="2425" spans="1:7" x14ac:dyDescent="0.25">
      <c r="A2425">
        <v>2026</v>
      </c>
      <c r="B2425" t="s">
        <v>135</v>
      </c>
      <c r="C2425" t="s">
        <v>243</v>
      </c>
      <c r="D2425" t="s">
        <v>120</v>
      </c>
      <c r="E2425" t="str">
        <f>VLOOKUP(D2425,'[2]Lista de Produtos CLASSIFICAÇÃO'!$E$103:$F$114,2,FALSE)</f>
        <v>Derivados</v>
      </c>
      <c r="F2425">
        <v>7470</v>
      </c>
      <c r="G2425" t="str">
        <f>VLOOKUP(Tabela1[[#This Row],[Cliente]],clientes!$C$3:$D$60,2,FALSE)</f>
        <v>ART PETRO</v>
      </c>
    </row>
    <row r="2426" spans="1:7" x14ac:dyDescent="0.25">
      <c r="A2426">
        <v>2026</v>
      </c>
      <c r="B2426" t="s">
        <v>136</v>
      </c>
      <c r="C2426" t="s">
        <v>243</v>
      </c>
      <c r="D2426" t="s">
        <v>120</v>
      </c>
      <c r="E2426" t="str">
        <f>VLOOKUP(D2426,'[2]Lista de Produtos CLASSIFICAÇÃO'!$E$103:$F$114,2,FALSE)</f>
        <v>Derivados</v>
      </c>
      <c r="F2426">
        <v>7470</v>
      </c>
      <c r="G2426" t="str">
        <f>VLOOKUP(Tabela1[[#This Row],[Cliente]],clientes!$C$3:$D$60,2,FALSE)</f>
        <v>ART PETRO</v>
      </c>
    </row>
    <row r="2427" spans="1:7" x14ac:dyDescent="0.25">
      <c r="A2427">
        <v>2026</v>
      </c>
      <c r="B2427" t="s">
        <v>137</v>
      </c>
      <c r="C2427" t="s">
        <v>243</v>
      </c>
      <c r="D2427" t="s">
        <v>120</v>
      </c>
      <c r="E2427" t="str">
        <f>VLOOKUP(D2427,'[2]Lista de Produtos CLASSIFICAÇÃO'!$E$103:$F$114,2,FALSE)</f>
        <v>Derivados</v>
      </c>
      <c r="F2427">
        <v>7470</v>
      </c>
      <c r="G2427" t="str">
        <f>VLOOKUP(Tabela1[[#This Row],[Cliente]],clientes!$C$3:$D$60,2,FALSE)</f>
        <v>ART PETRO</v>
      </c>
    </row>
    <row r="2428" spans="1:7" x14ac:dyDescent="0.25">
      <c r="A2428">
        <v>2026</v>
      </c>
      <c r="B2428" t="s">
        <v>138</v>
      </c>
      <c r="C2428" t="s">
        <v>243</v>
      </c>
      <c r="D2428" t="s">
        <v>120</v>
      </c>
      <c r="E2428" t="str">
        <f>VLOOKUP(D2428,'[2]Lista de Produtos CLASSIFICAÇÃO'!$E$103:$F$114,2,FALSE)</f>
        <v>Derivados</v>
      </c>
      <c r="F2428">
        <v>7470</v>
      </c>
      <c r="G2428" t="str">
        <f>VLOOKUP(Tabela1[[#This Row],[Cliente]],clientes!$C$3:$D$60,2,FALSE)</f>
        <v>ART PETRO</v>
      </c>
    </row>
    <row r="2429" spans="1:7" x14ac:dyDescent="0.25">
      <c r="A2429">
        <v>2026</v>
      </c>
      <c r="B2429" t="s">
        <v>139</v>
      </c>
      <c r="C2429" t="s">
        <v>243</v>
      </c>
      <c r="D2429" t="s">
        <v>120</v>
      </c>
      <c r="E2429" t="str">
        <f>VLOOKUP(D2429,'[2]Lista de Produtos CLASSIFICAÇÃO'!$E$103:$F$114,2,FALSE)</f>
        <v>Derivados</v>
      </c>
      <c r="F2429">
        <v>7470</v>
      </c>
      <c r="G2429" t="str">
        <f>VLOOKUP(Tabela1[[#This Row],[Cliente]],clientes!$C$3:$D$60,2,FALSE)</f>
        <v>ART PETRO</v>
      </c>
    </row>
    <row r="2430" spans="1:7" x14ac:dyDescent="0.25">
      <c r="A2430">
        <v>2026</v>
      </c>
      <c r="B2430" t="s">
        <v>140</v>
      </c>
      <c r="C2430" t="s">
        <v>243</v>
      </c>
      <c r="D2430" t="s">
        <v>120</v>
      </c>
      <c r="E2430" t="str">
        <f>VLOOKUP(D2430,'[2]Lista de Produtos CLASSIFICAÇÃO'!$E$103:$F$114,2,FALSE)</f>
        <v>Derivados</v>
      </c>
      <c r="F2430">
        <v>7470</v>
      </c>
      <c r="G2430" t="str">
        <f>VLOOKUP(Tabela1[[#This Row],[Cliente]],clientes!$C$3:$D$60,2,FALSE)</f>
        <v>ART PETRO</v>
      </c>
    </row>
    <row r="2431" spans="1:7" x14ac:dyDescent="0.25">
      <c r="A2431">
        <v>2026</v>
      </c>
      <c r="B2431" t="s">
        <v>141</v>
      </c>
      <c r="C2431" t="s">
        <v>243</v>
      </c>
      <c r="D2431" t="s">
        <v>120</v>
      </c>
      <c r="E2431" t="str">
        <f>VLOOKUP(D2431,'[2]Lista de Produtos CLASSIFICAÇÃO'!$E$103:$F$114,2,FALSE)</f>
        <v>Derivados</v>
      </c>
      <c r="F2431">
        <v>7470</v>
      </c>
      <c r="G2431" t="str">
        <f>VLOOKUP(Tabela1[[#This Row],[Cliente]],clientes!$C$3:$D$60,2,FALSE)</f>
        <v>ART PETRO</v>
      </c>
    </row>
    <row r="2432" spans="1:7" x14ac:dyDescent="0.25">
      <c r="A2432">
        <v>2026</v>
      </c>
      <c r="B2432" t="s">
        <v>142</v>
      </c>
      <c r="C2432" t="s">
        <v>243</v>
      </c>
      <c r="D2432" t="s">
        <v>120</v>
      </c>
      <c r="E2432" t="str">
        <f>VLOOKUP(D2432,'[2]Lista de Produtos CLASSIFICAÇÃO'!$E$103:$F$114,2,FALSE)</f>
        <v>Derivados</v>
      </c>
      <c r="F2432">
        <v>7470</v>
      </c>
      <c r="G2432" t="str">
        <f>VLOOKUP(Tabela1[[#This Row],[Cliente]],clientes!$C$3:$D$60,2,FALSE)</f>
        <v>ART PETRO</v>
      </c>
    </row>
    <row r="2433" spans="1:7" x14ac:dyDescent="0.25">
      <c r="A2433">
        <v>2026</v>
      </c>
      <c r="B2433" t="s">
        <v>139</v>
      </c>
      <c r="C2433" t="s">
        <v>160</v>
      </c>
      <c r="D2433" t="s">
        <v>120</v>
      </c>
      <c r="E2433" t="str">
        <f>VLOOKUP(D2433,'[2]Lista de Produtos CLASSIFICAÇÃO'!$E$103:$F$114,2,FALSE)</f>
        <v>Derivados</v>
      </c>
      <c r="F2433">
        <v>14940</v>
      </c>
      <c r="G2433" t="str">
        <f>VLOOKUP(Tabela1[[#This Row],[Cliente]],clientes!$C$3:$D$60,2,FALSE)</f>
        <v>VIBRA</v>
      </c>
    </row>
    <row r="2434" spans="1:7" x14ac:dyDescent="0.25">
      <c r="A2434">
        <v>2026</v>
      </c>
      <c r="B2434" t="s">
        <v>140</v>
      </c>
      <c r="C2434" t="s">
        <v>160</v>
      </c>
      <c r="D2434" t="s">
        <v>120</v>
      </c>
      <c r="E2434" t="str">
        <f>VLOOKUP(D2434,'[2]Lista de Produtos CLASSIFICAÇÃO'!$E$103:$F$114,2,FALSE)</f>
        <v>Derivados</v>
      </c>
      <c r="F2434">
        <v>14940</v>
      </c>
      <c r="G2434" t="str">
        <f>VLOOKUP(Tabela1[[#This Row],[Cliente]],clientes!$C$3:$D$60,2,FALSE)</f>
        <v>VIBRA</v>
      </c>
    </row>
    <row r="2435" spans="1:7" x14ac:dyDescent="0.25">
      <c r="A2435">
        <v>2026</v>
      </c>
      <c r="B2435" t="s">
        <v>141</v>
      </c>
      <c r="C2435" t="s">
        <v>160</v>
      </c>
      <c r="D2435" t="s">
        <v>120</v>
      </c>
      <c r="E2435" t="str">
        <f>VLOOKUP(D2435,'[2]Lista de Produtos CLASSIFICAÇÃO'!$E$103:$F$114,2,FALSE)</f>
        <v>Derivados</v>
      </c>
      <c r="F2435">
        <v>14940</v>
      </c>
      <c r="G2435" t="str">
        <f>VLOOKUP(Tabela1[[#This Row],[Cliente]],clientes!$C$3:$D$60,2,FALSE)</f>
        <v>VIBRA</v>
      </c>
    </row>
    <row r="2436" spans="1:7" x14ac:dyDescent="0.25">
      <c r="A2436">
        <v>2026</v>
      </c>
      <c r="B2436" t="s">
        <v>142</v>
      </c>
      <c r="C2436" t="s">
        <v>160</v>
      </c>
      <c r="D2436" t="s">
        <v>120</v>
      </c>
      <c r="E2436" t="str">
        <f>VLOOKUP(D2436,'[2]Lista de Produtos CLASSIFICAÇÃO'!$E$103:$F$114,2,FALSE)</f>
        <v>Derivados</v>
      </c>
      <c r="F2436">
        <v>14940</v>
      </c>
      <c r="G2436" t="str">
        <f>VLOOKUP(Tabela1[[#This Row],[Cliente]],clientes!$C$3:$D$60,2,FALSE)</f>
        <v>VIBRA</v>
      </c>
    </row>
    <row r="2437" spans="1:7" x14ac:dyDescent="0.25">
      <c r="A2437">
        <v>2026</v>
      </c>
      <c r="B2437" t="s">
        <v>135</v>
      </c>
      <c r="C2437" t="s">
        <v>244</v>
      </c>
      <c r="D2437" t="s">
        <v>120</v>
      </c>
      <c r="E2437" t="str">
        <f>VLOOKUP(D2437,'[2]Lista de Produtos CLASSIFICAÇÃO'!$E$103:$F$114,2,FALSE)</f>
        <v>Derivados</v>
      </c>
      <c r="F2437">
        <v>7470</v>
      </c>
      <c r="G2437" t="str">
        <f>VLOOKUP(Tabela1[[#This Row],[Cliente]],clientes!$C$3:$D$60,2,FALSE)</f>
        <v>TAURUS</v>
      </c>
    </row>
    <row r="2438" spans="1:7" x14ac:dyDescent="0.25">
      <c r="A2438">
        <v>2026</v>
      </c>
      <c r="B2438" t="s">
        <v>136</v>
      </c>
      <c r="C2438" t="s">
        <v>244</v>
      </c>
      <c r="D2438" t="s">
        <v>120</v>
      </c>
      <c r="E2438" t="str">
        <f>VLOOKUP(D2438,'[2]Lista de Produtos CLASSIFICAÇÃO'!$E$103:$F$114,2,FALSE)</f>
        <v>Derivados</v>
      </c>
      <c r="F2438">
        <v>7470</v>
      </c>
      <c r="G2438" t="str">
        <f>VLOOKUP(Tabela1[[#This Row],[Cliente]],clientes!$C$3:$D$60,2,FALSE)</f>
        <v>TAURUS</v>
      </c>
    </row>
    <row r="2439" spans="1:7" x14ac:dyDescent="0.25">
      <c r="A2439">
        <v>2026</v>
      </c>
      <c r="B2439" t="s">
        <v>137</v>
      </c>
      <c r="C2439" t="s">
        <v>244</v>
      </c>
      <c r="D2439" t="s">
        <v>120</v>
      </c>
      <c r="E2439" t="str">
        <f>VLOOKUP(D2439,'[2]Lista de Produtos CLASSIFICAÇÃO'!$E$103:$F$114,2,FALSE)</f>
        <v>Derivados</v>
      </c>
      <c r="F2439">
        <v>7470</v>
      </c>
      <c r="G2439" t="str">
        <f>VLOOKUP(Tabela1[[#This Row],[Cliente]],clientes!$C$3:$D$60,2,FALSE)</f>
        <v>TAURUS</v>
      </c>
    </row>
    <row r="2440" spans="1:7" x14ac:dyDescent="0.25">
      <c r="A2440">
        <v>2026</v>
      </c>
      <c r="B2440" t="s">
        <v>138</v>
      </c>
      <c r="C2440" t="s">
        <v>244</v>
      </c>
      <c r="D2440" t="s">
        <v>120</v>
      </c>
      <c r="E2440" t="str">
        <f>VLOOKUP(D2440,'[2]Lista de Produtos CLASSIFICAÇÃO'!$E$103:$F$114,2,FALSE)</f>
        <v>Derivados</v>
      </c>
      <c r="F2440">
        <v>7470</v>
      </c>
      <c r="G2440" t="str">
        <f>VLOOKUP(Tabela1[[#This Row],[Cliente]],clientes!$C$3:$D$60,2,FALSE)</f>
        <v>TAURUS</v>
      </c>
    </row>
    <row r="2441" spans="1:7" x14ac:dyDescent="0.25">
      <c r="A2441">
        <v>2026</v>
      </c>
      <c r="B2441" t="s">
        <v>139</v>
      </c>
      <c r="C2441" t="s">
        <v>244</v>
      </c>
      <c r="D2441" t="s">
        <v>120</v>
      </c>
      <c r="E2441" t="str">
        <f>VLOOKUP(D2441,'[2]Lista de Produtos CLASSIFICAÇÃO'!$E$103:$F$114,2,FALSE)</f>
        <v>Derivados</v>
      </c>
      <c r="F2441">
        <v>7470</v>
      </c>
      <c r="G2441" t="str">
        <f>VLOOKUP(Tabela1[[#This Row],[Cliente]],clientes!$C$3:$D$60,2,FALSE)</f>
        <v>TAURUS</v>
      </c>
    </row>
    <row r="2442" spans="1:7" x14ac:dyDescent="0.25">
      <c r="A2442">
        <v>2026</v>
      </c>
      <c r="B2442" t="s">
        <v>140</v>
      </c>
      <c r="C2442" t="s">
        <v>244</v>
      </c>
      <c r="D2442" t="s">
        <v>120</v>
      </c>
      <c r="E2442" t="str">
        <f>VLOOKUP(D2442,'[2]Lista de Produtos CLASSIFICAÇÃO'!$E$103:$F$114,2,FALSE)</f>
        <v>Derivados</v>
      </c>
      <c r="F2442">
        <v>7470</v>
      </c>
      <c r="G2442" t="str">
        <f>VLOOKUP(Tabela1[[#This Row],[Cliente]],clientes!$C$3:$D$60,2,FALSE)</f>
        <v>TAURUS</v>
      </c>
    </row>
    <row r="2443" spans="1:7" x14ac:dyDescent="0.25">
      <c r="A2443">
        <v>2026</v>
      </c>
      <c r="B2443" t="s">
        <v>141</v>
      </c>
      <c r="C2443" t="s">
        <v>244</v>
      </c>
      <c r="D2443" t="s">
        <v>120</v>
      </c>
      <c r="E2443" t="str">
        <f>VLOOKUP(D2443,'[2]Lista de Produtos CLASSIFICAÇÃO'!$E$103:$F$114,2,FALSE)</f>
        <v>Derivados</v>
      </c>
      <c r="F2443">
        <v>7470</v>
      </c>
      <c r="G2443" t="str">
        <f>VLOOKUP(Tabela1[[#This Row],[Cliente]],clientes!$C$3:$D$60,2,FALSE)</f>
        <v>TAURUS</v>
      </c>
    </row>
    <row r="2444" spans="1:7" x14ac:dyDescent="0.25">
      <c r="A2444">
        <v>2026</v>
      </c>
      <c r="B2444" t="s">
        <v>142</v>
      </c>
      <c r="C2444" t="s">
        <v>244</v>
      </c>
      <c r="D2444" t="s">
        <v>120</v>
      </c>
      <c r="E2444" t="str">
        <f>VLOOKUP(D2444,'[2]Lista de Produtos CLASSIFICAÇÃO'!$E$103:$F$114,2,FALSE)</f>
        <v>Derivados</v>
      </c>
      <c r="F2444">
        <v>7470</v>
      </c>
      <c r="G2444" t="str">
        <f>VLOOKUP(Tabela1[[#This Row],[Cliente]],clientes!$C$3:$D$60,2,FALSE)</f>
        <v>TAURUS</v>
      </c>
    </row>
    <row r="2445" spans="1:7" x14ac:dyDescent="0.25">
      <c r="E2445" t="e">
        <f>VLOOKUP(D2445,'[2]Lista de Produtos CLASSIFICAÇÃO'!$E$103:$F$114,2,FALSE)</f>
        <v>#N/A</v>
      </c>
    </row>
    <row r="2446" spans="1:7" x14ac:dyDescent="0.25">
      <c r="E2446" t="e">
        <f>VLOOKUP(D2446,'[2]Lista de Produtos CLASSIFICAÇÃO'!$E$103:$F$114,2,FALSE)</f>
        <v>#N/A</v>
      </c>
    </row>
    <row r="2447" spans="1:7" x14ac:dyDescent="0.25">
      <c r="E2447" t="e">
        <f>VLOOKUP(D2447,'[2]Lista de Produtos CLASSIFICAÇÃO'!$E$103:$F$114,2,FALSE)</f>
        <v>#N/A</v>
      </c>
    </row>
    <row r="2448" spans="1:7" x14ac:dyDescent="0.25">
      <c r="E2448" t="e">
        <f>VLOOKUP(D2448,'[2]Lista de Produtos CLASSIFICAÇÃO'!$E$103:$F$114,2,FALSE)</f>
        <v>#N/A</v>
      </c>
    </row>
    <row r="2449" spans="5:5" x14ac:dyDescent="0.25">
      <c r="E2449" t="e">
        <f>VLOOKUP(D2449,'[2]Lista de Produtos CLASSIFICAÇÃO'!$E$103:$F$114,2,FALSE)</f>
        <v>#N/A</v>
      </c>
    </row>
    <row r="2450" spans="5:5" x14ac:dyDescent="0.25">
      <c r="E2450" t="e">
        <f>VLOOKUP(D2450,'[2]Lista de Produtos CLASSIFICAÇÃO'!$E$103:$F$114,2,FALSE)</f>
        <v>#N/A</v>
      </c>
    </row>
    <row r="2451" spans="5:5" x14ac:dyDescent="0.25">
      <c r="E2451" t="e">
        <f>VLOOKUP(D2451,'[2]Lista de Produtos CLASSIFICAÇÃO'!$E$103:$F$114,2,FALSE)</f>
        <v>#N/A</v>
      </c>
    </row>
    <row r="2452" spans="5:5" x14ac:dyDescent="0.25">
      <c r="E2452" t="e">
        <f>VLOOKUP(D2452,'[2]Lista de Produtos CLASSIFICAÇÃO'!$E$103:$F$114,2,FALSE)</f>
        <v>#N/A</v>
      </c>
    </row>
    <row r="2453" spans="5:5" x14ac:dyDescent="0.25">
      <c r="E2453" t="e">
        <f>VLOOKUP(D2453,'[2]Lista de Produtos CLASSIFICAÇÃO'!$E$103:$F$114,2,FALSE)</f>
        <v>#N/A</v>
      </c>
    </row>
    <row r="2454" spans="5:5" x14ac:dyDescent="0.25">
      <c r="E2454" t="e">
        <f>VLOOKUP(D2454,'[2]Lista de Produtos CLASSIFICAÇÃO'!$E$103:$F$114,2,FALSE)</f>
        <v>#N/A</v>
      </c>
    </row>
    <row r="2455" spans="5:5" x14ac:dyDescent="0.25">
      <c r="E2455" t="e">
        <f>VLOOKUP(D2455,'[2]Lista de Produtos CLASSIFICAÇÃO'!$E$103:$F$114,2,FALSE)</f>
        <v>#N/A</v>
      </c>
    </row>
    <row r="2456" spans="5:5" x14ac:dyDescent="0.25">
      <c r="E2456" t="e">
        <f>VLOOKUP(D2456,'[2]Lista de Produtos CLASSIFICAÇÃO'!$E$103:$F$114,2,FALSE)</f>
        <v>#N/A</v>
      </c>
    </row>
    <row r="2457" spans="5:5" x14ac:dyDescent="0.25">
      <c r="E2457" t="e">
        <f>VLOOKUP(D2457,'[2]Lista de Produtos CLASSIFICAÇÃO'!$E$103:$F$114,2,FALSE)</f>
        <v>#N/A</v>
      </c>
    </row>
    <row r="2458" spans="5:5" x14ac:dyDescent="0.25">
      <c r="E2458" t="e">
        <f>VLOOKUP(D2458,'[2]Lista de Produtos CLASSIFICAÇÃO'!$E$103:$F$114,2,FALSE)</f>
        <v>#N/A</v>
      </c>
    </row>
    <row r="2459" spans="5:5" x14ac:dyDescent="0.25">
      <c r="E2459" t="e">
        <f>VLOOKUP(D2459,'[2]Lista de Produtos CLASSIFICAÇÃO'!$E$103:$F$114,2,FALSE)</f>
        <v>#N/A</v>
      </c>
    </row>
    <row r="2460" spans="5:5" x14ac:dyDescent="0.25">
      <c r="E2460" t="e">
        <f>VLOOKUP(D2460,'[2]Lista de Produtos CLASSIFICAÇÃO'!$E$103:$F$114,2,FALSE)</f>
        <v>#N/A</v>
      </c>
    </row>
    <row r="2461" spans="5:5" x14ac:dyDescent="0.25">
      <c r="E2461" t="e">
        <f>VLOOKUP(D2461,'[2]Lista de Produtos CLASSIFICAÇÃO'!$E$103:$F$114,2,FALSE)</f>
        <v>#N/A</v>
      </c>
    </row>
    <row r="2462" spans="5:5" x14ac:dyDescent="0.25">
      <c r="E2462" t="e">
        <f>VLOOKUP(D2462,'[2]Lista de Produtos CLASSIFICAÇÃO'!$E$103:$F$114,2,FALSE)</f>
        <v>#N/A</v>
      </c>
    </row>
    <row r="2463" spans="5:5" x14ac:dyDescent="0.25">
      <c r="E2463" t="e">
        <f>VLOOKUP(D2463,'[2]Lista de Produtos CLASSIFICAÇÃO'!$E$103:$F$114,2,FALSE)</f>
        <v>#N/A</v>
      </c>
    </row>
    <row r="2464" spans="5:5" x14ac:dyDescent="0.25">
      <c r="E2464" t="e">
        <f>VLOOKUP(D2464,'[2]Lista de Produtos CLASSIFICAÇÃO'!$E$103:$F$114,2,FALSE)</f>
        <v>#N/A</v>
      </c>
    </row>
    <row r="2465" spans="5:5" x14ac:dyDescent="0.25">
      <c r="E2465" t="e">
        <f>VLOOKUP(D2465,'[2]Lista de Produtos CLASSIFICAÇÃO'!$E$103:$F$114,2,FALSE)</f>
        <v>#N/A</v>
      </c>
    </row>
    <row r="2466" spans="5:5" x14ac:dyDescent="0.25">
      <c r="E2466" t="e">
        <f>VLOOKUP(D2466,'[2]Lista de Produtos CLASSIFICAÇÃO'!$E$103:$F$114,2,FALSE)</f>
        <v>#N/A</v>
      </c>
    </row>
    <row r="2467" spans="5:5" x14ac:dyDescent="0.25">
      <c r="E2467" t="e">
        <f>VLOOKUP(D2467,'[2]Lista de Produtos CLASSIFICAÇÃO'!$E$103:$F$114,2,FALSE)</f>
        <v>#N/A</v>
      </c>
    </row>
    <row r="2468" spans="5:5" x14ac:dyDescent="0.25">
      <c r="E2468" t="e">
        <f>VLOOKUP(D2468,'[2]Lista de Produtos CLASSIFICAÇÃO'!$E$103:$F$114,2,FALSE)</f>
        <v>#N/A</v>
      </c>
    </row>
    <row r="2469" spans="5:5" x14ac:dyDescent="0.25">
      <c r="E2469" t="e">
        <f>VLOOKUP(D2469,'[2]Lista de Produtos CLASSIFICAÇÃO'!$E$103:$F$114,2,FALSE)</f>
        <v>#N/A</v>
      </c>
    </row>
    <row r="2470" spans="5:5" x14ac:dyDescent="0.25">
      <c r="E2470" t="e">
        <f>VLOOKUP(D2470,'[2]Lista de Produtos CLASSIFICAÇÃO'!$E$103:$F$114,2,FALSE)</f>
        <v>#N/A</v>
      </c>
    </row>
    <row r="2471" spans="5:5" x14ac:dyDescent="0.25">
      <c r="E2471" t="e">
        <f>VLOOKUP(D2471,'[2]Lista de Produtos CLASSIFICAÇÃO'!$E$103:$F$114,2,FALSE)</f>
        <v>#N/A</v>
      </c>
    </row>
    <row r="2472" spans="5:5" x14ac:dyDescent="0.25">
      <c r="E2472" t="e">
        <f>VLOOKUP(D2472,'[2]Lista de Produtos CLASSIFICAÇÃO'!$E$103:$F$114,2,FALSE)</f>
        <v>#N/A</v>
      </c>
    </row>
    <row r="2473" spans="5:5" x14ac:dyDescent="0.25">
      <c r="E2473" t="e">
        <f>VLOOKUP(D2473,'[2]Lista de Produtos CLASSIFICAÇÃO'!$E$103:$F$114,2,FALSE)</f>
        <v>#N/A</v>
      </c>
    </row>
    <row r="2474" spans="5:5" x14ac:dyDescent="0.25">
      <c r="E2474" t="e">
        <f>VLOOKUP(D2474,'[2]Lista de Produtos CLASSIFICAÇÃO'!$E$103:$F$114,2,FALSE)</f>
        <v>#N/A</v>
      </c>
    </row>
    <row r="2475" spans="5:5" x14ac:dyDescent="0.25">
      <c r="E2475" t="e">
        <f>VLOOKUP(D2475,'[2]Lista de Produtos CLASSIFICAÇÃO'!$E$103:$F$114,2,FALSE)</f>
        <v>#N/A</v>
      </c>
    </row>
    <row r="2476" spans="5:5" x14ac:dyDescent="0.25">
      <c r="E2476" t="e">
        <f>VLOOKUP(D2476,'[2]Lista de Produtos CLASSIFICAÇÃO'!$E$103:$F$114,2,FALSE)</f>
        <v>#N/A</v>
      </c>
    </row>
    <row r="2477" spans="5:5" x14ac:dyDescent="0.25">
      <c r="E2477" t="e">
        <f>VLOOKUP(D2477,'[2]Lista de Produtos CLASSIFICAÇÃO'!$E$103:$F$114,2,FALSE)</f>
        <v>#N/A</v>
      </c>
    </row>
    <row r="2478" spans="5:5" x14ac:dyDescent="0.25">
      <c r="E2478" t="e">
        <f>VLOOKUP(D2478,'[2]Lista de Produtos CLASSIFICAÇÃO'!$E$103:$F$114,2,FALSE)</f>
        <v>#N/A</v>
      </c>
    </row>
    <row r="2479" spans="5:5" x14ac:dyDescent="0.25">
      <c r="E2479" t="e">
        <f>VLOOKUP(D2479,'[2]Lista de Produtos CLASSIFICAÇÃO'!$E$103:$F$114,2,FALSE)</f>
        <v>#N/A</v>
      </c>
    </row>
    <row r="2480" spans="5:5" x14ac:dyDescent="0.25">
      <c r="E2480" t="e">
        <f>VLOOKUP(D2480,'[2]Lista de Produtos CLASSIFICAÇÃO'!$E$103:$F$114,2,FALSE)</f>
        <v>#N/A</v>
      </c>
    </row>
    <row r="2481" spans="5:5" x14ac:dyDescent="0.25">
      <c r="E2481" t="e">
        <f>VLOOKUP(D2481,'[2]Lista de Produtos CLASSIFICAÇÃO'!$E$103:$F$114,2,FALSE)</f>
        <v>#N/A</v>
      </c>
    </row>
    <row r="2482" spans="5:5" x14ac:dyDescent="0.25">
      <c r="E2482" t="e">
        <f>VLOOKUP(D2482,'[2]Lista de Produtos CLASSIFICAÇÃO'!$E$103:$F$114,2,FALSE)</f>
        <v>#N/A</v>
      </c>
    </row>
    <row r="2483" spans="5:5" x14ac:dyDescent="0.25">
      <c r="E2483" t="e">
        <f>VLOOKUP(D2483,'[2]Lista de Produtos CLASSIFICAÇÃO'!$E$103:$F$114,2,FALSE)</f>
        <v>#N/A</v>
      </c>
    </row>
    <row r="2484" spans="5:5" x14ac:dyDescent="0.25">
      <c r="E2484" t="e">
        <f>VLOOKUP(D2484,'[2]Lista de Produtos CLASSIFICAÇÃO'!$E$103:$F$114,2,FALSE)</f>
        <v>#N/A</v>
      </c>
    </row>
    <row r="2485" spans="5:5" x14ac:dyDescent="0.25">
      <c r="E2485" t="e">
        <f>VLOOKUP(D2485,'[2]Lista de Produtos CLASSIFICAÇÃO'!$E$103:$F$114,2,FALSE)</f>
        <v>#N/A</v>
      </c>
    </row>
    <row r="2486" spans="5:5" x14ac:dyDescent="0.25">
      <c r="E2486" t="e">
        <f>VLOOKUP(D2486,'[2]Lista de Produtos CLASSIFICAÇÃO'!$E$103:$F$114,2,FALSE)</f>
        <v>#N/A</v>
      </c>
    </row>
    <row r="2487" spans="5:5" x14ac:dyDescent="0.25">
      <c r="E2487" t="e">
        <f>VLOOKUP(D2487,'[2]Lista de Produtos CLASSIFICAÇÃO'!$E$103:$F$114,2,FALSE)</f>
        <v>#N/A</v>
      </c>
    </row>
    <row r="2488" spans="5:5" x14ac:dyDescent="0.25">
      <c r="E2488" t="e">
        <f>VLOOKUP(D2488,'[2]Lista de Produtos CLASSIFICAÇÃO'!$E$103:$F$114,2,FALSE)</f>
        <v>#N/A</v>
      </c>
    </row>
    <row r="2489" spans="5:5" x14ac:dyDescent="0.25">
      <c r="E2489" t="e">
        <f>VLOOKUP(D2489,'[2]Lista de Produtos CLASSIFICAÇÃO'!$E$103:$F$114,2,FALSE)</f>
        <v>#N/A</v>
      </c>
    </row>
    <row r="2490" spans="5:5" x14ac:dyDescent="0.25">
      <c r="E2490" t="e">
        <f>VLOOKUP(D2490,'[2]Lista de Produtos CLASSIFICAÇÃO'!$E$103:$F$114,2,FALSE)</f>
        <v>#N/A</v>
      </c>
    </row>
    <row r="2491" spans="5:5" x14ac:dyDescent="0.25">
      <c r="E2491" t="e">
        <f>VLOOKUP(D2491,'[2]Lista de Produtos CLASSIFICAÇÃO'!$E$103:$F$114,2,FALSE)</f>
        <v>#N/A</v>
      </c>
    </row>
    <row r="2492" spans="5:5" x14ac:dyDescent="0.25">
      <c r="E2492" t="e">
        <f>VLOOKUP(D2492,'[2]Lista de Produtos CLASSIFICAÇÃO'!$E$103:$F$114,2,FALSE)</f>
        <v>#N/A</v>
      </c>
    </row>
    <row r="2493" spans="5:5" x14ac:dyDescent="0.25">
      <c r="E2493" t="e">
        <f>VLOOKUP(D2493,'[2]Lista de Produtos CLASSIFICAÇÃO'!$E$103:$F$114,2,FALSE)</f>
        <v>#N/A</v>
      </c>
    </row>
    <row r="2494" spans="5:5" x14ac:dyDescent="0.25">
      <c r="E2494" t="e">
        <f>VLOOKUP(D2494,'[2]Lista de Produtos CLASSIFICAÇÃO'!$E$103:$F$114,2,FALSE)</f>
        <v>#N/A</v>
      </c>
    </row>
    <row r="2495" spans="5:5" x14ac:dyDescent="0.25">
      <c r="E2495" t="e">
        <f>VLOOKUP(D2495,'[2]Lista de Produtos CLASSIFICAÇÃO'!$E$103:$F$114,2,FALSE)</f>
        <v>#N/A</v>
      </c>
    </row>
    <row r="2496" spans="5:5" x14ac:dyDescent="0.25">
      <c r="E2496" t="e">
        <f>VLOOKUP(D2496,'[2]Lista de Produtos CLASSIFICAÇÃO'!$E$103:$F$114,2,FALSE)</f>
        <v>#N/A</v>
      </c>
    </row>
    <row r="2497" spans="5:5" x14ac:dyDescent="0.25">
      <c r="E2497" t="e">
        <f>VLOOKUP(D2497,'[2]Lista de Produtos CLASSIFICAÇÃO'!$E$103:$F$114,2,FALSE)</f>
        <v>#N/A</v>
      </c>
    </row>
    <row r="2498" spans="5:5" x14ac:dyDescent="0.25">
      <c r="E2498" t="e">
        <f>VLOOKUP(D2498,'[2]Lista de Produtos CLASSIFICAÇÃO'!$E$103:$F$114,2,FALSE)</f>
        <v>#N/A</v>
      </c>
    </row>
    <row r="2499" spans="5:5" x14ac:dyDescent="0.25">
      <c r="E2499" t="e">
        <f>VLOOKUP(D2499,'[2]Lista de Produtos CLASSIFICAÇÃO'!$E$103:$F$114,2,FALSE)</f>
        <v>#N/A</v>
      </c>
    </row>
    <row r="2500" spans="5:5" x14ac:dyDescent="0.25">
      <c r="E2500" t="e">
        <f>VLOOKUP(D2500,'[2]Lista de Produtos CLASSIFICAÇÃO'!$E$103:$F$114,2,FALSE)</f>
        <v>#N/A</v>
      </c>
    </row>
    <row r="2501" spans="5:5" x14ac:dyDescent="0.25">
      <c r="E2501" t="e">
        <f>VLOOKUP(D2501,'[2]Lista de Produtos CLASSIFICAÇÃO'!$E$103:$F$114,2,FALSE)</f>
        <v>#N/A</v>
      </c>
    </row>
    <row r="2502" spans="5:5" x14ac:dyDescent="0.25">
      <c r="E2502" t="e">
        <f>VLOOKUP(D2502,'[2]Lista de Produtos CLASSIFICAÇÃO'!$E$103:$F$114,2,FALSE)</f>
        <v>#N/A</v>
      </c>
    </row>
    <row r="2503" spans="5:5" x14ac:dyDescent="0.25">
      <c r="E2503" t="e">
        <f>VLOOKUP(D2503,'[2]Lista de Produtos CLASSIFICAÇÃO'!$E$103:$F$114,2,FALSE)</f>
        <v>#N/A</v>
      </c>
    </row>
    <row r="2504" spans="5:5" x14ac:dyDescent="0.25">
      <c r="E2504" t="e">
        <f>VLOOKUP(D2504,'[2]Lista de Produtos CLASSIFICAÇÃO'!$E$103:$F$114,2,FALSE)</f>
        <v>#N/A</v>
      </c>
    </row>
    <row r="2505" spans="5:5" x14ac:dyDescent="0.25">
      <c r="E2505" t="e">
        <f>VLOOKUP(D2505,'[2]Lista de Produtos CLASSIFICAÇÃO'!$E$103:$F$114,2,FALSE)</f>
        <v>#N/A</v>
      </c>
    </row>
    <row r="2506" spans="5:5" x14ac:dyDescent="0.25">
      <c r="E2506" t="e">
        <f>VLOOKUP(D2506,'[2]Lista de Produtos CLASSIFICAÇÃO'!$E$103:$F$114,2,FALSE)</f>
        <v>#N/A</v>
      </c>
    </row>
    <row r="2507" spans="5:5" x14ac:dyDescent="0.25">
      <c r="E2507" t="e">
        <f>VLOOKUP(D2507,'[2]Lista de Produtos CLASSIFICAÇÃO'!$E$103:$F$114,2,FALSE)</f>
        <v>#N/A</v>
      </c>
    </row>
    <row r="2508" spans="5:5" x14ac:dyDescent="0.25">
      <c r="E2508" t="e">
        <f>VLOOKUP(D2508,'[2]Lista de Produtos CLASSIFICAÇÃO'!$E$103:$F$114,2,FALSE)</f>
        <v>#N/A</v>
      </c>
    </row>
    <row r="2509" spans="5:5" x14ac:dyDescent="0.25">
      <c r="E2509" t="e">
        <f>VLOOKUP(D2509,'[2]Lista de Produtos CLASSIFICAÇÃO'!$E$103:$F$114,2,FALSE)</f>
        <v>#N/A</v>
      </c>
    </row>
    <row r="2510" spans="5:5" x14ac:dyDescent="0.25">
      <c r="E2510" t="e">
        <f>VLOOKUP(D2510,'[2]Lista de Produtos CLASSIFICAÇÃO'!$E$103:$F$114,2,FALSE)</f>
        <v>#N/A</v>
      </c>
    </row>
    <row r="2511" spans="5:5" x14ac:dyDescent="0.25">
      <c r="E2511" t="e">
        <f>VLOOKUP(D2511,'[2]Lista de Produtos CLASSIFICAÇÃO'!$E$103:$F$114,2,FALSE)</f>
        <v>#N/A</v>
      </c>
    </row>
    <row r="2512" spans="5:5" x14ac:dyDescent="0.25">
      <c r="E2512" t="e">
        <f>VLOOKUP(D2512,'[2]Lista de Produtos CLASSIFICAÇÃO'!$E$103:$F$114,2,FALSE)</f>
        <v>#N/A</v>
      </c>
    </row>
    <row r="2513" spans="5:5" x14ac:dyDescent="0.25">
      <c r="E2513" t="e">
        <f>VLOOKUP(D2513,'[2]Lista de Produtos CLASSIFICAÇÃO'!$E$103:$F$114,2,FALSE)</f>
        <v>#N/A</v>
      </c>
    </row>
    <row r="2514" spans="5:5" x14ac:dyDescent="0.25">
      <c r="E2514" t="e">
        <f>VLOOKUP(D2514,'[2]Lista de Produtos CLASSIFICAÇÃO'!$E$103:$F$114,2,FALSE)</f>
        <v>#N/A</v>
      </c>
    </row>
    <row r="2515" spans="5:5" x14ac:dyDescent="0.25">
      <c r="E2515" t="e">
        <f>VLOOKUP(D2515,'[2]Lista de Produtos CLASSIFICAÇÃO'!$E$103:$F$114,2,FALSE)</f>
        <v>#N/A</v>
      </c>
    </row>
    <row r="2516" spans="5:5" x14ac:dyDescent="0.25">
      <c r="E2516" t="e">
        <f>VLOOKUP(D2516,'[2]Lista de Produtos CLASSIFICAÇÃO'!$E$103:$F$114,2,FALSE)</f>
        <v>#N/A</v>
      </c>
    </row>
    <row r="2517" spans="5:5" x14ac:dyDescent="0.25">
      <c r="E2517" t="e">
        <f>VLOOKUP(D2517,'[2]Lista de Produtos CLASSIFICAÇÃO'!$E$103:$F$114,2,FALSE)</f>
        <v>#N/A</v>
      </c>
    </row>
    <row r="2518" spans="5:5" x14ac:dyDescent="0.25">
      <c r="E2518" t="e">
        <f>VLOOKUP(D2518,'[2]Lista de Produtos CLASSIFICAÇÃO'!$E$103:$F$114,2,FALSE)</f>
        <v>#N/A</v>
      </c>
    </row>
    <row r="2519" spans="5:5" x14ac:dyDescent="0.25">
      <c r="E2519" t="e">
        <f>VLOOKUP(D2519,'[2]Lista de Produtos CLASSIFICAÇÃO'!$E$103:$F$114,2,FALSE)</f>
        <v>#N/A</v>
      </c>
    </row>
    <row r="2520" spans="5:5" x14ac:dyDescent="0.25">
      <c r="E2520" t="e">
        <f>VLOOKUP(D2520,'[2]Lista de Produtos CLASSIFICAÇÃO'!$E$103:$F$114,2,FALSE)</f>
        <v>#N/A</v>
      </c>
    </row>
    <row r="2521" spans="5:5" x14ac:dyDescent="0.25">
      <c r="E2521" t="e">
        <f>VLOOKUP(D2521,'[2]Lista de Produtos CLASSIFICAÇÃO'!$E$103:$F$114,2,FALSE)</f>
        <v>#N/A</v>
      </c>
    </row>
    <row r="2522" spans="5:5" x14ac:dyDescent="0.25">
      <c r="E2522" t="e">
        <f>VLOOKUP(D2522,'[2]Lista de Produtos CLASSIFICAÇÃO'!$E$103:$F$114,2,FALSE)</f>
        <v>#N/A</v>
      </c>
    </row>
    <row r="2523" spans="5:5" x14ac:dyDescent="0.25">
      <c r="E2523" t="e">
        <f>VLOOKUP(D2523,'[2]Lista de Produtos CLASSIFICAÇÃO'!$E$103:$F$114,2,FALSE)</f>
        <v>#N/A</v>
      </c>
    </row>
    <row r="2524" spans="5:5" x14ac:dyDescent="0.25">
      <c r="E2524" t="e">
        <f>VLOOKUP(D2524,'[2]Lista de Produtos CLASSIFICAÇÃO'!$E$103:$F$114,2,FALSE)</f>
        <v>#N/A</v>
      </c>
    </row>
    <row r="2525" spans="5:5" x14ac:dyDescent="0.25">
      <c r="E2525" t="e">
        <f>VLOOKUP(D2525,'[2]Lista de Produtos CLASSIFICAÇÃO'!$E$103:$F$114,2,FALSE)</f>
        <v>#N/A</v>
      </c>
    </row>
    <row r="2526" spans="5:5" x14ac:dyDescent="0.25">
      <c r="E2526" t="e">
        <f>VLOOKUP(D2526,'[2]Lista de Produtos CLASSIFICAÇÃO'!$E$103:$F$114,2,FALSE)</f>
        <v>#N/A</v>
      </c>
    </row>
    <row r="2527" spans="5:5" x14ac:dyDescent="0.25">
      <c r="E2527" t="e">
        <f>VLOOKUP(D2527,'[2]Lista de Produtos CLASSIFICAÇÃO'!$E$103:$F$114,2,FALSE)</f>
        <v>#N/A</v>
      </c>
    </row>
    <row r="2528" spans="5:5" x14ac:dyDescent="0.25">
      <c r="E2528" t="e">
        <f>VLOOKUP(D2528,'[2]Lista de Produtos CLASSIFICAÇÃO'!$E$103:$F$114,2,FALSE)</f>
        <v>#N/A</v>
      </c>
    </row>
    <row r="2529" spans="5:5" x14ac:dyDescent="0.25">
      <c r="E2529" t="e">
        <f>VLOOKUP(D2529,'[2]Lista de Produtos CLASSIFICAÇÃO'!$E$103:$F$114,2,FALSE)</f>
        <v>#N/A</v>
      </c>
    </row>
    <row r="2530" spans="5:5" x14ac:dyDescent="0.25">
      <c r="E2530" t="e">
        <f>VLOOKUP(D2530,'[2]Lista de Produtos CLASSIFICAÇÃO'!$E$103:$F$114,2,FALSE)</f>
        <v>#N/A</v>
      </c>
    </row>
    <row r="2531" spans="5:5" x14ac:dyDescent="0.25">
      <c r="E2531" t="e">
        <f>VLOOKUP(D2531,'[2]Lista de Produtos CLASSIFICAÇÃO'!$E$103:$F$114,2,FALSE)</f>
        <v>#N/A</v>
      </c>
    </row>
    <row r="2532" spans="5:5" x14ac:dyDescent="0.25">
      <c r="E2532" t="e">
        <f>VLOOKUP(D2532,'[2]Lista de Produtos CLASSIFICAÇÃO'!$E$103:$F$114,2,FALSE)</f>
        <v>#N/A</v>
      </c>
    </row>
    <row r="2533" spans="5:5" x14ac:dyDescent="0.25">
      <c r="E2533" t="e">
        <f>VLOOKUP(D2533,'[2]Lista de Produtos CLASSIFICAÇÃO'!$E$103:$F$114,2,FALSE)</f>
        <v>#N/A</v>
      </c>
    </row>
    <row r="2534" spans="5:5" x14ac:dyDescent="0.25">
      <c r="E2534" t="e">
        <f>VLOOKUP(D2534,'[2]Lista de Produtos CLASSIFICAÇÃO'!$E$103:$F$114,2,FALSE)</f>
        <v>#N/A</v>
      </c>
    </row>
    <row r="2535" spans="5:5" x14ac:dyDescent="0.25">
      <c r="E2535" t="e">
        <f>VLOOKUP(D2535,'[2]Lista de Produtos CLASSIFICAÇÃO'!$E$103:$F$114,2,FALSE)</f>
        <v>#N/A</v>
      </c>
    </row>
    <row r="2536" spans="5:5" x14ac:dyDescent="0.25">
      <c r="E2536" t="e">
        <f>VLOOKUP(D2536,'[2]Lista de Produtos CLASSIFICAÇÃO'!$E$103:$F$114,2,FALSE)</f>
        <v>#N/A</v>
      </c>
    </row>
    <row r="2537" spans="5:5" x14ac:dyDescent="0.25">
      <c r="E2537" t="e">
        <f>VLOOKUP(D2537,'[2]Lista de Produtos CLASSIFICAÇÃO'!$E$103:$F$114,2,FALSE)</f>
        <v>#N/A</v>
      </c>
    </row>
    <row r="2538" spans="5:5" x14ac:dyDescent="0.25">
      <c r="E2538" t="e">
        <f>VLOOKUP(D2538,'[2]Lista de Produtos CLASSIFICAÇÃO'!$E$103:$F$114,2,FALSE)</f>
        <v>#N/A</v>
      </c>
    </row>
  </sheetData>
  <phoneticPr fontId="6" type="noConversion"/>
  <conditionalFormatting sqref="C66:C82 C86:C97">
    <cfRule type="expression" dxfId="1" priority="5">
      <formula>AND(ISLOGICAL($A66), $A66 = FALSE)</formula>
    </cfRule>
  </conditionalFormatting>
  <conditionalFormatting sqref="C194:C222">
    <cfRule type="expression" dxfId="0" priority="1">
      <formula>AND(ISLOGICAL($A194), $A194 = FALSE)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BEBA-8FC2-4FD6-84BF-1270C58A0891}">
  <sheetPr codeName="Planilha4"/>
  <dimension ref="A1:S338"/>
  <sheetViews>
    <sheetView workbookViewId="0">
      <selection activeCell="J37" sqref="J37"/>
    </sheetView>
  </sheetViews>
  <sheetFormatPr defaultRowHeight="15" x14ac:dyDescent="0.25"/>
  <cols>
    <col min="1" max="1" width="12.42578125" bestFit="1" customWidth="1"/>
    <col min="2" max="2" width="4.28515625" bestFit="1" customWidth="1"/>
    <col min="3" max="3" width="6" bestFit="1" customWidth="1"/>
    <col min="4" max="4" width="22.85546875" bestFit="1" customWidth="1"/>
    <col min="5" max="5" width="16.85546875" bestFit="1" customWidth="1"/>
    <col min="6" max="6" width="12.140625" bestFit="1" customWidth="1"/>
    <col min="7" max="7" width="6.85546875" bestFit="1" customWidth="1"/>
    <col min="8" max="8" width="10.7109375" bestFit="1" customWidth="1"/>
    <col min="9" max="9" width="12" bestFit="1" customWidth="1"/>
  </cols>
  <sheetData>
    <row r="1" spans="1:19" x14ac:dyDescent="0.25">
      <c r="A1" t="s">
        <v>217</v>
      </c>
      <c r="B1" t="s">
        <v>218</v>
      </c>
      <c r="C1" t="s">
        <v>219</v>
      </c>
      <c r="D1" t="s">
        <v>154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L1" s="60"/>
      <c r="M1" s="59"/>
      <c r="N1" s="60"/>
      <c r="O1" s="59"/>
      <c r="P1" s="60"/>
      <c r="Q1" s="59"/>
      <c r="R1" s="60"/>
      <c r="S1" s="59"/>
    </row>
    <row r="2" spans="1:19" x14ac:dyDescent="0.25">
      <c r="A2" t="b">
        <v>1</v>
      </c>
      <c r="B2">
        <v>2</v>
      </c>
      <c r="C2" t="s">
        <v>225</v>
      </c>
      <c r="D2" t="s">
        <v>155</v>
      </c>
      <c r="E2" t="s">
        <v>16</v>
      </c>
      <c r="G2">
        <v>2023</v>
      </c>
      <c r="H2" t="s">
        <v>226</v>
      </c>
      <c r="I2">
        <v>3600</v>
      </c>
      <c r="L2" s="60"/>
      <c r="M2" s="59"/>
      <c r="N2" s="60"/>
      <c r="O2" s="59"/>
      <c r="P2" s="60"/>
      <c r="Q2" s="59"/>
      <c r="R2" s="60"/>
      <c r="S2" s="59"/>
    </row>
    <row r="3" spans="1:19" x14ac:dyDescent="0.25">
      <c r="A3" t="b">
        <v>1</v>
      </c>
      <c r="B3">
        <v>2</v>
      </c>
      <c r="C3" t="s">
        <v>225</v>
      </c>
      <c r="D3" t="s">
        <v>155</v>
      </c>
      <c r="E3" t="s">
        <v>16</v>
      </c>
      <c r="G3">
        <v>2023</v>
      </c>
      <c r="H3" t="s">
        <v>227</v>
      </c>
      <c r="I3">
        <v>3600</v>
      </c>
      <c r="L3" s="60"/>
      <c r="M3" s="59"/>
      <c r="N3" s="60"/>
      <c r="O3" s="59"/>
      <c r="P3" s="60"/>
      <c r="Q3" s="59"/>
      <c r="R3" s="60"/>
      <c r="S3" s="59"/>
    </row>
    <row r="4" spans="1:19" x14ac:dyDescent="0.25">
      <c r="A4" t="b">
        <v>1</v>
      </c>
      <c r="B4">
        <v>2</v>
      </c>
      <c r="C4" t="s">
        <v>225</v>
      </c>
      <c r="D4" t="s">
        <v>155</v>
      </c>
      <c r="E4" t="s">
        <v>16</v>
      </c>
      <c r="G4">
        <v>2023</v>
      </c>
      <c r="H4" t="s">
        <v>228</v>
      </c>
      <c r="I4">
        <v>3600</v>
      </c>
    </row>
    <row r="5" spans="1:19" x14ac:dyDescent="0.25">
      <c r="A5" t="b">
        <v>1</v>
      </c>
      <c r="B5">
        <v>2</v>
      </c>
      <c r="C5" t="s">
        <v>225</v>
      </c>
      <c r="D5" t="s">
        <v>155</v>
      </c>
      <c r="E5" t="s">
        <v>16</v>
      </c>
      <c r="G5">
        <v>2023</v>
      </c>
      <c r="H5" t="s">
        <v>229</v>
      </c>
      <c r="I5">
        <v>3600</v>
      </c>
    </row>
    <row r="6" spans="1:19" x14ac:dyDescent="0.25">
      <c r="A6" t="b">
        <v>1</v>
      </c>
      <c r="B6">
        <v>2</v>
      </c>
      <c r="C6" t="s">
        <v>225</v>
      </c>
      <c r="D6" t="s">
        <v>155</v>
      </c>
      <c r="E6" t="s">
        <v>16</v>
      </c>
      <c r="G6">
        <v>2023</v>
      </c>
      <c r="H6" t="s">
        <v>210</v>
      </c>
      <c r="I6">
        <v>3600</v>
      </c>
    </row>
    <row r="7" spans="1:19" x14ac:dyDescent="0.25">
      <c r="A7" t="b">
        <v>1</v>
      </c>
      <c r="B7">
        <v>2</v>
      </c>
      <c r="C7" t="s">
        <v>225</v>
      </c>
      <c r="D7" t="s">
        <v>155</v>
      </c>
      <c r="E7" t="s">
        <v>16</v>
      </c>
      <c r="G7">
        <v>2023</v>
      </c>
      <c r="H7" t="s">
        <v>211</v>
      </c>
      <c r="I7">
        <v>3600</v>
      </c>
    </row>
    <row r="8" spans="1:19" x14ac:dyDescent="0.25">
      <c r="A8" t="b">
        <v>1</v>
      </c>
      <c r="B8">
        <v>2</v>
      </c>
      <c r="C8" t="s">
        <v>225</v>
      </c>
      <c r="D8" t="s">
        <v>155</v>
      </c>
      <c r="E8" t="s">
        <v>16</v>
      </c>
      <c r="G8">
        <v>2023</v>
      </c>
      <c r="H8" t="s">
        <v>212</v>
      </c>
      <c r="I8">
        <v>3600</v>
      </c>
    </row>
    <row r="9" spans="1:19" x14ac:dyDescent="0.25">
      <c r="A9" t="b">
        <v>1</v>
      </c>
      <c r="B9">
        <v>2</v>
      </c>
      <c r="C9" t="s">
        <v>225</v>
      </c>
      <c r="D9" t="s">
        <v>155</v>
      </c>
      <c r="E9" t="s">
        <v>16</v>
      </c>
      <c r="G9">
        <v>2023</v>
      </c>
      <c r="H9" t="s">
        <v>213</v>
      </c>
      <c r="I9">
        <v>3600</v>
      </c>
    </row>
    <row r="10" spans="1:19" x14ac:dyDescent="0.25">
      <c r="A10" t="b">
        <v>1</v>
      </c>
      <c r="B10">
        <v>2</v>
      </c>
      <c r="C10" t="s">
        <v>225</v>
      </c>
      <c r="D10" t="s">
        <v>155</v>
      </c>
      <c r="E10" t="s">
        <v>16</v>
      </c>
      <c r="G10">
        <v>2023</v>
      </c>
      <c r="H10" t="s">
        <v>214</v>
      </c>
      <c r="I10">
        <v>3600</v>
      </c>
    </row>
    <row r="11" spans="1:19" x14ac:dyDescent="0.25">
      <c r="A11" t="b">
        <v>1</v>
      </c>
      <c r="B11">
        <v>2</v>
      </c>
      <c r="C11" t="s">
        <v>225</v>
      </c>
      <c r="D11" t="s">
        <v>155</v>
      </c>
      <c r="E11" t="s">
        <v>16</v>
      </c>
      <c r="G11">
        <v>2023</v>
      </c>
      <c r="H11" t="s">
        <v>215</v>
      </c>
      <c r="I11">
        <v>3600</v>
      </c>
    </row>
    <row r="12" spans="1:19" x14ac:dyDescent="0.25">
      <c r="A12" t="b">
        <v>1</v>
      </c>
      <c r="B12">
        <v>2</v>
      </c>
      <c r="C12" t="s">
        <v>225</v>
      </c>
      <c r="D12" t="s">
        <v>155</v>
      </c>
      <c r="E12" t="s">
        <v>16</v>
      </c>
      <c r="G12">
        <v>2023</v>
      </c>
      <c r="H12" t="s">
        <v>230</v>
      </c>
      <c r="I12">
        <v>3600</v>
      </c>
    </row>
    <row r="13" spans="1:19" x14ac:dyDescent="0.25">
      <c r="A13" t="b">
        <v>1</v>
      </c>
      <c r="B13">
        <v>2</v>
      </c>
      <c r="C13" t="s">
        <v>225</v>
      </c>
      <c r="D13" t="s">
        <v>155</v>
      </c>
      <c r="E13" t="s">
        <v>16</v>
      </c>
      <c r="G13">
        <v>2023</v>
      </c>
      <c r="H13" t="s">
        <v>231</v>
      </c>
      <c r="I13">
        <v>3600</v>
      </c>
    </row>
    <row r="14" spans="1:19" x14ac:dyDescent="0.25">
      <c r="A14" t="b">
        <v>1</v>
      </c>
      <c r="B14">
        <v>3</v>
      </c>
      <c r="C14" t="s">
        <v>232</v>
      </c>
      <c r="D14" t="s">
        <v>156</v>
      </c>
      <c r="E14" t="s">
        <v>123</v>
      </c>
      <c r="G14">
        <v>2023</v>
      </c>
      <c r="H14" t="s">
        <v>226</v>
      </c>
      <c r="I14">
        <v>3100</v>
      </c>
    </row>
    <row r="15" spans="1:19" x14ac:dyDescent="0.25">
      <c r="A15" t="b">
        <v>1</v>
      </c>
      <c r="B15">
        <v>3</v>
      </c>
      <c r="C15" t="s">
        <v>232</v>
      </c>
      <c r="D15" t="s">
        <v>156</v>
      </c>
      <c r="E15" t="s">
        <v>123</v>
      </c>
      <c r="G15">
        <v>2023</v>
      </c>
      <c r="H15" t="s">
        <v>227</v>
      </c>
      <c r="I15">
        <v>3100</v>
      </c>
    </row>
    <row r="16" spans="1:19" x14ac:dyDescent="0.25">
      <c r="A16" t="b">
        <v>1</v>
      </c>
      <c r="B16">
        <v>3</v>
      </c>
      <c r="C16" t="s">
        <v>232</v>
      </c>
      <c r="D16" t="s">
        <v>156</v>
      </c>
      <c r="E16" t="s">
        <v>123</v>
      </c>
      <c r="G16">
        <v>2023</v>
      </c>
      <c r="H16" t="s">
        <v>228</v>
      </c>
      <c r="I16">
        <v>3100</v>
      </c>
    </row>
    <row r="17" spans="1:9" x14ac:dyDescent="0.25">
      <c r="A17" t="b">
        <v>1</v>
      </c>
      <c r="B17">
        <v>3</v>
      </c>
      <c r="C17" t="s">
        <v>232</v>
      </c>
      <c r="D17" t="s">
        <v>156</v>
      </c>
      <c r="E17" t="s">
        <v>123</v>
      </c>
      <c r="G17">
        <v>2023</v>
      </c>
      <c r="H17" t="s">
        <v>229</v>
      </c>
      <c r="I17">
        <v>3100</v>
      </c>
    </row>
    <row r="18" spans="1:9" x14ac:dyDescent="0.25">
      <c r="A18" t="b">
        <v>1</v>
      </c>
      <c r="B18">
        <v>3</v>
      </c>
      <c r="C18" t="s">
        <v>232</v>
      </c>
      <c r="D18" t="s">
        <v>156</v>
      </c>
      <c r="E18" t="s">
        <v>123</v>
      </c>
      <c r="G18">
        <v>2023</v>
      </c>
      <c r="H18" t="s">
        <v>210</v>
      </c>
      <c r="I18">
        <v>3100</v>
      </c>
    </row>
    <row r="19" spans="1:9" x14ac:dyDescent="0.25">
      <c r="A19" t="b">
        <v>1</v>
      </c>
      <c r="B19">
        <v>3</v>
      </c>
      <c r="C19" t="s">
        <v>232</v>
      </c>
      <c r="D19" t="s">
        <v>156</v>
      </c>
      <c r="E19" t="s">
        <v>123</v>
      </c>
      <c r="G19">
        <v>2023</v>
      </c>
      <c r="H19" t="s">
        <v>211</v>
      </c>
      <c r="I19">
        <v>3100</v>
      </c>
    </row>
    <row r="20" spans="1:9" x14ac:dyDescent="0.25">
      <c r="A20" t="b">
        <v>1</v>
      </c>
      <c r="B20">
        <v>3</v>
      </c>
      <c r="C20" t="s">
        <v>232</v>
      </c>
      <c r="D20" t="s">
        <v>156</v>
      </c>
      <c r="E20" t="s">
        <v>123</v>
      </c>
      <c r="G20">
        <v>2023</v>
      </c>
      <c r="H20" t="s">
        <v>212</v>
      </c>
      <c r="I20">
        <v>3100</v>
      </c>
    </row>
    <row r="21" spans="1:9" x14ac:dyDescent="0.25">
      <c r="A21" t="b">
        <v>1</v>
      </c>
      <c r="B21">
        <v>3</v>
      </c>
      <c r="C21" t="s">
        <v>232</v>
      </c>
      <c r="D21" t="s">
        <v>156</v>
      </c>
      <c r="E21" t="s">
        <v>123</v>
      </c>
      <c r="G21">
        <v>2023</v>
      </c>
      <c r="H21" t="s">
        <v>213</v>
      </c>
      <c r="I21">
        <v>3100</v>
      </c>
    </row>
    <row r="22" spans="1:9" x14ac:dyDescent="0.25">
      <c r="A22" t="b">
        <v>1</v>
      </c>
      <c r="B22">
        <v>3</v>
      </c>
      <c r="C22" t="s">
        <v>232</v>
      </c>
      <c r="D22" t="s">
        <v>156</v>
      </c>
      <c r="E22" t="s">
        <v>123</v>
      </c>
      <c r="G22">
        <v>2023</v>
      </c>
      <c r="H22" t="s">
        <v>214</v>
      </c>
      <c r="I22">
        <v>3100</v>
      </c>
    </row>
    <row r="23" spans="1:9" x14ac:dyDescent="0.25">
      <c r="A23" t="b">
        <v>1</v>
      </c>
      <c r="B23">
        <v>3</v>
      </c>
      <c r="C23" t="s">
        <v>232</v>
      </c>
      <c r="D23" t="s">
        <v>156</v>
      </c>
      <c r="E23" t="s">
        <v>123</v>
      </c>
      <c r="G23">
        <v>2023</v>
      </c>
      <c r="H23" t="s">
        <v>215</v>
      </c>
      <c r="I23">
        <v>3100</v>
      </c>
    </row>
    <row r="24" spans="1:9" x14ac:dyDescent="0.25">
      <c r="A24" t="b">
        <v>1</v>
      </c>
      <c r="B24">
        <v>3</v>
      </c>
      <c r="C24" t="s">
        <v>232</v>
      </c>
      <c r="D24" t="s">
        <v>156</v>
      </c>
      <c r="E24" t="s">
        <v>123</v>
      </c>
      <c r="G24">
        <v>2023</v>
      </c>
      <c r="H24" t="s">
        <v>230</v>
      </c>
      <c r="I24">
        <v>3100</v>
      </c>
    </row>
    <row r="25" spans="1:9" x14ac:dyDescent="0.25">
      <c r="A25" t="b">
        <v>1</v>
      </c>
      <c r="B25">
        <v>3</v>
      </c>
      <c r="C25" t="s">
        <v>232</v>
      </c>
      <c r="D25" t="s">
        <v>156</v>
      </c>
      <c r="E25" t="s">
        <v>123</v>
      </c>
      <c r="G25">
        <v>2023</v>
      </c>
      <c r="H25" t="s">
        <v>231</v>
      </c>
      <c r="I25">
        <v>3100</v>
      </c>
    </row>
    <row r="26" spans="1:9" x14ac:dyDescent="0.25">
      <c r="A26" t="b">
        <v>1</v>
      </c>
      <c r="B26">
        <v>4</v>
      </c>
      <c r="C26" t="s">
        <v>225</v>
      </c>
      <c r="D26" t="s">
        <v>157</v>
      </c>
      <c r="E26" t="s">
        <v>122</v>
      </c>
      <c r="G26">
        <v>2023</v>
      </c>
      <c r="H26" t="s">
        <v>226</v>
      </c>
      <c r="I26">
        <v>2600</v>
      </c>
    </row>
    <row r="27" spans="1:9" x14ac:dyDescent="0.25">
      <c r="A27" t="b">
        <v>1</v>
      </c>
      <c r="B27">
        <v>4</v>
      </c>
      <c r="C27" t="s">
        <v>225</v>
      </c>
      <c r="D27" t="s">
        <v>157</v>
      </c>
      <c r="E27" t="s">
        <v>122</v>
      </c>
      <c r="G27">
        <v>2023</v>
      </c>
      <c r="H27" t="s">
        <v>227</v>
      </c>
      <c r="I27">
        <v>2600</v>
      </c>
    </row>
    <row r="28" spans="1:9" x14ac:dyDescent="0.25">
      <c r="A28" t="b">
        <v>1</v>
      </c>
      <c r="B28">
        <v>4</v>
      </c>
      <c r="C28" t="s">
        <v>225</v>
      </c>
      <c r="D28" t="s">
        <v>157</v>
      </c>
      <c r="E28" t="s">
        <v>122</v>
      </c>
      <c r="G28">
        <v>2023</v>
      </c>
      <c r="H28" t="s">
        <v>228</v>
      </c>
      <c r="I28">
        <v>2600</v>
      </c>
    </row>
    <row r="29" spans="1:9" x14ac:dyDescent="0.25">
      <c r="A29" t="b">
        <v>1</v>
      </c>
      <c r="B29">
        <v>4</v>
      </c>
      <c r="C29" t="s">
        <v>225</v>
      </c>
      <c r="D29" t="s">
        <v>157</v>
      </c>
      <c r="E29" t="s">
        <v>122</v>
      </c>
      <c r="G29">
        <v>2023</v>
      </c>
      <c r="H29" t="s">
        <v>229</v>
      </c>
      <c r="I29">
        <v>2600</v>
      </c>
    </row>
    <row r="30" spans="1:9" x14ac:dyDescent="0.25">
      <c r="A30" t="b">
        <v>1</v>
      </c>
      <c r="B30">
        <v>4</v>
      </c>
      <c r="C30" t="s">
        <v>225</v>
      </c>
      <c r="D30" t="s">
        <v>157</v>
      </c>
      <c r="E30" t="s">
        <v>122</v>
      </c>
      <c r="G30">
        <v>2023</v>
      </c>
      <c r="H30" t="s">
        <v>210</v>
      </c>
      <c r="I30">
        <v>2600</v>
      </c>
    </row>
    <row r="31" spans="1:9" x14ac:dyDescent="0.25">
      <c r="A31" t="b">
        <v>1</v>
      </c>
      <c r="B31">
        <v>4</v>
      </c>
      <c r="C31" t="s">
        <v>225</v>
      </c>
      <c r="D31" t="s">
        <v>157</v>
      </c>
      <c r="E31" t="s">
        <v>122</v>
      </c>
      <c r="G31">
        <v>2023</v>
      </c>
      <c r="H31" t="s">
        <v>211</v>
      </c>
      <c r="I31">
        <v>2600</v>
      </c>
    </row>
    <row r="32" spans="1:9" x14ac:dyDescent="0.25">
      <c r="A32" t="b">
        <v>1</v>
      </c>
      <c r="B32">
        <v>4</v>
      </c>
      <c r="C32" t="s">
        <v>225</v>
      </c>
      <c r="D32" t="s">
        <v>157</v>
      </c>
      <c r="E32" t="s">
        <v>122</v>
      </c>
      <c r="G32">
        <v>2023</v>
      </c>
      <c r="H32" t="s">
        <v>212</v>
      </c>
      <c r="I32">
        <v>2600</v>
      </c>
    </row>
    <row r="33" spans="1:9" x14ac:dyDescent="0.25">
      <c r="A33" t="b">
        <v>1</v>
      </c>
      <c r="B33">
        <v>4</v>
      </c>
      <c r="C33" t="s">
        <v>225</v>
      </c>
      <c r="D33" t="s">
        <v>157</v>
      </c>
      <c r="E33" t="s">
        <v>122</v>
      </c>
      <c r="G33">
        <v>2023</v>
      </c>
      <c r="H33" t="s">
        <v>213</v>
      </c>
      <c r="I33">
        <v>2600</v>
      </c>
    </row>
    <row r="34" spans="1:9" x14ac:dyDescent="0.25">
      <c r="A34" t="b">
        <v>1</v>
      </c>
      <c r="B34">
        <v>4</v>
      </c>
      <c r="C34" t="s">
        <v>225</v>
      </c>
      <c r="D34" t="s">
        <v>157</v>
      </c>
      <c r="E34" t="s">
        <v>122</v>
      </c>
      <c r="G34">
        <v>2023</v>
      </c>
      <c r="H34" t="s">
        <v>214</v>
      </c>
      <c r="I34">
        <v>2600</v>
      </c>
    </row>
    <row r="35" spans="1:9" x14ac:dyDescent="0.25">
      <c r="A35" t="b">
        <v>1</v>
      </c>
      <c r="B35">
        <v>4</v>
      </c>
      <c r="C35" t="s">
        <v>225</v>
      </c>
      <c r="D35" t="s">
        <v>157</v>
      </c>
      <c r="E35" t="s">
        <v>122</v>
      </c>
      <c r="G35">
        <v>2023</v>
      </c>
      <c r="H35" t="s">
        <v>215</v>
      </c>
      <c r="I35">
        <v>2600</v>
      </c>
    </row>
    <row r="36" spans="1:9" x14ac:dyDescent="0.25">
      <c r="A36" t="b">
        <v>1</v>
      </c>
      <c r="B36">
        <v>4</v>
      </c>
      <c r="C36" t="s">
        <v>225</v>
      </c>
      <c r="D36" t="s">
        <v>157</v>
      </c>
      <c r="E36" t="s">
        <v>122</v>
      </c>
      <c r="G36">
        <v>2023</v>
      </c>
      <c r="H36" t="s">
        <v>230</v>
      </c>
      <c r="I36">
        <v>2600</v>
      </c>
    </row>
    <row r="37" spans="1:9" x14ac:dyDescent="0.25">
      <c r="A37" t="b">
        <v>1</v>
      </c>
      <c r="B37">
        <v>4</v>
      </c>
      <c r="C37" t="s">
        <v>225</v>
      </c>
      <c r="D37" t="s">
        <v>157</v>
      </c>
      <c r="E37" t="s">
        <v>122</v>
      </c>
      <c r="G37">
        <v>2023</v>
      </c>
      <c r="H37" t="s">
        <v>231</v>
      </c>
      <c r="I37">
        <v>2600</v>
      </c>
    </row>
    <row r="38" spans="1:9" x14ac:dyDescent="0.25">
      <c r="A38" t="b">
        <v>1</v>
      </c>
      <c r="B38">
        <v>5</v>
      </c>
      <c r="C38" t="s">
        <v>233</v>
      </c>
      <c r="D38" t="s">
        <v>158</v>
      </c>
      <c r="E38" t="s">
        <v>120</v>
      </c>
      <c r="G38">
        <v>2023</v>
      </c>
      <c r="H38" t="s">
        <v>226</v>
      </c>
      <c r="I38">
        <v>74700</v>
      </c>
    </row>
    <row r="39" spans="1:9" x14ac:dyDescent="0.25">
      <c r="A39" t="b">
        <v>1</v>
      </c>
      <c r="B39">
        <v>5</v>
      </c>
      <c r="C39" t="s">
        <v>233</v>
      </c>
      <c r="D39" t="s">
        <v>158</v>
      </c>
      <c r="E39" t="s">
        <v>120</v>
      </c>
      <c r="G39">
        <v>2023</v>
      </c>
      <c r="H39" t="s">
        <v>227</v>
      </c>
      <c r="I39">
        <v>74700</v>
      </c>
    </row>
    <row r="40" spans="1:9" x14ac:dyDescent="0.25">
      <c r="A40" t="b">
        <v>1</v>
      </c>
      <c r="B40">
        <v>5</v>
      </c>
      <c r="C40" t="s">
        <v>233</v>
      </c>
      <c r="D40" t="s">
        <v>158</v>
      </c>
      <c r="E40" t="s">
        <v>120</v>
      </c>
      <c r="G40">
        <v>2023</v>
      </c>
      <c r="H40" t="s">
        <v>228</v>
      </c>
      <c r="I40">
        <v>74700</v>
      </c>
    </row>
    <row r="41" spans="1:9" x14ac:dyDescent="0.25">
      <c r="A41" t="b">
        <v>1</v>
      </c>
      <c r="B41">
        <v>5</v>
      </c>
      <c r="C41" t="s">
        <v>233</v>
      </c>
      <c r="D41" t="s">
        <v>158</v>
      </c>
      <c r="E41" t="s">
        <v>120</v>
      </c>
      <c r="G41">
        <v>2023</v>
      </c>
      <c r="H41" t="s">
        <v>229</v>
      </c>
      <c r="I41">
        <v>74700</v>
      </c>
    </row>
    <row r="42" spans="1:9" x14ac:dyDescent="0.25">
      <c r="A42" t="b">
        <v>1</v>
      </c>
      <c r="B42">
        <v>5</v>
      </c>
      <c r="C42" t="s">
        <v>233</v>
      </c>
      <c r="D42" t="s">
        <v>158</v>
      </c>
      <c r="E42" t="s">
        <v>120</v>
      </c>
      <c r="G42">
        <v>2023</v>
      </c>
      <c r="H42" t="s">
        <v>210</v>
      </c>
      <c r="I42">
        <v>74700</v>
      </c>
    </row>
    <row r="43" spans="1:9" x14ac:dyDescent="0.25">
      <c r="A43" t="b">
        <v>1</v>
      </c>
      <c r="B43">
        <v>5</v>
      </c>
      <c r="C43" t="s">
        <v>233</v>
      </c>
      <c r="D43" t="s">
        <v>158</v>
      </c>
      <c r="E43" t="s">
        <v>120</v>
      </c>
      <c r="G43">
        <v>2023</v>
      </c>
      <c r="H43" t="s">
        <v>211</v>
      </c>
      <c r="I43">
        <v>74700</v>
      </c>
    </row>
    <row r="44" spans="1:9" x14ac:dyDescent="0.25">
      <c r="A44" t="b">
        <v>1</v>
      </c>
      <c r="B44">
        <v>5</v>
      </c>
      <c r="C44" t="s">
        <v>233</v>
      </c>
      <c r="D44" t="s">
        <v>158</v>
      </c>
      <c r="E44" t="s">
        <v>120</v>
      </c>
      <c r="G44">
        <v>2023</v>
      </c>
      <c r="H44" t="s">
        <v>212</v>
      </c>
      <c r="I44">
        <v>74700</v>
      </c>
    </row>
    <row r="45" spans="1:9" x14ac:dyDescent="0.25">
      <c r="A45" t="b">
        <v>1</v>
      </c>
      <c r="B45">
        <v>5</v>
      </c>
      <c r="C45" t="s">
        <v>233</v>
      </c>
      <c r="D45" t="s">
        <v>158</v>
      </c>
      <c r="E45" t="s">
        <v>120</v>
      </c>
      <c r="G45">
        <v>2023</v>
      </c>
      <c r="H45" t="s">
        <v>213</v>
      </c>
      <c r="I45">
        <v>74700</v>
      </c>
    </row>
    <row r="46" spans="1:9" x14ac:dyDescent="0.25">
      <c r="A46" t="b">
        <v>1</v>
      </c>
      <c r="B46">
        <v>5</v>
      </c>
      <c r="C46" t="s">
        <v>233</v>
      </c>
      <c r="D46" t="s">
        <v>158</v>
      </c>
      <c r="E46" t="s">
        <v>120</v>
      </c>
      <c r="G46">
        <v>2023</v>
      </c>
      <c r="H46" t="s">
        <v>214</v>
      </c>
      <c r="I46">
        <v>74700</v>
      </c>
    </row>
    <row r="47" spans="1:9" x14ac:dyDescent="0.25">
      <c r="A47" t="b">
        <v>1</v>
      </c>
      <c r="B47">
        <v>5</v>
      </c>
      <c r="C47" t="s">
        <v>233</v>
      </c>
      <c r="D47" t="s">
        <v>158</v>
      </c>
      <c r="E47" t="s">
        <v>120</v>
      </c>
      <c r="G47">
        <v>2023</v>
      </c>
      <c r="H47" t="s">
        <v>215</v>
      </c>
      <c r="I47">
        <v>74700</v>
      </c>
    </row>
    <row r="48" spans="1:9" x14ac:dyDescent="0.25">
      <c r="A48" t="b">
        <v>1</v>
      </c>
      <c r="B48">
        <v>5</v>
      </c>
      <c r="C48" t="s">
        <v>233</v>
      </c>
      <c r="D48" t="s">
        <v>158</v>
      </c>
      <c r="E48" t="s">
        <v>120</v>
      </c>
      <c r="G48">
        <v>2023</v>
      </c>
      <c r="H48" t="s">
        <v>230</v>
      </c>
      <c r="I48">
        <v>74700</v>
      </c>
    </row>
    <row r="49" spans="1:17" x14ac:dyDescent="0.25">
      <c r="A49" t="b">
        <v>1</v>
      </c>
      <c r="B49">
        <v>5</v>
      </c>
      <c r="C49" t="s">
        <v>233</v>
      </c>
      <c r="D49" t="s">
        <v>158</v>
      </c>
      <c r="E49" t="s">
        <v>120</v>
      </c>
      <c r="G49">
        <v>2023</v>
      </c>
      <c r="H49" t="s">
        <v>231</v>
      </c>
      <c r="I49">
        <v>74700</v>
      </c>
    </row>
    <row r="50" spans="1:17" x14ac:dyDescent="0.25">
      <c r="A50" t="b">
        <v>1</v>
      </c>
      <c r="B50">
        <v>6</v>
      </c>
      <c r="C50" t="s">
        <v>233</v>
      </c>
      <c r="D50" t="s">
        <v>159</v>
      </c>
      <c r="E50" t="s">
        <v>120</v>
      </c>
      <c r="G50">
        <v>2023</v>
      </c>
      <c r="H50" t="s">
        <v>226</v>
      </c>
      <c r="I50">
        <v>49800</v>
      </c>
    </row>
    <row r="51" spans="1:17" x14ac:dyDescent="0.25">
      <c r="A51" t="b">
        <v>1</v>
      </c>
      <c r="B51">
        <v>6</v>
      </c>
      <c r="C51" t="s">
        <v>233</v>
      </c>
      <c r="D51" t="s">
        <v>159</v>
      </c>
      <c r="E51" t="s">
        <v>120</v>
      </c>
      <c r="G51">
        <v>2023</v>
      </c>
      <c r="H51" t="s">
        <v>227</v>
      </c>
      <c r="I51">
        <v>49800</v>
      </c>
    </row>
    <row r="52" spans="1:17" x14ac:dyDescent="0.25">
      <c r="A52" t="b">
        <v>1</v>
      </c>
      <c r="B52">
        <v>6</v>
      </c>
      <c r="C52" t="s">
        <v>233</v>
      </c>
      <c r="D52" t="s">
        <v>159</v>
      </c>
      <c r="E52" t="s">
        <v>120</v>
      </c>
      <c r="G52">
        <v>2023</v>
      </c>
      <c r="H52" t="s">
        <v>228</v>
      </c>
      <c r="I52">
        <v>49800</v>
      </c>
    </row>
    <row r="53" spans="1:17" x14ac:dyDescent="0.25">
      <c r="A53" t="b">
        <v>1</v>
      </c>
      <c r="B53">
        <v>6</v>
      </c>
      <c r="C53" t="s">
        <v>233</v>
      </c>
      <c r="D53" t="s">
        <v>159</v>
      </c>
      <c r="E53" t="s">
        <v>120</v>
      </c>
      <c r="G53">
        <v>2023</v>
      </c>
      <c r="H53" t="s">
        <v>229</v>
      </c>
      <c r="I53">
        <v>49800</v>
      </c>
    </row>
    <row r="54" spans="1:17" x14ac:dyDescent="0.25">
      <c r="A54" t="b">
        <v>1</v>
      </c>
      <c r="B54">
        <v>6</v>
      </c>
      <c r="C54" t="s">
        <v>233</v>
      </c>
      <c r="D54" t="s">
        <v>159</v>
      </c>
      <c r="E54" t="s">
        <v>120</v>
      </c>
      <c r="G54">
        <v>2023</v>
      </c>
      <c r="H54" t="s">
        <v>210</v>
      </c>
      <c r="I54">
        <v>49800</v>
      </c>
    </row>
    <row r="55" spans="1:17" x14ac:dyDescent="0.25">
      <c r="A55" t="b">
        <v>1</v>
      </c>
      <c r="B55">
        <v>6</v>
      </c>
      <c r="C55" t="s">
        <v>233</v>
      </c>
      <c r="D55" t="s">
        <v>159</v>
      </c>
      <c r="E55" t="s">
        <v>120</v>
      </c>
      <c r="G55">
        <v>2023</v>
      </c>
      <c r="H55" t="s">
        <v>211</v>
      </c>
      <c r="I55">
        <v>49800</v>
      </c>
    </row>
    <row r="56" spans="1:17" x14ac:dyDescent="0.25">
      <c r="A56" t="b">
        <v>1</v>
      </c>
      <c r="B56">
        <v>6</v>
      </c>
      <c r="C56" t="s">
        <v>233</v>
      </c>
      <c r="D56" t="s">
        <v>159</v>
      </c>
      <c r="E56" t="s">
        <v>120</v>
      </c>
      <c r="G56">
        <v>2023</v>
      </c>
      <c r="H56" t="s">
        <v>212</v>
      </c>
      <c r="I56">
        <v>49800</v>
      </c>
    </row>
    <row r="57" spans="1:17" x14ac:dyDescent="0.25">
      <c r="A57" t="b">
        <v>1</v>
      </c>
      <c r="B57">
        <v>6</v>
      </c>
      <c r="C57" t="s">
        <v>233</v>
      </c>
      <c r="D57" t="s">
        <v>159</v>
      </c>
      <c r="E57" t="s">
        <v>120</v>
      </c>
      <c r="G57">
        <v>2023</v>
      </c>
      <c r="H57" t="s">
        <v>213</v>
      </c>
      <c r="I57">
        <v>49800</v>
      </c>
    </row>
    <row r="58" spans="1:17" x14ac:dyDescent="0.25">
      <c r="A58" t="b">
        <v>1</v>
      </c>
      <c r="B58">
        <v>6</v>
      </c>
      <c r="C58" t="s">
        <v>233</v>
      </c>
      <c r="D58" t="s">
        <v>159</v>
      </c>
      <c r="E58" t="s">
        <v>120</v>
      </c>
      <c r="G58">
        <v>2023</v>
      </c>
      <c r="H58" t="s">
        <v>214</v>
      </c>
      <c r="I58">
        <v>49800</v>
      </c>
    </row>
    <row r="59" spans="1:17" x14ac:dyDescent="0.25">
      <c r="A59" t="b">
        <v>1</v>
      </c>
      <c r="B59">
        <v>6</v>
      </c>
      <c r="C59" t="s">
        <v>233</v>
      </c>
      <c r="D59" t="s">
        <v>159</v>
      </c>
      <c r="E59" t="s">
        <v>120</v>
      </c>
      <c r="G59">
        <v>2023</v>
      </c>
      <c r="H59" t="s">
        <v>215</v>
      </c>
      <c r="I59">
        <v>49800</v>
      </c>
    </row>
    <row r="60" spans="1:17" x14ac:dyDescent="0.25">
      <c r="A60" t="b">
        <v>1</v>
      </c>
      <c r="B60">
        <v>6</v>
      </c>
      <c r="C60" t="s">
        <v>233</v>
      </c>
      <c r="D60" t="s">
        <v>159</v>
      </c>
      <c r="E60" t="s">
        <v>120</v>
      </c>
      <c r="G60">
        <v>2023</v>
      </c>
      <c r="H60" t="s">
        <v>230</v>
      </c>
      <c r="I60">
        <v>49800</v>
      </c>
    </row>
    <row r="61" spans="1:17" x14ac:dyDescent="0.25">
      <c r="A61" t="b">
        <v>1</v>
      </c>
      <c r="B61">
        <v>6</v>
      </c>
      <c r="C61" t="s">
        <v>233</v>
      </c>
      <c r="D61" t="s">
        <v>159</v>
      </c>
      <c r="E61" t="s">
        <v>120</v>
      </c>
      <c r="G61">
        <v>2023</v>
      </c>
      <c r="H61" t="s">
        <v>231</v>
      </c>
      <c r="I61">
        <v>49800</v>
      </c>
    </row>
    <row r="62" spans="1:17" x14ac:dyDescent="0.25">
      <c r="A62" t="b">
        <v>1</v>
      </c>
      <c r="B62">
        <v>7</v>
      </c>
      <c r="C62" t="s">
        <v>225</v>
      </c>
      <c r="D62" t="s">
        <v>160</v>
      </c>
      <c r="E62" t="s">
        <v>120</v>
      </c>
      <c r="G62">
        <v>2023</v>
      </c>
      <c r="H62" t="s">
        <v>226</v>
      </c>
      <c r="I62">
        <v>16600</v>
      </c>
      <c r="O62" s="60"/>
      <c r="P62" s="60"/>
      <c r="Q62" s="60"/>
    </row>
    <row r="63" spans="1:17" x14ac:dyDescent="0.25">
      <c r="A63" t="b">
        <v>1</v>
      </c>
      <c r="B63">
        <v>7</v>
      </c>
      <c r="C63" t="s">
        <v>225</v>
      </c>
      <c r="D63" t="s">
        <v>160</v>
      </c>
      <c r="E63" t="s">
        <v>120</v>
      </c>
      <c r="G63">
        <v>2023</v>
      </c>
      <c r="H63" t="s">
        <v>227</v>
      </c>
      <c r="I63">
        <v>16600</v>
      </c>
      <c r="O63" s="59"/>
      <c r="P63" s="59"/>
      <c r="Q63" s="59"/>
    </row>
    <row r="64" spans="1:17" x14ac:dyDescent="0.25">
      <c r="A64" t="b">
        <v>1</v>
      </c>
      <c r="B64">
        <v>7</v>
      </c>
      <c r="C64" t="s">
        <v>225</v>
      </c>
      <c r="D64" t="s">
        <v>160</v>
      </c>
      <c r="E64" t="s">
        <v>120</v>
      </c>
      <c r="G64">
        <v>2023</v>
      </c>
      <c r="H64" t="s">
        <v>228</v>
      </c>
      <c r="I64">
        <v>16600</v>
      </c>
      <c r="O64" s="60"/>
      <c r="P64" s="60"/>
      <c r="Q64" s="60"/>
    </row>
    <row r="65" spans="1:17" x14ac:dyDescent="0.25">
      <c r="A65" t="b">
        <v>1</v>
      </c>
      <c r="B65">
        <v>7</v>
      </c>
      <c r="C65" t="s">
        <v>225</v>
      </c>
      <c r="D65" t="s">
        <v>160</v>
      </c>
      <c r="E65" t="s">
        <v>120</v>
      </c>
      <c r="G65">
        <v>2023</v>
      </c>
      <c r="H65" t="s">
        <v>229</v>
      </c>
      <c r="I65">
        <v>16600</v>
      </c>
      <c r="O65" s="59"/>
      <c r="P65" s="59"/>
      <c r="Q65" s="59"/>
    </row>
    <row r="66" spans="1:17" x14ac:dyDescent="0.25">
      <c r="A66" t="b">
        <v>1</v>
      </c>
      <c r="B66">
        <v>7</v>
      </c>
      <c r="C66" t="s">
        <v>225</v>
      </c>
      <c r="D66" t="s">
        <v>160</v>
      </c>
      <c r="E66" t="s">
        <v>120</v>
      </c>
      <c r="G66">
        <v>2023</v>
      </c>
      <c r="H66" t="s">
        <v>210</v>
      </c>
      <c r="I66">
        <v>16600</v>
      </c>
      <c r="O66" s="60"/>
      <c r="P66" s="60"/>
      <c r="Q66" s="60"/>
    </row>
    <row r="67" spans="1:17" x14ac:dyDescent="0.25">
      <c r="A67" t="b">
        <v>1</v>
      </c>
      <c r="B67">
        <v>7</v>
      </c>
      <c r="C67" t="s">
        <v>225</v>
      </c>
      <c r="D67" t="s">
        <v>160</v>
      </c>
      <c r="E67" t="s">
        <v>120</v>
      </c>
      <c r="G67">
        <v>2023</v>
      </c>
      <c r="H67" t="s">
        <v>211</v>
      </c>
      <c r="I67">
        <v>16600</v>
      </c>
      <c r="O67" s="59"/>
      <c r="P67" s="59"/>
      <c r="Q67" s="59"/>
    </row>
    <row r="68" spans="1:17" x14ac:dyDescent="0.25">
      <c r="A68" t="b">
        <v>1</v>
      </c>
      <c r="B68">
        <v>7</v>
      </c>
      <c r="C68" t="s">
        <v>225</v>
      </c>
      <c r="D68" t="s">
        <v>160</v>
      </c>
      <c r="E68" t="s">
        <v>120</v>
      </c>
      <c r="G68">
        <v>2023</v>
      </c>
      <c r="H68" t="s">
        <v>212</v>
      </c>
      <c r="I68">
        <v>16600</v>
      </c>
      <c r="O68" s="60"/>
      <c r="P68" s="60"/>
      <c r="Q68" s="60"/>
    </row>
    <row r="69" spans="1:17" x14ac:dyDescent="0.25">
      <c r="A69" t="b">
        <v>1</v>
      </c>
      <c r="B69">
        <v>7</v>
      </c>
      <c r="C69" t="s">
        <v>225</v>
      </c>
      <c r="D69" t="s">
        <v>160</v>
      </c>
      <c r="E69" t="s">
        <v>120</v>
      </c>
      <c r="G69">
        <v>2023</v>
      </c>
      <c r="H69" t="s">
        <v>213</v>
      </c>
      <c r="I69">
        <v>16600</v>
      </c>
      <c r="O69" s="59"/>
      <c r="P69" s="59"/>
      <c r="Q69" s="59"/>
    </row>
    <row r="70" spans="1:17" x14ac:dyDescent="0.25">
      <c r="A70" t="b">
        <v>1</v>
      </c>
      <c r="B70">
        <v>7</v>
      </c>
      <c r="C70" t="s">
        <v>225</v>
      </c>
      <c r="D70" t="s">
        <v>160</v>
      </c>
      <c r="E70" t="s">
        <v>120</v>
      </c>
      <c r="G70">
        <v>2023</v>
      </c>
      <c r="H70" t="s">
        <v>214</v>
      </c>
      <c r="I70">
        <v>16600</v>
      </c>
    </row>
    <row r="71" spans="1:17" x14ac:dyDescent="0.25">
      <c r="A71" t="b">
        <v>1</v>
      </c>
      <c r="B71">
        <v>7</v>
      </c>
      <c r="C71" t="s">
        <v>225</v>
      </c>
      <c r="D71" t="s">
        <v>160</v>
      </c>
      <c r="E71" t="s">
        <v>120</v>
      </c>
      <c r="G71">
        <v>2023</v>
      </c>
      <c r="H71" t="s">
        <v>215</v>
      </c>
      <c r="I71">
        <v>16600</v>
      </c>
    </row>
    <row r="72" spans="1:17" x14ac:dyDescent="0.25">
      <c r="A72" t="b">
        <v>1</v>
      </c>
      <c r="B72">
        <v>7</v>
      </c>
      <c r="C72" t="s">
        <v>225</v>
      </c>
      <c r="D72" t="s">
        <v>160</v>
      </c>
      <c r="E72" t="s">
        <v>120</v>
      </c>
      <c r="G72">
        <v>2023</v>
      </c>
      <c r="H72" t="s">
        <v>230</v>
      </c>
      <c r="I72">
        <v>16600</v>
      </c>
    </row>
    <row r="73" spans="1:17" x14ac:dyDescent="0.25">
      <c r="A73" t="b">
        <v>1</v>
      </c>
      <c r="B73">
        <v>7</v>
      </c>
      <c r="C73" t="s">
        <v>225</v>
      </c>
      <c r="D73" t="s">
        <v>160</v>
      </c>
      <c r="E73" t="s">
        <v>120</v>
      </c>
      <c r="G73">
        <v>2023</v>
      </c>
      <c r="H73" t="s">
        <v>231</v>
      </c>
      <c r="I73">
        <v>16600</v>
      </c>
    </row>
    <row r="74" spans="1:17" x14ac:dyDescent="0.25">
      <c r="A74" t="b">
        <v>1</v>
      </c>
      <c r="B74">
        <v>8</v>
      </c>
      <c r="C74" t="s">
        <v>233</v>
      </c>
      <c r="D74" t="s">
        <v>161</v>
      </c>
      <c r="E74" t="s">
        <v>120</v>
      </c>
      <c r="G74">
        <v>2023</v>
      </c>
      <c r="H74" t="s">
        <v>226</v>
      </c>
      <c r="I74">
        <v>24900</v>
      </c>
    </row>
    <row r="75" spans="1:17" x14ac:dyDescent="0.25">
      <c r="A75" t="b">
        <v>1</v>
      </c>
      <c r="B75">
        <v>8</v>
      </c>
      <c r="C75" t="s">
        <v>233</v>
      </c>
      <c r="D75" t="s">
        <v>161</v>
      </c>
      <c r="E75" t="s">
        <v>120</v>
      </c>
      <c r="G75">
        <v>2023</v>
      </c>
      <c r="H75" t="s">
        <v>227</v>
      </c>
      <c r="I75">
        <v>24900</v>
      </c>
    </row>
    <row r="76" spans="1:17" x14ac:dyDescent="0.25">
      <c r="A76" t="b">
        <v>1</v>
      </c>
      <c r="B76">
        <v>8</v>
      </c>
      <c r="C76" t="s">
        <v>233</v>
      </c>
      <c r="D76" t="s">
        <v>161</v>
      </c>
      <c r="E76" t="s">
        <v>120</v>
      </c>
      <c r="G76">
        <v>2023</v>
      </c>
      <c r="H76" t="s">
        <v>228</v>
      </c>
      <c r="I76">
        <v>24900</v>
      </c>
    </row>
    <row r="77" spans="1:17" x14ac:dyDescent="0.25">
      <c r="A77" t="b">
        <v>1</v>
      </c>
      <c r="B77">
        <v>8</v>
      </c>
      <c r="C77" t="s">
        <v>233</v>
      </c>
      <c r="D77" t="s">
        <v>161</v>
      </c>
      <c r="E77" t="s">
        <v>120</v>
      </c>
      <c r="G77">
        <v>2023</v>
      </c>
      <c r="H77" t="s">
        <v>229</v>
      </c>
      <c r="I77">
        <v>24900</v>
      </c>
    </row>
    <row r="78" spans="1:17" x14ac:dyDescent="0.25">
      <c r="A78" t="b">
        <v>1</v>
      </c>
      <c r="B78">
        <v>8</v>
      </c>
      <c r="C78" t="s">
        <v>233</v>
      </c>
      <c r="D78" t="s">
        <v>161</v>
      </c>
      <c r="E78" t="s">
        <v>120</v>
      </c>
      <c r="G78">
        <v>2023</v>
      </c>
      <c r="H78" t="s">
        <v>210</v>
      </c>
      <c r="I78">
        <v>24900</v>
      </c>
    </row>
    <row r="79" spans="1:17" x14ac:dyDescent="0.25">
      <c r="A79" t="b">
        <v>1</v>
      </c>
      <c r="B79">
        <v>8</v>
      </c>
      <c r="C79" t="s">
        <v>233</v>
      </c>
      <c r="D79" t="s">
        <v>161</v>
      </c>
      <c r="E79" t="s">
        <v>120</v>
      </c>
      <c r="G79">
        <v>2023</v>
      </c>
      <c r="H79" t="s">
        <v>211</v>
      </c>
      <c r="I79">
        <v>24900</v>
      </c>
    </row>
    <row r="80" spans="1:17" x14ac:dyDescent="0.25">
      <c r="A80" t="b">
        <v>1</v>
      </c>
      <c r="B80">
        <v>8</v>
      </c>
      <c r="C80" t="s">
        <v>233</v>
      </c>
      <c r="D80" t="s">
        <v>161</v>
      </c>
      <c r="E80" t="s">
        <v>120</v>
      </c>
      <c r="G80">
        <v>2023</v>
      </c>
      <c r="H80" t="s">
        <v>212</v>
      </c>
      <c r="I80">
        <v>24900</v>
      </c>
    </row>
    <row r="81" spans="1:9" x14ac:dyDescent="0.25">
      <c r="A81" t="b">
        <v>1</v>
      </c>
      <c r="B81">
        <v>8</v>
      </c>
      <c r="C81" t="s">
        <v>233</v>
      </c>
      <c r="D81" t="s">
        <v>161</v>
      </c>
      <c r="E81" t="s">
        <v>120</v>
      </c>
      <c r="G81">
        <v>2023</v>
      </c>
      <c r="H81" t="s">
        <v>213</v>
      </c>
      <c r="I81">
        <v>24900</v>
      </c>
    </row>
    <row r="82" spans="1:9" x14ac:dyDescent="0.25">
      <c r="A82" t="b">
        <v>1</v>
      </c>
      <c r="B82">
        <v>8</v>
      </c>
      <c r="C82" t="s">
        <v>233</v>
      </c>
      <c r="D82" t="s">
        <v>161</v>
      </c>
      <c r="E82" t="s">
        <v>120</v>
      </c>
      <c r="G82">
        <v>2023</v>
      </c>
      <c r="H82" t="s">
        <v>214</v>
      </c>
      <c r="I82">
        <v>24900</v>
      </c>
    </row>
    <row r="83" spans="1:9" x14ac:dyDescent="0.25">
      <c r="A83" t="b">
        <v>1</v>
      </c>
      <c r="B83">
        <v>8</v>
      </c>
      <c r="C83" t="s">
        <v>233</v>
      </c>
      <c r="D83" t="s">
        <v>161</v>
      </c>
      <c r="E83" t="s">
        <v>120</v>
      </c>
      <c r="G83">
        <v>2023</v>
      </c>
      <c r="H83" t="s">
        <v>215</v>
      </c>
      <c r="I83">
        <v>24900</v>
      </c>
    </row>
    <row r="84" spans="1:9" x14ac:dyDescent="0.25">
      <c r="A84" t="b">
        <v>1</v>
      </c>
      <c r="B84">
        <v>8</v>
      </c>
      <c r="C84" t="s">
        <v>233</v>
      </c>
      <c r="D84" t="s">
        <v>161</v>
      </c>
      <c r="E84" t="s">
        <v>120</v>
      </c>
      <c r="G84">
        <v>2023</v>
      </c>
      <c r="H84" t="s">
        <v>230</v>
      </c>
      <c r="I84">
        <v>24900</v>
      </c>
    </row>
    <row r="85" spans="1:9" x14ac:dyDescent="0.25">
      <c r="A85" t="b">
        <v>1</v>
      </c>
      <c r="B85">
        <v>8</v>
      </c>
      <c r="C85" t="s">
        <v>233</v>
      </c>
      <c r="D85" t="s">
        <v>161</v>
      </c>
      <c r="E85" t="s">
        <v>120</v>
      </c>
      <c r="G85">
        <v>2023</v>
      </c>
      <c r="H85" t="s">
        <v>231</v>
      </c>
      <c r="I85">
        <v>24900</v>
      </c>
    </row>
    <row r="86" spans="1:9" x14ac:dyDescent="0.25">
      <c r="A86" t="b">
        <v>1</v>
      </c>
      <c r="B86">
        <v>9</v>
      </c>
      <c r="C86" t="s">
        <v>225</v>
      </c>
      <c r="D86" t="s">
        <v>195</v>
      </c>
      <c r="E86" t="s">
        <v>115</v>
      </c>
      <c r="G86">
        <v>2023</v>
      </c>
      <c r="H86" t="s">
        <v>226</v>
      </c>
      <c r="I86">
        <v>1000</v>
      </c>
    </row>
    <row r="87" spans="1:9" x14ac:dyDescent="0.25">
      <c r="A87" t="b">
        <v>1</v>
      </c>
      <c r="B87">
        <v>9</v>
      </c>
      <c r="C87" t="s">
        <v>225</v>
      </c>
      <c r="D87" t="s">
        <v>195</v>
      </c>
      <c r="E87" t="s">
        <v>115</v>
      </c>
      <c r="G87">
        <v>2023</v>
      </c>
      <c r="H87" t="s">
        <v>228</v>
      </c>
      <c r="I87">
        <v>1000</v>
      </c>
    </row>
    <row r="88" spans="1:9" x14ac:dyDescent="0.25">
      <c r="A88" t="b">
        <v>1</v>
      </c>
      <c r="B88">
        <v>9</v>
      </c>
      <c r="C88" t="s">
        <v>225</v>
      </c>
      <c r="D88" t="s">
        <v>195</v>
      </c>
      <c r="E88" t="s">
        <v>115</v>
      </c>
      <c r="G88">
        <v>2023</v>
      </c>
      <c r="H88" t="s">
        <v>210</v>
      </c>
      <c r="I88">
        <v>1000</v>
      </c>
    </row>
    <row r="89" spans="1:9" x14ac:dyDescent="0.25">
      <c r="A89" t="b">
        <v>1</v>
      </c>
      <c r="B89">
        <v>9</v>
      </c>
      <c r="C89" t="s">
        <v>225</v>
      </c>
      <c r="D89" t="s">
        <v>195</v>
      </c>
      <c r="E89" t="s">
        <v>115</v>
      </c>
      <c r="G89">
        <v>2023</v>
      </c>
      <c r="H89" t="s">
        <v>212</v>
      </c>
      <c r="I89">
        <v>1000</v>
      </c>
    </row>
    <row r="90" spans="1:9" x14ac:dyDescent="0.25">
      <c r="A90" t="b">
        <v>1</v>
      </c>
      <c r="B90">
        <v>9</v>
      </c>
      <c r="C90" t="s">
        <v>225</v>
      </c>
      <c r="D90" t="s">
        <v>195</v>
      </c>
      <c r="E90" t="s">
        <v>115</v>
      </c>
      <c r="G90">
        <v>2023</v>
      </c>
      <c r="H90" t="s">
        <v>214</v>
      </c>
      <c r="I90">
        <v>1000</v>
      </c>
    </row>
    <row r="91" spans="1:9" x14ac:dyDescent="0.25">
      <c r="A91" t="b">
        <v>1</v>
      </c>
      <c r="B91">
        <v>9</v>
      </c>
      <c r="C91" t="s">
        <v>225</v>
      </c>
      <c r="D91" t="s">
        <v>195</v>
      </c>
      <c r="E91" t="s">
        <v>115</v>
      </c>
      <c r="G91">
        <v>2023</v>
      </c>
      <c r="H91" t="s">
        <v>230</v>
      </c>
      <c r="I91">
        <v>1000</v>
      </c>
    </row>
    <row r="92" spans="1:9" x14ac:dyDescent="0.25">
      <c r="A92" t="b">
        <v>1</v>
      </c>
      <c r="B92">
        <v>10</v>
      </c>
      <c r="C92" t="s">
        <v>225</v>
      </c>
      <c r="D92" t="s">
        <v>162</v>
      </c>
      <c r="E92" t="s">
        <v>115</v>
      </c>
      <c r="G92">
        <v>2023</v>
      </c>
      <c r="H92" t="s">
        <v>226</v>
      </c>
      <c r="I92">
        <v>2300</v>
      </c>
    </row>
    <row r="93" spans="1:9" x14ac:dyDescent="0.25">
      <c r="A93" t="b">
        <v>1</v>
      </c>
      <c r="B93">
        <v>10</v>
      </c>
      <c r="C93" t="s">
        <v>225</v>
      </c>
      <c r="D93" t="s">
        <v>162</v>
      </c>
      <c r="E93" t="s">
        <v>115</v>
      </c>
      <c r="G93">
        <v>2023</v>
      </c>
      <c r="H93" t="s">
        <v>227</v>
      </c>
      <c r="I93">
        <v>2300</v>
      </c>
    </row>
    <row r="94" spans="1:9" x14ac:dyDescent="0.25">
      <c r="A94" t="b">
        <v>1</v>
      </c>
      <c r="B94">
        <v>10</v>
      </c>
      <c r="C94" t="s">
        <v>225</v>
      </c>
      <c r="D94" t="s">
        <v>162</v>
      </c>
      <c r="E94" t="s">
        <v>115</v>
      </c>
      <c r="G94">
        <v>2023</v>
      </c>
      <c r="H94" t="s">
        <v>228</v>
      </c>
      <c r="I94">
        <v>2300</v>
      </c>
    </row>
    <row r="95" spans="1:9" x14ac:dyDescent="0.25">
      <c r="A95" t="b">
        <v>1</v>
      </c>
      <c r="B95">
        <v>10</v>
      </c>
      <c r="C95" t="s">
        <v>225</v>
      </c>
      <c r="D95" t="s">
        <v>162</v>
      </c>
      <c r="E95" t="s">
        <v>115</v>
      </c>
      <c r="G95">
        <v>2023</v>
      </c>
      <c r="H95" t="s">
        <v>229</v>
      </c>
      <c r="I95">
        <v>2300</v>
      </c>
    </row>
    <row r="96" spans="1:9" x14ac:dyDescent="0.25">
      <c r="A96" t="b">
        <v>1</v>
      </c>
      <c r="B96">
        <v>10</v>
      </c>
      <c r="C96" t="s">
        <v>225</v>
      </c>
      <c r="D96" t="s">
        <v>162</v>
      </c>
      <c r="E96" t="s">
        <v>115</v>
      </c>
      <c r="G96">
        <v>2023</v>
      </c>
      <c r="H96" t="s">
        <v>210</v>
      </c>
      <c r="I96">
        <v>2300</v>
      </c>
    </row>
    <row r="97" spans="1:9" x14ac:dyDescent="0.25">
      <c r="A97" t="b">
        <v>1</v>
      </c>
      <c r="B97">
        <v>10</v>
      </c>
      <c r="C97" t="s">
        <v>225</v>
      </c>
      <c r="D97" t="s">
        <v>162</v>
      </c>
      <c r="E97" t="s">
        <v>115</v>
      </c>
      <c r="G97">
        <v>2023</v>
      </c>
      <c r="H97" t="s">
        <v>211</v>
      </c>
      <c r="I97">
        <v>2300</v>
      </c>
    </row>
    <row r="98" spans="1:9" x14ac:dyDescent="0.25">
      <c r="A98" t="b">
        <v>1</v>
      </c>
      <c r="B98">
        <v>10</v>
      </c>
      <c r="C98" t="s">
        <v>225</v>
      </c>
      <c r="D98" t="s">
        <v>162</v>
      </c>
      <c r="E98" t="s">
        <v>115</v>
      </c>
      <c r="G98">
        <v>2023</v>
      </c>
      <c r="H98" t="s">
        <v>212</v>
      </c>
      <c r="I98">
        <v>2300</v>
      </c>
    </row>
    <row r="99" spans="1:9" x14ac:dyDescent="0.25">
      <c r="A99" t="b">
        <v>1</v>
      </c>
      <c r="B99">
        <v>10</v>
      </c>
      <c r="C99" t="s">
        <v>225</v>
      </c>
      <c r="D99" t="s">
        <v>162</v>
      </c>
      <c r="E99" t="s">
        <v>115</v>
      </c>
      <c r="G99">
        <v>2023</v>
      </c>
      <c r="H99" t="s">
        <v>213</v>
      </c>
      <c r="I99">
        <v>2300</v>
      </c>
    </row>
    <row r="100" spans="1:9" x14ac:dyDescent="0.25">
      <c r="A100" t="b">
        <v>1</v>
      </c>
      <c r="B100">
        <v>10</v>
      </c>
      <c r="C100" t="s">
        <v>225</v>
      </c>
      <c r="D100" t="s">
        <v>162</v>
      </c>
      <c r="E100" t="s">
        <v>115</v>
      </c>
      <c r="G100">
        <v>2023</v>
      </c>
      <c r="H100" t="s">
        <v>214</v>
      </c>
      <c r="I100">
        <v>2300</v>
      </c>
    </row>
    <row r="101" spans="1:9" x14ac:dyDescent="0.25">
      <c r="A101" t="b">
        <v>1</v>
      </c>
      <c r="B101">
        <v>10</v>
      </c>
      <c r="C101" t="s">
        <v>225</v>
      </c>
      <c r="D101" t="s">
        <v>162</v>
      </c>
      <c r="E101" t="s">
        <v>115</v>
      </c>
      <c r="G101">
        <v>2023</v>
      </c>
      <c r="H101" t="s">
        <v>215</v>
      </c>
      <c r="I101">
        <v>2300</v>
      </c>
    </row>
    <row r="102" spans="1:9" x14ac:dyDescent="0.25">
      <c r="A102" t="b">
        <v>1</v>
      </c>
      <c r="B102">
        <v>10</v>
      </c>
      <c r="C102" t="s">
        <v>225</v>
      </c>
      <c r="D102" t="s">
        <v>162</v>
      </c>
      <c r="E102" t="s">
        <v>115</v>
      </c>
      <c r="G102">
        <v>2023</v>
      </c>
      <c r="H102" t="s">
        <v>230</v>
      </c>
      <c r="I102">
        <v>2300</v>
      </c>
    </row>
    <row r="103" spans="1:9" x14ac:dyDescent="0.25">
      <c r="A103" t="b">
        <v>1</v>
      </c>
      <c r="B103">
        <v>10</v>
      </c>
      <c r="C103" t="s">
        <v>225</v>
      </c>
      <c r="D103" t="s">
        <v>162</v>
      </c>
      <c r="E103" t="s">
        <v>115</v>
      </c>
      <c r="G103">
        <v>2023</v>
      </c>
      <c r="H103" t="s">
        <v>231</v>
      </c>
      <c r="I103">
        <v>2300</v>
      </c>
    </row>
    <row r="104" spans="1:9" x14ac:dyDescent="0.25">
      <c r="A104" t="b">
        <v>1</v>
      </c>
      <c r="B104">
        <v>11</v>
      </c>
      <c r="C104" t="s">
        <v>225</v>
      </c>
      <c r="D104" t="s">
        <v>163</v>
      </c>
      <c r="E104" t="s">
        <v>115</v>
      </c>
      <c r="G104">
        <v>2023</v>
      </c>
      <c r="H104" t="s">
        <v>226</v>
      </c>
      <c r="I104">
        <v>4900</v>
      </c>
    </row>
    <row r="105" spans="1:9" x14ac:dyDescent="0.25">
      <c r="A105" t="b">
        <v>1</v>
      </c>
      <c r="B105">
        <v>11</v>
      </c>
      <c r="C105" t="s">
        <v>225</v>
      </c>
      <c r="D105" t="s">
        <v>163</v>
      </c>
      <c r="E105" t="s">
        <v>115</v>
      </c>
      <c r="G105">
        <v>2023</v>
      </c>
      <c r="H105" t="s">
        <v>227</v>
      </c>
      <c r="I105">
        <v>4900</v>
      </c>
    </row>
    <row r="106" spans="1:9" x14ac:dyDescent="0.25">
      <c r="A106" t="b">
        <v>1</v>
      </c>
      <c r="B106">
        <v>11</v>
      </c>
      <c r="C106" t="s">
        <v>225</v>
      </c>
      <c r="D106" t="s">
        <v>163</v>
      </c>
      <c r="E106" t="s">
        <v>115</v>
      </c>
      <c r="G106">
        <v>2023</v>
      </c>
      <c r="H106" t="s">
        <v>228</v>
      </c>
      <c r="I106">
        <v>4900</v>
      </c>
    </row>
    <row r="107" spans="1:9" x14ac:dyDescent="0.25">
      <c r="A107" t="b">
        <v>1</v>
      </c>
      <c r="B107">
        <v>11</v>
      </c>
      <c r="C107" t="s">
        <v>225</v>
      </c>
      <c r="D107" t="s">
        <v>163</v>
      </c>
      <c r="E107" t="s">
        <v>115</v>
      </c>
      <c r="G107">
        <v>2023</v>
      </c>
      <c r="H107" t="s">
        <v>229</v>
      </c>
      <c r="I107">
        <v>4900</v>
      </c>
    </row>
    <row r="108" spans="1:9" x14ac:dyDescent="0.25">
      <c r="A108" t="b">
        <v>1</v>
      </c>
      <c r="B108">
        <v>11</v>
      </c>
      <c r="C108" t="s">
        <v>225</v>
      </c>
      <c r="D108" t="s">
        <v>163</v>
      </c>
      <c r="E108" t="s">
        <v>115</v>
      </c>
      <c r="G108">
        <v>2023</v>
      </c>
      <c r="H108" t="s">
        <v>210</v>
      </c>
      <c r="I108">
        <v>4900</v>
      </c>
    </row>
    <row r="109" spans="1:9" x14ac:dyDescent="0.25">
      <c r="A109" t="b">
        <v>1</v>
      </c>
      <c r="B109">
        <v>11</v>
      </c>
      <c r="C109" t="s">
        <v>225</v>
      </c>
      <c r="D109" t="s">
        <v>163</v>
      </c>
      <c r="E109" t="s">
        <v>115</v>
      </c>
      <c r="G109">
        <v>2023</v>
      </c>
      <c r="H109" t="s">
        <v>211</v>
      </c>
      <c r="I109">
        <v>4900</v>
      </c>
    </row>
    <row r="110" spans="1:9" x14ac:dyDescent="0.25">
      <c r="A110" t="b">
        <v>1</v>
      </c>
      <c r="B110">
        <v>11</v>
      </c>
      <c r="C110" t="s">
        <v>225</v>
      </c>
      <c r="D110" t="s">
        <v>163</v>
      </c>
      <c r="E110" t="s">
        <v>115</v>
      </c>
      <c r="G110">
        <v>2023</v>
      </c>
      <c r="H110" t="s">
        <v>212</v>
      </c>
      <c r="I110">
        <v>4900</v>
      </c>
    </row>
    <row r="111" spans="1:9" x14ac:dyDescent="0.25">
      <c r="A111" t="b">
        <v>1</v>
      </c>
      <c r="B111">
        <v>11</v>
      </c>
      <c r="C111" t="s">
        <v>225</v>
      </c>
      <c r="D111" t="s">
        <v>163</v>
      </c>
      <c r="E111" t="s">
        <v>115</v>
      </c>
      <c r="G111">
        <v>2023</v>
      </c>
      <c r="H111" t="s">
        <v>213</v>
      </c>
      <c r="I111">
        <v>4900</v>
      </c>
    </row>
    <row r="112" spans="1:9" x14ac:dyDescent="0.25">
      <c r="A112" t="b">
        <v>1</v>
      </c>
      <c r="B112">
        <v>11</v>
      </c>
      <c r="C112" t="s">
        <v>225</v>
      </c>
      <c r="D112" t="s">
        <v>163</v>
      </c>
      <c r="E112" t="s">
        <v>115</v>
      </c>
      <c r="G112">
        <v>2023</v>
      </c>
      <c r="H112" t="s">
        <v>214</v>
      </c>
      <c r="I112">
        <v>4900</v>
      </c>
    </row>
    <row r="113" spans="1:9" x14ac:dyDescent="0.25">
      <c r="A113" t="b">
        <v>1</v>
      </c>
      <c r="B113">
        <v>11</v>
      </c>
      <c r="C113" t="s">
        <v>225</v>
      </c>
      <c r="D113" t="s">
        <v>163</v>
      </c>
      <c r="E113" t="s">
        <v>115</v>
      </c>
      <c r="G113">
        <v>2023</v>
      </c>
      <c r="H113" t="s">
        <v>215</v>
      </c>
      <c r="I113">
        <v>4900</v>
      </c>
    </row>
    <row r="114" spans="1:9" x14ac:dyDescent="0.25">
      <c r="A114" t="b">
        <v>1</v>
      </c>
      <c r="B114">
        <v>11</v>
      </c>
      <c r="C114" t="s">
        <v>225</v>
      </c>
      <c r="D114" t="s">
        <v>163</v>
      </c>
      <c r="E114" t="s">
        <v>115</v>
      </c>
      <c r="G114">
        <v>2023</v>
      </c>
      <c r="H114" t="s">
        <v>230</v>
      </c>
      <c r="I114">
        <v>4900</v>
      </c>
    </row>
    <row r="115" spans="1:9" x14ac:dyDescent="0.25">
      <c r="A115" t="b">
        <v>1</v>
      </c>
      <c r="B115">
        <v>11</v>
      </c>
      <c r="C115" t="s">
        <v>225</v>
      </c>
      <c r="D115" t="s">
        <v>163</v>
      </c>
      <c r="E115" t="s">
        <v>115</v>
      </c>
      <c r="G115">
        <v>2023</v>
      </c>
      <c r="H115" t="s">
        <v>231</v>
      </c>
      <c r="I115">
        <v>4900</v>
      </c>
    </row>
    <row r="116" spans="1:9" x14ac:dyDescent="0.25">
      <c r="A116" t="b">
        <v>1</v>
      </c>
      <c r="B116">
        <v>12</v>
      </c>
      <c r="C116" t="s">
        <v>225</v>
      </c>
      <c r="D116" t="s">
        <v>164</v>
      </c>
      <c r="E116" t="s">
        <v>115</v>
      </c>
      <c r="G116">
        <v>2023</v>
      </c>
      <c r="H116" t="s">
        <v>226</v>
      </c>
      <c r="I116">
        <v>3643</v>
      </c>
    </row>
    <row r="117" spans="1:9" x14ac:dyDescent="0.25">
      <c r="A117" t="b">
        <v>1</v>
      </c>
      <c r="B117">
        <v>12</v>
      </c>
      <c r="C117" t="s">
        <v>225</v>
      </c>
      <c r="D117" t="s">
        <v>164</v>
      </c>
      <c r="E117" t="s">
        <v>115</v>
      </c>
      <c r="G117">
        <v>2023</v>
      </c>
      <c r="H117" t="s">
        <v>227</v>
      </c>
      <c r="I117">
        <v>3643</v>
      </c>
    </row>
    <row r="118" spans="1:9" x14ac:dyDescent="0.25">
      <c r="A118" t="b">
        <v>1</v>
      </c>
      <c r="B118">
        <v>12</v>
      </c>
      <c r="C118" t="s">
        <v>225</v>
      </c>
      <c r="D118" t="s">
        <v>164</v>
      </c>
      <c r="E118" t="s">
        <v>115</v>
      </c>
      <c r="G118">
        <v>2023</v>
      </c>
      <c r="H118" t="s">
        <v>228</v>
      </c>
      <c r="I118">
        <v>3643</v>
      </c>
    </row>
    <row r="119" spans="1:9" x14ac:dyDescent="0.25">
      <c r="A119" t="b">
        <v>1</v>
      </c>
      <c r="B119">
        <v>12</v>
      </c>
      <c r="C119" t="s">
        <v>225</v>
      </c>
      <c r="D119" t="s">
        <v>164</v>
      </c>
      <c r="E119" t="s">
        <v>115</v>
      </c>
      <c r="G119">
        <v>2023</v>
      </c>
      <c r="H119" t="s">
        <v>229</v>
      </c>
      <c r="I119">
        <v>3643</v>
      </c>
    </row>
    <row r="120" spans="1:9" x14ac:dyDescent="0.25">
      <c r="A120" t="b">
        <v>1</v>
      </c>
      <c r="B120">
        <v>12</v>
      </c>
      <c r="C120" t="s">
        <v>225</v>
      </c>
      <c r="D120" t="s">
        <v>164</v>
      </c>
      <c r="E120" t="s">
        <v>115</v>
      </c>
      <c r="G120">
        <v>2023</v>
      </c>
      <c r="H120" t="s">
        <v>210</v>
      </c>
      <c r="I120">
        <v>3643</v>
      </c>
    </row>
    <row r="121" spans="1:9" x14ac:dyDescent="0.25">
      <c r="A121" t="b">
        <v>1</v>
      </c>
      <c r="B121">
        <v>12</v>
      </c>
      <c r="C121" t="s">
        <v>225</v>
      </c>
      <c r="D121" t="s">
        <v>164</v>
      </c>
      <c r="E121" t="s">
        <v>115</v>
      </c>
      <c r="G121">
        <v>2023</v>
      </c>
      <c r="H121" t="s">
        <v>211</v>
      </c>
      <c r="I121">
        <v>3643</v>
      </c>
    </row>
    <row r="122" spans="1:9" x14ac:dyDescent="0.25">
      <c r="A122" t="b">
        <v>1</v>
      </c>
      <c r="B122">
        <v>12</v>
      </c>
      <c r="C122" t="s">
        <v>225</v>
      </c>
      <c r="D122" t="s">
        <v>164</v>
      </c>
      <c r="E122" t="s">
        <v>115</v>
      </c>
      <c r="G122">
        <v>2023</v>
      </c>
      <c r="H122" t="s">
        <v>212</v>
      </c>
      <c r="I122">
        <v>3643</v>
      </c>
    </row>
    <row r="123" spans="1:9" x14ac:dyDescent="0.25">
      <c r="A123" t="b">
        <v>1</v>
      </c>
      <c r="B123">
        <v>12</v>
      </c>
      <c r="C123" t="s">
        <v>225</v>
      </c>
      <c r="D123" t="s">
        <v>164</v>
      </c>
      <c r="E123" t="s">
        <v>115</v>
      </c>
      <c r="G123">
        <v>2023</v>
      </c>
      <c r="H123" t="s">
        <v>213</v>
      </c>
      <c r="I123">
        <v>3643</v>
      </c>
    </row>
    <row r="124" spans="1:9" x14ac:dyDescent="0.25">
      <c r="A124" t="b">
        <v>1</v>
      </c>
      <c r="B124">
        <v>12</v>
      </c>
      <c r="C124" t="s">
        <v>225</v>
      </c>
      <c r="D124" t="s">
        <v>164</v>
      </c>
      <c r="E124" t="s">
        <v>115</v>
      </c>
      <c r="G124">
        <v>2023</v>
      </c>
      <c r="H124" t="s">
        <v>214</v>
      </c>
      <c r="I124">
        <v>3643</v>
      </c>
    </row>
    <row r="125" spans="1:9" x14ac:dyDescent="0.25">
      <c r="A125" t="b">
        <v>1</v>
      </c>
      <c r="B125">
        <v>12</v>
      </c>
      <c r="C125" t="s">
        <v>225</v>
      </c>
      <c r="D125" t="s">
        <v>164</v>
      </c>
      <c r="E125" t="s">
        <v>115</v>
      </c>
      <c r="G125">
        <v>2023</v>
      </c>
      <c r="H125" t="s">
        <v>215</v>
      </c>
      <c r="I125">
        <v>3643</v>
      </c>
    </row>
    <row r="126" spans="1:9" x14ac:dyDescent="0.25">
      <c r="A126" t="b">
        <v>1</v>
      </c>
      <c r="B126">
        <v>12</v>
      </c>
      <c r="C126" t="s">
        <v>225</v>
      </c>
      <c r="D126" t="s">
        <v>164</v>
      </c>
      <c r="E126" t="s">
        <v>115</v>
      </c>
      <c r="G126">
        <v>2023</v>
      </c>
      <c r="H126" t="s">
        <v>230</v>
      </c>
      <c r="I126">
        <v>3643</v>
      </c>
    </row>
    <row r="127" spans="1:9" x14ac:dyDescent="0.25">
      <c r="A127" t="b">
        <v>1</v>
      </c>
      <c r="B127">
        <v>12</v>
      </c>
      <c r="C127" t="s">
        <v>225</v>
      </c>
      <c r="D127" t="s">
        <v>164</v>
      </c>
      <c r="E127" t="s">
        <v>115</v>
      </c>
      <c r="G127">
        <v>2023</v>
      </c>
      <c r="H127" t="s">
        <v>231</v>
      </c>
      <c r="I127">
        <v>3643</v>
      </c>
    </row>
    <row r="128" spans="1:9" x14ac:dyDescent="0.25">
      <c r="A128" t="b">
        <v>1</v>
      </c>
      <c r="B128">
        <v>13</v>
      </c>
      <c r="C128" t="s">
        <v>232</v>
      </c>
      <c r="D128" t="s">
        <v>165</v>
      </c>
      <c r="E128" t="s">
        <v>123</v>
      </c>
      <c r="G128">
        <v>2023</v>
      </c>
      <c r="H128" t="s">
        <v>226</v>
      </c>
      <c r="I128">
        <v>3000</v>
      </c>
    </row>
    <row r="129" spans="1:9" x14ac:dyDescent="0.25">
      <c r="A129" t="b">
        <v>1</v>
      </c>
      <c r="B129">
        <v>13</v>
      </c>
      <c r="C129" t="s">
        <v>232</v>
      </c>
      <c r="D129" t="s">
        <v>165</v>
      </c>
      <c r="E129" t="s">
        <v>123</v>
      </c>
      <c r="G129">
        <v>2023</v>
      </c>
      <c r="H129" t="s">
        <v>227</v>
      </c>
      <c r="I129">
        <v>3000</v>
      </c>
    </row>
    <row r="130" spans="1:9" x14ac:dyDescent="0.25">
      <c r="A130" t="b">
        <v>1</v>
      </c>
      <c r="B130">
        <v>13</v>
      </c>
      <c r="C130" t="s">
        <v>232</v>
      </c>
      <c r="D130" t="s">
        <v>165</v>
      </c>
      <c r="E130" t="s">
        <v>123</v>
      </c>
      <c r="G130">
        <v>2023</v>
      </c>
      <c r="H130" t="s">
        <v>228</v>
      </c>
      <c r="I130">
        <v>3000</v>
      </c>
    </row>
    <row r="131" spans="1:9" x14ac:dyDescent="0.25">
      <c r="A131" t="b">
        <v>1</v>
      </c>
      <c r="B131">
        <v>13</v>
      </c>
      <c r="C131" t="s">
        <v>232</v>
      </c>
      <c r="D131" t="s">
        <v>165</v>
      </c>
      <c r="E131" t="s">
        <v>123</v>
      </c>
      <c r="G131">
        <v>2023</v>
      </c>
      <c r="H131" t="s">
        <v>229</v>
      </c>
      <c r="I131">
        <v>3000</v>
      </c>
    </row>
    <row r="132" spans="1:9" x14ac:dyDescent="0.25">
      <c r="A132" t="b">
        <v>1</v>
      </c>
      <c r="B132">
        <v>13</v>
      </c>
      <c r="C132" t="s">
        <v>232</v>
      </c>
      <c r="D132" t="s">
        <v>165</v>
      </c>
      <c r="E132" t="s">
        <v>123</v>
      </c>
      <c r="G132">
        <v>2023</v>
      </c>
      <c r="H132" t="s">
        <v>210</v>
      </c>
      <c r="I132">
        <v>3000</v>
      </c>
    </row>
    <row r="133" spans="1:9" x14ac:dyDescent="0.25">
      <c r="A133" t="b">
        <v>1</v>
      </c>
      <c r="B133">
        <v>13</v>
      </c>
      <c r="C133" t="s">
        <v>232</v>
      </c>
      <c r="D133" t="s">
        <v>165</v>
      </c>
      <c r="E133" t="s">
        <v>123</v>
      </c>
      <c r="G133">
        <v>2023</v>
      </c>
      <c r="H133" t="s">
        <v>211</v>
      </c>
      <c r="I133">
        <v>3000</v>
      </c>
    </row>
    <row r="134" spans="1:9" x14ac:dyDescent="0.25">
      <c r="A134" t="b">
        <v>1</v>
      </c>
      <c r="B134">
        <v>13</v>
      </c>
      <c r="C134" t="s">
        <v>232</v>
      </c>
      <c r="D134" t="s">
        <v>165</v>
      </c>
      <c r="E134" t="s">
        <v>123</v>
      </c>
      <c r="G134">
        <v>2023</v>
      </c>
      <c r="H134" t="s">
        <v>212</v>
      </c>
      <c r="I134">
        <v>3000</v>
      </c>
    </row>
    <row r="135" spans="1:9" x14ac:dyDescent="0.25">
      <c r="A135" t="b">
        <v>1</v>
      </c>
      <c r="B135">
        <v>13</v>
      </c>
      <c r="C135" t="s">
        <v>232</v>
      </c>
      <c r="D135" t="s">
        <v>165</v>
      </c>
      <c r="E135" t="s">
        <v>123</v>
      </c>
      <c r="G135">
        <v>2023</v>
      </c>
      <c r="H135" t="s">
        <v>213</v>
      </c>
      <c r="I135">
        <v>3000</v>
      </c>
    </row>
    <row r="136" spans="1:9" x14ac:dyDescent="0.25">
      <c r="A136" t="b">
        <v>1</v>
      </c>
      <c r="B136">
        <v>13</v>
      </c>
      <c r="C136" t="s">
        <v>232</v>
      </c>
      <c r="D136" t="s">
        <v>165</v>
      </c>
      <c r="E136" t="s">
        <v>123</v>
      </c>
      <c r="G136">
        <v>2023</v>
      </c>
      <c r="H136" t="s">
        <v>214</v>
      </c>
      <c r="I136">
        <v>3000</v>
      </c>
    </row>
    <row r="137" spans="1:9" x14ac:dyDescent="0.25">
      <c r="A137" t="b">
        <v>1</v>
      </c>
      <c r="B137">
        <v>13</v>
      </c>
      <c r="C137" t="s">
        <v>232</v>
      </c>
      <c r="D137" t="s">
        <v>165</v>
      </c>
      <c r="E137" t="s">
        <v>123</v>
      </c>
      <c r="G137">
        <v>2023</v>
      </c>
      <c r="H137" t="s">
        <v>215</v>
      </c>
      <c r="I137">
        <v>3000</v>
      </c>
    </row>
    <row r="138" spans="1:9" x14ac:dyDescent="0.25">
      <c r="A138" t="b">
        <v>1</v>
      </c>
      <c r="B138">
        <v>13</v>
      </c>
      <c r="C138" t="s">
        <v>232</v>
      </c>
      <c r="D138" t="s">
        <v>165</v>
      </c>
      <c r="E138" t="s">
        <v>123</v>
      </c>
      <c r="G138">
        <v>2023</v>
      </c>
      <c r="H138" t="s">
        <v>230</v>
      </c>
      <c r="I138">
        <v>3000</v>
      </c>
    </row>
    <row r="139" spans="1:9" x14ac:dyDescent="0.25">
      <c r="A139" t="b">
        <v>1</v>
      </c>
      <c r="B139">
        <v>13</v>
      </c>
      <c r="C139" t="s">
        <v>232</v>
      </c>
      <c r="D139" t="s">
        <v>165</v>
      </c>
      <c r="E139" t="s">
        <v>123</v>
      </c>
      <c r="G139">
        <v>2023</v>
      </c>
      <c r="H139" t="s">
        <v>231</v>
      </c>
      <c r="I139">
        <v>3000</v>
      </c>
    </row>
    <row r="140" spans="1:9" x14ac:dyDescent="0.25">
      <c r="A140" t="b">
        <v>1</v>
      </c>
      <c r="B140">
        <v>14</v>
      </c>
      <c r="C140" t="s">
        <v>232</v>
      </c>
      <c r="D140" t="s">
        <v>162</v>
      </c>
      <c r="E140" t="s">
        <v>123</v>
      </c>
      <c r="G140">
        <v>2023</v>
      </c>
      <c r="H140" t="s">
        <v>226</v>
      </c>
      <c r="I140">
        <v>3200</v>
      </c>
    </row>
    <row r="141" spans="1:9" x14ac:dyDescent="0.25">
      <c r="A141" t="b">
        <v>1</v>
      </c>
      <c r="B141">
        <v>14</v>
      </c>
      <c r="C141" t="s">
        <v>232</v>
      </c>
      <c r="D141" t="s">
        <v>162</v>
      </c>
      <c r="E141" t="s">
        <v>123</v>
      </c>
      <c r="G141">
        <v>2023</v>
      </c>
      <c r="H141" t="s">
        <v>227</v>
      </c>
      <c r="I141">
        <v>3200</v>
      </c>
    </row>
    <row r="142" spans="1:9" x14ac:dyDescent="0.25">
      <c r="A142" t="b">
        <v>1</v>
      </c>
      <c r="B142">
        <v>14</v>
      </c>
      <c r="C142" t="s">
        <v>232</v>
      </c>
      <c r="D142" t="s">
        <v>162</v>
      </c>
      <c r="E142" t="s">
        <v>123</v>
      </c>
      <c r="G142">
        <v>2023</v>
      </c>
      <c r="H142" t="s">
        <v>228</v>
      </c>
      <c r="I142">
        <v>3200</v>
      </c>
    </row>
    <row r="143" spans="1:9" x14ac:dyDescent="0.25">
      <c r="A143" t="b">
        <v>1</v>
      </c>
      <c r="B143">
        <v>14</v>
      </c>
      <c r="C143" t="s">
        <v>232</v>
      </c>
      <c r="D143" t="s">
        <v>162</v>
      </c>
      <c r="E143" t="s">
        <v>123</v>
      </c>
      <c r="G143">
        <v>2023</v>
      </c>
      <c r="H143" t="s">
        <v>229</v>
      </c>
      <c r="I143">
        <v>3200</v>
      </c>
    </row>
    <row r="144" spans="1:9" x14ac:dyDescent="0.25">
      <c r="A144" t="b">
        <v>1</v>
      </c>
      <c r="B144">
        <v>14</v>
      </c>
      <c r="C144" t="s">
        <v>232</v>
      </c>
      <c r="D144" t="s">
        <v>162</v>
      </c>
      <c r="E144" t="s">
        <v>123</v>
      </c>
      <c r="G144">
        <v>2023</v>
      </c>
      <c r="H144" t="s">
        <v>210</v>
      </c>
      <c r="I144">
        <v>3200</v>
      </c>
    </row>
    <row r="145" spans="1:9" x14ac:dyDescent="0.25">
      <c r="A145" t="b">
        <v>1</v>
      </c>
      <c r="B145">
        <v>14</v>
      </c>
      <c r="C145" t="s">
        <v>232</v>
      </c>
      <c r="D145" t="s">
        <v>162</v>
      </c>
      <c r="E145" t="s">
        <v>123</v>
      </c>
      <c r="G145">
        <v>2023</v>
      </c>
      <c r="H145" t="s">
        <v>211</v>
      </c>
      <c r="I145">
        <v>3200</v>
      </c>
    </row>
    <row r="146" spans="1:9" x14ac:dyDescent="0.25">
      <c r="A146" t="b">
        <v>1</v>
      </c>
      <c r="B146">
        <v>14</v>
      </c>
      <c r="C146" t="s">
        <v>232</v>
      </c>
      <c r="D146" t="s">
        <v>162</v>
      </c>
      <c r="E146" t="s">
        <v>123</v>
      </c>
      <c r="G146">
        <v>2023</v>
      </c>
      <c r="H146" t="s">
        <v>212</v>
      </c>
      <c r="I146">
        <v>3200</v>
      </c>
    </row>
    <row r="147" spans="1:9" x14ac:dyDescent="0.25">
      <c r="A147" t="b">
        <v>1</v>
      </c>
      <c r="B147">
        <v>14</v>
      </c>
      <c r="C147" t="s">
        <v>232</v>
      </c>
      <c r="D147" t="s">
        <v>162</v>
      </c>
      <c r="E147" t="s">
        <v>123</v>
      </c>
      <c r="G147">
        <v>2023</v>
      </c>
      <c r="H147" t="s">
        <v>213</v>
      </c>
      <c r="I147">
        <v>3200</v>
      </c>
    </row>
    <row r="148" spans="1:9" x14ac:dyDescent="0.25">
      <c r="A148" t="b">
        <v>1</v>
      </c>
      <c r="B148">
        <v>14</v>
      </c>
      <c r="C148" t="s">
        <v>232</v>
      </c>
      <c r="D148" t="s">
        <v>162</v>
      </c>
      <c r="E148" t="s">
        <v>123</v>
      </c>
      <c r="G148">
        <v>2023</v>
      </c>
      <c r="H148" t="s">
        <v>214</v>
      </c>
      <c r="I148">
        <v>3200</v>
      </c>
    </row>
    <row r="149" spans="1:9" x14ac:dyDescent="0.25">
      <c r="A149" t="b">
        <v>1</v>
      </c>
      <c r="B149">
        <v>14</v>
      </c>
      <c r="C149" t="s">
        <v>232</v>
      </c>
      <c r="D149" t="s">
        <v>162</v>
      </c>
      <c r="E149" t="s">
        <v>123</v>
      </c>
      <c r="G149">
        <v>2023</v>
      </c>
      <c r="H149" t="s">
        <v>215</v>
      </c>
      <c r="I149">
        <v>3200</v>
      </c>
    </row>
    <row r="150" spans="1:9" x14ac:dyDescent="0.25">
      <c r="A150" t="b">
        <v>1</v>
      </c>
      <c r="B150">
        <v>14</v>
      </c>
      <c r="C150" t="s">
        <v>232</v>
      </c>
      <c r="D150" t="s">
        <v>162</v>
      </c>
      <c r="E150" t="s">
        <v>123</v>
      </c>
      <c r="G150">
        <v>2023</v>
      </c>
      <c r="H150" t="s">
        <v>230</v>
      </c>
      <c r="I150">
        <v>3200</v>
      </c>
    </row>
    <row r="151" spans="1:9" x14ac:dyDescent="0.25">
      <c r="A151" t="b">
        <v>1</v>
      </c>
      <c r="B151">
        <v>14</v>
      </c>
      <c r="C151" t="s">
        <v>232</v>
      </c>
      <c r="D151" t="s">
        <v>162</v>
      </c>
      <c r="E151" t="s">
        <v>123</v>
      </c>
      <c r="G151">
        <v>2023</v>
      </c>
      <c r="H151" t="s">
        <v>231</v>
      </c>
      <c r="I151">
        <v>3200</v>
      </c>
    </row>
    <row r="152" spans="1:9" x14ac:dyDescent="0.25">
      <c r="A152" t="b">
        <v>1</v>
      </c>
      <c r="B152">
        <v>15</v>
      </c>
      <c r="C152" t="s">
        <v>232</v>
      </c>
      <c r="D152" t="s">
        <v>166</v>
      </c>
      <c r="E152" t="s">
        <v>123</v>
      </c>
      <c r="G152">
        <v>2023</v>
      </c>
      <c r="H152" t="s">
        <v>226</v>
      </c>
      <c r="I152">
        <v>1500</v>
      </c>
    </row>
    <row r="153" spans="1:9" x14ac:dyDescent="0.25">
      <c r="A153" t="b">
        <v>1</v>
      </c>
      <c r="B153">
        <v>15</v>
      </c>
      <c r="C153" t="s">
        <v>232</v>
      </c>
      <c r="D153" t="s">
        <v>166</v>
      </c>
      <c r="E153" t="s">
        <v>123</v>
      </c>
      <c r="G153">
        <v>2023</v>
      </c>
      <c r="H153" t="s">
        <v>227</v>
      </c>
      <c r="I153">
        <v>1500</v>
      </c>
    </row>
    <row r="154" spans="1:9" x14ac:dyDescent="0.25">
      <c r="A154" t="b">
        <v>1</v>
      </c>
      <c r="B154">
        <v>15</v>
      </c>
      <c r="C154" t="s">
        <v>232</v>
      </c>
      <c r="D154" t="s">
        <v>166</v>
      </c>
      <c r="E154" t="s">
        <v>123</v>
      </c>
      <c r="G154">
        <v>2023</v>
      </c>
      <c r="H154" t="s">
        <v>228</v>
      </c>
      <c r="I154">
        <v>1500</v>
      </c>
    </row>
    <row r="155" spans="1:9" x14ac:dyDescent="0.25">
      <c r="A155" t="b">
        <v>1</v>
      </c>
      <c r="B155">
        <v>15</v>
      </c>
      <c r="C155" t="s">
        <v>232</v>
      </c>
      <c r="D155" t="s">
        <v>166</v>
      </c>
      <c r="E155" t="s">
        <v>123</v>
      </c>
      <c r="G155">
        <v>2023</v>
      </c>
      <c r="H155" t="s">
        <v>229</v>
      </c>
      <c r="I155">
        <v>1500</v>
      </c>
    </row>
    <row r="156" spans="1:9" x14ac:dyDescent="0.25">
      <c r="A156" t="b">
        <v>1</v>
      </c>
      <c r="B156">
        <v>15</v>
      </c>
      <c r="C156" t="s">
        <v>232</v>
      </c>
      <c r="D156" t="s">
        <v>166</v>
      </c>
      <c r="E156" t="s">
        <v>123</v>
      </c>
      <c r="G156">
        <v>2023</v>
      </c>
      <c r="H156" t="s">
        <v>210</v>
      </c>
      <c r="I156">
        <v>1500</v>
      </c>
    </row>
    <row r="157" spans="1:9" x14ac:dyDescent="0.25">
      <c r="A157" t="b">
        <v>1</v>
      </c>
      <c r="B157">
        <v>15</v>
      </c>
      <c r="C157" t="s">
        <v>232</v>
      </c>
      <c r="D157" t="s">
        <v>166</v>
      </c>
      <c r="E157" t="s">
        <v>123</v>
      </c>
      <c r="G157">
        <v>2023</v>
      </c>
      <c r="H157" t="s">
        <v>211</v>
      </c>
      <c r="I157">
        <v>1500</v>
      </c>
    </row>
    <row r="158" spans="1:9" x14ac:dyDescent="0.25">
      <c r="A158" t="b">
        <v>1</v>
      </c>
      <c r="B158">
        <v>15</v>
      </c>
      <c r="C158" t="s">
        <v>232</v>
      </c>
      <c r="D158" t="s">
        <v>166</v>
      </c>
      <c r="E158" t="s">
        <v>123</v>
      </c>
      <c r="G158">
        <v>2023</v>
      </c>
      <c r="H158" t="s">
        <v>212</v>
      </c>
      <c r="I158">
        <v>1500</v>
      </c>
    </row>
    <row r="159" spans="1:9" x14ac:dyDescent="0.25">
      <c r="A159" t="b">
        <v>1</v>
      </c>
      <c r="B159">
        <v>15</v>
      </c>
      <c r="C159" t="s">
        <v>232</v>
      </c>
      <c r="D159" t="s">
        <v>166</v>
      </c>
      <c r="E159" t="s">
        <v>123</v>
      </c>
      <c r="G159">
        <v>2023</v>
      </c>
      <c r="H159" t="s">
        <v>213</v>
      </c>
      <c r="I159">
        <v>1500</v>
      </c>
    </row>
    <row r="160" spans="1:9" x14ac:dyDescent="0.25">
      <c r="A160" t="b">
        <v>1</v>
      </c>
      <c r="B160">
        <v>15</v>
      </c>
      <c r="C160" t="s">
        <v>232</v>
      </c>
      <c r="D160" t="s">
        <v>166</v>
      </c>
      <c r="E160" t="s">
        <v>123</v>
      </c>
      <c r="G160">
        <v>2023</v>
      </c>
      <c r="H160" t="s">
        <v>214</v>
      </c>
      <c r="I160">
        <v>1500</v>
      </c>
    </row>
    <row r="161" spans="1:9" x14ac:dyDescent="0.25">
      <c r="A161" t="b">
        <v>1</v>
      </c>
      <c r="B161">
        <v>15</v>
      </c>
      <c r="C161" t="s">
        <v>232</v>
      </c>
      <c r="D161" t="s">
        <v>166</v>
      </c>
      <c r="E161" t="s">
        <v>123</v>
      </c>
      <c r="G161">
        <v>2023</v>
      </c>
      <c r="H161" t="s">
        <v>215</v>
      </c>
      <c r="I161">
        <v>1500</v>
      </c>
    </row>
    <row r="162" spans="1:9" x14ac:dyDescent="0.25">
      <c r="A162" t="b">
        <v>1</v>
      </c>
      <c r="B162">
        <v>15</v>
      </c>
      <c r="C162" t="s">
        <v>232</v>
      </c>
      <c r="D162" t="s">
        <v>166</v>
      </c>
      <c r="E162" t="s">
        <v>123</v>
      </c>
      <c r="G162">
        <v>2023</v>
      </c>
      <c r="H162" t="s">
        <v>230</v>
      </c>
      <c r="I162">
        <v>1500</v>
      </c>
    </row>
    <row r="163" spans="1:9" x14ac:dyDescent="0.25">
      <c r="A163" t="b">
        <v>1</v>
      </c>
      <c r="B163">
        <v>15</v>
      </c>
      <c r="C163" t="s">
        <v>232</v>
      </c>
      <c r="D163" t="s">
        <v>166</v>
      </c>
      <c r="E163" t="s">
        <v>123</v>
      </c>
      <c r="G163">
        <v>2023</v>
      </c>
      <c r="H163" t="s">
        <v>231</v>
      </c>
      <c r="I163">
        <v>1500</v>
      </c>
    </row>
    <row r="164" spans="1:9" x14ac:dyDescent="0.25">
      <c r="A164" t="b">
        <v>1</v>
      </c>
      <c r="B164">
        <v>16</v>
      </c>
      <c r="C164" t="s">
        <v>232</v>
      </c>
      <c r="D164" t="s">
        <v>167</v>
      </c>
      <c r="E164" t="s">
        <v>122</v>
      </c>
      <c r="G164">
        <v>2023</v>
      </c>
      <c r="H164" t="s">
        <v>226</v>
      </c>
      <c r="I164">
        <v>61173.3321</v>
      </c>
    </row>
    <row r="165" spans="1:9" x14ac:dyDescent="0.25">
      <c r="A165" t="b">
        <v>1</v>
      </c>
      <c r="B165">
        <v>16</v>
      </c>
      <c r="C165" t="s">
        <v>232</v>
      </c>
      <c r="D165" t="s">
        <v>167</v>
      </c>
      <c r="E165" t="s">
        <v>122</v>
      </c>
      <c r="G165">
        <v>2023</v>
      </c>
      <c r="H165" t="s">
        <v>227</v>
      </c>
      <c r="I165">
        <v>86974.55</v>
      </c>
    </row>
    <row r="166" spans="1:9" x14ac:dyDescent="0.25">
      <c r="A166" t="b">
        <v>1</v>
      </c>
      <c r="B166">
        <v>16</v>
      </c>
      <c r="C166" t="s">
        <v>232</v>
      </c>
      <c r="D166" t="s">
        <v>167</v>
      </c>
      <c r="E166" t="s">
        <v>122</v>
      </c>
      <c r="G166">
        <v>2023</v>
      </c>
      <c r="H166" t="s">
        <v>228</v>
      </c>
      <c r="I166">
        <v>128930.49815</v>
      </c>
    </row>
    <row r="167" spans="1:9" x14ac:dyDescent="0.25">
      <c r="A167" t="b">
        <v>1</v>
      </c>
      <c r="B167">
        <v>16</v>
      </c>
      <c r="C167" t="s">
        <v>232</v>
      </c>
      <c r="D167" t="s">
        <v>167</v>
      </c>
      <c r="E167" t="s">
        <v>122</v>
      </c>
      <c r="G167">
        <v>2023</v>
      </c>
      <c r="H167" t="s">
        <v>229</v>
      </c>
      <c r="I167">
        <v>130752.1</v>
      </c>
    </row>
    <row r="168" spans="1:9" x14ac:dyDescent="0.25">
      <c r="A168" t="b">
        <v>1</v>
      </c>
      <c r="B168">
        <v>16</v>
      </c>
      <c r="C168" t="s">
        <v>232</v>
      </c>
      <c r="D168" t="s">
        <v>167</v>
      </c>
      <c r="E168" t="s">
        <v>122</v>
      </c>
      <c r="G168">
        <v>2023</v>
      </c>
      <c r="H168" t="s">
        <v>210</v>
      </c>
      <c r="I168">
        <v>178739.7</v>
      </c>
    </row>
    <row r="169" spans="1:9" x14ac:dyDescent="0.25">
      <c r="A169" t="b">
        <v>1</v>
      </c>
      <c r="B169">
        <v>16</v>
      </c>
      <c r="C169" t="s">
        <v>232</v>
      </c>
      <c r="D169" t="s">
        <v>167</v>
      </c>
      <c r="E169" t="s">
        <v>122</v>
      </c>
      <c r="G169">
        <v>2023</v>
      </c>
      <c r="H169" t="s">
        <v>211</v>
      </c>
      <c r="I169">
        <v>99025</v>
      </c>
    </row>
    <row r="170" spans="1:9" x14ac:dyDescent="0.25">
      <c r="A170" t="b">
        <v>1</v>
      </c>
      <c r="B170">
        <v>16</v>
      </c>
      <c r="C170" t="s">
        <v>232</v>
      </c>
      <c r="D170" t="s">
        <v>167</v>
      </c>
      <c r="E170" t="s">
        <v>122</v>
      </c>
      <c r="G170">
        <v>2023</v>
      </c>
      <c r="H170" t="s">
        <v>212</v>
      </c>
      <c r="I170">
        <v>93999.408150000003</v>
      </c>
    </row>
    <row r="171" spans="1:9" x14ac:dyDescent="0.25">
      <c r="A171" t="b">
        <v>1</v>
      </c>
      <c r="B171">
        <v>16</v>
      </c>
      <c r="C171" t="s">
        <v>232</v>
      </c>
      <c r="D171" t="s">
        <v>167</v>
      </c>
      <c r="E171" t="s">
        <v>122</v>
      </c>
      <c r="G171">
        <v>2023</v>
      </c>
      <c r="H171" t="s">
        <v>213</v>
      </c>
      <c r="I171">
        <v>90000</v>
      </c>
    </row>
    <row r="172" spans="1:9" x14ac:dyDescent="0.25">
      <c r="A172" t="b">
        <v>1</v>
      </c>
      <c r="B172">
        <v>16</v>
      </c>
      <c r="C172" t="s">
        <v>232</v>
      </c>
      <c r="D172" t="s">
        <v>167</v>
      </c>
      <c r="E172" t="s">
        <v>122</v>
      </c>
      <c r="G172">
        <v>2023</v>
      </c>
      <c r="H172" t="s">
        <v>214</v>
      </c>
      <c r="I172">
        <v>90000</v>
      </c>
    </row>
    <row r="173" spans="1:9" x14ac:dyDescent="0.25">
      <c r="A173" t="b">
        <v>1</v>
      </c>
      <c r="B173">
        <v>16</v>
      </c>
      <c r="C173" t="s">
        <v>232</v>
      </c>
      <c r="D173" t="s">
        <v>167</v>
      </c>
      <c r="E173" t="s">
        <v>122</v>
      </c>
      <c r="G173">
        <v>2023</v>
      </c>
      <c r="H173" t="s">
        <v>215</v>
      </c>
      <c r="I173">
        <v>90000</v>
      </c>
    </row>
    <row r="174" spans="1:9" x14ac:dyDescent="0.25">
      <c r="A174" t="b">
        <v>1</v>
      </c>
      <c r="B174">
        <v>16</v>
      </c>
      <c r="C174" t="s">
        <v>232</v>
      </c>
      <c r="D174" t="s">
        <v>167</v>
      </c>
      <c r="E174" t="s">
        <v>122</v>
      </c>
      <c r="G174">
        <v>2023</v>
      </c>
      <c r="H174" t="s">
        <v>230</v>
      </c>
      <c r="I174">
        <v>80000</v>
      </c>
    </row>
    <row r="175" spans="1:9" x14ac:dyDescent="0.25">
      <c r="A175" t="b">
        <v>1</v>
      </c>
      <c r="B175">
        <v>16</v>
      </c>
      <c r="C175" t="s">
        <v>232</v>
      </c>
      <c r="D175" t="s">
        <v>167</v>
      </c>
      <c r="E175" t="s">
        <v>122</v>
      </c>
      <c r="G175">
        <v>2023</v>
      </c>
      <c r="H175" t="s">
        <v>231</v>
      </c>
      <c r="I175">
        <v>70000</v>
      </c>
    </row>
    <row r="176" spans="1:9" x14ac:dyDescent="0.25">
      <c r="A176" t="b">
        <v>1</v>
      </c>
      <c r="B176">
        <v>18</v>
      </c>
      <c r="C176" t="s">
        <v>234</v>
      </c>
      <c r="D176" t="s">
        <v>169</v>
      </c>
      <c r="E176" t="s">
        <v>22</v>
      </c>
      <c r="G176">
        <v>2023</v>
      </c>
      <c r="H176" t="s">
        <v>226</v>
      </c>
      <c r="I176">
        <v>45000</v>
      </c>
    </row>
    <row r="177" spans="1:9" x14ac:dyDescent="0.25">
      <c r="A177" t="b">
        <v>1</v>
      </c>
      <c r="B177">
        <v>18</v>
      </c>
      <c r="C177" t="s">
        <v>234</v>
      </c>
      <c r="D177" t="s">
        <v>169</v>
      </c>
      <c r="E177" t="s">
        <v>22</v>
      </c>
      <c r="G177">
        <v>2023</v>
      </c>
      <c r="H177" t="s">
        <v>227</v>
      </c>
      <c r="I177">
        <v>45000</v>
      </c>
    </row>
    <row r="178" spans="1:9" x14ac:dyDescent="0.25">
      <c r="A178" t="b">
        <v>1</v>
      </c>
      <c r="B178">
        <v>18</v>
      </c>
      <c r="C178" t="s">
        <v>234</v>
      </c>
      <c r="D178" t="s">
        <v>169</v>
      </c>
      <c r="E178" t="s">
        <v>22</v>
      </c>
      <c r="G178">
        <v>2023</v>
      </c>
      <c r="H178" t="s">
        <v>228</v>
      </c>
      <c r="I178">
        <v>45000</v>
      </c>
    </row>
    <row r="179" spans="1:9" x14ac:dyDescent="0.25">
      <c r="A179" t="b">
        <v>1</v>
      </c>
      <c r="B179">
        <v>18</v>
      </c>
      <c r="C179" t="s">
        <v>234</v>
      </c>
      <c r="D179" t="s">
        <v>169</v>
      </c>
      <c r="E179" t="s">
        <v>22</v>
      </c>
      <c r="G179">
        <v>2023</v>
      </c>
      <c r="H179" t="s">
        <v>229</v>
      </c>
      <c r="I179">
        <v>45000</v>
      </c>
    </row>
    <row r="180" spans="1:9" x14ac:dyDescent="0.25">
      <c r="A180" t="b">
        <v>1</v>
      </c>
      <c r="B180">
        <v>18</v>
      </c>
      <c r="C180" t="s">
        <v>234</v>
      </c>
      <c r="D180" t="s">
        <v>169</v>
      </c>
      <c r="E180" t="s">
        <v>22</v>
      </c>
      <c r="G180">
        <v>2023</v>
      </c>
      <c r="H180" t="s">
        <v>210</v>
      </c>
      <c r="I180">
        <v>45000</v>
      </c>
    </row>
    <row r="181" spans="1:9" x14ac:dyDescent="0.25">
      <c r="A181" t="b">
        <v>1</v>
      </c>
      <c r="B181">
        <v>18</v>
      </c>
      <c r="C181" t="s">
        <v>234</v>
      </c>
      <c r="D181" t="s">
        <v>169</v>
      </c>
      <c r="E181" t="s">
        <v>22</v>
      </c>
      <c r="G181">
        <v>2023</v>
      </c>
      <c r="H181" t="s">
        <v>211</v>
      </c>
      <c r="I181">
        <v>45000</v>
      </c>
    </row>
    <row r="182" spans="1:9" x14ac:dyDescent="0.25">
      <c r="A182" t="b">
        <v>1</v>
      </c>
      <c r="B182">
        <v>18</v>
      </c>
      <c r="C182" t="s">
        <v>234</v>
      </c>
      <c r="D182" t="s">
        <v>169</v>
      </c>
      <c r="E182" t="s">
        <v>22</v>
      </c>
      <c r="G182">
        <v>2023</v>
      </c>
      <c r="H182" t="s">
        <v>212</v>
      </c>
      <c r="I182">
        <v>45000</v>
      </c>
    </row>
    <row r="183" spans="1:9" x14ac:dyDescent="0.25">
      <c r="A183" t="b">
        <v>1</v>
      </c>
      <c r="B183">
        <v>18</v>
      </c>
      <c r="C183" t="s">
        <v>234</v>
      </c>
      <c r="D183" t="s">
        <v>169</v>
      </c>
      <c r="E183" t="s">
        <v>22</v>
      </c>
      <c r="G183">
        <v>2023</v>
      </c>
      <c r="H183" t="s">
        <v>213</v>
      </c>
      <c r="I183">
        <v>45000</v>
      </c>
    </row>
    <row r="184" spans="1:9" x14ac:dyDescent="0.25">
      <c r="A184" t="b">
        <v>1</v>
      </c>
      <c r="B184">
        <v>18</v>
      </c>
      <c r="C184" t="s">
        <v>234</v>
      </c>
      <c r="D184" t="s">
        <v>169</v>
      </c>
      <c r="E184" t="s">
        <v>22</v>
      </c>
      <c r="G184">
        <v>2023</v>
      </c>
      <c r="H184" t="s">
        <v>214</v>
      </c>
      <c r="I184">
        <v>45000</v>
      </c>
    </row>
    <row r="185" spans="1:9" x14ac:dyDescent="0.25">
      <c r="A185" t="b">
        <v>1</v>
      </c>
      <c r="B185">
        <v>18</v>
      </c>
      <c r="C185" t="s">
        <v>234</v>
      </c>
      <c r="D185" t="s">
        <v>169</v>
      </c>
      <c r="E185" t="s">
        <v>22</v>
      </c>
      <c r="G185">
        <v>2023</v>
      </c>
      <c r="H185" t="s">
        <v>215</v>
      </c>
      <c r="I185">
        <v>45000</v>
      </c>
    </row>
    <row r="186" spans="1:9" x14ac:dyDescent="0.25">
      <c r="A186" t="b">
        <v>1</v>
      </c>
      <c r="B186">
        <v>18</v>
      </c>
      <c r="C186" t="s">
        <v>234</v>
      </c>
      <c r="D186" t="s">
        <v>169</v>
      </c>
      <c r="E186" t="s">
        <v>22</v>
      </c>
      <c r="G186">
        <v>2023</v>
      </c>
      <c r="H186" t="s">
        <v>230</v>
      </c>
      <c r="I186">
        <v>45000</v>
      </c>
    </row>
    <row r="187" spans="1:9" x14ac:dyDescent="0.25">
      <c r="A187" t="b">
        <v>1</v>
      </c>
      <c r="B187">
        <v>18</v>
      </c>
      <c r="C187" t="s">
        <v>234</v>
      </c>
      <c r="D187" t="s">
        <v>169</v>
      </c>
      <c r="E187" t="s">
        <v>22</v>
      </c>
      <c r="G187">
        <v>2023</v>
      </c>
      <c r="H187" t="s">
        <v>231</v>
      </c>
      <c r="I187">
        <v>45000</v>
      </c>
    </row>
    <row r="188" spans="1:9" x14ac:dyDescent="0.25">
      <c r="A188" t="b">
        <v>1</v>
      </c>
      <c r="B188">
        <v>19</v>
      </c>
      <c r="C188" t="s">
        <v>234</v>
      </c>
      <c r="D188" t="s">
        <v>170</v>
      </c>
      <c r="E188" t="s">
        <v>22</v>
      </c>
      <c r="G188">
        <v>2023</v>
      </c>
      <c r="H188" t="s">
        <v>226</v>
      </c>
      <c r="I188">
        <v>13000</v>
      </c>
    </row>
    <row r="189" spans="1:9" x14ac:dyDescent="0.25">
      <c r="A189" t="b">
        <v>1</v>
      </c>
      <c r="B189">
        <v>19</v>
      </c>
      <c r="C189" t="s">
        <v>234</v>
      </c>
      <c r="D189" t="s">
        <v>170</v>
      </c>
      <c r="E189" t="s">
        <v>22</v>
      </c>
      <c r="G189">
        <v>2023</v>
      </c>
      <c r="H189" t="s">
        <v>227</v>
      </c>
      <c r="I189">
        <v>13000</v>
      </c>
    </row>
    <row r="190" spans="1:9" x14ac:dyDescent="0.25">
      <c r="A190" t="b">
        <v>1</v>
      </c>
      <c r="B190">
        <v>19</v>
      </c>
      <c r="C190" t="s">
        <v>234</v>
      </c>
      <c r="D190" t="s">
        <v>170</v>
      </c>
      <c r="E190" t="s">
        <v>22</v>
      </c>
      <c r="G190">
        <v>2023</v>
      </c>
      <c r="H190" t="s">
        <v>228</v>
      </c>
      <c r="I190">
        <v>13000</v>
      </c>
    </row>
    <row r="191" spans="1:9" x14ac:dyDescent="0.25">
      <c r="A191" t="b">
        <v>1</v>
      </c>
      <c r="B191">
        <v>19</v>
      </c>
      <c r="C191" t="s">
        <v>234</v>
      </c>
      <c r="D191" t="s">
        <v>170</v>
      </c>
      <c r="E191" t="s">
        <v>22</v>
      </c>
      <c r="G191">
        <v>2023</v>
      </c>
      <c r="H191" t="s">
        <v>229</v>
      </c>
      <c r="I191">
        <v>13000</v>
      </c>
    </row>
    <row r="192" spans="1:9" x14ac:dyDescent="0.25">
      <c r="A192" t="b">
        <v>1</v>
      </c>
      <c r="B192">
        <v>19</v>
      </c>
      <c r="C192" t="s">
        <v>234</v>
      </c>
      <c r="D192" t="s">
        <v>170</v>
      </c>
      <c r="E192" t="s">
        <v>22</v>
      </c>
      <c r="G192">
        <v>2023</v>
      </c>
      <c r="H192" t="s">
        <v>210</v>
      </c>
      <c r="I192">
        <v>13000</v>
      </c>
    </row>
    <row r="193" spans="1:9" x14ac:dyDescent="0.25">
      <c r="A193" t="b">
        <v>1</v>
      </c>
      <c r="B193">
        <v>19</v>
      </c>
      <c r="C193" t="s">
        <v>234</v>
      </c>
      <c r="D193" t="s">
        <v>170</v>
      </c>
      <c r="E193" t="s">
        <v>22</v>
      </c>
      <c r="G193">
        <v>2023</v>
      </c>
      <c r="H193" t="s">
        <v>211</v>
      </c>
      <c r="I193">
        <v>13000</v>
      </c>
    </row>
    <row r="194" spans="1:9" x14ac:dyDescent="0.25">
      <c r="A194" t="b">
        <v>1</v>
      </c>
      <c r="B194">
        <v>19</v>
      </c>
      <c r="C194" t="s">
        <v>234</v>
      </c>
      <c r="D194" t="s">
        <v>170</v>
      </c>
      <c r="E194" t="s">
        <v>22</v>
      </c>
      <c r="G194">
        <v>2023</v>
      </c>
      <c r="H194" t="s">
        <v>212</v>
      </c>
      <c r="I194">
        <v>13000</v>
      </c>
    </row>
    <row r="195" spans="1:9" x14ac:dyDescent="0.25">
      <c r="A195" t="b">
        <v>1</v>
      </c>
      <c r="B195">
        <v>19</v>
      </c>
      <c r="C195" t="s">
        <v>234</v>
      </c>
      <c r="D195" t="s">
        <v>170</v>
      </c>
      <c r="E195" t="s">
        <v>22</v>
      </c>
      <c r="G195">
        <v>2023</v>
      </c>
      <c r="H195" t="s">
        <v>213</v>
      </c>
      <c r="I195">
        <v>13000</v>
      </c>
    </row>
    <row r="196" spans="1:9" x14ac:dyDescent="0.25">
      <c r="A196" t="b">
        <v>1</v>
      </c>
      <c r="B196">
        <v>19</v>
      </c>
      <c r="C196" t="s">
        <v>234</v>
      </c>
      <c r="D196" t="s">
        <v>170</v>
      </c>
      <c r="E196" t="s">
        <v>22</v>
      </c>
      <c r="G196">
        <v>2023</v>
      </c>
      <c r="H196" t="s">
        <v>214</v>
      </c>
      <c r="I196">
        <v>13000</v>
      </c>
    </row>
    <row r="197" spans="1:9" x14ac:dyDescent="0.25">
      <c r="A197" t="b">
        <v>1</v>
      </c>
      <c r="B197">
        <v>19</v>
      </c>
      <c r="C197" t="s">
        <v>234</v>
      </c>
      <c r="D197" t="s">
        <v>170</v>
      </c>
      <c r="E197" t="s">
        <v>22</v>
      </c>
      <c r="G197">
        <v>2023</v>
      </c>
      <c r="H197" t="s">
        <v>215</v>
      </c>
      <c r="I197">
        <v>13000</v>
      </c>
    </row>
    <row r="198" spans="1:9" x14ac:dyDescent="0.25">
      <c r="A198" t="b">
        <v>1</v>
      </c>
      <c r="B198">
        <v>19</v>
      </c>
      <c r="C198" t="s">
        <v>234</v>
      </c>
      <c r="D198" t="s">
        <v>170</v>
      </c>
      <c r="E198" t="s">
        <v>22</v>
      </c>
      <c r="G198">
        <v>2023</v>
      </c>
      <c r="H198" t="s">
        <v>230</v>
      </c>
      <c r="I198">
        <v>13000</v>
      </c>
    </row>
    <row r="199" spans="1:9" x14ac:dyDescent="0.25">
      <c r="A199" t="b">
        <v>1</v>
      </c>
      <c r="B199">
        <v>19</v>
      </c>
      <c r="C199" t="s">
        <v>234</v>
      </c>
      <c r="D199" t="s">
        <v>170</v>
      </c>
      <c r="E199" t="s">
        <v>22</v>
      </c>
      <c r="G199">
        <v>2023</v>
      </c>
      <c r="H199" t="s">
        <v>231</v>
      </c>
      <c r="I199">
        <v>13000</v>
      </c>
    </row>
    <row r="200" spans="1:9" x14ac:dyDescent="0.25">
      <c r="A200" t="b">
        <v>1</v>
      </c>
      <c r="B200">
        <v>20</v>
      </c>
      <c r="C200" t="s">
        <v>235</v>
      </c>
      <c r="D200" t="s">
        <v>196</v>
      </c>
      <c r="E200" t="s">
        <v>22</v>
      </c>
      <c r="G200">
        <v>2023</v>
      </c>
      <c r="H200" t="s">
        <v>226</v>
      </c>
      <c r="I200">
        <v>24000</v>
      </c>
    </row>
    <row r="201" spans="1:9" x14ac:dyDescent="0.25">
      <c r="A201" t="b">
        <v>1</v>
      </c>
      <c r="B201">
        <v>20</v>
      </c>
      <c r="C201" t="s">
        <v>235</v>
      </c>
      <c r="D201" t="s">
        <v>196</v>
      </c>
      <c r="E201" t="s">
        <v>22</v>
      </c>
      <c r="G201">
        <v>2023</v>
      </c>
      <c r="H201" t="s">
        <v>227</v>
      </c>
      <c r="I201">
        <v>24000</v>
      </c>
    </row>
    <row r="202" spans="1:9" x14ac:dyDescent="0.25">
      <c r="A202" t="b">
        <v>1</v>
      </c>
      <c r="B202">
        <v>20</v>
      </c>
      <c r="C202" t="s">
        <v>235</v>
      </c>
      <c r="D202" t="s">
        <v>196</v>
      </c>
      <c r="E202" t="s">
        <v>22</v>
      </c>
      <c r="G202">
        <v>2023</v>
      </c>
      <c r="H202" t="s">
        <v>228</v>
      </c>
      <c r="I202">
        <v>24000</v>
      </c>
    </row>
    <row r="203" spans="1:9" x14ac:dyDescent="0.25">
      <c r="A203" t="b">
        <v>1</v>
      </c>
      <c r="B203">
        <v>20</v>
      </c>
      <c r="C203" t="s">
        <v>235</v>
      </c>
      <c r="D203" t="s">
        <v>196</v>
      </c>
      <c r="E203" t="s">
        <v>22</v>
      </c>
      <c r="G203">
        <v>2023</v>
      </c>
      <c r="H203" t="s">
        <v>229</v>
      </c>
      <c r="I203">
        <v>24000</v>
      </c>
    </row>
    <row r="204" spans="1:9" x14ac:dyDescent="0.25">
      <c r="A204" t="b">
        <v>1</v>
      </c>
      <c r="B204">
        <v>20</v>
      </c>
      <c r="C204" t="s">
        <v>235</v>
      </c>
      <c r="D204" t="s">
        <v>196</v>
      </c>
      <c r="E204" t="s">
        <v>22</v>
      </c>
      <c r="G204">
        <v>2023</v>
      </c>
      <c r="H204" t="s">
        <v>210</v>
      </c>
      <c r="I204">
        <v>24000</v>
      </c>
    </row>
    <row r="205" spans="1:9" x14ac:dyDescent="0.25">
      <c r="A205" t="b">
        <v>1</v>
      </c>
      <c r="B205">
        <v>20</v>
      </c>
      <c r="C205" t="s">
        <v>235</v>
      </c>
      <c r="D205" t="s">
        <v>196</v>
      </c>
      <c r="E205" t="s">
        <v>22</v>
      </c>
      <c r="G205">
        <v>2023</v>
      </c>
      <c r="H205" t="s">
        <v>211</v>
      </c>
      <c r="I205">
        <v>24000</v>
      </c>
    </row>
    <row r="206" spans="1:9" x14ac:dyDescent="0.25">
      <c r="A206" t="b">
        <v>1</v>
      </c>
      <c r="B206">
        <v>20</v>
      </c>
      <c r="C206" t="s">
        <v>235</v>
      </c>
      <c r="D206" t="s">
        <v>196</v>
      </c>
      <c r="E206" t="s">
        <v>22</v>
      </c>
      <c r="G206">
        <v>2023</v>
      </c>
      <c r="H206" t="s">
        <v>212</v>
      </c>
      <c r="I206">
        <v>24000</v>
      </c>
    </row>
    <row r="207" spans="1:9" x14ac:dyDescent="0.25">
      <c r="A207" t="b">
        <v>1</v>
      </c>
      <c r="B207">
        <v>20</v>
      </c>
      <c r="C207" t="s">
        <v>235</v>
      </c>
      <c r="D207" t="s">
        <v>196</v>
      </c>
      <c r="E207" t="s">
        <v>22</v>
      </c>
      <c r="G207">
        <v>2023</v>
      </c>
      <c r="H207" t="s">
        <v>213</v>
      </c>
      <c r="I207">
        <v>24000</v>
      </c>
    </row>
    <row r="208" spans="1:9" x14ac:dyDescent="0.25">
      <c r="A208" t="b">
        <v>1</v>
      </c>
      <c r="B208">
        <v>20</v>
      </c>
      <c r="C208" t="s">
        <v>235</v>
      </c>
      <c r="D208" t="s">
        <v>196</v>
      </c>
      <c r="E208" t="s">
        <v>22</v>
      </c>
      <c r="G208">
        <v>2023</v>
      </c>
      <c r="H208" t="s">
        <v>214</v>
      </c>
      <c r="I208">
        <v>24000</v>
      </c>
    </row>
    <row r="209" spans="1:9" x14ac:dyDescent="0.25">
      <c r="A209" t="b">
        <v>1</v>
      </c>
      <c r="B209">
        <v>20</v>
      </c>
      <c r="C209" t="s">
        <v>235</v>
      </c>
      <c r="D209" t="s">
        <v>196</v>
      </c>
      <c r="E209" t="s">
        <v>22</v>
      </c>
      <c r="G209">
        <v>2023</v>
      </c>
      <c r="H209" t="s">
        <v>215</v>
      </c>
      <c r="I209">
        <v>24000</v>
      </c>
    </row>
    <row r="210" spans="1:9" x14ac:dyDescent="0.25">
      <c r="A210" t="b">
        <v>1</v>
      </c>
      <c r="B210">
        <v>20</v>
      </c>
      <c r="C210" t="s">
        <v>235</v>
      </c>
      <c r="D210" t="s">
        <v>196</v>
      </c>
      <c r="E210" t="s">
        <v>22</v>
      </c>
      <c r="G210">
        <v>2023</v>
      </c>
      <c r="H210" t="s">
        <v>230</v>
      </c>
      <c r="I210">
        <v>24000</v>
      </c>
    </row>
    <row r="211" spans="1:9" x14ac:dyDescent="0.25">
      <c r="A211" t="b">
        <v>1</v>
      </c>
      <c r="B211">
        <v>20</v>
      </c>
      <c r="C211" t="s">
        <v>235</v>
      </c>
      <c r="D211" t="s">
        <v>196</v>
      </c>
      <c r="E211" t="s">
        <v>22</v>
      </c>
      <c r="G211">
        <v>2023</v>
      </c>
      <c r="H211" t="s">
        <v>231</v>
      </c>
      <c r="I211">
        <v>24000</v>
      </c>
    </row>
    <row r="212" spans="1:9" x14ac:dyDescent="0.25">
      <c r="A212" t="b">
        <v>1</v>
      </c>
      <c r="B212">
        <v>21</v>
      </c>
      <c r="C212" t="s">
        <v>225</v>
      </c>
      <c r="D212" t="s">
        <v>172</v>
      </c>
      <c r="E212" t="s">
        <v>124</v>
      </c>
      <c r="G212">
        <v>2023</v>
      </c>
      <c r="H212" t="s">
        <v>226</v>
      </c>
      <c r="I212">
        <v>1400</v>
      </c>
    </row>
    <row r="213" spans="1:9" x14ac:dyDescent="0.25">
      <c r="A213" t="b">
        <v>1</v>
      </c>
      <c r="B213">
        <v>21</v>
      </c>
      <c r="C213" t="s">
        <v>225</v>
      </c>
      <c r="D213" t="s">
        <v>172</v>
      </c>
      <c r="E213" t="s">
        <v>124</v>
      </c>
      <c r="G213">
        <v>2023</v>
      </c>
      <c r="H213" t="s">
        <v>227</v>
      </c>
      <c r="I213">
        <v>1400</v>
      </c>
    </row>
    <row r="214" spans="1:9" x14ac:dyDescent="0.25">
      <c r="A214" t="b">
        <v>1</v>
      </c>
      <c r="B214">
        <v>21</v>
      </c>
      <c r="C214" t="s">
        <v>225</v>
      </c>
      <c r="D214" t="s">
        <v>172</v>
      </c>
      <c r="E214" t="s">
        <v>124</v>
      </c>
      <c r="G214">
        <v>2023</v>
      </c>
      <c r="H214" t="s">
        <v>228</v>
      </c>
      <c r="I214">
        <v>1400</v>
      </c>
    </row>
    <row r="215" spans="1:9" x14ac:dyDescent="0.25">
      <c r="A215" t="b">
        <v>1</v>
      </c>
      <c r="B215">
        <v>21</v>
      </c>
      <c r="C215" t="s">
        <v>225</v>
      </c>
      <c r="D215" t="s">
        <v>172</v>
      </c>
      <c r="E215" t="s">
        <v>124</v>
      </c>
      <c r="G215">
        <v>2023</v>
      </c>
      <c r="H215" t="s">
        <v>229</v>
      </c>
      <c r="I215">
        <v>1400</v>
      </c>
    </row>
    <row r="216" spans="1:9" x14ac:dyDescent="0.25">
      <c r="A216" t="b">
        <v>1</v>
      </c>
      <c r="B216">
        <v>21</v>
      </c>
      <c r="C216" t="s">
        <v>225</v>
      </c>
      <c r="D216" t="s">
        <v>172</v>
      </c>
      <c r="E216" t="s">
        <v>124</v>
      </c>
      <c r="G216">
        <v>2023</v>
      </c>
      <c r="H216" t="s">
        <v>210</v>
      </c>
      <c r="I216">
        <v>1400</v>
      </c>
    </row>
    <row r="217" spans="1:9" x14ac:dyDescent="0.25">
      <c r="A217" t="b">
        <v>1</v>
      </c>
      <c r="B217">
        <v>21</v>
      </c>
      <c r="C217" t="s">
        <v>225</v>
      </c>
      <c r="D217" t="s">
        <v>172</v>
      </c>
      <c r="E217" t="s">
        <v>124</v>
      </c>
      <c r="G217">
        <v>2023</v>
      </c>
      <c r="H217" t="s">
        <v>211</v>
      </c>
      <c r="I217">
        <v>1400</v>
      </c>
    </row>
    <row r="218" spans="1:9" x14ac:dyDescent="0.25">
      <c r="A218" t="b">
        <v>1</v>
      </c>
      <c r="B218">
        <v>21</v>
      </c>
      <c r="C218" t="s">
        <v>225</v>
      </c>
      <c r="D218" t="s">
        <v>172</v>
      </c>
      <c r="E218" t="s">
        <v>124</v>
      </c>
      <c r="G218">
        <v>2023</v>
      </c>
      <c r="H218" t="s">
        <v>212</v>
      </c>
      <c r="I218">
        <v>1400</v>
      </c>
    </row>
    <row r="219" spans="1:9" x14ac:dyDescent="0.25">
      <c r="A219" t="b">
        <v>1</v>
      </c>
      <c r="B219">
        <v>21</v>
      </c>
      <c r="C219" t="s">
        <v>225</v>
      </c>
      <c r="D219" t="s">
        <v>172</v>
      </c>
      <c r="E219" t="s">
        <v>124</v>
      </c>
      <c r="G219">
        <v>2023</v>
      </c>
      <c r="H219" t="s">
        <v>213</v>
      </c>
      <c r="I219">
        <v>1400</v>
      </c>
    </row>
    <row r="220" spans="1:9" x14ac:dyDescent="0.25">
      <c r="A220" t="b">
        <v>1</v>
      </c>
      <c r="B220">
        <v>21</v>
      </c>
      <c r="C220" t="s">
        <v>225</v>
      </c>
      <c r="D220" t="s">
        <v>172</v>
      </c>
      <c r="E220" t="s">
        <v>124</v>
      </c>
      <c r="G220">
        <v>2023</v>
      </c>
      <c r="H220" t="s">
        <v>214</v>
      </c>
      <c r="I220">
        <v>1400</v>
      </c>
    </row>
    <row r="221" spans="1:9" x14ac:dyDescent="0.25">
      <c r="A221" t="b">
        <v>1</v>
      </c>
      <c r="B221">
        <v>21</v>
      </c>
      <c r="C221" t="s">
        <v>225</v>
      </c>
      <c r="D221" t="s">
        <v>172</v>
      </c>
      <c r="E221" t="s">
        <v>124</v>
      </c>
      <c r="G221">
        <v>2023</v>
      </c>
      <c r="H221" t="s">
        <v>215</v>
      </c>
      <c r="I221">
        <v>1400</v>
      </c>
    </row>
    <row r="222" spans="1:9" x14ac:dyDescent="0.25">
      <c r="A222" t="b">
        <v>1</v>
      </c>
      <c r="B222">
        <v>21</v>
      </c>
      <c r="C222" t="s">
        <v>225</v>
      </c>
      <c r="D222" t="s">
        <v>172</v>
      </c>
      <c r="E222" t="s">
        <v>124</v>
      </c>
      <c r="G222">
        <v>2023</v>
      </c>
      <c r="H222" t="s">
        <v>230</v>
      </c>
      <c r="I222">
        <v>1400</v>
      </c>
    </row>
    <row r="223" spans="1:9" x14ac:dyDescent="0.25">
      <c r="A223" t="b">
        <v>1</v>
      </c>
      <c r="B223">
        <v>21</v>
      </c>
      <c r="C223" t="s">
        <v>225</v>
      </c>
      <c r="D223" t="s">
        <v>172</v>
      </c>
      <c r="E223" t="s">
        <v>124</v>
      </c>
      <c r="G223">
        <v>2023</v>
      </c>
      <c r="H223" t="s">
        <v>231</v>
      </c>
      <c r="I223">
        <v>1400</v>
      </c>
    </row>
    <row r="224" spans="1:9" x14ac:dyDescent="0.25">
      <c r="A224" t="b">
        <v>1</v>
      </c>
      <c r="B224">
        <v>22</v>
      </c>
      <c r="C224" t="s">
        <v>235</v>
      </c>
      <c r="D224" t="s">
        <v>173</v>
      </c>
      <c r="E224" t="s">
        <v>22</v>
      </c>
      <c r="G224">
        <v>2023</v>
      </c>
      <c r="H224" t="s">
        <v>228</v>
      </c>
      <c r="I224">
        <v>5000</v>
      </c>
    </row>
    <row r="225" spans="1:9" x14ac:dyDescent="0.25">
      <c r="A225" t="b">
        <v>1</v>
      </c>
      <c r="B225">
        <v>22</v>
      </c>
      <c r="C225" t="s">
        <v>235</v>
      </c>
      <c r="D225" t="s">
        <v>173</v>
      </c>
      <c r="E225" t="s">
        <v>22</v>
      </c>
      <c r="G225">
        <v>2023</v>
      </c>
      <c r="H225" t="s">
        <v>211</v>
      </c>
      <c r="I225">
        <v>5000</v>
      </c>
    </row>
    <row r="226" spans="1:9" x14ac:dyDescent="0.25">
      <c r="A226" t="b">
        <v>1</v>
      </c>
      <c r="B226">
        <v>22</v>
      </c>
      <c r="C226" t="s">
        <v>235</v>
      </c>
      <c r="D226" t="s">
        <v>173</v>
      </c>
      <c r="E226" t="s">
        <v>22</v>
      </c>
      <c r="G226">
        <v>2023</v>
      </c>
      <c r="H226" t="s">
        <v>214</v>
      </c>
      <c r="I226">
        <v>5000</v>
      </c>
    </row>
    <row r="227" spans="1:9" x14ac:dyDescent="0.25">
      <c r="A227" t="b">
        <v>1</v>
      </c>
      <c r="B227">
        <v>23</v>
      </c>
      <c r="C227" t="s">
        <v>225</v>
      </c>
      <c r="D227" t="s">
        <v>197</v>
      </c>
      <c r="E227" t="s">
        <v>85</v>
      </c>
      <c r="G227">
        <v>2023</v>
      </c>
      <c r="H227" t="s">
        <v>226</v>
      </c>
      <c r="I227">
        <v>1200</v>
      </c>
    </row>
    <row r="228" spans="1:9" x14ac:dyDescent="0.25">
      <c r="A228" t="b">
        <v>1</v>
      </c>
      <c r="B228">
        <v>23</v>
      </c>
      <c r="C228" t="s">
        <v>225</v>
      </c>
      <c r="D228" t="s">
        <v>197</v>
      </c>
      <c r="E228" t="s">
        <v>85</v>
      </c>
      <c r="G228">
        <v>2023</v>
      </c>
      <c r="H228" t="s">
        <v>210</v>
      </c>
      <c r="I228">
        <v>1200</v>
      </c>
    </row>
    <row r="229" spans="1:9" x14ac:dyDescent="0.25">
      <c r="A229" t="b">
        <v>1</v>
      </c>
      <c r="B229">
        <v>23</v>
      </c>
      <c r="C229" t="s">
        <v>225</v>
      </c>
      <c r="D229" t="s">
        <v>197</v>
      </c>
      <c r="E229" t="s">
        <v>85</v>
      </c>
      <c r="G229">
        <v>2023</v>
      </c>
      <c r="H229" t="s">
        <v>214</v>
      </c>
      <c r="I229">
        <v>1200</v>
      </c>
    </row>
    <row r="230" spans="1:9" x14ac:dyDescent="0.25">
      <c r="A230" t="b">
        <v>1</v>
      </c>
      <c r="B230">
        <v>24</v>
      </c>
      <c r="C230" t="s">
        <v>234</v>
      </c>
      <c r="D230" t="s">
        <v>198</v>
      </c>
      <c r="E230" t="s">
        <v>121</v>
      </c>
      <c r="G230">
        <v>2023</v>
      </c>
      <c r="H230" t="s">
        <v>210</v>
      </c>
      <c r="I230">
        <v>8300</v>
      </c>
    </row>
    <row r="231" spans="1:9" x14ac:dyDescent="0.25">
      <c r="A231" t="b">
        <v>1</v>
      </c>
      <c r="B231">
        <v>24</v>
      </c>
      <c r="C231" t="s">
        <v>234</v>
      </c>
      <c r="D231" t="s">
        <v>198</v>
      </c>
      <c r="E231" t="s">
        <v>121</v>
      </c>
      <c r="G231">
        <v>2023</v>
      </c>
      <c r="H231" t="s">
        <v>211</v>
      </c>
      <c r="I231">
        <v>8300</v>
      </c>
    </row>
    <row r="232" spans="1:9" x14ac:dyDescent="0.25">
      <c r="A232" t="b">
        <v>1</v>
      </c>
      <c r="B232">
        <v>24</v>
      </c>
      <c r="C232" t="s">
        <v>234</v>
      </c>
      <c r="D232" t="s">
        <v>198</v>
      </c>
      <c r="E232" t="s">
        <v>121</v>
      </c>
      <c r="G232">
        <v>2023</v>
      </c>
      <c r="H232" t="s">
        <v>212</v>
      </c>
      <c r="I232">
        <v>8300</v>
      </c>
    </row>
    <row r="233" spans="1:9" x14ac:dyDescent="0.25">
      <c r="A233" t="b">
        <v>1</v>
      </c>
      <c r="B233">
        <v>24</v>
      </c>
      <c r="C233" t="s">
        <v>234</v>
      </c>
      <c r="D233" t="s">
        <v>198</v>
      </c>
      <c r="E233" t="s">
        <v>121</v>
      </c>
      <c r="G233">
        <v>2023</v>
      </c>
      <c r="H233" t="s">
        <v>213</v>
      </c>
      <c r="I233">
        <v>8300</v>
      </c>
    </row>
    <row r="234" spans="1:9" x14ac:dyDescent="0.25">
      <c r="A234" t="b">
        <v>1</v>
      </c>
      <c r="B234">
        <v>24</v>
      </c>
      <c r="C234" t="s">
        <v>234</v>
      </c>
      <c r="D234" t="s">
        <v>198</v>
      </c>
      <c r="E234" t="s">
        <v>121</v>
      </c>
      <c r="G234">
        <v>2023</v>
      </c>
      <c r="H234" t="s">
        <v>214</v>
      </c>
      <c r="I234">
        <v>8300</v>
      </c>
    </row>
    <row r="235" spans="1:9" x14ac:dyDescent="0.25">
      <c r="A235" t="b">
        <v>1</v>
      </c>
      <c r="B235">
        <v>24</v>
      </c>
      <c r="C235" t="s">
        <v>234</v>
      </c>
      <c r="D235" t="s">
        <v>198</v>
      </c>
      <c r="E235" t="s">
        <v>121</v>
      </c>
      <c r="G235">
        <v>2023</v>
      </c>
      <c r="H235" t="s">
        <v>215</v>
      </c>
      <c r="I235">
        <v>8300</v>
      </c>
    </row>
    <row r="236" spans="1:9" x14ac:dyDescent="0.25">
      <c r="A236" t="b">
        <v>1</v>
      </c>
      <c r="B236">
        <v>25</v>
      </c>
      <c r="C236" t="s">
        <v>232</v>
      </c>
      <c r="D236" t="s">
        <v>174</v>
      </c>
      <c r="E236" t="s">
        <v>123</v>
      </c>
      <c r="G236">
        <v>2023</v>
      </c>
      <c r="H236" t="s">
        <v>226</v>
      </c>
      <c r="I236">
        <v>5000</v>
      </c>
    </row>
    <row r="237" spans="1:9" x14ac:dyDescent="0.25">
      <c r="A237" t="b">
        <v>1</v>
      </c>
      <c r="B237">
        <v>25</v>
      </c>
      <c r="C237" t="s">
        <v>232</v>
      </c>
      <c r="D237" t="s">
        <v>174</v>
      </c>
      <c r="E237" t="s">
        <v>123</v>
      </c>
      <c r="G237">
        <v>2023</v>
      </c>
      <c r="H237" t="s">
        <v>227</v>
      </c>
      <c r="I237">
        <v>5000</v>
      </c>
    </row>
    <row r="238" spans="1:9" x14ac:dyDescent="0.25">
      <c r="A238" t="b">
        <v>1</v>
      </c>
      <c r="B238">
        <v>25</v>
      </c>
      <c r="C238" t="s">
        <v>232</v>
      </c>
      <c r="D238" t="s">
        <v>174</v>
      </c>
      <c r="E238" t="s">
        <v>123</v>
      </c>
      <c r="G238">
        <v>2023</v>
      </c>
      <c r="H238" t="s">
        <v>228</v>
      </c>
      <c r="I238">
        <v>5000</v>
      </c>
    </row>
    <row r="239" spans="1:9" x14ac:dyDescent="0.25">
      <c r="A239" t="b">
        <v>1</v>
      </c>
      <c r="B239">
        <v>25</v>
      </c>
      <c r="C239" t="s">
        <v>232</v>
      </c>
      <c r="D239" t="s">
        <v>174</v>
      </c>
      <c r="E239" t="s">
        <v>123</v>
      </c>
      <c r="G239">
        <v>2023</v>
      </c>
      <c r="H239" t="s">
        <v>229</v>
      </c>
      <c r="I239">
        <v>5000</v>
      </c>
    </row>
    <row r="240" spans="1:9" x14ac:dyDescent="0.25">
      <c r="A240" t="b">
        <v>1</v>
      </c>
      <c r="B240">
        <v>25</v>
      </c>
      <c r="C240" t="s">
        <v>232</v>
      </c>
      <c r="D240" t="s">
        <v>174</v>
      </c>
      <c r="E240" t="s">
        <v>123</v>
      </c>
      <c r="G240">
        <v>2023</v>
      </c>
      <c r="H240" t="s">
        <v>210</v>
      </c>
      <c r="I240">
        <v>5000</v>
      </c>
    </row>
    <row r="241" spans="1:9" x14ac:dyDescent="0.25">
      <c r="A241" t="b">
        <v>1</v>
      </c>
      <c r="B241">
        <v>25</v>
      </c>
      <c r="C241" t="s">
        <v>232</v>
      </c>
      <c r="D241" t="s">
        <v>174</v>
      </c>
      <c r="E241" t="s">
        <v>123</v>
      </c>
      <c r="G241">
        <v>2023</v>
      </c>
      <c r="H241" t="s">
        <v>211</v>
      </c>
      <c r="I241">
        <v>5000</v>
      </c>
    </row>
    <row r="242" spans="1:9" x14ac:dyDescent="0.25">
      <c r="A242" t="b">
        <v>1</v>
      </c>
      <c r="B242">
        <v>25</v>
      </c>
      <c r="C242" t="s">
        <v>232</v>
      </c>
      <c r="D242" t="s">
        <v>174</v>
      </c>
      <c r="E242" t="s">
        <v>123</v>
      </c>
      <c r="G242">
        <v>2023</v>
      </c>
      <c r="H242" t="s">
        <v>212</v>
      </c>
      <c r="I242">
        <v>5000</v>
      </c>
    </row>
    <row r="243" spans="1:9" x14ac:dyDescent="0.25">
      <c r="A243" t="b">
        <v>1</v>
      </c>
      <c r="B243">
        <v>25</v>
      </c>
      <c r="C243" t="s">
        <v>232</v>
      </c>
      <c r="D243" t="s">
        <v>174</v>
      </c>
      <c r="E243" t="s">
        <v>123</v>
      </c>
      <c r="G243">
        <v>2023</v>
      </c>
      <c r="H243" t="s">
        <v>213</v>
      </c>
      <c r="I243">
        <v>5000</v>
      </c>
    </row>
    <row r="244" spans="1:9" x14ac:dyDescent="0.25">
      <c r="A244" t="b">
        <v>1</v>
      </c>
      <c r="B244">
        <v>25</v>
      </c>
      <c r="C244" t="s">
        <v>232</v>
      </c>
      <c r="D244" t="s">
        <v>174</v>
      </c>
      <c r="E244" t="s">
        <v>123</v>
      </c>
      <c r="G244">
        <v>2023</v>
      </c>
      <c r="H244" t="s">
        <v>214</v>
      </c>
      <c r="I244">
        <v>5000</v>
      </c>
    </row>
    <row r="245" spans="1:9" x14ac:dyDescent="0.25">
      <c r="A245" t="b">
        <v>1</v>
      </c>
      <c r="B245">
        <v>25</v>
      </c>
      <c r="C245" t="s">
        <v>232</v>
      </c>
      <c r="D245" t="s">
        <v>174</v>
      </c>
      <c r="E245" t="s">
        <v>123</v>
      </c>
      <c r="G245">
        <v>2023</v>
      </c>
      <c r="H245" t="s">
        <v>215</v>
      </c>
      <c r="I245">
        <v>5000</v>
      </c>
    </row>
    <row r="246" spans="1:9" x14ac:dyDescent="0.25">
      <c r="A246" t="b">
        <v>1</v>
      </c>
      <c r="B246">
        <v>25</v>
      </c>
      <c r="C246" t="s">
        <v>232</v>
      </c>
      <c r="D246" t="s">
        <v>174</v>
      </c>
      <c r="E246" t="s">
        <v>123</v>
      </c>
      <c r="G246">
        <v>2023</v>
      </c>
      <c r="H246" t="s">
        <v>230</v>
      </c>
      <c r="I246">
        <v>5000</v>
      </c>
    </row>
    <row r="247" spans="1:9" x14ac:dyDescent="0.25">
      <c r="A247" t="b">
        <v>1</v>
      </c>
      <c r="B247">
        <v>25</v>
      </c>
      <c r="C247" t="s">
        <v>232</v>
      </c>
      <c r="D247" t="s">
        <v>174</v>
      </c>
      <c r="E247" t="s">
        <v>123</v>
      </c>
      <c r="G247">
        <v>2023</v>
      </c>
      <c r="H247" t="s">
        <v>231</v>
      </c>
      <c r="I247">
        <v>5000</v>
      </c>
    </row>
    <row r="248" spans="1:9" x14ac:dyDescent="0.25">
      <c r="A248" t="b">
        <v>1</v>
      </c>
      <c r="B248">
        <v>26</v>
      </c>
      <c r="C248" t="s">
        <v>232</v>
      </c>
      <c r="D248" t="s">
        <v>175</v>
      </c>
      <c r="E248" t="s">
        <v>123</v>
      </c>
      <c r="G248">
        <v>2023</v>
      </c>
      <c r="H248" t="s">
        <v>226</v>
      </c>
      <c r="I248">
        <v>1500</v>
      </c>
    </row>
    <row r="249" spans="1:9" x14ac:dyDescent="0.25">
      <c r="A249" t="b">
        <v>1</v>
      </c>
      <c r="B249">
        <v>26</v>
      </c>
      <c r="C249" t="s">
        <v>232</v>
      </c>
      <c r="D249" t="s">
        <v>175</v>
      </c>
      <c r="E249" t="s">
        <v>123</v>
      </c>
      <c r="G249">
        <v>2023</v>
      </c>
      <c r="H249" t="s">
        <v>227</v>
      </c>
      <c r="I249">
        <v>1500</v>
      </c>
    </row>
    <row r="250" spans="1:9" x14ac:dyDescent="0.25">
      <c r="A250" t="b">
        <v>1</v>
      </c>
      <c r="B250">
        <v>26</v>
      </c>
      <c r="C250" t="s">
        <v>232</v>
      </c>
      <c r="D250" t="s">
        <v>175</v>
      </c>
      <c r="E250" t="s">
        <v>123</v>
      </c>
      <c r="G250">
        <v>2023</v>
      </c>
      <c r="H250" t="s">
        <v>228</v>
      </c>
      <c r="I250">
        <v>1500</v>
      </c>
    </row>
    <row r="251" spans="1:9" x14ac:dyDescent="0.25">
      <c r="A251" t="b">
        <v>1</v>
      </c>
      <c r="B251">
        <v>26</v>
      </c>
      <c r="C251" t="s">
        <v>232</v>
      </c>
      <c r="D251" t="s">
        <v>175</v>
      </c>
      <c r="E251" t="s">
        <v>123</v>
      </c>
      <c r="G251">
        <v>2023</v>
      </c>
      <c r="H251" t="s">
        <v>229</v>
      </c>
      <c r="I251">
        <v>1500</v>
      </c>
    </row>
    <row r="252" spans="1:9" x14ac:dyDescent="0.25">
      <c r="A252" t="b">
        <v>1</v>
      </c>
      <c r="B252">
        <v>26</v>
      </c>
      <c r="C252" t="s">
        <v>232</v>
      </c>
      <c r="D252" t="s">
        <v>175</v>
      </c>
      <c r="E252" t="s">
        <v>123</v>
      </c>
      <c r="G252">
        <v>2023</v>
      </c>
      <c r="H252" t="s">
        <v>210</v>
      </c>
      <c r="I252">
        <v>1500</v>
      </c>
    </row>
    <row r="253" spans="1:9" x14ac:dyDescent="0.25">
      <c r="A253" t="b">
        <v>1</v>
      </c>
      <c r="B253">
        <v>26</v>
      </c>
      <c r="C253" t="s">
        <v>232</v>
      </c>
      <c r="D253" t="s">
        <v>175</v>
      </c>
      <c r="E253" t="s">
        <v>123</v>
      </c>
      <c r="G253">
        <v>2023</v>
      </c>
      <c r="H253" t="s">
        <v>211</v>
      </c>
      <c r="I253">
        <v>1500</v>
      </c>
    </row>
    <row r="254" spans="1:9" x14ac:dyDescent="0.25">
      <c r="A254" t="b">
        <v>1</v>
      </c>
      <c r="B254">
        <v>26</v>
      </c>
      <c r="C254" t="s">
        <v>232</v>
      </c>
      <c r="D254" t="s">
        <v>175</v>
      </c>
      <c r="E254" t="s">
        <v>123</v>
      </c>
      <c r="G254">
        <v>2023</v>
      </c>
      <c r="H254" t="s">
        <v>212</v>
      </c>
      <c r="I254">
        <v>1500</v>
      </c>
    </row>
    <row r="255" spans="1:9" x14ac:dyDescent="0.25">
      <c r="A255" t="b">
        <v>1</v>
      </c>
      <c r="B255">
        <v>26</v>
      </c>
      <c r="C255" t="s">
        <v>232</v>
      </c>
      <c r="D255" t="s">
        <v>175</v>
      </c>
      <c r="E255" t="s">
        <v>123</v>
      </c>
      <c r="G255">
        <v>2023</v>
      </c>
      <c r="H255" t="s">
        <v>213</v>
      </c>
      <c r="I255">
        <v>1500</v>
      </c>
    </row>
    <row r="256" spans="1:9" x14ac:dyDescent="0.25">
      <c r="A256" t="b">
        <v>1</v>
      </c>
      <c r="B256">
        <v>26</v>
      </c>
      <c r="C256" t="s">
        <v>232</v>
      </c>
      <c r="D256" t="s">
        <v>175</v>
      </c>
      <c r="E256" t="s">
        <v>123</v>
      </c>
      <c r="G256">
        <v>2023</v>
      </c>
      <c r="H256" t="s">
        <v>214</v>
      </c>
      <c r="I256">
        <v>1500</v>
      </c>
    </row>
    <row r="257" spans="1:9" x14ac:dyDescent="0.25">
      <c r="A257" t="b">
        <v>1</v>
      </c>
      <c r="B257">
        <v>26</v>
      </c>
      <c r="C257" t="s">
        <v>232</v>
      </c>
      <c r="D257" t="s">
        <v>175</v>
      </c>
      <c r="E257" t="s">
        <v>123</v>
      </c>
      <c r="G257">
        <v>2023</v>
      </c>
      <c r="H257" t="s">
        <v>215</v>
      </c>
      <c r="I257">
        <v>1500</v>
      </c>
    </row>
    <row r="258" spans="1:9" x14ac:dyDescent="0.25">
      <c r="A258" t="b">
        <v>1</v>
      </c>
      <c r="B258">
        <v>26</v>
      </c>
      <c r="C258" t="s">
        <v>232</v>
      </c>
      <c r="D258" t="s">
        <v>175</v>
      </c>
      <c r="E258" t="s">
        <v>123</v>
      </c>
      <c r="G258">
        <v>2023</v>
      </c>
      <c r="H258" t="s">
        <v>230</v>
      </c>
      <c r="I258">
        <v>1500</v>
      </c>
    </row>
    <row r="259" spans="1:9" x14ac:dyDescent="0.25">
      <c r="A259" t="b">
        <v>1</v>
      </c>
      <c r="B259">
        <v>26</v>
      </c>
      <c r="C259" t="s">
        <v>232</v>
      </c>
      <c r="D259" t="s">
        <v>175</v>
      </c>
      <c r="E259" t="s">
        <v>123</v>
      </c>
      <c r="G259">
        <v>2023</v>
      </c>
      <c r="H259" t="s">
        <v>231</v>
      </c>
      <c r="I259">
        <v>1500</v>
      </c>
    </row>
    <row r="260" spans="1:9" x14ac:dyDescent="0.25">
      <c r="A260" t="b">
        <v>1</v>
      </c>
      <c r="B260">
        <v>27</v>
      </c>
      <c r="C260" t="s">
        <v>232</v>
      </c>
      <c r="D260" t="s">
        <v>166</v>
      </c>
      <c r="E260" t="s">
        <v>122</v>
      </c>
      <c r="G260">
        <v>2023</v>
      </c>
      <c r="H260" t="s">
        <v>228</v>
      </c>
      <c r="I260">
        <v>3000</v>
      </c>
    </row>
    <row r="261" spans="1:9" x14ac:dyDescent="0.25">
      <c r="A261" t="b">
        <v>1</v>
      </c>
      <c r="B261">
        <v>27</v>
      </c>
      <c r="C261" t="s">
        <v>232</v>
      </c>
      <c r="D261" t="s">
        <v>166</v>
      </c>
      <c r="E261" t="s">
        <v>122</v>
      </c>
      <c r="G261">
        <v>2023</v>
      </c>
      <c r="H261" t="s">
        <v>213</v>
      </c>
      <c r="I261">
        <v>3000</v>
      </c>
    </row>
    <row r="262" spans="1:9" x14ac:dyDescent="0.25">
      <c r="A262" t="b">
        <v>1</v>
      </c>
      <c r="B262">
        <v>27</v>
      </c>
      <c r="C262" t="s">
        <v>232</v>
      </c>
      <c r="D262" t="s">
        <v>166</v>
      </c>
      <c r="E262" t="s">
        <v>122</v>
      </c>
      <c r="G262">
        <v>2023</v>
      </c>
      <c r="H262" t="s">
        <v>230</v>
      </c>
      <c r="I262">
        <v>3000</v>
      </c>
    </row>
    <row r="263" spans="1:9" x14ac:dyDescent="0.25">
      <c r="A263" t="b">
        <v>1</v>
      </c>
      <c r="B263">
        <v>28</v>
      </c>
      <c r="C263" t="s">
        <v>232</v>
      </c>
      <c r="D263" t="s">
        <v>176</v>
      </c>
      <c r="E263" t="s">
        <v>123</v>
      </c>
      <c r="G263">
        <v>2023</v>
      </c>
      <c r="H263" t="s">
        <v>226</v>
      </c>
      <c r="I263">
        <v>1500</v>
      </c>
    </row>
    <row r="264" spans="1:9" x14ac:dyDescent="0.25">
      <c r="A264" t="b">
        <v>1</v>
      </c>
      <c r="B264">
        <v>28</v>
      </c>
      <c r="C264" t="s">
        <v>232</v>
      </c>
      <c r="D264" t="s">
        <v>176</v>
      </c>
      <c r="E264" t="s">
        <v>123</v>
      </c>
      <c r="G264">
        <v>2023</v>
      </c>
      <c r="H264" t="s">
        <v>227</v>
      </c>
      <c r="I264">
        <v>1500</v>
      </c>
    </row>
    <row r="265" spans="1:9" x14ac:dyDescent="0.25">
      <c r="A265" t="b">
        <v>1</v>
      </c>
      <c r="B265">
        <v>28</v>
      </c>
      <c r="C265" t="s">
        <v>232</v>
      </c>
      <c r="D265" t="s">
        <v>176</v>
      </c>
      <c r="E265" t="s">
        <v>123</v>
      </c>
      <c r="G265">
        <v>2023</v>
      </c>
      <c r="H265" t="s">
        <v>228</v>
      </c>
      <c r="I265">
        <v>1500</v>
      </c>
    </row>
    <row r="266" spans="1:9" x14ac:dyDescent="0.25">
      <c r="A266" t="b">
        <v>1</v>
      </c>
      <c r="B266">
        <v>28</v>
      </c>
      <c r="C266" t="s">
        <v>232</v>
      </c>
      <c r="D266" t="s">
        <v>176</v>
      </c>
      <c r="E266" t="s">
        <v>123</v>
      </c>
      <c r="G266">
        <v>2023</v>
      </c>
      <c r="H266" t="s">
        <v>229</v>
      </c>
      <c r="I266">
        <v>1500</v>
      </c>
    </row>
    <row r="267" spans="1:9" x14ac:dyDescent="0.25">
      <c r="A267" t="b">
        <v>1</v>
      </c>
      <c r="B267">
        <v>28</v>
      </c>
      <c r="C267" t="s">
        <v>232</v>
      </c>
      <c r="D267" t="s">
        <v>176</v>
      </c>
      <c r="E267" t="s">
        <v>123</v>
      </c>
      <c r="G267">
        <v>2023</v>
      </c>
      <c r="H267" t="s">
        <v>210</v>
      </c>
      <c r="I267">
        <v>1500</v>
      </c>
    </row>
    <row r="268" spans="1:9" x14ac:dyDescent="0.25">
      <c r="A268" t="b">
        <v>1</v>
      </c>
      <c r="B268">
        <v>28</v>
      </c>
      <c r="C268" t="s">
        <v>232</v>
      </c>
      <c r="D268" t="s">
        <v>176</v>
      </c>
      <c r="E268" t="s">
        <v>123</v>
      </c>
      <c r="G268">
        <v>2023</v>
      </c>
      <c r="H268" t="s">
        <v>211</v>
      </c>
      <c r="I268">
        <v>1500</v>
      </c>
    </row>
    <row r="269" spans="1:9" x14ac:dyDescent="0.25">
      <c r="A269" t="b">
        <v>1</v>
      </c>
      <c r="B269">
        <v>28</v>
      </c>
      <c r="C269" t="s">
        <v>232</v>
      </c>
      <c r="D269" t="s">
        <v>176</v>
      </c>
      <c r="E269" t="s">
        <v>123</v>
      </c>
      <c r="G269">
        <v>2023</v>
      </c>
      <c r="H269" t="s">
        <v>212</v>
      </c>
      <c r="I269">
        <v>1500</v>
      </c>
    </row>
    <row r="270" spans="1:9" x14ac:dyDescent="0.25">
      <c r="A270" t="b">
        <v>1</v>
      </c>
      <c r="B270">
        <v>28</v>
      </c>
      <c r="C270" t="s">
        <v>232</v>
      </c>
      <c r="D270" t="s">
        <v>176</v>
      </c>
      <c r="E270" t="s">
        <v>123</v>
      </c>
      <c r="G270">
        <v>2023</v>
      </c>
      <c r="H270" t="s">
        <v>213</v>
      </c>
      <c r="I270">
        <v>1500</v>
      </c>
    </row>
    <row r="271" spans="1:9" x14ac:dyDescent="0.25">
      <c r="A271" t="b">
        <v>1</v>
      </c>
      <c r="B271">
        <v>28</v>
      </c>
      <c r="C271" t="s">
        <v>232</v>
      </c>
      <c r="D271" t="s">
        <v>176</v>
      </c>
      <c r="E271" t="s">
        <v>123</v>
      </c>
      <c r="G271">
        <v>2023</v>
      </c>
      <c r="H271" t="s">
        <v>214</v>
      </c>
      <c r="I271">
        <v>1500</v>
      </c>
    </row>
    <row r="272" spans="1:9" x14ac:dyDescent="0.25">
      <c r="A272" t="b">
        <v>1</v>
      </c>
      <c r="B272">
        <v>28</v>
      </c>
      <c r="C272" t="s">
        <v>232</v>
      </c>
      <c r="D272" t="s">
        <v>176</v>
      </c>
      <c r="E272" t="s">
        <v>123</v>
      </c>
      <c r="G272">
        <v>2023</v>
      </c>
      <c r="H272" t="s">
        <v>215</v>
      </c>
      <c r="I272">
        <v>1500</v>
      </c>
    </row>
    <row r="273" spans="1:9" x14ac:dyDescent="0.25">
      <c r="A273" t="b">
        <v>1</v>
      </c>
      <c r="B273">
        <v>28</v>
      </c>
      <c r="C273" t="s">
        <v>232</v>
      </c>
      <c r="D273" t="s">
        <v>176</v>
      </c>
      <c r="E273" t="s">
        <v>123</v>
      </c>
      <c r="G273">
        <v>2023</v>
      </c>
      <c r="H273" t="s">
        <v>230</v>
      </c>
      <c r="I273">
        <v>1500</v>
      </c>
    </row>
    <row r="274" spans="1:9" x14ac:dyDescent="0.25">
      <c r="A274" t="b">
        <v>1</v>
      </c>
      <c r="B274">
        <v>28</v>
      </c>
      <c r="C274" t="s">
        <v>232</v>
      </c>
      <c r="D274" t="s">
        <v>176</v>
      </c>
      <c r="E274" t="s">
        <v>123</v>
      </c>
      <c r="G274">
        <v>2023</v>
      </c>
      <c r="H274" t="s">
        <v>231</v>
      </c>
      <c r="I274">
        <v>1500</v>
      </c>
    </row>
    <row r="275" spans="1:9" x14ac:dyDescent="0.25">
      <c r="A275" t="b">
        <v>1</v>
      </c>
      <c r="B275">
        <v>29</v>
      </c>
      <c r="C275" t="s">
        <v>225</v>
      </c>
      <c r="D275" t="s">
        <v>177</v>
      </c>
      <c r="E275" t="s">
        <v>115</v>
      </c>
      <c r="G275">
        <v>2023</v>
      </c>
      <c r="H275" t="s">
        <v>226</v>
      </c>
      <c r="I275">
        <v>3500</v>
      </c>
    </row>
    <row r="276" spans="1:9" x14ac:dyDescent="0.25">
      <c r="A276" t="b">
        <v>1</v>
      </c>
      <c r="B276">
        <v>29</v>
      </c>
      <c r="C276" t="s">
        <v>225</v>
      </c>
      <c r="D276" t="s">
        <v>177</v>
      </c>
      <c r="E276" t="s">
        <v>115</v>
      </c>
      <c r="G276">
        <v>2023</v>
      </c>
      <c r="H276" t="s">
        <v>227</v>
      </c>
      <c r="I276">
        <v>3500</v>
      </c>
    </row>
    <row r="277" spans="1:9" x14ac:dyDescent="0.25">
      <c r="A277" t="b">
        <v>1</v>
      </c>
      <c r="B277">
        <v>29</v>
      </c>
      <c r="C277" t="s">
        <v>225</v>
      </c>
      <c r="D277" t="s">
        <v>177</v>
      </c>
      <c r="E277" t="s">
        <v>115</v>
      </c>
      <c r="G277">
        <v>2023</v>
      </c>
      <c r="H277" t="s">
        <v>228</v>
      </c>
      <c r="I277">
        <v>3500</v>
      </c>
    </row>
    <row r="278" spans="1:9" x14ac:dyDescent="0.25">
      <c r="A278" t="b">
        <v>1</v>
      </c>
      <c r="B278">
        <v>29</v>
      </c>
      <c r="C278" t="s">
        <v>225</v>
      </c>
      <c r="D278" t="s">
        <v>177</v>
      </c>
      <c r="E278" t="s">
        <v>115</v>
      </c>
      <c r="G278">
        <v>2023</v>
      </c>
      <c r="H278" t="s">
        <v>229</v>
      </c>
      <c r="I278">
        <v>3500</v>
      </c>
    </row>
    <row r="279" spans="1:9" x14ac:dyDescent="0.25">
      <c r="A279" t="b">
        <v>1</v>
      </c>
      <c r="B279">
        <v>29</v>
      </c>
      <c r="C279" t="s">
        <v>225</v>
      </c>
      <c r="D279" t="s">
        <v>177</v>
      </c>
      <c r="E279" t="s">
        <v>115</v>
      </c>
      <c r="G279">
        <v>2023</v>
      </c>
      <c r="H279" t="s">
        <v>210</v>
      </c>
      <c r="I279">
        <v>3500</v>
      </c>
    </row>
    <row r="280" spans="1:9" x14ac:dyDescent="0.25">
      <c r="A280" t="b">
        <v>1</v>
      </c>
      <c r="B280">
        <v>29</v>
      </c>
      <c r="C280" t="s">
        <v>225</v>
      </c>
      <c r="D280" t="s">
        <v>177</v>
      </c>
      <c r="E280" t="s">
        <v>115</v>
      </c>
      <c r="G280">
        <v>2023</v>
      </c>
      <c r="H280" t="s">
        <v>211</v>
      </c>
      <c r="I280">
        <v>3500</v>
      </c>
    </row>
    <row r="281" spans="1:9" x14ac:dyDescent="0.25">
      <c r="A281" t="b">
        <v>1</v>
      </c>
      <c r="B281">
        <v>29</v>
      </c>
      <c r="C281" t="s">
        <v>225</v>
      </c>
      <c r="D281" t="s">
        <v>177</v>
      </c>
      <c r="E281" t="s">
        <v>115</v>
      </c>
      <c r="G281">
        <v>2023</v>
      </c>
      <c r="H281" t="s">
        <v>212</v>
      </c>
      <c r="I281">
        <v>3500</v>
      </c>
    </row>
    <row r="282" spans="1:9" x14ac:dyDescent="0.25">
      <c r="A282" t="b">
        <v>1</v>
      </c>
      <c r="B282">
        <v>29</v>
      </c>
      <c r="C282" t="s">
        <v>225</v>
      </c>
      <c r="D282" t="s">
        <v>177</v>
      </c>
      <c r="E282" t="s">
        <v>115</v>
      </c>
      <c r="G282">
        <v>2023</v>
      </c>
      <c r="H282" t="s">
        <v>213</v>
      </c>
      <c r="I282">
        <v>3500</v>
      </c>
    </row>
    <row r="283" spans="1:9" x14ac:dyDescent="0.25">
      <c r="A283" t="b">
        <v>1</v>
      </c>
      <c r="B283">
        <v>29</v>
      </c>
      <c r="C283" t="s">
        <v>225</v>
      </c>
      <c r="D283" t="s">
        <v>177</v>
      </c>
      <c r="E283" t="s">
        <v>115</v>
      </c>
      <c r="G283">
        <v>2023</v>
      </c>
      <c r="H283" t="s">
        <v>214</v>
      </c>
      <c r="I283">
        <v>3500</v>
      </c>
    </row>
    <row r="284" spans="1:9" x14ac:dyDescent="0.25">
      <c r="A284" t="b">
        <v>1</v>
      </c>
      <c r="B284">
        <v>29</v>
      </c>
      <c r="C284" t="s">
        <v>225</v>
      </c>
      <c r="D284" t="s">
        <v>177</v>
      </c>
      <c r="E284" t="s">
        <v>115</v>
      </c>
      <c r="G284">
        <v>2023</v>
      </c>
      <c r="H284" t="s">
        <v>215</v>
      </c>
      <c r="I284">
        <v>3500</v>
      </c>
    </row>
    <row r="285" spans="1:9" x14ac:dyDescent="0.25">
      <c r="A285" t="b">
        <v>1</v>
      </c>
      <c r="B285">
        <v>29</v>
      </c>
      <c r="C285" t="s">
        <v>225</v>
      </c>
      <c r="D285" t="s">
        <v>177</v>
      </c>
      <c r="E285" t="s">
        <v>115</v>
      </c>
      <c r="G285">
        <v>2023</v>
      </c>
      <c r="H285" t="s">
        <v>230</v>
      </c>
      <c r="I285">
        <v>3500</v>
      </c>
    </row>
    <row r="286" spans="1:9" x14ac:dyDescent="0.25">
      <c r="A286" t="b">
        <v>1</v>
      </c>
      <c r="B286">
        <v>29</v>
      </c>
      <c r="C286" t="s">
        <v>225</v>
      </c>
      <c r="D286" t="s">
        <v>177</v>
      </c>
      <c r="E286" t="s">
        <v>115</v>
      </c>
      <c r="G286">
        <v>2023</v>
      </c>
      <c r="H286" t="s">
        <v>231</v>
      </c>
      <c r="I286">
        <v>3500</v>
      </c>
    </row>
    <row r="287" spans="1:9" x14ac:dyDescent="0.25">
      <c r="A287" t="b">
        <v>1</v>
      </c>
      <c r="B287">
        <v>30</v>
      </c>
      <c r="C287" t="s">
        <v>225</v>
      </c>
      <c r="D287" t="s">
        <v>178</v>
      </c>
      <c r="E287" t="s">
        <v>115</v>
      </c>
      <c r="G287">
        <v>2023</v>
      </c>
      <c r="H287" t="s">
        <v>226</v>
      </c>
      <c r="I287">
        <v>20000</v>
      </c>
    </row>
    <row r="288" spans="1:9" x14ac:dyDescent="0.25">
      <c r="A288" t="b">
        <v>1</v>
      </c>
      <c r="B288">
        <v>30</v>
      </c>
      <c r="C288" t="s">
        <v>225</v>
      </c>
      <c r="D288" t="s">
        <v>178</v>
      </c>
      <c r="E288" t="s">
        <v>115</v>
      </c>
      <c r="G288">
        <v>2023</v>
      </c>
      <c r="H288" t="s">
        <v>227</v>
      </c>
      <c r="I288">
        <v>20000</v>
      </c>
    </row>
    <row r="289" spans="1:9" x14ac:dyDescent="0.25">
      <c r="A289" t="b">
        <v>1</v>
      </c>
      <c r="B289">
        <v>30</v>
      </c>
      <c r="C289" t="s">
        <v>225</v>
      </c>
      <c r="D289" t="s">
        <v>178</v>
      </c>
      <c r="E289" t="s">
        <v>115</v>
      </c>
      <c r="G289">
        <v>2023</v>
      </c>
      <c r="H289" t="s">
        <v>228</v>
      </c>
      <c r="I289">
        <v>20000</v>
      </c>
    </row>
    <row r="290" spans="1:9" x14ac:dyDescent="0.25">
      <c r="A290" t="b">
        <v>1</v>
      </c>
      <c r="B290">
        <v>30</v>
      </c>
      <c r="C290" t="s">
        <v>225</v>
      </c>
      <c r="D290" t="s">
        <v>178</v>
      </c>
      <c r="E290" t="s">
        <v>115</v>
      </c>
      <c r="G290">
        <v>2023</v>
      </c>
      <c r="H290" t="s">
        <v>229</v>
      </c>
      <c r="I290">
        <v>20000</v>
      </c>
    </row>
    <row r="291" spans="1:9" x14ac:dyDescent="0.25">
      <c r="A291" t="b">
        <v>1</v>
      </c>
      <c r="B291">
        <v>30</v>
      </c>
      <c r="C291" t="s">
        <v>225</v>
      </c>
      <c r="D291" t="s">
        <v>178</v>
      </c>
      <c r="E291" t="s">
        <v>115</v>
      </c>
      <c r="G291">
        <v>2023</v>
      </c>
      <c r="H291" t="s">
        <v>210</v>
      </c>
      <c r="I291">
        <v>20000</v>
      </c>
    </row>
    <row r="292" spans="1:9" x14ac:dyDescent="0.25">
      <c r="A292" t="b">
        <v>1</v>
      </c>
      <c r="B292">
        <v>30</v>
      </c>
      <c r="C292" t="s">
        <v>225</v>
      </c>
      <c r="D292" t="s">
        <v>178</v>
      </c>
      <c r="E292" t="s">
        <v>115</v>
      </c>
      <c r="G292">
        <v>2023</v>
      </c>
      <c r="H292" t="s">
        <v>211</v>
      </c>
      <c r="I292">
        <v>20000</v>
      </c>
    </row>
    <row r="293" spans="1:9" x14ac:dyDescent="0.25">
      <c r="A293" t="b">
        <v>1</v>
      </c>
      <c r="B293">
        <v>30</v>
      </c>
      <c r="C293" t="s">
        <v>225</v>
      </c>
      <c r="D293" t="s">
        <v>178</v>
      </c>
      <c r="E293" t="s">
        <v>115</v>
      </c>
      <c r="G293">
        <v>2023</v>
      </c>
      <c r="H293" t="s">
        <v>212</v>
      </c>
      <c r="I293">
        <v>20000</v>
      </c>
    </row>
    <row r="294" spans="1:9" x14ac:dyDescent="0.25">
      <c r="A294" t="b">
        <v>1</v>
      </c>
      <c r="B294">
        <v>30</v>
      </c>
      <c r="C294" t="s">
        <v>225</v>
      </c>
      <c r="D294" t="s">
        <v>178</v>
      </c>
      <c r="E294" t="s">
        <v>115</v>
      </c>
      <c r="G294">
        <v>2023</v>
      </c>
      <c r="H294" t="s">
        <v>213</v>
      </c>
      <c r="I294">
        <v>20000</v>
      </c>
    </row>
    <row r="295" spans="1:9" x14ac:dyDescent="0.25">
      <c r="A295" t="b">
        <v>1</v>
      </c>
      <c r="B295">
        <v>30</v>
      </c>
      <c r="C295" t="s">
        <v>225</v>
      </c>
      <c r="D295" t="s">
        <v>178</v>
      </c>
      <c r="E295" t="s">
        <v>115</v>
      </c>
      <c r="G295">
        <v>2023</v>
      </c>
      <c r="H295" t="s">
        <v>214</v>
      </c>
      <c r="I295">
        <v>20000</v>
      </c>
    </row>
    <row r="296" spans="1:9" x14ac:dyDescent="0.25">
      <c r="A296" t="b">
        <v>1</v>
      </c>
      <c r="B296">
        <v>30</v>
      </c>
      <c r="C296" t="s">
        <v>225</v>
      </c>
      <c r="D296" t="s">
        <v>178</v>
      </c>
      <c r="E296" t="s">
        <v>115</v>
      </c>
      <c r="G296">
        <v>2023</v>
      </c>
      <c r="H296" t="s">
        <v>215</v>
      </c>
      <c r="I296">
        <v>20000</v>
      </c>
    </row>
    <row r="297" spans="1:9" x14ac:dyDescent="0.25">
      <c r="A297" t="b">
        <v>1</v>
      </c>
      <c r="B297">
        <v>30</v>
      </c>
      <c r="C297" t="s">
        <v>225</v>
      </c>
      <c r="D297" t="s">
        <v>178</v>
      </c>
      <c r="E297" t="s">
        <v>115</v>
      </c>
      <c r="G297">
        <v>2023</v>
      </c>
      <c r="H297" t="s">
        <v>230</v>
      </c>
      <c r="I297">
        <v>20000</v>
      </c>
    </row>
    <row r="298" spans="1:9" x14ac:dyDescent="0.25">
      <c r="A298" t="b">
        <v>1</v>
      </c>
      <c r="B298">
        <v>30</v>
      </c>
      <c r="C298" t="s">
        <v>225</v>
      </c>
      <c r="D298" t="s">
        <v>178</v>
      </c>
      <c r="E298" t="s">
        <v>115</v>
      </c>
      <c r="G298">
        <v>2023</v>
      </c>
      <c r="H298" t="s">
        <v>231</v>
      </c>
      <c r="I298">
        <v>20000</v>
      </c>
    </row>
    <row r="299" spans="1:9" x14ac:dyDescent="0.25">
      <c r="A299" t="b">
        <v>1</v>
      </c>
      <c r="B299">
        <v>31</v>
      </c>
      <c r="C299" t="s">
        <v>233</v>
      </c>
      <c r="D299" t="s">
        <v>179</v>
      </c>
      <c r="E299" t="s">
        <v>26</v>
      </c>
      <c r="G299">
        <v>2023</v>
      </c>
      <c r="H299" t="s">
        <v>226</v>
      </c>
      <c r="I299">
        <v>4300</v>
      </c>
    </row>
    <row r="300" spans="1:9" x14ac:dyDescent="0.25">
      <c r="A300" t="b">
        <v>1</v>
      </c>
      <c r="B300">
        <v>31</v>
      </c>
      <c r="C300" t="s">
        <v>233</v>
      </c>
      <c r="D300" t="s">
        <v>179</v>
      </c>
      <c r="E300" t="s">
        <v>26</v>
      </c>
      <c r="G300">
        <v>2023</v>
      </c>
      <c r="H300" t="s">
        <v>227</v>
      </c>
      <c r="I300">
        <v>4300</v>
      </c>
    </row>
    <row r="301" spans="1:9" x14ac:dyDescent="0.25">
      <c r="A301" t="b">
        <v>1</v>
      </c>
      <c r="B301">
        <v>31</v>
      </c>
      <c r="C301" t="s">
        <v>233</v>
      </c>
      <c r="D301" t="s">
        <v>179</v>
      </c>
      <c r="E301" t="s">
        <v>26</v>
      </c>
      <c r="G301">
        <v>2023</v>
      </c>
      <c r="H301" t="s">
        <v>228</v>
      </c>
      <c r="I301">
        <v>4300</v>
      </c>
    </row>
    <row r="302" spans="1:9" x14ac:dyDescent="0.25">
      <c r="A302" t="b">
        <v>1</v>
      </c>
      <c r="B302">
        <v>31</v>
      </c>
      <c r="C302" t="s">
        <v>233</v>
      </c>
      <c r="D302" t="s">
        <v>179</v>
      </c>
      <c r="E302" t="s">
        <v>26</v>
      </c>
      <c r="G302">
        <v>2023</v>
      </c>
      <c r="H302" t="s">
        <v>229</v>
      </c>
      <c r="I302">
        <v>4300</v>
      </c>
    </row>
    <row r="303" spans="1:9" x14ac:dyDescent="0.25">
      <c r="A303" t="b">
        <v>1</v>
      </c>
      <c r="B303">
        <v>31</v>
      </c>
      <c r="C303" t="s">
        <v>233</v>
      </c>
      <c r="D303" t="s">
        <v>179</v>
      </c>
      <c r="E303" t="s">
        <v>26</v>
      </c>
      <c r="G303">
        <v>2023</v>
      </c>
      <c r="H303" t="s">
        <v>210</v>
      </c>
      <c r="I303">
        <v>4300</v>
      </c>
    </row>
    <row r="304" spans="1:9" x14ac:dyDescent="0.25">
      <c r="A304" t="b">
        <v>1</v>
      </c>
      <c r="B304">
        <v>31</v>
      </c>
      <c r="C304" t="s">
        <v>233</v>
      </c>
      <c r="D304" t="s">
        <v>179</v>
      </c>
      <c r="E304" t="s">
        <v>26</v>
      </c>
      <c r="G304">
        <v>2023</v>
      </c>
      <c r="H304" t="s">
        <v>211</v>
      </c>
      <c r="I304">
        <v>4300</v>
      </c>
    </row>
    <row r="305" spans="1:9" x14ac:dyDescent="0.25">
      <c r="A305" t="b">
        <v>1</v>
      </c>
      <c r="B305">
        <v>31</v>
      </c>
      <c r="C305" t="s">
        <v>233</v>
      </c>
      <c r="D305" t="s">
        <v>179</v>
      </c>
      <c r="E305" t="s">
        <v>26</v>
      </c>
      <c r="G305">
        <v>2023</v>
      </c>
      <c r="H305" t="s">
        <v>212</v>
      </c>
      <c r="I305">
        <v>4300</v>
      </c>
    </row>
    <row r="306" spans="1:9" x14ac:dyDescent="0.25">
      <c r="A306" t="b">
        <v>1</v>
      </c>
      <c r="B306">
        <v>31</v>
      </c>
      <c r="C306" t="s">
        <v>233</v>
      </c>
      <c r="D306" t="s">
        <v>179</v>
      </c>
      <c r="E306" t="s">
        <v>26</v>
      </c>
      <c r="G306">
        <v>2023</v>
      </c>
      <c r="H306" t="s">
        <v>213</v>
      </c>
      <c r="I306">
        <v>4300</v>
      </c>
    </row>
    <row r="307" spans="1:9" x14ac:dyDescent="0.25">
      <c r="A307" t="b">
        <v>1</v>
      </c>
      <c r="B307">
        <v>31</v>
      </c>
      <c r="C307" t="s">
        <v>233</v>
      </c>
      <c r="D307" t="s">
        <v>179</v>
      </c>
      <c r="E307" t="s">
        <v>26</v>
      </c>
      <c r="G307">
        <v>2023</v>
      </c>
      <c r="H307" t="s">
        <v>214</v>
      </c>
      <c r="I307">
        <v>4300</v>
      </c>
    </row>
    <row r="308" spans="1:9" x14ac:dyDescent="0.25">
      <c r="A308" t="b">
        <v>1</v>
      </c>
      <c r="B308">
        <v>31</v>
      </c>
      <c r="C308" t="s">
        <v>233</v>
      </c>
      <c r="D308" t="s">
        <v>179</v>
      </c>
      <c r="E308" t="s">
        <v>26</v>
      </c>
      <c r="G308">
        <v>2023</v>
      </c>
      <c r="H308" t="s">
        <v>215</v>
      </c>
      <c r="I308">
        <v>4300</v>
      </c>
    </row>
    <row r="309" spans="1:9" x14ac:dyDescent="0.25">
      <c r="A309" t="b">
        <v>1</v>
      </c>
      <c r="B309">
        <v>31</v>
      </c>
      <c r="C309" t="s">
        <v>233</v>
      </c>
      <c r="D309" t="s">
        <v>179</v>
      </c>
      <c r="E309" t="s">
        <v>26</v>
      </c>
      <c r="G309">
        <v>2023</v>
      </c>
      <c r="H309" t="s">
        <v>230</v>
      </c>
      <c r="I309">
        <v>4300</v>
      </c>
    </row>
    <row r="310" spans="1:9" x14ac:dyDescent="0.25">
      <c r="A310" t="b">
        <v>1</v>
      </c>
      <c r="B310">
        <v>31</v>
      </c>
      <c r="C310" t="s">
        <v>233</v>
      </c>
      <c r="D310" t="s">
        <v>179</v>
      </c>
      <c r="E310" t="s">
        <v>26</v>
      </c>
      <c r="G310">
        <v>2023</v>
      </c>
      <c r="H310" t="s">
        <v>231</v>
      </c>
      <c r="I310">
        <v>4300</v>
      </c>
    </row>
    <row r="311" spans="1:9" x14ac:dyDescent="0.25">
      <c r="A311" t="b">
        <v>1</v>
      </c>
      <c r="B311">
        <v>32</v>
      </c>
      <c r="C311" t="s">
        <v>225</v>
      </c>
      <c r="D311" t="s">
        <v>180</v>
      </c>
      <c r="E311" t="s">
        <v>30</v>
      </c>
      <c r="G311">
        <v>2023</v>
      </c>
      <c r="H311" t="s">
        <v>227</v>
      </c>
      <c r="I311">
        <v>2000</v>
      </c>
    </row>
    <row r="312" spans="1:9" x14ac:dyDescent="0.25">
      <c r="A312" t="b">
        <v>1</v>
      </c>
      <c r="B312">
        <v>32</v>
      </c>
      <c r="C312" t="s">
        <v>225</v>
      </c>
      <c r="D312" t="s">
        <v>180</v>
      </c>
      <c r="E312" t="s">
        <v>30</v>
      </c>
      <c r="G312">
        <v>2023</v>
      </c>
      <c r="H312" t="s">
        <v>229</v>
      </c>
      <c r="I312">
        <v>2000</v>
      </c>
    </row>
    <row r="313" spans="1:9" x14ac:dyDescent="0.25">
      <c r="A313" t="b">
        <v>1</v>
      </c>
      <c r="B313">
        <v>32</v>
      </c>
      <c r="C313" t="s">
        <v>225</v>
      </c>
      <c r="D313" t="s">
        <v>180</v>
      </c>
      <c r="E313" t="s">
        <v>30</v>
      </c>
      <c r="G313">
        <v>2023</v>
      </c>
      <c r="H313" t="s">
        <v>212</v>
      </c>
      <c r="I313">
        <v>2000</v>
      </c>
    </row>
    <row r="314" spans="1:9" x14ac:dyDescent="0.25">
      <c r="A314" t="b">
        <v>1</v>
      </c>
      <c r="B314">
        <v>32</v>
      </c>
      <c r="C314" t="s">
        <v>225</v>
      </c>
      <c r="D314" t="s">
        <v>180</v>
      </c>
      <c r="E314" t="s">
        <v>30</v>
      </c>
      <c r="G314">
        <v>2023</v>
      </c>
      <c r="H314" t="s">
        <v>215</v>
      </c>
      <c r="I314">
        <v>2000</v>
      </c>
    </row>
    <row r="315" spans="1:9" x14ac:dyDescent="0.25">
      <c r="A315" t="b">
        <v>1</v>
      </c>
      <c r="B315">
        <v>33</v>
      </c>
      <c r="C315" t="s">
        <v>232</v>
      </c>
      <c r="D315" t="s">
        <v>181</v>
      </c>
      <c r="E315" t="s">
        <v>123</v>
      </c>
      <c r="G315">
        <v>2023</v>
      </c>
      <c r="H315" t="s">
        <v>226</v>
      </c>
      <c r="I315">
        <v>1400</v>
      </c>
    </row>
    <row r="316" spans="1:9" x14ac:dyDescent="0.25">
      <c r="A316" t="b">
        <v>1</v>
      </c>
      <c r="B316">
        <v>33</v>
      </c>
      <c r="C316" t="s">
        <v>232</v>
      </c>
      <c r="D316" t="s">
        <v>181</v>
      </c>
      <c r="E316" t="s">
        <v>123</v>
      </c>
      <c r="G316">
        <v>2023</v>
      </c>
      <c r="H316" t="s">
        <v>227</v>
      </c>
      <c r="I316">
        <v>1400</v>
      </c>
    </row>
    <row r="317" spans="1:9" x14ac:dyDescent="0.25">
      <c r="A317" t="b">
        <v>1</v>
      </c>
      <c r="B317">
        <v>33</v>
      </c>
      <c r="C317" t="s">
        <v>232</v>
      </c>
      <c r="D317" t="s">
        <v>181</v>
      </c>
      <c r="E317" t="s">
        <v>123</v>
      </c>
      <c r="G317">
        <v>2023</v>
      </c>
      <c r="H317" t="s">
        <v>228</v>
      </c>
      <c r="I317">
        <v>1400</v>
      </c>
    </row>
    <row r="318" spans="1:9" x14ac:dyDescent="0.25">
      <c r="A318" t="b">
        <v>1</v>
      </c>
      <c r="B318">
        <v>33</v>
      </c>
      <c r="C318" t="s">
        <v>232</v>
      </c>
      <c r="D318" t="s">
        <v>181</v>
      </c>
      <c r="E318" t="s">
        <v>123</v>
      </c>
      <c r="G318">
        <v>2023</v>
      </c>
      <c r="H318" t="s">
        <v>229</v>
      </c>
      <c r="I318">
        <v>1400</v>
      </c>
    </row>
    <row r="319" spans="1:9" x14ac:dyDescent="0.25">
      <c r="A319" t="b">
        <v>1</v>
      </c>
      <c r="B319">
        <v>33</v>
      </c>
      <c r="C319" t="s">
        <v>232</v>
      </c>
      <c r="D319" t="s">
        <v>181</v>
      </c>
      <c r="E319" t="s">
        <v>123</v>
      </c>
      <c r="G319">
        <v>2023</v>
      </c>
      <c r="H319" t="s">
        <v>210</v>
      </c>
      <c r="I319">
        <v>1400</v>
      </c>
    </row>
    <row r="320" spans="1:9" x14ac:dyDescent="0.25">
      <c r="A320" t="b">
        <v>1</v>
      </c>
      <c r="B320">
        <v>33</v>
      </c>
      <c r="C320" t="s">
        <v>232</v>
      </c>
      <c r="D320" t="s">
        <v>181</v>
      </c>
      <c r="E320" t="s">
        <v>123</v>
      </c>
      <c r="G320">
        <v>2023</v>
      </c>
      <c r="H320" t="s">
        <v>211</v>
      </c>
      <c r="I320">
        <v>1400</v>
      </c>
    </row>
    <row r="321" spans="1:9" x14ac:dyDescent="0.25">
      <c r="A321" t="b">
        <v>1</v>
      </c>
      <c r="B321">
        <v>33</v>
      </c>
      <c r="C321" t="s">
        <v>232</v>
      </c>
      <c r="D321" t="s">
        <v>181</v>
      </c>
      <c r="E321" t="s">
        <v>123</v>
      </c>
      <c r="G321">
        <v>2023</v>
      </c>
      <c r="H321" t="s">
        <v>212</v>
      </c>
      <c r="I321">
        <v>1400</v>
      </c>
    </row>
    <row r="322" spans="1:9" x14ac:dyDescent="0.25">
      <c r="A322" t="b">
        <v>1</v>
      </c>
      <c r="B322">
        <v>33</v>
      </c>
      <c r="C322" t="s">
        <v>232</v>
      </c>
      <c r="D322" t="s">
        <v>181</v>
      </c>
      <c r="E322" t="s">
        <v>123</v>
      </c>
      <c r="G322">
        <v>2023</v>
      </c>
      <c r="H322" t="s">
        <v>213</v>
      </c>
      <c r="I322">
        <v>1400</v>
      </c>
    </row>
    <row r="323" spans="1:9" x14ac:dyDescent="0.25">
      <c r="A323" t="b">
        <v>1</v>
      </c>
      <c r="B323">
        <v>33</v>
      </c>
      <c r="C323" t="s">
        <v>232</v>
      </c>
      <c r="D323" t="s">
        <v>181</v>
      </c>
      <c r="E323" t="s">
        <v>123</v>
      </c>
      <c r="G323">
        <v>2023</v>
      </c>
      <c r="H323" t="s">
        <v>214</v>
      </c>
      <c r="I323">
        <v>1400</v>
      </c>
    </row>
    <row r="324" spans="1:9" x14ac:dyDescent="0.25">
      <c r="A324" t="b">
        <v>1</v>
      </c>
      <c r="B324">
        <v>33</v>
      </c>
      <c r="C324" t="s">
        <v>232</v>
      </c>
      <c r="D324" t="s">
        <v>181</v>
      </c>
      <c r="E324" t="s">
        <v>123</v>
      </c>
      <c r="G324">
        <v>2023</v>
      </c>
      <c r="H324" t="s">
        <v>215</v>
      </c>
      <c r="I324">
        <v>1400</v>
      </c>
    </row>
    <row r="325" spans="1:9" x14ac:dyDescent="0.25">
      <c r="A325" t="b">
        <v>1</v>
      </c>
      <c r="B325">
        <v>33</v>
      </c>
      <c r="C325" t="s">
        <v>232</v>
      </c>
      <c r="D325" t="s">
        <v>181</v>
      </c>
      <c r="E325" t="s">
        <v>123</v>
      </c>
      <c r="G325">
        <v>2023</v>
      </c>
      <c r="H325" t="s">
        <v>230</v>
      </c>
      <c r="I325">
        <v>1400</v>
      </c>
    </row>
    <row r="326" spans="1:9" x14ac:dyDescent="0.25">
      <c r="A326" t="b">
        <v>1</v>
      </c>
      <c r="B326">
        <v>33</v>
      </c>
      <c r="C326" t="s">
        <v>232</v>
      </c>
      <c r="D326" t="s">
        <v>181</v>
      </c>
      <c r="E326" t="s">
        <v>123</v>
      </c>
      <c r="G326">
        <v>2023</v>
      </c>
      <c r="H326" t="s">
        <v>231</v>
      </c>
      <c r="I326">
        <v>1400</v>
      </c>
    </row>
    <row r="327" spans="1:9" x14ac:dyDescent="0.25">
      <c r="A327" t="b">
        <v>1</v>
      </c>
      <c r="B327">
        <v>34</v>
      </c>
      <c r="C327" t="s">
        <v>233</v>
      </c>
      <c r="D327" t="s">
        <v>182</v>
      </c>
      <c r="E327" t="s">
        <v>120</v>
      </c>
      <c r="G327">
        <v>2023</v>
      </c>
      <c r="H327" t="s">
        <v>226</v>
      </c>
      <c r="I327">
        <v>8300</v>
      </c>
    </row>
    <row r="328" spans="1:9" x14ac:dyDescent="0.25">
      <c r="A328" t="b">
        <v>1</v>
      </c>
      <c r="B328">
        <v>34</v>
      </c>
      <c r="C328" t="s">
        <v>233</v>
      </c>
      <c r="D328" t="s">
        <v>182</v>
      </c>
      <c r="E328" t="s">
        <v>120</v>
      </c>
      <c r="G328">
        <v>2023</v>
      </c>
      <c r="H328" t="s">
        <v>227</v>
      </c>
      <c r="I328">
        <v>8300</v>
      </c>
    </row>
    <row r="329" spans="1:9" x14ac:dyDescent="0.25">
      <c r="A329" t="b">
        <v>1</v>
      </c>
      <c r="B329">
        <v>34</v>
      </c>
      <c r="C329" t="s">
        <v>233</v>
      </c>
      <c r="D329" t="s">
        <v>182</v>
      </c>
      <c r="E329" t="s">
        <v>120</v>
      </c>
      <c r="G329">
        <v>2023</v>
      </c>
      <c r="H329" t="s">
        <v>228</v>
      </c>
      <c r="I329">
        <v>8300</v>
      </c>
    </row>
    <row r="330" spans="1:9" x14ac:dyDescent="0.25">
      <c r="A330" t="b">
        <v>1</v>
      </c>
      <c r="B330">
        <v>34</v>
      </c>
      <c r="C330" t="s">
        <v>233</v>
      </c>
      <c r="D330" t="s">
        <v>182</v>
      </c>
      <c r="E330" t="s">
        <v>120</v>
      </c>
      <c r="G330">
        <v>2023</v>
      </c>
      <c r="H330" t="s">
        <v>229</v>
      </c>
      <c r="I330">
        <v>8300</v>
      </c>
    </row>
    <row r="331" spans="1:9" x14ac:dyDescent="0.25">
      <c r="A331" t="b">
        <v>1</v>
      </c>
      <c r="B331">
        <v>34</v>
      </c>
      <c r="C331" t="s">
        <v>233</v>
      </c>
      <c r="D331" t="s">
        <v>182</v>
      </c>
      <c r="E331" t="s">
        <v>120</v>
      </c>
      <c r="G331">
        <v>2023</v>
      </c>
      <c r="H331" t="s">
        <v>210</v>
      </c>
      <c r="I331">
        <v>8300</v>
      </c>
    </row>
    <row r="332" spans="1:9" x14ac:dyDescent="0.25">
      <c r="A332" t="b">
        <v>1</v>
      </c>
      <c r="B332">
        <v>34</v>
      </c>
      <c r="C332" t="s">
        <v>233</v>
      </c>
      <c r="D332" t="s">
        <v>182</v>
      </c>
      <c r="E332" t="s">
        <v>120</v>
      </c>
      <c r="G332">
        <v>2023</v>
      </c>
      <c r="H332" t="s">
        <v>211</v>
      </c>
      <c r="I332">
        <v>8300</v>
      </c>
    </row>
    <row r="333" spans="1:9" x14ac:dyDescent="0.25">
      <c r="A333" t="b">
        <v>1</v>
      </c>
      <c r="B333">
        <v>34</v>
      </c>
      <c r="C333" t="s">
        <v>233</v>
      </c>
      <c r="D333" t="s">
        <v>182</v>
      </c>
      <c r="E333" t="s">
        <v>120</v>
      </c>
      <c r="G333">
        <v>2023</v>
      </c>
      <c r="H333" t="s">
        <v>212</v>
      </c>
      <c r="I333">
        <v>8300</v>
      </c>
    </row>
    <row r="334" spans="1:9" x14ac:dyDescent="0.25">
      <c r="A334" t="b">
        <v>1</v>
      </c>
      <c r="B334">
        <v>34</v>
      </c>
      <c r="C334" t="s">
        <v>233</v>
      </c>
      <c r="D334" t="s">
        <v>182</v>
      </c>
      <c r="E334" t="s">
        <v>120</v>
      </c>
      <c r="G334">
        <v>2023</v>
      </c>
      <c r="H334" t="s">
        <v>213</v>
      </c>
      <c r="I334">
        <v>8300</v>
      </c>
    </row>
    <row r="335" spans="1:9" x14ac:dyDescent="0.25">
      <c r="A335" t="b">
        <v>1</v>
      </c>
      <c r="B335">
        <v>34</v>
      </c>
      <c r="C335" t="s">
        <v>233</v>
      </c>
      <c r="D335" t="s">
        <v>182</v>
      </c>
      <c r="E335" t="s">
        <v>120</v>
      </c>
      <c r="G335">
        <v>2023</v>
      </c>
      <c r="H335" t="s">
        <v>214</v>
      </c>
      <c r="I335">
        <v>8300</v>
      </c>
    </row>
    <row r="336" spans="1:9" x14ac:dyDescent="0.25">
      <c r="A336" t="b">
        <v>1</v>
      </c>
      <c r="B336">
        <v>34</v>
      </c>
      <c r="C336" t="s">
        <v>233</v>
      </c>
      <c r="D336" t="s">
        <v>182</v>
      </c>
      <c r="E336" t="s">
        <v>120</v>
      </c>
      <c r="G336">
        <v>2023</v>
      </c>
      <c r="H336" t="s">
        <v>215</v>
      </c>
      <c r="I336">
        <v>8300</v>
      </c>
    </row>
    <row r="337" spans="1:9" x14ac:dyDescent="0.25">
      <c r="A337" t="b">
        <v>1</v>
      </c>
      <c r="B337">
        <v>34</v>
      </c>
      <c r="C337" t="s">
        <v>233</v>
      </c>
      <c r="D337" t="s">
        <v>182</v>
      </c>
      <c r="E337" t="s">
        <v>120</v>
      </c>
      <c r="G337">
        <v>2023</v>
      </c>
      <c r="H337" t="s">
        <v>230</v>
      </c>
      <c r="I337">
        <v>8300</v>
      </c>
    </row>
    <row r="338" spans="1:9" x14ac:dyDescent="0.25">
      <c r="A338" t="b">
        <v>1</v>
      </c>
      <c r="B338">
        <v>34</v>
      </c>
      <c r="C338" t="s">
        <v>233</v>
      </c>
      <c r="D338" t="s">
        <v>182</v>
      </c>
      <c r="E338" t="s">
        <v>120</v>
      </c>
      <c r="G338">
        <v>2023</v>
      </c>
      <c r="H338" t="s">
        <v>231</v>
      </c>
      <c r="I338">
        <v>8300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E377-8B1E-4B37-A28E-C20910534D57}">
  <sheetPr codeName="Planilha5"/>
  <dimension ref="A1"/>
  <sheetViews>
    <sheetView workbookViewId="0">
      <selection activeCell="K37" sqref="K37"/>
    </sheetView>
  </sheetViews>
  <sheetFormatPr defaultRowHeight="15" x14ac:dyDescent="0.25"/>
  <sheetData>
    <row r="1" spans="1:1" x14ac:dyDescent="0.25">
      <c r="A1" t="s">
        <v>216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E85D-36AA-425D-8080-24606C9BDBCF}">
  <sheetPr codeName="Planilha6"/>
  <dimension ref="A1:J33"/>
  <sheetViews>
    <sheetView showGridLines="0" workbookViewId="0">
      <selection activeCell="C37" sqref="C37"/>
    </sheetView>
  </sheetViews>
  <sheetFormatPr defaultRowHeight="15" x14ac:dyDescent="0.25"/>
  <cols>
    <col min="1" max="1" width="24.85546875" bestFit="1" customWidth="1"/>
    <col min="2" max="2" width="19.5703125" style="26" bestFit="1" customWidth="1"/>
    <col min="3" max="6" width="11.140625" style="26" bestFit="1" customWidth="1"/>
    <col min="7" max="7" width="12.7109375" style="26" bestFit="1" customWidth="1"/>
    <col min="8" max="8" width="9.140625" style="26" bestFit="1" customWidth="1"/>
    <col min="9" max="9" width="10.140625" style="26" customWidth="1"/>
    <col min="10" max="10" width="10" style="26" bestFit="1" customWidth="1"/>
  </cols>
  <sheetData>
    <row r="1" spans="1:10" x14ac:dyDescent="0.25">
      <c r="A1" s="27" t="s">
        <v>126</v>
      </c>
      <c r="B1" t="s">
        <v>144</v>
      </c>
    </row>
    <row r="3" spans="1:10" x14ac:dyDescent="0.25">
      <c r="A3" s="27" t="s">
        <v>194</v>
      </c>
      <c r="B3" s="28" t="s">
        <v>129</v>
      </c>
      <c r="H3"/>
      <c r="I3"/>
      <c r="J3"/>
    </row>
    <row r="4" spans="1:10" x14ac:dyDescent="0.25">
      <c r="A4" s="27" t="s">
        <v>131</v>
      </c>
      <c r="B4" s="26">
        <v>2021</v>
      </c>
      <c r="C4" s="26">
        <v>2022</v>
      </c>
      <c r="D4" s="26">
        <v>2023</v>
      </c>
      <c r="E4" s="26">
        <v>2024</v>
      </c>
      <c r="F4" s="26">
        <v>2025</v>
      </c>
      <c r="G4" s="26" t="s">
        <v>130</v>
      </c>
      <c r="H4"/>
      <c r="I4"/>
      <c r="J4"/>
    </row>
    <row r="5" spans="1:10" x14ac:dyDescent="0.25">
      <c r="A5" s="10" t="s">
        <v>49</v>
      </c>
      <c r="B5" s="26">
        <v>932826</v>
      </c>
      <c r="G5" s="26">
        <v>932826</v>
      </c>
      <c r="H5"/>
      <c r="I5"/>
      <c r="J5"/>
    </row>
    <row r="6" spans="1:10" x14ac:dyDescent="0.25">
      <c r="A6" s="10" t="s">
        <v>30</v>
      </c>
      <c r="D6" s="26">
        <v>2367244</v>
      </c>
      <c r="E6" s="26">
        <v>2307960</v>
      </c>
      <c r="G6" s="26">
        <v>4675204</v>
      </c>
      <c r="H6"/>
      <c r="I6"/>
      <c r="J6"/>
    </row>
    <row r="7" spans="1:10" x14ac:dyDescent="0.25">
      <c r="A7" s="10" t="s">
        <v>22</v>
      </c>
      <c r="B7" s="26">
        <v>161536389</v>
      </c>
      <c r="C7" s="26">
        <v>189582999</v>
      </c>
      <c r="D7" s="26">
        <v>175219572</v>
      </c>
      <c r="E7" s="26">
        <v>181064314</v>
      </c>
      <c r="F7" s="26">
        <v>234619440</v>
      </c>
      <c r="G7" s="26">
        <v>942022714</v>
      </c>
      <c r="H7"/>
      <c r="I7"/>
      <c r="J7"/>
    </row>
    <row r="8" spans="1:10" x14ac:dyDescent="0.25">
      <c r="A8" s="10" t="s">
        <v>26</v>
      </c>
      <c r="D8" s="26">
        <v>3900600</v>
      </c>
      <c r="E8" s="26">
        <v>5613492</v>
      </c>
      <c r="F8" s="26">
        <v>5255628</v>
      </c>
      <c r="G8" s="26">
        <v>14769720</v>
      </c>
      <c r="H8"/>
      <c r="I8"/>
      <c r="J8"/>
    </row>
    <row r="9" spans="1:10" x14ac:dyDescent="0.25">
      <c r="A9" s="10" t="s">
        <v>59</v>
      </c>
      <c r="B9" s="26">
        <v>17313708</v>
      </c>
      <c r="C9" s="26">
        <v>1678929</v>
      </c>
      <c r="G9" s="26">
        <v>18992637</v>
      </c>
      <c r="H9"/>
      <c r="I9"/>
      <c r="J9"/>
    </row>
    <row r="10" spans="1:10" x14ac:dyDescent="0.25">
      <c r="A10" s="10" t="s">
        <v>115</v>
      </c>
      <c r="B10" s="26">
        <v>5237520</v>
      </c>
      <c r="C10" s="26">
        <v>26015351</v>
      </c>
      <c r="D10" s="26">
        <v>34832289</v>
      </c>
      <c r="E10" s="26">
        <v>33562581</v>
      </c>
      <c r="F10" s="26">
        <v>37155935</v>
      </c>
      <c r="G10" s="26">
        <v>136803676</v>
      </c>
      <c r="H10"/>
      <c r="I10"/>
      <c r="J10"/>
    </row>
    <row r="11" spans="1:10" x14ac:dyDescent="0.25">
      <c r="A11" s="10" t="s">
        <v>16</v>
      </c>
      <c r="B11" s="26">
        <v>9801578</v>
      </c>
      <c r="C11" s="26">
        <v>8638296</v>
      </c>
      <c r="D11" s="26">
        <v>9175260</v>
      </c>
      <c r="E11" s="26">
        <v>10641720</v>
      </c>
      <c r="F11" s="26">
        <v>10541808</v>
      </c>
      <c r="G11" s="26">
        <v>48798662</v>
      </c>
      <c r="H11"/>
      <c r="I11"/>
      <c r="J11"/>
    </row>
    <row r="12" spans="1:10" x14ac:dyDescent="0.25">
      <c r="A12" s="10" t="s">
        <v>123</v>
      </c>
      <c r="B12" s="26">
        <v>27354182</v>
      </c>
      <c r="C12" s="26">
        <v>41955534</v>
      </c>
      <c r="D12" s="26">
        <v>46381911</v>
      </c>
      <c r="E12" s="26">
        <v>77518067</v>
      </c>
      <c r="F12" s="26">
        <v>86416555</v>
      </c>
      <c r="G12" s="26">
        <v>279626249</v>
      </c>
      <c r="H12"/>
      <c r="I12"/>
      <c r="J12"/>
    </row>
    <row r="13" spans="1:10" x14ac:dyDescent="0.25">
      <c r="A13" s="10" t="s">
        <v>122</v>
      </c>
      <c r="B13" s="26">
        <v>35232206</v>
      </c>
      <c r="C13" s="26">
        <v>61970966</v>
      </c>
      <c r="D13" s="26">
        <v>78090809</v>
      </c>
      <c r="E13" s="26">
        <v>75666050</v>
      </c>
      <c r="F13" s="26">
        <v>40390387</v>
      </c>
      <c r="G13" s="26">
        <v>291350418</v>
      </c>
      <c r="H13"/>
      <c r="I13"/>
      <c r="J13"/>
    </row>
    <row r="14" spans="1:10" x14ac:dyDescent="0.25">
      <c r="A14" s="10" t="s">
        <v>120</v>
      </c>
      <c r="B14" s="26">
        <v>177760406</v>
      </c>
      <c r="C14" s="26">
        <v>137369238</v>
      </c>
      <c r="D14" s="26">
        <v>180700776</v>
      </c>
      <c r="E14" s="26">
        <v>204583323</v>
      </c>
      <c r="F14" s="26">
        <v>206312808</v>
      </c>
      <c r="G14" s="26">
        <v>906726551</v>
      </c>
      <c r="H14"/>
      <c r="I14"/>
      <c r="J14"/>
    </row>
    <row r="15" spans="1:10" x14ac:dyDescent="0.25">
      <c r="A15" s="10" t="s">
        <v>124</v>
      </c>
      <c r="B15" s="26">
        <v>3668526</v>
      </c>
      <c r="C15" s="26">
        <v>4321383</v>
      </c>
      <c r="D15" s="26">
        <v>3567672</v>
      </c>
      <c r="E15" s="26">
        <v>4877400</v>
      </c>
      <c r="F15" s="26">
        <v>5279292</v>
      </c>
      <c r="G15" s="26">
        <v>21714273</v>
      </c>
      <c r="H15"/>
      <c r="I15"/>
      <c r="J15"/>
    </row>
    <row r="16" spans="1:10" x14ac:dyDescent="0.25">
      <c r="A16" s="10" t="s">
        <v>183</v>
      </c>
      <c r="E16" s="26">
        <v>1763992</v>
      </c>
      <c r="G16" s="26">
        <v>1763992</v>
      </c>
      <c r="H16"/>
      <c r="I16"/>
      <c r="J16"/>
    </row>
    <row r="17" spans="1:10" x14ac:dyDescent="0.25">
      <c r="A17" s="10" t="s">
        <v>121</v>
      </c>
      <c r="B17" s="26">
        <v>2100000</v>
      </c>
      <c r="C17" s="26">
        <v>3500000</v>
      </c>
      <c r="D17" s="26">
        <v>4500000</v>
      </c>
      <c r="E17" s="26">
        <v>10200000</v>
      </c>
      <c r="F17" s="26">
        <v>28741848</v>
      </c>
      <c r="G17" s="26">
        <v>49041848</v>
      </c>
      <c r="H17"/>
      <c r="I17"/>
      <c r="J17"/>
    </row>
    <row r="18" spans="1:10" x14ac:dyDescent="0.25">
      <c r="A18" s="10" t="s">
        <v>17</v>
      </c>
      <c r="E18" s="26">
        <v>5489461.5319999997</v>
      </c>
      <c r="F18" s="26">
        <v>5881124.4824999999</v>
      </c>
      <c r="G18" s="26">
        <v>11370586.0145</v>
      </c>
      <c r="H18"/>
      <c r="I18"/>
      <c r="J18"/>
    </row>
    <row r="19" spans="1:10" x14ac:dyDescent="0.25">
      <c r="A19" s="10" t="s">
        <v>130</v>
      </c>
      <c r="B19" s="26">
        <v>440937341</v>
      </c>
      <c r="C19" s="26">
        <v>475032696</v>
      </c>
      <c r="D19" s="26">
        <v>538736133</v>
      </c>
      <c r="E19" s="26">
        <v>613288360.53199995</v>
      </c>
      <c r="F19" s="26">
        <v>660594825.48249996</v>
      </c>
      <c r="G19" s="26">
        <v>2728589356.0145001</v>
      </c>
      <c r="H19"/>
      <c r="I19"/>
      <c r="J19"/>
    </row>
    <row r="20" spans="1:10" ht="15" customHeight="1" x14ac:dyDescent="0.25">
      <c r="B20"/>
      <c r="C20"/>
      <c r="D20"/>
      <c r="E20"/>
      <c r="F20"/>
      <c r="G20"/>
      <c r="H20"/>
      <c r="I20"/>
      <c r="J20"/>
    </row>
    <row r="21" spans="1:10" x14ac:dyDescent="0.25">
      <c r="B21"/>
      <c r="C21"/>
      <c r="D21"/>
      <c r="E21"/>
      <c r="F21"/>
      <c r="G21"/>
      <c r="H21"/>
      <c r="I21"/>
      <c r="J21"/>
    </row>
    <row r="22" spans="1:10" x14ac:dyDescent="0.25">
      <c r="B22"/>
      <c r="C22"/>
      <c r="D22"/>
      <c r="E22"/>
      <c r="F22"/>
      <c r="G22"/>
      <c r="H22"/>
      <c r="I22"/>
      <c r="J22"/>
    </row>
    <row r="23" spans="1:10" x14ac:dyDescent="0.25">
      <c r="B23"/>
      <c r="C23"/>
      <c r="D23"/>
      <c r="E23"/>
      <c r="F23"/>
      <c r="G23"/>
      <c r="H23"/>
      <c r="I23"/>
      <c r="J23"/>
    </row>
    <row r="24" spans="1:10" x14ac:dyDescent="0.25">
      <c r="B24"/>
      <c r="C24"/>
      <c r="D24"/>
      <c r="E24"/>
      <c r="F24"/>
      <c r="G24"/>
      <c r="H24"/>
      <c r="I24"/>
      <c r="J24"/>
    </row>
    <row r="25" spans="1:10" x14ac:dyDescent="0.25">
      <c r="B25"/>
      <c r="C25"/>
      <c r="D25"/>
      <c r="E25"/>
      <c r="F25"/>
      <c r="G25"/>
      <c r="H25"/>
      <c r="I25"/>
      <c r="J25"/>
    </row>
    <row r="26" spans="1:10" x14ac:dyDescent="0.25">
      <c r="B26"/>
      <c r="C26"/>
      <c r="D26"/>
      <c r="E26"/>
      <c r="F26"/>
      <c r="G26"/>
      <c r="H26"/>
      <c r="I26"/>
      <c r="J26"/>
    </row>
    <row r="27" spans="1:10" x14ac:dyDescent="0.25">
      <c r="B27"/>
      <c r="C27"/>
      <c r="D27"/>
      <c r="E27"/>
      <c r="F27"/>
      <c r="G27"/>
      <c r="H27"/>
      <c r="I27"/>
      <c r="J27"/>
    </row>
    <row r="28" spans="1:10" x14ac:dyDescent="0.25">
      <c r="B28"/>
      <c r="C28"/>
      <c r="D28"/>
      <c r="E28"/>
      <c r="F28"/>
      <c r="G28"/>
      <c r="H28"/>
      <c r="I28"/>
      <c r="J28"/>
    </row>
    <row r="29" spans="1:10" x14ac:dyDescent="0.25">
      <c r="B29"/>
      <c r="C29"/>
      <c r="D29"/>
      <c r="E29"/>
      <c r="F29"/>
      <c r="G29"/>
      <c r="H29"/>
      <c r="I29"/>
      <c r="J29"/>
    </row>
    <row r="30" spans="1:10" x14ac:dyDescent="0.25">
      <c r="B30"/>
      <c r="C30"/>
      <c r="D30"/>
      <c r="E30"/>
      <c r="F30"/>
      <c r="G30"/>
      <c r="H30"/>
      <c r="I30"/>
      <c r="J30"/>
    </row>
    <row r="31" spans="1:10" x14ac:dyDescent="0.25">
      <c r="B31"/>
      <c r="C31"/>
      <c r="D31"/>
      <c r="E31"/>
      <c r="F31"/>
      <c r="G31"/>
      <c r="H31"/>
      <c r="I31"/>
      <c r="J31"/>
    </row>
    <row r="32" spans="1:10" x14ac:dyDescent="0.25">
      <c r="B32"/>
      <c r="C32"/>
      <c r="D32"/>
      <c r="E32"/>
      <c r="F32"/>
      <c r="G32"/>
      <c r="H32"/>
      <c r="I32"/>
      <c r="J32"/>
    </row>
    <row r="33" spans="2:9" x14ac:dyDescent="0.25">
      <c r="B33"/>
      <c r="C33"/>
      <c r="D33"/>
      <c r="E33"/>
      <c r="F33"/>
      <c r="G33"/>
      <c r="H33"/>
      <c r="I3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4341-60C8-4748-83C9-5290AE732A12}">
  <sheetPr codeName="Planilha7"/>
  <dimension ref="A1:J33"/>
  <sheetViews>
    <sheetView showGridLines="0" workbookViewId="0">
      <selection activeCell="G19" sqref="G19"/>
    </sheetView>
  </sheetViews>
  <sheetFormatPr defaultRowHeight="15" x14ac:dyDescent="0.25"/>
  <cols>
    <col min="1" max="1" width="24.85546875" bestFit="1" customWidth="1"/>
    <col min="2" max="2" width="19.5703125" style="26" bestFit="1" customWidth="1"/>
    <col min="3" max="6" width="11.140625" style="26" bestFit="1" customWidth="1"/>
    <col min="7" max="7" width="12.7109375" style="26" bestFit="1" customWidth="1"/>
    <col min="8" max="8" width="9.140625" style="26" bestFit="1" customWidth="1"/>
    <col min="9" max="10" width="10.140625" style="26" bestFit="1" customWidth="1"/>
  </cols>
  <sheetData>
    <row r="1" spans="1:10" x14ac:dyDescent="0.25">
      <c r="A1" s="27" t="s">
        <v>126</v>
      </c>
      <c r="B1" t="s">
        <v>144</v>
      </c>
    </row>
    <row r="3" spans="1:10" x14ac:dyDescent="0.25">
      <c r="A3" s="27" t="s">
        <v>194</v>
      </c>
      <c r="B3" s="28" t="s">
        <v>129</v>
      </c>
      <c r="H3"/>
      <c r="I3"/>
      <c r="J3"/>
    </row>
    <row r="4" spans="1:10" x14ac:dyDescent="0.25">
      <c r="A4" s="27" t="s">
        <v>131</v>
      </c>
      <c r="B4" s="26">
        <v>2021</v>
      </c>
      <c r="C4" s="26">
        <v>2022</v>
      </c>
      <c r="D4" s="26">
        <v>2023</v>
      </c>
      <c r="E4" s="26">
        <v>2024</v>
      </c>
      <c r="F4" s="26">
        <v>2025</v>
      </c>
      <c r="G4" s="26" t="s">
        <v>130</v>
      </c>
      <c r="H4"/>
      <c r="I4"/>
      <c r="J4"/>
    </row>
    <row r="5" spans="1:10" x14ac:dyDescent="0.25">
      <c r="A5" s="10" t="s">
        <v>4</v>
      </c>
      <c r="B5" s="26">
        <v>27354182</v>
      </c>
      <c r="C5" s="26">
        <v>41955534</v>
      </c>
      <c r="D5" s="26">
        <v>46381911</v>
      </c>
      <c r="E5" s="26">
        <v>77518067</v>
      </c>
      <c r="F5" s="26">
        <v>86416555</v>
      </c>
      <c r="G5" s="26">
        <v>279626249</v>
      </c>
      <c r="H5"/>
      <c r="I5"/>
      <c r="J5"/>
    </row>
    <row r="6" spans="1:10" x14ac:dyDescent="0.25">
      <c r="A6" s="10" t="s">
        <v>5</v>
      </c>
      <c r="B6" s="26">
        <v>2100000</v>
      </c>
      <c r="C6" s="26">
        <v>3500000</v>
      </c>
      <c r="D6" s="26">
        <v>8400600</v>
      </c>
      <c r="E6" s="26">
        <v>15813492</v>
      </c>
      <c r="F6" s="26">
        <v>33997476</v>
      </c>
      <c r="G6" s="26">
        <v>63811568</v>
      </c>
      <c r="H6"/>
      <c r="I6"/>
      <c r="J6"/>
    </row>
    <row r="7" spans="1:10" x14ac:dyDescent="0.25">
      <c r="A7" s="10" t="s">
        <v>6</v>
      </c>
      <c r="B7" s="26">
        <v>177760406</v>
      </c>
      <c r="C7" s="26">
        <v>137369238</v>
      </c>
      <c r="D7" s="26">
        <v>180700776</v>
      </c>
      <c r="E7" s="26">
        <v>204583323</v>
      </c>
      <c r="F7" s="26">
        <v>206312808</v>
      </c>
      <c r="G7" s="26">
        <v>906726551</v>
      </c>
      <c r="H7"/>
      <c r="I7"/>
      <c r="J7"/>
    </row>
    <row r="8" spans="1:10" x14ac:dyDescent="0.25">
      <c r="A8" s="10" t="s">
        <v>7</v>
      </c>
      <c r="B8" s="26">
        <v>161536389</v>
      </c>
      <c r="C8" s="26">
        <v>189582999</v>
      </c>
      <c r="D8" s="26">
        <v>175219572</v>
      </c>
      <c r="E8" s="26">
        <v>181064314</v>
      </c>
      <c r="F8" s="26">
        <v>234619440</v>
      </c>
      <c r="G8" s="26">
        <v>942022714</v>
      </c>
      <c r="H8"/>
      <c r="I8"/>
      <c r="J8"/>
    </row>
    <row r="9" spans="1:10" x14ac:dyDescent="0.25">
      <c r="A9" s="10" t="s">
        <v>8</v>
      </c>
      <c r="B9" s="26">
        <v>35232206</v>
      </c>
      <c r="C9" s="26">
        <v>61970966</v>
      </c>
      <c r="D9" s="26">
        <v>78090809</v>
      </c>
      <c r="E9" s="26">
        <v>75666050</v>
      </c>
      <c r="F9" s="26">
        <v>40390387</v>
      </c>
      <c r="G9" s="26">
        <v>291350418</v>
      </c>
      <c r="H9"/>
      <c r="I9"/>
      <c r="J9"/>
    </row>
    <row r="10" spans="1:10" x14ac:dyDescent="0.25">
      <c r="A10" s="10" t="s">
        <v>9</v>
      </c>
      <c r="B10" s="26">
        <v>13470104</v>
      </c>
      <c r="C10" s="26">
        <v>12959679</v>
      </c>
      <c r="D10" s="26">
        <v>15110176</v>
      </c>
      <c r="E10" s="26">
        <v>19591072</v>
      </c>
      <c r="F10" s="26">
        <v>15821100</v>
      </c>
      <c r="G10" s="26">
        <v>76952131</v>
      </c>
      <c r="H10"/>
      <c r="I10"/>
      <c r="J10"/>
    </row>
    <row r="11" spans="1:10" x14ac:dyDescent="0.25">
      <c r="A11" s="10" t="s">
        <v>45</v>
      </c>
      <c r="B11" s="26">
        <v>5237520</v>
      </c>
      <c r="C11" s="26">
        <v>26015351</v>
      </c>
      <c r="D11" s="26">
        <v>34832289</v>
      </c>
      <c r="E11" s="26">
        <v>33562581</v>
      </c>
      <c r="F11" s="26">
        <v>37155935</v>
      </c>
      <c r="G11" s="26">
        <v>136803676</v>
      </c>
      <c r="H11"/>
      <c r="I11"/>
      <c r="J11"/>
    </row>
    <row r="12" spans="1:10" x14ac:dyDescent="0.25">
      <c r="A12" s="10" t="s">
        <v>18</v>
      </c>
      <c r="E12" s="26">
        <v>5489461.5319999997</v>
      </c>
      <c r="F12" s="26">
        <v>5881124.4824999999</v>
      </c>
      <c r="G12" s="26">
        <v>11370586.0145</v>
      </c>
      <c r="H12"/>
      <c r="I12"/>
      <c r="J12"/>
    </row>
    <row r="13" spans="1:10" x14ac:dyDescent="0.25">
      <c r="A13" s="10" t="s">
        <v>130</v>
      </c>
      <c r="B13" s="26">
        <v>422690807</v>
      </c>
      <c r="C13" s="26">
        <v>473353767</v>
      </c>
      <c r="D13" s="26">
        <v>538736133</v>
      </c>
      <c r="E13" s="26">
        <v>613288360.53199995</v>
      </c>
      <c r="F13" s="26">
        <v>660594825.48249996</v>
      </c>
      <c r="G13" s="26">
        <v>2708663893.0145001</v>
      </c>
      <c r="H13"/>
      <c r="I13"/>
      <c r="J13"/>
    </row>
    <row r="14" spans="1:10" x14ac:dyDescent="0.25">
      <c r="B14"/>
      <c r="C14"/>
      <c r="D14"/>
      <c r="E14"/>
      <c r="F14"/>
      <c r="G14"/>
      <c r="H14"/>
      <c r="I14"/>
      <c r="J14"/>
    </row>
    <row r="15" spans="1:10" x14ac:dyDescent="0.25">
      <c r="B15"/>
      <c r="C15"/>
      <c r="D15"/>
      <c r="E15"/>
      <c r="F15"/>
      <c r="G15"/>
      <c r="H15"/>
      <c r="I15"/>
      <c r="J15"/>
    </row>
    <row r="16" spans="1:10" x14ac:dyDescent="0.25">
      <c r="B16"/>
      <c r="C16"/>
      <c r="D16"/>
      <c r="E16"/>
      <c r="F16"/>
      <c r="G16"/>
      <c r="H16"/>
      <c r="I16"/>
      <c r="J16"/>
    </row>
    <row r="17" customFormat="1" x14ac:dyDescent="0.25"/>
    <row r="18" customFormat="1" x14ac:dyDescent="0.25"/>
    <row r="19" customFormat="1" x14ac:dyDescent="0.25"/>
    <row r="20" customFormat="1" ht="15" customHeigh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2:9" x14ac:dyDescent="0.25">
      <c r="B33"/>
      <c r="C33"/>
      <c r="D33"/>
      <c r="E33"/>
      <c r="F33"/>
      <c r="G33"/>
      <c r="H33"/>
      <c r="I3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7590-45AA-4D5D-94CA-932B69DD94B3}">
  <dimension ref="A1:M2605"/>
  <sheetViews>
    <sheetView workbookViewId="0">
      <selection activeCell="E1" sqref="E1"/>
    </sheetView>
  </sheetViews>
  <sheetFormatPr defaultRowHeight="15" x14ac:dyDescent="0.25"/>
  <cols>
    <col min="3" max="3" width="14.85546875" bestFit="1" customWidth="1"/>
    <col min="4" max="4" width="9.85546875" bestFit="1" customWidth="1"/>
    <col min="5" max="5" width="24.28515625" customWidth="1"/>
    <col min="6" max="6" width="20.85546875" bestFit="1" customWidth="1"/>
    <col min="7" max="7" width="28.42578125" customWidth="1"/>
    <col min="8" max="8" width="21.42578125" bestFit="1" customWidth="1"/>
    <col min="9" max="9" width="9.28515625" customWidth="1"/>
    <col min="10" max="10" width="9.42578125" bestFit="1" customWidth="1"/>
    <col min="11" max="11" width="10.140625" bestFit="1" customWidth="1"/>
    <col min="12" max="12" width="11.7109375" bestFit="1" customWidth="1"/>
  </cols>
  <sheetData>
    <row r="1" spans="1:8" x14ac:dyDescent="0.25">
      <c r="A1" s="70" t="s">
        <v>222</v>
      </c>
      <c r="B1" s="70" t="s">
        <v>292</v>
      </c>
      <c r="C1" s="70" t="s">
        <v>219</v>
      </c>
      <c r="D1" s="70" t="s">
        <v>154</v>
      </c>
      <c r="E1" s="70" t="s">
        <v>298</v>
      </c>
      <c r="F1" s="70" t="s">
        <v>220</v>
      </c>
      <c r="G1" s="70" t="s">
        <v>297</v>
      </c>
      <c r="H1" s="70" t="s">
        <v>293</v>
      </c>
    </row>
    <row r="2" spans="1:8" x14ac:dyDescent="0.25">
      <c r="A2" s="71">
        <v>2021</v>
      </c>
      <c r="B2" s="72" t="s">
        <v>226</v>
      </c>
      <c r="C2" s="73" t="s">
        <v>232</v>
      </c>
      <c r="D2" s="73" t="s">
        <v>175</v>
      </c>
      <c r="E2" s="73" t="str">
        <f>VLOOKUP(D2,clientes!$C$3:$D$60,2,FALSE)</f>
        <v>AAK DO BRASIL</v>
      </c>
      <c r="F2" s="73" t="s">
        <v>123</v>
      </c>
      <c r="G2" s="73" t="str">
        <f>VLOOKUP(F2,'[2]Lista de Produtos CLASSIFICAÇÃO'!$E$103:$F$114,2,FALSE)</f>
        <v>Aquecidos</v>
      </c>
      <c r="H2" s="74">
        <v>5555</v>
      </c>
    </row>
    <row r="3" spans="1:8" x14ac:dyDescent="0.25">
      <c r="A3" s="75">
        <v>2021</v>
      </c>
      <c r="B3" s="76" t="s">
        <v>227</v>
      </c>
      <c r="C3" s="77" t="s">
        <v>232</v>
      </c>
      <c r="D3" s="77" t="s">
        <v>175</v>
      </c>
      <c r="E3" s="73" t="str">
        <f>VLOOKUP(D3,clientes!$C$3:$D$60,2,FALSE)</f>
        <v>AAK DO BRASIL</v>
      </c>
      <c r="F3" s="77" t="s">
        <v>123</v>
      </c>
      <c r="G3" s="73" t="str">
        <f>VLOOKUP(F3,'[2]Lista de Produtos CLASSIFICAÇÃO'!$E$103:$F$114,2,FALSE)</f>
        <v>Aquecidos</v>
      </c>
      <c r="H3" s="78">
        <v>5555</v>
      </c>
    </row>
    <row r="4" spans="1:8" x14ac:dyDescent="0.25">
      <c r="A4" s="71">
        <v>2021</v>
      </c>
      <c r="B4" s="72" t="s">
        <v>228</v>
      </c>
      <c r="C4" s="73" t="s">
        <v>232</v>
      </c>
      <c r="D4" s="73" t="s">
        <v>175</v>
      </c>
      <c r="E4" s="73" t="str">
        <f>VLOOKUP(D4,clientes!$C$3:$D$60,2,FALSE)</f>
        <v>AAK DO BRASIL</v>
      </c>
      <c r="F4" s="73" t="s">
        <v>123</v>
      </c>
      <c r="G4" s="73" t="str">
        <f>VLOOKUP(F4,'[2]Lista de Produtos CLASSIFICAÇÃO'!$E$103:$F$114,2,FALSE)</f>
        <v>Aquecidos</v>
      </c>
      <c r="H4" s="74">
        <v>5555</v>
      </c>
    </row>
    <row r="5" spans="1:8" x14ac:dyDescent="0.25">
      <c r="A5" s="75">
        <v>2021</v>
      </c>
      <c r="B5" s="76" t="s">
        <v>229</v>
      </c>
      <c r="C5" s="77" t="s">
        <v>232</v>
      </c>
      <c r="D5" s="77" t="s">
        <v>175</v>
      </c>
      <c r="E5" s="73" t="str">
        <f>VLOOKUP(D5,clientes!$C$3:$D$60,2,FALSE)</f>
        <v>AAK DO BRASIL</v>
      </c>
      <c r="F5" s="77" t="s">
        <v>123</v>
      </c>
      <c r="G5" s="73" t="str">
        <f>VLOOKUP(F5,'[2]Lista de Produtos CLASSIFICAÇÃO'!$E$103:$F$114,2,FALSE)</f>
        <v>Aquecidos</v>
      </c>
      <c r="H5" s="78">
        <v>5555</v>
      </c>
    </row>
    <row r="6" spans="1:8" x14ac:dyDescent="0.25">
      <c r="A6" s="71">
        <v>2021</v>
      </c>
      <c r="B6" s="72" t="s">
        <v>210</v>
      </c>
      <c r="C6" s="73" t="s">
        <v>232</v>
      </c>
      <c r="D6" s="73" t="s">
        <v>175</v>
      </c>
      <c r="E6" s="73" t="str">
        <f>VLOOKUP(D6,clientes!$C$3:$D$60,2,FALSE)</f>
        <v>AAK DO BRASIL</v>
      </c>
      <c r="F6" s="73" t="s">
        <v>123</v>
      </c>
      <c r="G6" s="73" t="str">
        <f>VLOOKUP(F6,'[2]Lista de Produtos CLASSIFICAÇÃO'!$E$103:$F$114,2,FALSE)</f>
        <v>Aquecidos</v>
      </c>
      <c r="H6" s="74">
        <v>5555</v>
      </c>
    </row>
    <row r="7" spans="1:8" x14ac:dyDescent="0.25">
      <c r="A7" s="75">
        <v>2021</v>
      </c>
      <c r="B7" s="76" t="s">
        <v>211</v>
      </c>
      <c r="C7" s="77" t="s">
        <v>232</v>
      </c>
      <c r="D7" s="77" t="s">
        <v>175</v>
      </c>
      <c r="E7" s="73" t="str">
        <f>VLOOKUP(D7,clientes!$C$3:$D$60,2,FALSE)</f>
        <v>AAK DO BRASIL</v>
      </c>
      <c r="F7" s="77" t="s">
        <v>123</v>
      </c>
      <c r="G7" s="73" t="str">
        <f>VLOOKUP(F7,'[2]Lista de Produtos CLASSIFICAÇÃO'!$E$103:$F$114,2,FALSE)</f>
        <v>Aquecidos</v>
      </c>
      <c r="H7" s="78">
        <v>5555</v>
      </c>
    </row>
    <row r="8" spans="1:8" x14ac:dyDescent="0.25">
      <c r="A8" s="71">
        <v>2021</v>
      </c>
      <c r="B8" s="72" t="s">
        <v>212</v>
      </c>
      <c r="C8" s="73" t="s">
        <v>232</v>
      </c>
      <c r="D8" s="73" t="s">
        <v>175</v>
      </c>
      <c r="E8" s="73" t="str">
        <f>VLOOKUP(D8,clientes!$C$3:$D$60,2,FALSE)</f>
        <v>AAK DO BRASIL</v>
      </c>
      <c r="F8" s="73" t="s">
        <v>123</v>
      </c>
      <c r="G8" s="73" t="str">
        <f>VLOOKUP(F8,'[2]Lista de Produtos CLASSIFICAÇÃO'!$E$103:$F$114,2,FALSE)</f>
        <v>Aquecidos</v>
      </c>
      <c r="H8" s="74">
        <v>5555</v>
      </c>
    </row>
    <row r="9" spans="1:8" x14ac:dyDescent="0.25">
      <c r="A9" s="75">
        <v>2021</v>
      </c>
      <c r="B9" s="76" t="s">
        <v>213</v>
      </c>
      <c r="C9" s="77" t="s">
        <v>232</v>
      </c>
      <c r="D9" s="77" t="s">
        <v>175</v>
      </c>
      <c r="E9" s="73" t="str">
        <f>VLOOKUP(D9,clientes!$C$3:$D$60,2,FALSE)</f>
        <v>AAK DO BRASIL</v>
      </c>
      <c r="F9" s="77" t="s">
        <v>123</v>
      </c>
      <c r="G9" s="73" t="str">
        <f>VLOOKUP(F9,'[2]Lista de Produtos CLASSIFICAÇÃO'!$E$103:$F$114,2,FALSE)</f>
        <v>Aquecidos</v>
      </c>
      <c r="H9" s="78">
        <v>5555</v>
      </c>
    </row>
    <row r="10" spans="1:8" x14ac:dyDescent="0.25">
      <c r="A10" s="71">
        <v>2021</v>
      </c>
      <c r="B10" s="72" t="s">
        <v>214</v>
      </c>
      <c r="C10" s="73" t="s">
        <v>232</v>
      </c>
      <c r="D10" s="73" t="s">
        <v>175</v>
      </c>
      <c r="E10" s="73" t="str">
        <f>VLOOKUP(D10,clientes!$C$3:$D$60,2,FALSE)</f>
        <v>AAK DO BRASIL</v>
      </c>
      <c r="F10" s="73" t="s">
        <v>123</v>
      </c>
      <c r="G10" s="73" t="str">
        <f>VLOOKUP(F10,'[2]Lista de Produtos CLASSIFICAÇÃO'!$E$103:$F$114,2,FALSE)</f>
        <v>Aquecidos</v>
      </c>
      <c r="H10" s="74">
        <v>5555</v>
      </c>
    </row>
    <row r="11" spans="1:8" x14ac:dyDescent="0.25">
      <c r="A11" s="75">
        <v>2021</v>
      </c>
      <c r="B11" s="76" t="s">
        <v>215</v>
      </c>
      <c r="C11" s="77" t="s">
        <v>232</v>
      </c>
      <c r="D11" s="77" t="s">
        <v>175</v>
      </c>
      <c r="E11" s="73" t="str">
        <f>VLOOKUP(D11,clientes!$C$3:$D$60,2,FALSE)</f>
        <v>AAK DO BRASIL</v>
      </c>
      <c r="F11" s="77" t="s">
        <v>123</v>
      </c>
      <c r="G11" s="73" t="str">
        <f>VLOOKUP(F11,'[2]Lista de Produtos CLASSIFICAÇÃO'!$E$103:$F$114,2,FALSE)</f>
        <v>Aquecidos</v>
      </c>
      <c r="H11" s="78">
        <v>5555</v>
      </c>
    </row>
    <row r="12" spans="1:8" x14ac:dyDescent="0.25">
      <c r="A12" s="71">
        <v>2021</v>
      </c>
      <c r="B12" s="72" t="s">
        <v>230</v>
      </c>
      <c r="C12" s="73" t="s">
        <v>232</v>
      </c>
      <c r="D12" s="73" t="s">
        <v>175</v>
      </c>
      <c r="E12" s="73" t="str">
        <f>VLOOKUP(D12,clientes!$C$3:$D$60,2,FALSE)</f>
        <v>AAK DO BRASIL</v>
      </c>
      <c r="F12" s="73" t="s">
        <v>123</v>
      </c>
      <c r="G12" s="73" t="str">
        <f>VLOOKUP(F12,'[2]Lista de Produtos CLASSIFICAÇÃO'!$E$103:$F$114,2,FALSE)</f>
        <v>Aquecidos</v>
      </c>
      <c r="H12" s="74">
        <v>5555</v>
      </c>
    </row>
    <row r="13" spans="1:8" x14ac:dyDescent="0.25">
      <c r="A13" s="75">
        <v>2021</v>
      </c>
      <c r="B13" s="76" t="s">
        <v>231</v>
      </c>
      <c r="C13" s="77" t="s">
        <v>232</v>
      </c>
      <c r="D13" s="77" t="s">
        <v>175</v>
      </c>
      <c r="E13" s="73" t="str">
        <f>VLOOKUP(D13,clientes!$C$3:$D$60,2,FALSE)</f>
        <v>AAK DO BRASIL</v>
      </c>
      <c r="F13" s="77" t="s">
        <v>123</v>
      </c>
      <c r="G13" s="73" t="str">
        <f>VLOOKUP(F13,'[2]Lista de Produtos CLASSIFICAÇÃO'!$E$103:$F$114,2,FALSE)</f>
        <v>Aquecidos</v>
      </c>
      <c r="H13" s="78">
        <v>5555</v>
      </c>
    </row>
    <row r="14" spans="1:8" x14ac:dyDescent="0.25">
      <c r="A14" s="71">
        <v>2021</v>
      </c>
      <c r="B14" s="72" t="s">
        <v>226</v>
      </c>
      <c r="C14" s="73" t="s">
        <v>225</v>
      </c>
      <c r="D14" s="73" t="s">
        <v>157</v>
      </c>
      <c r="E14" s="73" t="str">
        <f>VLOOKUP(D14,clientes!$C$3:$D$60,2,FALSE)</f>
        <v>ADM</v>
      </c>
      <c r="F14" s="73" t="s">
        <v>49</v>
      </c>
      <c r="G14" s="73" t="e">
        <f>VLOOKUP(F14,'[2]Lista de Produtos CLASSIFICAÇÃO'!$E$103:$F$114,2,FALSE)</f>
        <v>#N/A</v>
      </c>
      <c r="H14" s="74">
        <v>1586</v>
      </c>
    </row>
    <row r="15" spans="1:8" x14ac:dyDescent="0.25">
      <c r="A15" s="75">
        <v>2021</v>
      </c>
      <c r="B15" s="76" t="s">
        <v>227</v>
      </c>
      <c r="C15" s="77" t="s">
        <v>225</v>
      </c>
      <c r="D15" s="77" t="s">
        <v>157</v>
      </c>
      <c r="E15" s="73" t="str">
        <f>VLOOKUP(D15,clientes!$C$3:$D$60,2,FALSE)</f>
        <v>ADM</v>
      </c>
      <c r="F15" s="77" t="s">
        <v>49</v>
      </c>
      <c r="G15" s="73" t="e">
        <f>VLOOKUP(F15,'[2]Lista de Produtos CLASSIFICAÇÃO'!$E$103:$F$114,2,FALSE)</f>
        <v>#N/A</v>
      </c>
      <c r="H15" s="78">
        <v>1586</v>
      </c>
    </row>
    <row r="16" spans="1:8" x14ac:dyDescent="0.25">
      <c r="A16" s="71">
        <v>2021</v>
      </c>
      <c r="B16" s="72" t="s">
        <v>228</v>
      </c>
      <c r="C16" s="73" t="s">
        <v>225</v>
      </c>
      <c r="D16" s="73" t="s">
        <v>157</v>
      </c>
      <c r="E16" s="73" t="str">
        <f>VLOOKUP(D16,clientes!$C$3:$D$60,2,FALSE)</f>
        <v>ADM</v>
      </c>
      <c r="F16" s="73" t="s">
        <v>49</v>
      </c>
      <c r="G16" s="73" t="e">
        <f>VLOOKUP(F16,'[2]Lista de Produtos CLASSIFICAÇÃO'!$E$103:$F$114,2,FALSE)</f>
        <v>#N/A</v>
      </c>
      <c r="H16" s="74">
        <v>1586</v>
      </c>
    </row>
    <row r="17" spans="1:8" x14ac:dyDescent="0.25">
      <c r="A17" s="75">
        <v>2021</v>
      </c>
      <c r="B17" s="76" t="s">
        <v>229</v>
      </c>
      <c r="C17" s="77" t="s">
        <v>225</v>
      </c>
      <c r="D17" s="77" t="s">
        <v>157</v>
      </c>
      <c r="E17" s="73" t="str">
        <f>VLOOKUP(D17,clientes!$C$3:$D$60,2,FALSE)</f>
        <v>ADM</v>
      </c>
      <c r="F17" s="77" t="s">
        <v>49</v>
      </c>
      <c r="G17" s="73" t="e">
        <f>VLOOKUP(F17,'[2]Lista de Produtos CLASSIFICAÇÃO'!$E$103:$F$114,2,FALSE)</f>
        <v>#N/A</v>
      </c>
      <c r="H17" s="78">
        <v>1586</v>
      </c>
    </row>
    <row r="18" spans="1:8" x14ac:dyDescent="0.25">
      <c r="A18" s="71">
        <v>2021</v>
      </c>
      <c r="B18" s="72" t="s">
        <v>210</v>
      </c>
      <c r="C18" s="73" t="s">
        <v>225</v>
      </c>
      <c r="D18" s="73" t="s">
        <v>157</v>
      </c>
      <c r="E18" s="73" t="str">
        <f>VLOOKUP(D18,clientes!$C$3:$D$60,2,FALSE)</f>
        <v>ADM</v>
      </c>
      <c r="F18" s="73" t="s">
        <v>49</v>
      </c>
      <c r="G18" s="73" t="e">
        <f>VLOOKUP(F18,'[2]Lista de Produtos CLASSIFICAÇÃO'!$E$103:$F$114,2,FALSE)</f>
        <v>#N/A</v>
      </c>
      <c r="H18" s="74">
        <v>1586</v>
      </c>
    </row>
    <row r="19" spans="1:8" x14ac:dyDescent="0.25">
      <c r="A19" s="75">
        <v>2021</v>
      </c>
      <c r="B19" s="76" t="s">
        <v>211</v>
      </c>
      <c r="C19" s="77" t="s">
        <v>225</v>
      </c>
      <c r="D19" s="77" t="s">
        <v>157</v>
      </c>
      <c r="E19" s="73" t="str">
        <f>VLOOKUP(D19,clientes!$C$3:$D$60,2,FALSE)</f>
        <v>ADM</v>
      </c>
      <c r="F19" s="77" t="s">
        <v>49</v>
      </c>
      <c r="G19" s="73" t="e">
        <f>VLOOKUP(F19,'[2]Lista de Produtos CLASSIFICAÇÃO'!$E$103:$F$114,2,FALSE)</f>
        <v>#N/A</v>
      </c>
      <c r="H19" s="78">
        <v>1586</v>
      </c>
    </row>
    <row r="20" spans="1:8" x14ac:dyDescent="0.25">
      <c r="A20" s="71">
        <v>2021</v>
      </c>
      <c r="B20" s="72" t="s">
        <v>212</v>
      </c>
      <c r="C20" s="73" t="s">
        <v>225</v>
      </c>
      <c r="D20" s="73" t="s">
        <v>157</v>
      </c>
      <c r="E20" s="73" t="str">
        <f>VLOOKUP(D20,clientes!$C$3:$D$60,2,FALSE)</f>
        <v>ADM</v>
      </c>
      <c r="F20" s="73" t="s">
        <v>49</v>
      </c>
      <c r="G20" s="73" t="e">
        <f>VLOOKUP(F20,'[2]Lista de Produtos CLASSIFICAÇÃO'!$E$103:$F$114,2,FALSE)</f>
        <v>#N/A</v>
      </c>
      <c r="H20" s="74">
        <v>1586</v>
      </c>
    </row>
    <row r="21" spans="1:8" x14ac:dyDescent="0.25">
      <c r="A21" s="75">
        <v>2021</v>
      </c>
      <c r="B21" s="76" t="s">
        <v>213</v>
      </c>
      <c r="C21" s="77" t="s">
        <v>225</v>
      </c>
      <c r="D21" s="77" t="s">
        <v>157</v>
      </c>
      <c r="E21" s="73" t="str">
        <f>VLOOKUP(D21,clientes!$C$3:$D$60,2,FALSE)</f>
        <v>ADM</v>
      </c>
      <c r="F21" s="77" t="s">
        <v>49</v>
      </c>
      <c r="G21" s="73" t="e">
        <f>VLOOKUP(F21,'[2]Lista de Produtos CLASSIFICAÇÃO'!$E$103:$F$114,2,FALSE)</f>
        <v>#N/A</v>
      </c>
      <c r="H21" s="78">
        <v>1586</v>
      </c>
    </row>
    <row r="22" spans="1:8" x14ac:dyDescent="0.25">
      <c r="A22" s="71">
        <v>2021</v>
      </c>
      <c r="B22" s="72" t="s">
        <v>214</v>
      </c>
      <c r="C22" s="73" t="s">
        <v>225</v>
      </c>
      <c r="D22" s="73" t="s">
        <v>157</v>
      </c>
      <c r="E22" s="73" t="str">
        <f>VLOOKUP(D22,clientes!$C$3:$D$60,2,FALSE)</f>
        <v>ADM</v>
      </c>
      <c r="F22" s="73" t="s">
        <v>49</v>
      </c>
      <c r="G22" s="73" t="e">
        <f>VLOOKUP(F22,'[2]Lista de Produtos CLASSIFICAÇÃO'!$E$103:$F$114,2,FALSE)</f>
        <v>#N/A</v>
      </c>
      <c r="H22" s="74">
        <v>1586</v>
      </c>
    </row>
    <row r="23" spans="1:8" x14ac:dyDescent="0.25">
      <c r="A23" s="75">
        <v>2021</v>
      </c>
      <c r="B23" s="76" t="s">
        <v>215</v>
      </c>
      <c r="C23" s="77" t="s">
        <v>225</v>
      </c>
      <c r="D23" s="77" t="s">
        <v>157</v>
      </c>
      <c r="E23" s="73" t="str">
        <f>VLOOKUP(D23,clientes!$C$3:$D$60,2,FALSE)</f>
        <v>ADM</v>
      </c>
      <c r="F23" s="77" t="s">
        <v>49</v>
      </c>
      <c r="G23" s="73" t="e">
        <f>VLOOKUP(F23,'[2]Lista de Produtos CLASSIFICAÇÃO'!$E$103:$F$114,2,FALSE)</f>
        <v>#N/A</v>
      </c>
      <c r="H23" s="78">
        <v>1586</v>
      </c>
    </row>
    <row r="24" spans="1:8" x14ac:dyDescent="0.25">
      <c r="A24" s="71">
        <v>2021</v>
      </c>
      <c r="B24" s="72" t="s">
        <v>230</v>
      </c>
      <c r="C24" s="73" t="s">
        <v>225</v>
      </c>
      <c r="D24" s="73" t="s">
        <v>157</v>
      </c>
      <c r="E24" s="73" t="str">
        <f>VLOOKUP(D24,clientes!$C$3:$D$60,2,FALSE)</f>
        <v>ADM</v>
      </c>
      <c r="F24" s="73" t="s">
        <v>49</v>
      </c>
      <c r="G24" s="73" t="e">
        <f>VLOOKUP(F24,'[2]Lista de Produtos CLASSIFICAÇÃO'!$E$103:$F$114,2,FALSE)</f>
        <v>#N/A</v>
      </c>
      <c r="H24" s="74">
        <v>1586</v>
      </c>
    </row>
    <row r="25" spans="1:8" x14ac:dyDescent="0.25">
      <c r="A25" s="75">
        <v>2021</v>
      </c>
      <c r="B25" s="76" t="s">
        <v>231</v>
      </c>
      <c r="C25" s="77" t="s">
        <v>225</v>
      </c>
      <c r="D25" s="77" t="s">
        <v>157</v>
      </c>
      <c r="E25" s="73" t="str">
        <f>VLOOKUP(D25,clientes!$C$3:$D$60,2,FALSE)</f>
        <v>ADM</v>
      </c>
      <c r="F25" s="77" t="s">
        <v>49</v>
      </c>
      <c r="G25" s="73" t="e">
        <f>VLOOKUP(F25,'[2]Lista de Produtos CLASSIFICAÇÃO'!$E$103:$F$114,2,FALSE)</f>
        <v>#N/A</v>
      </c>
      <c r="H25" s="78">
        <v>1586</v>
      </c>
    </row>
    <row r="26" spans="1:8" x14ac:dyDescent="0.25">
      <c r="A26" s="71">
        <v>2021</v>
      </c>
      <c r="B26" s="72" t="s">
        <v>226</v>
      </c>
      <c r="C26" s="73" t="s">
        <v>225</v>
      </c>
      <c r="D26" s="73" t="s">
        <v>155</v>
      </c>
      <c r="E26" s="73" t="str">
        <f>VLOOKUP(D26,clientes!$C$3:$D$60,2,FALSE)</f>
        <v>ADISSEO</v>
      </c>
      <c r="F26" s="73" t="s">
        <v>16</v>
      </c>
      <c r="G26" s="73" t="str">
        <f>VLOOKUP(F26,'[2]Lista de Produtos CLASSIFICAÇÃO'!$E$103:$F$114,2,FALSE)</f>
        <v>Outros</v>
      </c>
      <c r="H26" s="74">
        <v>6500</v>
      </c>
    </row>
    <row r="27" spans="1:8" x14ac:dyDescent="0.25">
      <c r="A27" s="75">
        <v>2021</v>
      </c>
      <c r="B27" s="76" t="s">
        <v>226</v>
      </c>
      <c r="C27" s="77" t="s">
        <v>225</v>
      </c>
      <c r="D27" s="77" t="s">
        <v>155</v>
      </c>
      <c r="E27" s="73" t="str">
        <f>VLOOKUP(D27,clientes!$C$3:$D$60,2,FALSE)</f>
        <v>ADISSEO</v>
      </c>
      <c r="F27" s="77" t="s">
        <v>16</v>
      </c>
      <c r="G27" s="73" t="str">
        <f>VLOOKUP(F27,'[2]Lista de Produtos CLASSIFICAÇÃO'!$E$103:$F$114,2,FALSE)</f>
        <v>Outros</v>
      </c>
      <c r="H27" s="78">
        <v>0</v>
      </c>
    </row>
    <row r="28" spans="1:8" x14ac:dyDescent="0.25">
      <c r="A28" s="71">
        <v>2021</v>
      </c>
      <c r="B28" s="72" t="s">
        <v>227</v>
      </c>
      <c r="C28" s="73" t="s">
        <v>225</v>
      </c>
      <c r="D28" s="73" t="s">
        <v>155</v>
      </c>
      <c r="E28" s="73" t="str">
        <f>VLOOKUP(D28,clientes!$C$3:$D$60,2,FALSE)</f>
        <v>ADISSEO</v>
      </c>
      <c r="F28" s="73" t="s">
        <v>16</v>
      </c>
      <c r="G28" s="73" t="str">
        <f>VLOOKUP(F28,'[2]Lista de Produtos CLASSIFICAÇÃO'!$E$103:$F$114,2,FALSE)</f>
        <v>Outros</v>
      </c>
      <c r="H28" s="74">
        <v>6500</v>
      </c>
    </row>
    <row r="29" spans="1:8" x14ac:dyDescent="0.25">
      <c r="A29" s="75">
        <v>2021</v>
      </c>
      <c r="B29" s="76" t="s">
        <v>227</v>
      </c>
      <c r="C29" s="77" t="s">
        <v>225</v>
      </c>
      <c r="D29" s="77" t="s">
        <v>155</v>
      </c>
      <c r="E29" s="73" t="str">
        <f>VLOOKUP(D29,clientes!$C$3:$D$60,2,FALSE)</f>
        <v>ADISSEO</v>
      </c>
      <c r="F29" s="77" t="s">
        <v>16</v>
      </c>
      <c r="G29" s="73" t="str">
        <f>VLOOKUP(F29,'[2]Lista de Produtos CLASSIFICAÇÃO'!$E$103:$F$114,2,FALSE)</f>
        <v>Outros</v>
      </c>
      <c r="H29" s="78">
        <v>0</v>
      </c>
    </row>
    <row r="30" spans="1:8" x14ac:dyDescent="0.25">
      <c r="A30" s="71">
        <v>2021</v>
      </c>
      <c r="B30" s="72" t="s">
        <v>228</v>
      </c>
      <c r="C30" s="73" t="s">
        <v>225</v>
      </c>
      <c r="D30" s="73" t="s">
        <v>155</v>
      </c>
      <c r="E30" s="73" t="str">
        <f>VLOOKUP(D30,clientes!$C$3:$D$60,2,FALSE)</f>
        <v>ADISSEO</v>
      </c>
      <c r="F30" s="73" t="s">
        <v>16</v>
      </c>
      <c r="G30" s="73" t="str">
        <f>VLOOKUP(F30,'[2]Lista de Produtos CLASSIFICAÇÃO'!$E$103:$F$114,2,FALSE)</f>
        <v>Outros</v>
      </c>
      <c r="H30" s="74">
        <v>6500</v>
      </c>
    </row>
    <row r="31" spans="1:8" x14ac:dyDescent="0.25">
      <c r="A31" s="75">
        <v>2021</v>
      </c>
      <c r="B31" s="76" t="s">
        <v>228</v>
      </c>
      <c r="C31" s="77" t="s">
        <v>225</v>
      </c>
      <c r="D31" s="77" t="s">
        <v>155</v>
      </c>
      <c r="E31" s="73" t="str">
        <f>VLOOKUP(D31,clientes!$C$3:$D$60,2,FALSE)</f>
        <v>ADISSEO</v>
      </c>
      <c r="F31" s="77" t="s">
        <v>16</v>
      </c>
      <c r="G31" s="73" t="str">
        <f>VLOOKUP(F31,'[2]Lista de Produtos CLASSIFICAÇÃO'!$E$103:$F$114,2,FALSE)</f>
        <v>Outros</v>
      </c>
      <c r="H31" s="78">
        <v>0</v>
      </c>
    </row>
    <row r="32" spans="1:8" x14ac:dyDescent="0.25">
      <c r="A32" s="71">
        <v>2021</v>
      </c>
      <c r="B32" s="72" t="s">
        <v>229</v>
      </c>
      <c r="C32" s="73" t="s">
        <v>225</v>
      </c>
      <c r="D32" s="73" t="s">
        <v>155</v>
      </c>
      <c r="E32" s="73" t="str">
        <f>VLOOKUP(D32,clientes!$C$3:$D$60,2,FALSE)</f>
        <v>ADISSEO</v>
      </c>
      <c r="F32" s="73" t="s">
        <v>16</v>
      </c>
      <c r="G32" s="73" t="str">
        <f>VLOOKUP(F32,'[2]Lista de Produtos CLASSIFICAÇÃO'!$E$103:$F$114,2,FALSE)</f>
        <v>Outros</v>
      </c>
      <c r="H32" s="74">
        <v>6500</v>
      </c>
    </row>
    <row r="33" spans="1:8" x14ac:dyDescent="0.25">
      <c r="A33" s="75">
        <v>2021</v>
      </c>
      <c r="B33" s="76" t="s">
        <v>229</v>
      </c>
      <c r="C33" s="77" t="s">
        <v>225</v>
      </c>
      <c r="D33" s="77" t="s">
        <v>155</v>
      </c>
      <c r="E33" s="73" t="str">
        <f>VLOOKUP(D33,clientes!$C$3:$D$60,2,FALSE)</f>
        <v>ADISSEO</v>
      </c>
      <c r="F33" s="77" t="s">
        <v>16</v>
      </c>
      <c r="G33" s="73" t="str">
        <f>VLOOKUP(F33,'[2]Lista de Produtos CLASSIFICAÇÃO'!$E$103:$F$114,2,FALSE)</f>
        <v>Outros</v>
      </c>
      <c r="H33" s="78">
        <v>1700</v>
      </c>
    </row>
    <row r="34" spans="1:8" x14ac:dyDescent="0.25">
      <c r="A34" s="71">
        <v>2021</v>
      </c>
      <c r="B34" s="72" t="s">
        <v>210</v>
      </c>
      <c r="C34" s="73" t="s">
        <v>225</v>
      </c>
      <c r="D34" s="73" t="s">
        <v>155</v>
      </c>
      <c r="E34" s="73" t="str">
        <f>VLOOKUP(D34,clientes!$C$3:$D$60,2,FALSE)</f>
        <v>ADISSEO</v>
      </c>
      <c r="F34" s="73" t="s">
        <v>16</v>
      </c>
      <c r="G34" s="73" t="str">
        <f>VLOOKUP(F34,'[2]Lista de Produtos CLASSIFICAÇÃO'!$E$103:$F$114,2,FALSE)</f>
        <v>Outros</v>
      </c>
      <c r="H34" s="74">
        <v>6500</v>
      </c>
    </row>
    <row r="35" spans="1:8" x14ac:dyDescent="0.25">
      <c r="A35" s="75">
        <v>2021</v>
      </c>
      <c r="B35" s="76" t="s">
        <v>210</v>
      </c>
      <c r="C35" s="77" t="s">
        <v>225</v>
      </c>
      <c r="D35" s="77" t="s">
        <v>155</v>
      </c>
      <c r="E35" s="73" t="str">
        <f>VLOOKUP(D35,clientes!$C$3:$D$60,2,FALSE)</f>
        <v>ADISSEO</v>
      </c>
      <c r="F35" s="77" t="s">
        <v>16</v>
      </c>
      <c r="G35" s="73" t="str">
        <f>VLOOKUP(F35,'[2]Lista de Produtos CLASSIFICAÇÃO'!$E$103:$F$114,2,FALSE)</f>
        <v>Outros</v>
      </c>
      <c r="H35" s="78">
        <v>1700</v>
      </c>
    </row>
    <row r="36" spans="1:8" x14ac:dyDescent="0.25">
      <c r="A36" s="71">
        <v>2021</v>
      </c>
      <c r="B36" s="72" t="s">
        <v>211</v>
      </c>
      <c r="C36" s="73" t="s">
        <v>225</v>
      </c>
      <c r="D36" s="73" t="s">
        <v>155</v>
      </c>
      <c r="E36" s="73" t="str">
        <f>VLOOKUP(D36,clientes!$C$3:$D$60,2,FALSE)</f>
        <v>ADISSEO</v>
      </c>
      <c r="F36" s="73" t="s">
        <v>16</v>
      </c>
      <c r="G36" s="73" t="str">
        <f>VLOOKUP(F36,'[2]Lista de Produtos CLASSIFICAÇÃO'!$E$103:$F$114,2,FALSE)</f>
        <v>Outros</v>
      </c>
      <c r="H36" s="74">
        <v>6500</v>
      </c>
    </row>
    <row r="37" spans="1:8" x14ac:dyDescent="0.25">
      <c r="A37" s="75">
        <v>2021</v>
      </c>
      <c r="B37" s="76" t="s">
        <v>211</v>
      </c>
      <c r="C37" s="77" t="s">
        <v>225</v>
      </c>
      <c r="D37" s="77" t="s">
        <v>155</v>
      </c>
      <c r="E37" s="73" t="str">
        <f>VLOOKUP(D37,clientes!$C$3:$D$60,2,FALSE)</f>
        <v>ADISSEO</v>
      </c>
      <c r="F37" s="77" t="s">
        <v>16</v>
      </c>
      <c r="G37" s="73" t="str">
        <f>VLOOKUP(F37,'[2]Lista de Produtos CLASSIFICAÇÃO'!$E$103:$F$114,2,FALSE)</f>
        <v>Outros</v>
      </c>
      <c r="H37" s="78">
        <v>1700</v>
      </c>
    </row>
    <row r="38" spans="1:8" x14ac:dyDescent="0.25">
      <c r="A38" s="71">
        <v>2021</v>
      </c>
      <c r="B38" s="72" t="s">
        <v>212</v>
      </c>
      <c r="C38" s="73" t="s">
        <v>225</v>
      </c>
      <c r="D38" s="73" t="s">
        <v>155</v>
      </c>
      <c r="E38" s="73" t="str">
        <f>VLOOKUP(D38,clientes!$C$3:$D$60,2,FALSE)</f>
        <v>ADISSEO</v>
      </c>
      <c r="F38" s="73" t="s">
        <v>16</v>
      </c>
      <c r="G38" s="73" t="str">
        <f>VLOOKUP(F38,'[2]Lista de Produtos CLASSIFICAÇÃO'!$E$103:$F$114,2,FALSE)</f>
        <v>Outros</v>
      </c>
      <c r="H38" s="74">
        <v>6500</v>
      </c>
    </row>
    <row r="39" spans="1:8" x14ac:dyDescent="0.25">
      <c r="A39" s="75">
        <v>2021</v>
      </c>
      <c r="B39" s="76" t="s">
        <v>212</v>
      </c>
      <c r="C39" s="77" t="s">
        <v>225</v>
      </c>
      <c r="D39" s="77" t="s">
        <v>155</v>
      </c>
      <c r="E39" s="73" t="str">
        <f>VLOOKUP(D39,clientes!$C$3:$D$60,2,FALSE)</f>
        <v>ADISSEO</v>
      </c>
      <c r="F39" s="77" t="s">
        <v>16</v>
      </c>
      <c r="G39" s="73" t="str">
        <f>VLOOKUP(F39,'[2]Lista de Produtos CLASSIFICAÇÃO'!$E$103:$F$114,2,FALSE)</f>
        <v>Outros</v>
      </c>
      <c r="H39" s="78">
        <v>1700</v>
      </c>
    </row>
    <row r="40" spans="1:8" x14ac:dyDescent="0.25">
      <c r="A40" s="71">
        <v>2021</v>
      </c>
      <c r="B40" s="72" t="s">
        <v>213</v>
      </c>
      <c r="C40" s="73" t="s">
        <v>225</v>
      </c>
      <c r="D40" s="73" t="s">
        <v>155</v>
      </c>
      <c r="E40" s="73" t="str">
        <f>VLOOKUP(D40,clientes!$C$3:$D$60,2,FALSE)</f>
        <v>ADISSEO</v>
      </c>
      <c r="F40" s="73" t="s">
        <v>16</v>
      </c>
      <c r="G40" s="73" t="str">
        <f>VLOOKUP(F40,'[2]Lista de Produtos CLASSIFICAÇÃO'!$E$103:$F$114,2,FALSE)</f>
        <v>Outros</v>
      </c>
      <c r="H40" s="74">
        <v>6500</v>
      </c>
    </row>
    <row r="41" spans="1:8" x14ac:dyDescent="0.25">
      <c r="A41" s="75">
        <v>2021</v>
      </c>
      <c r="B41" s="76" t="s">
        <v>213</v>
      </c>
      <c r="C41" s="77" t="s">
        <v>225</v>
      </c>
      <c r="D41" s="77" t="s">
        <v>155</v>
      </c>
      <c r="E41" s="73" t="str">
        <f>VLOOKUP(D41,clientes!$C$3:$D$60,2,FALSE)</f>
        <v>ADISSEO</v>
      </c>
      <c r="F41" s="77" t="s">
        <v>16</v>
      </c>
      <c r="G41" s="73" t="str">
        <f>VLOOKUP(F41,'[2]Lista de Produtos CLASSIFICAÇÃO'!$E$103:$F$114,2,FALSE)</f>
        <v>Outros</v>
      </c>
      <c r="H41" s="78">
        <v>1700</v>
      </c>
    </row>
    <row r="42" spans="1:8" x14ac:dyDescent="0.25">
      <c r="A42" s="71">
        <v>2021</v>
      </c>
      <c r="B42" s="72" t="s">
        <v>214</v>
      </c>
      <c r="C42" s="73" t="s">
        <v>225</v>
      </c>
      <c r="D42" s="73" t="s">
        <v>155</v>
      </c>
      <c r="E42" s="73" t="str">
        <f>VLOOKUP(D42,clientes!$C$3:$D$60,2,FALSE)</f>
        <v>ADISSEO</v>
      </c>
      <c r="F42" s="73" t="s">
        <v>16</v>
      </c>
      <c r="G42" s="73" t="str">
        <f>VLOOKUP(F42,'[2]Lista de Produtos CLASSIFICAÇÃO'!$E$103:$F$114,2,FALSE)</f>
        <v>Outros</v>
      </c>
      <c r="H42" s="74">
        <v>6500</v>
      </c>
    </row>
    <row r="43" spans="1:8" x14ac:dyDescent="0.25">
      <c r="A43" s="75">
        <v>2021</v>
      </c>
      <c r="B43" s="76" t="s">
        <v>214</v>
      </c>
      <c r="C43" s="77" t="s">
        <v>225</v>
      </c>
      <c r="D43" s="77" t="s">
        <v>155</v>
      </c>
      <c r="E43" s="73" t="str">
        <f>VLOOKUP(D43,clientes!$C$3:$D$60,2,FALSE)</f>
        <v>ADISSEO</v>
      </c>
      <c r="F43" s="77" t="s">
        <v>16</v>
      </c>
      <c r="G43" s="73" t="str">
        <f>VLOOKUP(F43,'[2]Lista de Produtos CLASSIFICAÇÃO'!$E$103:$F$114,2,FALSE)</f>
        <v>Outros</v>
      </c>
      <c r="H43" s="78">
        <v>1700</v>
      </c>
    </row>
    <row r="44" spans="1:8" x14ac:dyDescent="0.25">
      <c r="A44" s="71">
        <v>2021</v>
      </c>
      <c r="B44" s="72" t="s">
        <v>215</v>
      </c>
      <c r="C44" s="73" t="s">
        <v>225</v>
      </c>
      <c r="D44" s="73" t="s">
        <v>155</v>
      </c>
      <c r="E44" s="73" t="str">
        <f>VLOOKUP(D44,clientes!$C$3:$D$60,2,FALSE)</f>
        <v>ADISSEO</v>
      </c>
      <c r="F44" s="73" t="s">
        <v>16</v>
      </c>
      <c r="G44" s="73" t="str">
        <f>VLOOKUP(F44,'[2]Lista de Produtos CLASSIFICAÇÃO'!$E$103:$F$114,2,FALSE)</f>
        <v>Outros</v>
      </c>
      <c r="H44" s="74">
        <v>6500</v>
      </c>
    </row>
    <row r="45" spans="1:8" x14ac:dyDescent="0.25">
      <c r="A45" s="75">
        <v>2021</v>
      </c>
      <c r="B45" s="76" t="s">
        <v>215</v>
      </c>
      <c r="C45" s="77" t="s">
        <v>225</v>
      </c>
      <c r="D45" s="77" t="s">
        <v>155</v>
      </c>
      <c r="E45" s="73" t="str">
        <f>VLOOKUP(D45,clientes!$C$3:$D$60,2,FALSE)</f>
        <v>ADISSEO</v>
      </c>
      <c r="F45" s="77" t="s">
        <v>16</v>
      </c>
      <c r="G45" s="73" t="str">
        <f>VLOOKUP(F45,'[2]Lista de Produtos CLASSIFICAÇÃO'!$E$103:$F$114,2,FALSE)</f>
        <v>Outros</v>
      </c>
      <c r="H45" s="78">
        <v>1700</v>
      </c>
    </row>
    <row r="46" spans="1:8" x14ac:dyDescent="0.25">
      <c r="A46" s="71">
        <v>2021</v>
      </c>
      <c r="B46" s="72" t="s">
        <v>230</v>
      </c>
      <c r="C46" s="73" t="s">
        <v>225</v>
      </c>
      <c r="D46" s="73" t="s">
        <v>155</v>
      </c>
      <c r="E46" s="73" t="str">
        <f>VLOOKUP(D46,clientes!$C$3:$D$60,2,FALSE)</f>
        <v>ADISSEO</v>
      </c>
      <c r="F46" s="73" t="s">
        <v>16</v>
      </c>
      <c r="G46" s="73" t="str">
        <f>VLOOKUP(F46,'[2]Lista de Produtos CLASSIFICAÇÃO'!$E$103:$F$114,2,FALSE)</f>
        <v>Outros</v>
      </c>
      <c r="H46" s="74">
        <v>6500</v>
      </c>
    </row>
    <row r="47" spans="1:8" x14ac:dyDescent="0.25">
      <c r="A47" s="75">
        <v>2021</v>
      </c>
      <c r="B47" s="76" t="s">
        <v>230</v>
      </c>
      <c r="C47" s="77" t="s">
        <v>225</v>
      </c>
      <c r="D47" s="77" t="s">
        <v>155</v>
      </c>
      <c r="E47" s="73" t="str">
        <f>VLOOKUP(D47,clientes!$C$3:$D$60,2,FALSE)</f>
        <v>ADISSEO</v>
      </c>
      <c r="F47" s="77" t="s">
        <v>16</v>
      </c>
      <c r="G47" s="73" t="str">
        <f>VLOOKUP(F47,'[2]Lista de Produtos CLASSIFICAÇÃO'!$E$103:$F$114,2,FALSE)</f>
        <v>Outros</v>
      </c>
      <c r="H47" s="78">
        <v>1700</v>
      </c>
    </row>
    <row r="48" spans="1:8" x14ac:dyDescent="0.25">
      <c r="A48" s="71">
        <v>2021</v>
      </c>
      <c r="B48" s="72" t="s">
        <v>231</v>
      </c>
      <c r="C48" s="73" t="s">
        <v>225</v>
      </c>
      <c r="D48" s="73" t="s">
        <v>155</v>
      </c>
      <c r="E48" s="73" t="str">
        <f>VLOOKUP(D48,clientes!$C$3:$D$60,2,FALSE)</f>
        <v>ADISSEO</v>
      </c>
      <c r="F48" s="73" t="s">
        <v>16</v>
      </c>
      <c r="G48" s="73" t="str">
        <f>VLOOKUP(F48,'[2]Lista de Produtos CLASSIFICAÇÃO'!$E$103:$F$114,2,FALSE)</f>
        <v>Outros</v>
      </c>
      <c r="H48" s="74">
        <v>6500</v>
      </c>
    </row>
    <row r="49" spans="1:8" x14ac:dyDescent="0.25">
      <c r="A49" s="75">
        <v>2021</v>
      </c>
      <c r="B49" s="76" t="s">
        <v>231</v>
      </c>
      <c r="C49" s="77" t="s">
        <v>225</v>
      </c>
      <c r="D49" s="77" t="s">
        <v>155</v>
      </c>
      <c r="E49" s="73" t="str">
        <f>VLOOKUP(D49,clientes!$C$3:$D$60,2,FALSE)</f>
        <v>ADISSEO</v>
      </c>
      <c r="F49" s="77" t="s">
        <v>16</v>
      </c>
      <c r="G49" s="73" t="str">
        <f>VLOOKUP(F49,'[2]Lista de Produtos CLASSIFICAÇÃO'!$E$103:$F$114,2,FALSE)</f>
        <v>Outros</v>
      </c>
      <c r="H49" s="78">
        <v>1700</v>
      </c>
    </row>
    <row r="50" spans="1:8" x14ac:dyDescent="0.25">
      <c r="A50" s="71">
        <v>2021</v>
      </c>
      <c r="B50" s="72" t="s">
        <v>226</v>
      </c>
      <c r="C50" s="73" t="s">
        <v>225</v>
      </c>
      <c r="D50" s="73" t="s">
        <v>199</v>
      </c>
      <c r="E50" s="73" t="str">
        <f>VLOOKUP(D50,clientes!$C$3:$D$60,2,FALSE)</f>
        <v>ADISSEO</v>
      </c>
      <c r="F50" s="73" t="s">
        <v>16</v>
      </c>
      <c r="G50" s="73" t="str">
        <f>VLOOKUP(F50,'[2]Lista de Produtos CLASSIFICAÇÃO'!$E$103:$F$114,2,FALSE)</f>
        <v>Outros</v>
      </c>
      <c r="H50" s="74">
        <v>0</v>
      </c>
    </row>
    <row r="51" spans="1:8" x14ac:dyDescent="0.25">
      <c r="A51" s="75">
        <v>2021</v>
      </c>
      <c r="B51" s="76" t="s">
        <v>227</v>
      </c>
      <c r="C51" s="77" t="s">
        <v>225</v>
      </c>
      <c r="D51" s="77" t="s">
        <v>199</v>
      </c>
      <c r="E51" s="73" t="str">
        <f>VLOOKUP(D51,clientes!$C$3:$D$60,2,FALSE)</f>
        <v>ADISSEO</v>
      </c>
      <c r="F51" s="77" t="s">
        <v>16</v>
      </c>
      <c r="G51" s="73" t="str">
        <f>VLOOKUP(F51,'[2]Lista de Produtos CLASSIFICAÇÃO'!$E$103:$F$114,2,FALSE)</f>
        <v>Outros</v>
      </c>
      <c r="H51" s="78">
        <v>0</v>
      </c>
    </row>
    <row r="52" spans="1:8" x14ac:dyDescent="0.25">
      <c r="A52" s="71">
        <v>2021</v>
      </c>
      <c r="B52" s="72" t="s">
        <v>228</v>
      </c>
      <c r="C52" s="73" t="s">
        <v>225</v>
      </c>
      <c r="D52" s="73" t="s">
        <v>199</v>
      </c>
      <c r="E52" s="73" t="str">
        <f>VLOOKUP(D52,clientes!$C$3:$D$60,2,FALSE)</f>
        <v>ADISSEO</v>
      </c>
      <c r="F52" s="73" t="s">
        <v>16</v>
      </c>
      <c r="G52" s="73" t="str">
        <f>VLOOKUP(F52,'[2]Lista de Produtos CLASSIFICAÇÃO'!$E$103:$F$114,2,FALSE)</f>
        <v>Outros</v>
      </c>
      <c r="H52" s="74">
        <v>0</v>
      </c>
    </row>
    <row r="53" spans="1:8" x14ac:dyDescent="0.25">
      <c r="A53" s="75">
        <v>2021</v>
      </c>
      <c r="B53" s="76" t="s">
        <v>229</v>
      </c>
      <c r="C53" s="77" t="s">
        <v>225</v>
      </c>
      <c r="D53" s="77" t="s">
        <v>199</v>
      </c>
      <c r="E53" s="73" t="str">
        <f>VLOOKUP(D53,clientes!$C$3:$D$60,2,FALSE)</f>
        <v>ADISSEO</v>
      </c>
      <c r="F53" s="77" t="s">
        <v>16</v>
      </c>
      <c r="G53" s="73" t="str">
        <f>VLOOKUP(F53,'[2]Lista de Produtos CLASSIFICAÇÃO'!$E$103:$F$114,2,FALSE)</f>
        <v>Outros</v>
      </c>
      <c r="H53" s="78">
        <v>0</v>
      </c>
    </row>
    <row r="54" spans="1:8" x14ac:dyDescent="0.25">
      <c r="A54" s="71">
        <v>2021</v>
      </c>
      <c r="B54" s="72" t="s">
        <v>210</v>
      </c>
      <c r="C54" s="73" t="s">
        <v>225</v>
      </c>
      <c r="D54" s="73" t="s">
        <v>199</v>
      </c>
      <c r="E54" s="73" t="str">
        <f>VLOOKUP(D54,clientes!$C$3:$D$60,2,FALSE)</f>
        <v>ADISSEO</v>
      </c>
      <c r="F54" s="73" t="s">
        <v>16</v>
      </c>
      <c r="G54" s="73" t="str">
        <f>VLOOKUP(F54,'[2]Lista de Produtos CLASSIFICAÇÃO'!$E$103:$F$114,2,FALSE)</f>
        <v>Outros</v>
      </c>
      <c r="H54" s="74">
        <v>0</v>
      </c>
    </row>
    <row r="55" spans="1:8" x14ac:dyDescent="0.25">
      <c r="A55" s="75">
        <v>2021</v>
      </c>
      <c r="B55" s="76" t="s">
        <v>211</v>
      </c>
      <c r="C55" s="77" t="s">
        <v>225</v>
      </c>
      <c r="D55" s="77" t="s">
        <v>199</v>
      </c>
      <c r="E55" s="73" t="str">
        <f>VLOOKUP(D55,clientes!$C$3:$D$60,2,FALSE)</f>
        <v>ADISSEO</v>
      </c>
      <c r="F55" s="77" t="s">
        <v>16</v>
      </c>
      <c r="G55" s="73" t="str">
        <f>VLOOKUP(F55,'[2]Lista de Produtos CLASSIFICAÇÃO'!$E$103:$F$114,2,FALSE)</f>
        <v>Outros</v>
      </c>
      <c r="H55" s="78">
        <v>0</v>
      </c>
    </row>
    <row r="56" spans="1:8" x14ac:dyDescent="0.25">
      <c r="A56" s="71">
        <v>2021</v>
      </c>
      <c r="B56" s="72" t="s">
        <v>212</v>
      </c>
      <c r="C56" s="73" t="s">
        <v>225</v>
      </c>
      <c r="D56" s="73" t="s">
        <v>199</v>
      </c>
      <c r="E56" s="73" t="str">
        <f>VLOOKUP(D56,clientes!$C$3:$D$60,2,FALSE)</f>
        <v>ADISSEO</v>
      </c>
      <c r="F56" s="73" t="s">
        <v>16</v>
      </c>
      <c r="G56" s="73" t="str">
        <f>VLOOKUP(F56,'[2]Lista de Produtos CLASSIFICAÇÃO'!$E$103:$F$114,2,FALSE)</f>
        <v>Outros</v>
      </c>
      <c r="H56" s="74">
        <v>0</v>
      </c>
    </row>
    <row r="57" spans="1:8" x14ac:dyDescent="0.25">
      <c r="A57" s="75">
        <v>2021</v>
      </c>
      <c r="B57" s="76" t="s">
        <v>213</v>
      </c>
      <c r="C57" s="77" t="s">
        <v>225</v>
      </c>
      <c r="D57" s="77" t="s">
        <v>199</v>
      </c>
      <c r="E57" s="73" t="str">
        <f>VLOOKUP(D57,clientes!$C$3:$D$60,2,FALSE)</f>
        <v>ADISSEO</v>
      </c>
      <c r="F57" s="77" t="s">
        <v>16</v>
      </c>
      <c r="G57" s="73" t="str">
        <f>VLOOKUP(F57,'[2]Lista de Produtos CLASSIFICAÇÃO'!$E$103:$F$114,2,FALSE)</f>
        <v>Outros</v>
      </c>
      <c r="H57" s="78">
        <v>0</v>
      </c>
    </row>
    <row r="58" spans="1:8" x14ac:dyDescent="0.25">
      <c r="A58" s="71">
        <v>2021</v>
      </c>
      <c r="B58" s="72" t="s">
        <v>214</v>
      </c>
      <c r="C58" s="73" t="s">
        <v>225</v>
      </c>
      <c r="D58" s="73" t="s">
        <v>199</v>
      </c>
      <c r="E58" s="73" t="str">
        <f>VLOOKUP(D58,clientes!$C$3:$D$60,2,FALSE)</f>
        <v>ADISSEO</v>
      </c>
      <c r="F58" s="73" t="s">
        <v>16</v>
      </c>
      <c r="G58" s="73" t="str">
        <f>VLOOKUP(F58,'[2]Lista de Produtos CLASSIFICAÇÃO'!$E$103:$F$114,2,FALSE)</f>
        <v>Outros</v>
      </c>
      <c r="H58" s="74">
        <v>0</v>
      </c>
    </row>
    <row r="59" spans="1:8" x14ac:dyDescent="0.25">
      <c r="A59" s="75">
        <v>2021</v>
      </c>
      <c r="B59" s="76" t="s">
        <v>215</v>
      </c>
      <c r="C59" s="77" t="s">
        <v>225</v>
      </c>
      <c r="D59" s="77" t="s">
        <v>199</v>
      </c>
      <c r="E59" s="73" t="str">
        <f>VLOOKUP(D59,clientes!$C$3:$D$60,2,FALSE)</f>
        <v>ADISSEO</v>
      </c>
      <c r="F59" s="77" t="s">
        <v>16</v>
      </c>
      <c r="G59" s="73" t="str">
        <f>VLOOKUP(F59,'[2]Lista de Produtos CLASSIFICAÇÃO'!$E$103:$F$114,2,FALSE)</f>
        <v>Outros</v>
      </c>
      <c r="H59" s="78">
        <v>0</v>
      </c>
    </row>
    <row r="60" spans="1:8" x14ac:dyDescent="0.25">
      <c r="A60" s="71">
        <v>2021</v>
      </c>
      <c r="B60" s="72" t="s">
        <v>230</v>
      </c>
      <c r="C60" s="73" t="s">
        <v>225</v>
      </c>
      <c r="D60" s="73" t="s">
        <v>199</v>
      </c>
      <c r="E60" s="73" t="str">
        <f>VLOOKUP(D60,clientes!$C$3:$D$60,2,FALSE)</f>
        <v>ADISSEO</v>
      </c>
      <c r="F60" s="73" t="s">
        <v>16</v>
      </c>
      <c r="G60" s="73" t="str">
        <f>VLOOKUP(F60,'[2]Lista de Produtos CLASSIFICAÇÃO'!$E$103:$F$114,2,FALSE)</f>
        <v>Outros</v>
      </c>
      <c r="H60" s="74">
        <v>0</v>
      </c>
    </row>
    <row r="61" spans="1:8" x14ac:dyDescent="0.25">
      <c r="A61" s="75">
        <v>2021</v>
      </c>
      <c r="B61" s="76" t="s">
        <v>231</v>
      </c>
      <c r="C61" s="77" t="s">
        <v>225</v>
      </c>
      <c r="D61" s="77" t="s">
        <v>199</v>
      </c>
      <c r="E61" s="73" t="str">
        <f>VLOOKUP(D61,clientes!$C$3:$D$60,2,FALSE)</f>
        <v>ADISSEO</v>
      </c>
      <c r="F61" s="77" t="s">
        <v>16</v>
      </c>
      <c r="G61" s="73" t="str">
        <f>VLOOKUP(F61,'[2]Lista de Produtos CLASSIFICAÇÃO'!$E$103:$F$114,2,FALSE)</f>
        <v>Outros</v>
      </c>
      <c r="H61" s="78">
        <v>0</v>
      </c>
    </row>
    <row r="62" spans="1:8" x14ac:dyDescent="0.25">
      <c r="A62" s="71">
        <v>2021</v>
      </c>
      <c r="B62" s="72" t="s">
        <v>226</v>
      </c>
      <c r="C62" s="73" t="s">
        <v>232</v>
      </c>
      <c r="D62" s="73" t="s">
        <v>176</v>
      </c>
      <c r="E62" s="73" t="str">
        <f>VLOOKUP(D62,clientes!$C$3:$D$60,2,FALSE)</f>
        <v>AGROPALMA</v>
      </c>
      <c r="F62" s="73" t="s">
        <v>123</v>
      </c>
      <c r="G62" s="73" t="str">
        <f>VLOOKUP(F62,'[2]Lista de Produtos CLASSIFICAÇÃO'!$E$103:$F$114,2,FALSE)</f>
        <v>Aquecidos</v>
      </c>
      <c r="H62" s="74">
        <v>5000</v>
      </c>
    </row>
    <row r="63" spans="1:8" x14ac:dyDescent="0.25">
      <c r="A63" s="75">
        <v>2021</v>
      </c>
      <c r="B63" s="76" t="s">
        <v>227</v>
      </c>
      <c r="C63" s="77" t="s">
        <v>232</v>
      </c>
      <c r="D63" s="77" t="s">
        <v>176</v>
      </c>
      <c r="E63" s="73" t="str">
        <f>VLOOKUP(D63,clientes!$C$3:$D$60,2,FALSE)</f>
        <v>AGROPALMA</v>
      </c>
      <c r="F63" s="77" t="s">
        <v>123</v>
      </c>
      <c r="G63" s="73" t="str">
        <f>VLOOKUP(F63,'[2]Lista de Produtos CLASSIFICAÇÃO'!$E$103:$F$114,2,FALSE)</f>
        <v>Aquecidos</v>
      </c>
      <c r="H63" s="78">
        <v>5000</v>
      </c>
    </row>
    <row r="64" spans="1:8" x14ac:dyDescent="0.25">
      <c r="A64" s="71">
        <v>2021</v>
      </c>
      <c r="B64" s="72" t="s">
        <v>228</v>
      </c>
      <c r="C64" s="73" t="s">
        <v>232</v>
      </c>
      <c r="D64" s="73" t="s">
        <v>176</v>
      </c>
      <c r="E64" s="73" t="str">
        <f>VLOOKUP(D64,clientes!$C$3:$D$60,2,FALSE)</f>
        <v>AGROPALMA</v>
      </c>
      <c r="F64" s="73" t="s">
        <v>123</v>
      </c>
      <c r="G64" s="73" t="str">
        <f>VLOOKUP(F64,'[2]Lista de Produtos CLASSIFICAÇÃO'!$E$103:$F$114,2,FALSE)</f>
        <v>Aquecidos</v>
      </c>
      <c r="H64" s="74">
        <v>5000</v>
      </c>
    </row>
    <row r="65" spans="1:8" x14ac:dyDescent="0.25">
      <c r="A65" s="75">
        <v>2021</v>
      </c>
      <c r="B65" s="76" t="s">
        <v>229</v>
      </c>
      <c r="C65" s="77" t="s">
        <v>232</v>
      </c>
      <c r="D65" s="77" t="s">
        <v>176</v>
      </c>
      <c r="E65" s="73" t="str">
        <f>VLOOKUP(D65,clientes!$C$3:$D$60,2,FALSE)</f>
        <v>AGROPALMA</v>
      </c>
      <c r="F65" s="77" t="s">
        <v>123</v>
      </c>
      <c r="G65" s="73" t="str">
        <f>VLOOKUP(F65,'[2]Lista de Produtos CLASSIFICAÇÃO'!$E$103:$F$114,2,FALSE)</f>
        <v>Aquecidos</v>
      </c>
      <c r="H65" s="78">
        <v>5000</v>
      </c>
    </row>
    <row r="66" spans="1:8" x14ac:dyDescent="0.25">
      <c r="A66" s="71">
        <v>2021</v>
      </c>
      <c r="B66" s="72" t="s">
        <v>210</v>
      </c>
      <c r="C66" s="73" t="s">
        <v>232</v>
      </c>
      <c r="D66" s="73" t="s">
        <v>176</v>
      </c>
      <c r="E66" s="73" t="str">
        <f>VLOOKUP(D66,clientes!$C$3:$D$60,2,FALSE)</f>
        <v>AGROPALMA</v>
      </c>
      <c r="F66" s="73" t="s">
        <v>123</v>
      </c>
      <c r="G66" s="73" t="str">
        <f>VLOOKUP(F66,'[2]Lista de Produtos CLASSIFICAÇÃO'!$E$103:$F$114,2,FALSE)</f>
        <v>Aquecidos</v>
      </c>
      <c r="H66" s="74">
        <v>5000</v>
      </c>
    </row>
    <row r="67" spans="1:8" x14ac:dyDescent="0.25">
      <c r="A67" s="75">
        <v>2021</v>
      </c>
      <c r="B67" s="76" t="s">
        <v>211</v>
      </c>
      <c r="C67" s="77" t="s">
        <v>232</v>
      </c>
      <c r="D67" s="77" t="s">
        <v>176</v>
      </c>
      <c r="E67" s="73" t="str">
        <f>VLOOKUP(D67,clientes!$C$3:$D$60,2,FALSE)</f>
        <v>AGROPALMA</v>
      </c>
      <c r="F67" s="77" t="s">
        <v>123</v>
      </c>
      <c r="G67" s="73" t="str">
        <f>VLOOKUP(F67,'[2]Lista de Produtos CLASSIFICAÇÃO'!$E$103:$F$114,2,FALSE)</f>
        <v>Aquecidos</v>
      </c>
      <c r="H67" s="78">
        <v>5000</v>
      </c>
    </row>
    <row r="68" spans="1:8" x14ac:dyDescent="0.25">
      <c r="A68" s="71">
        <v>2021</v>
      </c>
      <c r="B68" s="72" t="s">
        <v>212</v>
      </c>
      <c r="C68" s="73" t="s">
        <v>232</v>
      </c>
      <c r="D68" s="73" t="s">
        <v>176</v>
      </c>
      <c r="E68" s="73" t="str">
        <f>VLOOKUP(D68,clientes!$C$3:$D$60,2,FALSE)</f>
        <v>AGROPALMA</v>
      </c>
      <c r="F68" s="73" t="s">
        <v>123</v>
      </c>
      <c r="G68" s="73" t="str">
        <f>VLOOKUP(F68,'[2]Lista de Produtos CLASSIFICAÇÃO'!$E$103:$F$114,2,FALSE)</f>
        <v>Aquecidos</v>
      </c>
      <c r="H68" s="74">
        <v>5000</v>
      </c>
    </row>
    <row r="69" spans="1:8" x14ac:dyDescent="0.25">
      <c r="A69" s="75">
        <v>2021</v>
      </c>
      <c r="B69" s="76" t="s">
        <v>213</v>
      </c>
      <c r="C69" s="77" t="s">
        <v>232</v>
      </c>
      <c r="D69" s="77" t="s">
        <v>176</v>
      </c>
      <c r="E69" s="73" t="str">
        <f>VLOOKUP(D69,clientes!$C$3:$D$60,2,FALSE)</f>
        <v>AGROPALMA</v>
      </c>
      <c r="F69" s="77" t="s">
        <v>123</v>
      </c>
      <c r="G69" s="73" t="str">
        <f>VLOOKUP(F69,'[2]Lista de Produtos CLASSIFICAÇÃO'!$E$103:$F$114,2,FALSE)</f>
        <v>Aquecidos</v>
      </c>
      <c r="H69" s="78">
        <v>5000</v>
      </c>
    </row>
    <row r="70" spans="1:8" x14ac:dyDescent="0.25">
      <c r="A70" s="71">
        <v>2021</v>
      </c>
      <c r="B70" s="72" t="s">
        <v>214</v>
      </c>
      <c r="C70" s="73" t="s">
        <v>232</v>
      </c>
      <c r="D70" s="73" t="s">
        <v>176</v>
      </c>
      <c r="E70" s="73" t="str">
        <f>VLOOKUP(D70,clientes!$C$3:$D$60,2,FALSE)</f>
        <v>AGROPALMA</v>
      </c>
      <c r="F70" s="73" t="s">
        <v>123</v>
      </c>
      <c r="G70" s="73" t="str">
        <f>VLOOKUP(F70,'[2]Lista de Produtos CLASSIFICAÇÃO'!$E$103:$F$114,2,FALSE)</f>
        <v>Aquecidos</v>
      </c>
      <c r="H70" s="74">
        <v>5000</v>
      </c>
    </row>
    <row r="71" spans="1:8" x14ac:dyDescent="0.25">
      <c r="A71" s="75">
        <v>2021</v>
      </c>
      <c r="B71" s="76" t="s">
        <v>215</v>
      </c>
      <c r="C71" s="77" t="s">
        <v>232</v>
      </c>
      <c r="D71" s="77" t="s">
        <v>176</v>
      </c>
      <c r="E71" s="73" t="str">
        <f>VLOOKUP(D71,clientes!$C$3:$D$60,2,FALSE)</f>
        <v>AGROPALMA</v>
      </c>
      <c r="F71" s="77" t="s">
        <v>123</v>
      </c>
      <c r="G71" s="73" t="str">
        <f>VLOOKUP(F71,'[2]Lista de Produtos CLASSIFICAÇÃO'!$E$103:$F$114,2,FALSE)</f>
        <v>Aquecidos</v>
      </c>
      <c r="H71" s="78">
        <v>5000</v>
      </c>
    </row>
    <row r="72" spans="1:8" x14ac:dyDescent="0.25">
      <c r="A72" s="71">
        <v>2021</v>
      </c>
      <c r="B72" s="72" t="s">
        <v>230</v>
      </c>
      <c r="C72" s="73" t="s">
        <v>232</v>
      </c>
      <c r="D72" s="73" t="s">
        <v>176</v>
      </c>
      <c r="E72" s="73" t="str">
        <f>VLOOKUP(D72,clientes!$C$3:$D$60,2,FALSE)</f>
        <v>AGROPALMA</v>
      </c>
      <c r="F72" s="73" t="s">
        <v>123</v>
      </c>
      <c r="G72" s="73" t="str">
        <f>VLOOKUP(F72,'[2]Lista de Produtos CLASSIFICAÇÃO'!$E$103:$F$114,2,FALSE)</f>
        <v>Aquecidos</v>
      </c>
      <c r="H72" s="74">
        <v>5000</v>
      </c>
    </row>
    <row r="73" spans="1:8" x14ac:dyDescent="0.25">
      <c r="A73" s="75">
        <v>2021</v>
      </c>
      <c r="B73" s="76" t="s">
        <v>231</v>
      </c>
      <c r="C73" s="77" t="s">
        <v>232</v>
      </c>
      <c r="D73" s="77" t="s">
        <v>176</v>
      </c>
      <c r="E73" s="73" t="str">
        <f>VLOOKUP(D73,clientes!$C$3:$D$60,2,FALSE)</f>
        <v>AGROPALMA</v>
      </c>
      <c r="F73" s="77" t="s">
        <v>123</v>
      </c>
      <c r="G73" s="73" t="str">
        <f>VLOOKUP(F73,'[2]Lista de Produtos CLASSIFICAÇÃO'!$E$103:$F$114,2,FALSE)</f>
        <v>Aquecidos</v>
      </c>
      <c r="H73" s="78">
        <v>5000</v>
      </c>
    </row>
    <row r="74" spans="1:8" x14ac:dyDescent="0.25">
      <c r="A74" s="71">
        <v>2021</v>
      </c>
      <c r="B74" s="72" t="s">
        <v>226</v>
      </c>
      <c r="C74" s="73" t="s">
        <v>233</v>
      </c>
      <c r="D74" s="73" t="s">
        <v>206</v>
      </c>
      <c r="E74" s="73" t="str">
        <f>VLOOKUP(D74,clientes!$C$3:$D$60,2,FALSE)</f>
        <v>BR</v>
      </c>
      <c r="F74" s="73" t="s">
        <v>120</v>
      </c>
      <c r="G74" s="73" t="str">
        <f>VLOOKUP(F74,'[2]Lista de Produtos CLASSIFICAÇÃO'!$E$103:$F$114,2,FALSE)</f>
        <v>Derivados</v>
      </c>
      <c r="H74" s="74">
        <v>58000</v>
      </c>
    </row>
    <row r="75" spans="1:8" x14ac:dyDescent="0.25">
      <c r="A75" s="75">
        <v>2021</v>
      </c>
      <c r="B75" s="76" t="s">
        <v>227</v>
      </c>
      <c r="C75" s="77" t="s">
        <v>233</v>
      </c>
      <c r="D75" s="77" t="s">
        <v>206</v>
      </c>
      <c r="E75" s="73" t="str">
        <f>VLOOKUP(D75,clientes!$C$3:$D$60,2,FALSE)</f>
        <v>BR</v>
      </c>
      <c r="F75" s="77" t="s">
        <v>120</v>
      </c>
      <c r="G75" s="73" t="str">
        <f>VLOOKUP(F75,'[2]Lista de Produtos CLASSIFICAÇÃO'!$E$103:$F$114,2,FALSE)</f>
        <v>Derivados</v>
      </c>
      <c r="H75" s="78">
        <v>50000</v>
      </c>
    </row>
    <row r="76" spans="1:8" x14ac:dyDescent="0.25">
      <c r="A76" s="71">
        <v>2021</v>
      </c>
      <c r="B76" s="72" t="s">
        <v>228</v>
      </c>
      <c r="C76" s="73" t="s">
        <v>233</v>
      </c>
      <c r="D76" s="73" t="s">
        <v>206</v>
      </c>
      <c r="E76" s="73" t="str">
        <f>VLOOKUP(D76,clientes!$C$3:$D$60,2,FALSE)</f>
        <v>BR</v>
      </c>
      <c r="F76" s="73" t="s">
        <v>120</v>
      </c>
      <c r="G76" s="73" t="str">
        <f>VLOOKUP(F76,'[2]Lista de Produtos CLASSIFICAÇÃO'!$E$103:$F$114,2,FALSE)</f>
        <v>Derivados</v>
      </c>
      <c r="H76" s="74">
        <v>50000</v>
      </c>
    </row>
    <row r="77" spans="1:8" x14ac:dyDescent="0.25">
      <c r="A77" s="75">
        <v>2021</v>
      </c>
      <c r="B77" s="76" t="s">
        <v>229</v>
      </c>
      <c r="C77" s="77" t="s">
        <v>233</v>
      </c>
      <c r="D77" s="77" t="s">
        <v>206</v>
      </c>
      <c r="E77" s="73" t="str">
        <f>VLOOKUP(D77,clientes!$C$3:$D$60,2,FALSE)</f>
        <v>BR</v>
      </c>
      <c r="F77" s="77" t="s">
        <v>120</v>
      </c>
      <c r="G77" s="73" t="str">
        <f>VLOOKUP(F77,'[2]Lista de Produtos CLASSIFICAÇÃO'!$E$103:$F$114,2,FALSE)</f>
        <v>Derivados</v>
      </c>
      <c r="H77" s="78">
        <v>50000</v>
      </c>
    </row>
    <row r="78" spans="1:8" x14ac:dyDescent="0.25">
      <c r="A78" s="71">
        <v>2021</v>
      </c>
      <c r="B78" s="72" t="s">
        <v>210</v>
      </c>
      <c r="C78" s="73" t="s">
        <v>233</v>
      </c>
      <c r="D78" s="73" t="s">
        <v>206</v>
      </c>
      <c r="E78" s="73" t="str">
        <f>VLOOKUP(D78,clientes!$C$3:$D$60,2,FALSE)</f>
        <v>BR</v>
      </c>
      <c r="F78" s="73" t="s">
        <v>120</v>
      </c>
      <c r="G78" s="73" t="str">
        <f>VLOOKUP(F78,'[2]Lista de Produtos CLASSIFICAÇÃO'!$E$103:$F$114,2,FALSE)</f>
        <v>Derivados</v>
      </c>
      <c r="H78" s="74">
        <v>50000</v>
      </c>
    </row>
    <row r="79" spans="1:8" x14ac:dyDescent="0.25">
      <c r="A79" s="75">
        <v>2021</v>
      </c>
      <c r="B79" s="76" t="s">
        <v>211</v>
      </c>
      <c r="C79" s="77" t="s">
        <v>233</v>
      </c>
      <c r="D79" s="77" t="s">
        <v>206</v>
      </c>
      <c r="E79" s="73" t="str">
        <f>VLOOKUP(D79,clientes!$C$3:$D$60,2,FALSE)</f>
        <v>BR</v>
      </c>
      <c r="F79" s="77" t="s">
        <v>120</v>
      </c>
      <c r="G79" s="73" t="str">
        <f>VLOOKUP(F79,'[2]Lista de Produtos CLASSIFICAÇÃO'!$E$103:$F$114,2,FALSE)</f>
        <v>Derivados</v>
      </c>
      <c r="H79" s="78">
        <v>50000</v>
      </c>
    </row>
    <row r="80" spans="1:8" x14ac:dyDescent="0.25">
      <c r="A80" s="71">
        <v>2021</v>
      </c>
      <c r="B80" s="72" t="s">
        <v>212</v>
      </c>
      <c r="C80" s="73" t="s">
        <v>233</v>
      </c>
      <c r="D80" s="73" t="s">
        <v>206</v>
      </c>
      <c r="E80" s="73" t="str">
        <f>VLOOKUP(D80,clientes!$C$3:$D$60,2,FALSE)</f>
        <v>BR</v>
      </c>
      <c r="F80" s="73" t="s">
        <v>120</v>
      </c>
      <c r="G80" s="73" t="str">
        <f>VLOOKUP(F80,'[2]Lista de Produtos CLASSIFICAÇÃO'!$E$103:$F$114,2,FALSE)</f>
        <v>Derivados</v>
      </c>
      <c r="H80" s="74">
        <v>50000</v>
      </c>
    </row>
    <row r="81" spans="1:8" x14ac:dyDescent="0.25">
      <c r="A81" s="75">
        <v>2021</v>
      </c>
      <c r="B81" s="76" t="s">
        <v>213</v>
      </c>
      <c r="C81" s="77" t="s">
        <v>233</v>
      </c>
      <c r="D81" s="77" t="s">
        <v>206</v>
      </c>
      <c r="E81" s="73" t="str">
        <f>VLOOKUP(D81,clientes!$C$3:$D$60,2,FALSE)</f>
        <v>BR</v>
      </c>
      <c r="F81" s="77" t="s">
        <v>120</v>
      </c>
      <c r="G81" s="73" t="str">
        <f>VLOOKUP(F81,'[2]Lista de Produtos CLASSIFICAÇÃO'!$E$103:$F$114,2,FALSE)</f>
        <v>Derivados</v>
      </c>
      <c r="H81" s="78">
        <v>50000</v>
      </c>
    </row>
    <row r="82" spans="1:8" x14ac:dyDescent="0.25">
      <c r="A82" s="71">
        <v>2021</v>
      </c>
      <c r="B82" s="72" t="s">
        <v>214</v>
      </c>
      <c r="C82" s="73" t="s">
        <v>233</v>
      </c>
      <c r="D82" s="73" t="s">
        <v>206</v>
      </c>
      <c r="E82" s="73" t="str">
        <f>VLOOKUP(D82,clientes!$C$3:$D$60,2,FALSE)</f>
        <v>BR</v>
      </c>
      <c r="F82" s="73" t="s">
        <v>120</v>
      </c>
      <c r="G82" s="73" t="str">
        <f>VLOOKUP(F82,'[2]Lista de Produtos CLASSIFICAÇÃO'!$E$103:$F$114,2,FALSE)</f>
        <v>Derivados</v>
      </c>
      <c r="H82" s="74">
        <v>50000</v>
      </c>
    </row>
    <row r="83" spans="1:8" x14ac:dyDescent="0.25">
      <c r="A83" s="75">
        <v>2021</v>
      </c>
      <c r="B83" s="76" t="s">
        <v>215</v>
      </c>
      <c r="C83" s="77" t="s">
        <v>233</v>
      </c>
      <c r="D83" s="77" t="s">
        <v>206</v>
      </c>
      <c r="E83" s="73" t="str">
        <f>VLOOKUP(D83,clientes!$C$3:$D$60,2,FALSE)</f>
        <v>BR</v>
      </c>
      <c r="F83" s="77" t="s">
        <v>120</v>
      </c>
      <c r="G83" s="73" t="str">
        <f>VLOOKUP(F83,'[2]Lista de Produtos CLASSIFICAÇÃO'!$E$103:$F$114,2,FALSE)</f>
        <v>Derivados</v>
      </c>
      <c r="H83" s="78">
        <v>50000</v>
      </c>
    </row>
    <row r="84" spans="1:8" x14ac:dyDescent="0.25">
      <c r="A84" s="71">
        <v>2021</v>
      </c>
      <c r="B84" s="72" t="s">
        <v>230</v>
      </c>
      <c r="C84" s="73" t="s">
        <v>233</v>
      </c>
      <c r="D84" s="73" t="s">
        <v>206</v>
      </c>
      <c r="E84" s="73" t="str">
        <f>VLOOKUP(D84,clientes!$C$3:$D$60,2,FALSE)</f>
        <v>BR</v>
      </c>
      <c r="F84" s="73" t="s">
        <v>120</v>
      </c>
      <c r="G84" s="73" t="str">
        <f>VLOOKUP(F84,'[2]Lista de Produtos CLASSIFICAÇÃO'!$E$103:$F$114,2,FALSE)</f>
        <v>Derivados</v>
      </c>
      <c r="H84" s="74">
        <v>50000</v>
      </c>
    </row>
    <row r="85" spans="1:8" x14ac:dyDescent="0.25">
      <c r="A85" s="75">
        <v>2021</v>
      </c>
      <c r="B85" s="76" t="s">
        <v>231</v>
      </c>
      <c r="C85" s="77" t="s">
        <v>233</v>
      </c>
      <c r="D85" s="77" t="s">
        <v>206</v>
      </c>
      <c r="E85" s="73" t="str">
        <f>VLOOKUP(D85,clientes!$C$3:$D$60,2,FALSE)</f>
        <v>BR</v>
      </c>
      <c r="F85" s="77" t="s">
        <v>120</v>
      </c>
      <c r="G85" s="73" t="str">
        <f>VLOOKUP(F85,'[2]Lista de Produtos CLASSIFICAÇÃO'!$E$103:$F$114,2,FALSE)</f>
        <v>Derivados</v>
      </c>
      <c r="H85" s="78">
        <v>50000</v>
      </c>
    </row>
    <row r="86" spans="1:8" x14ac:dyDescent="0.25">
      <c r="A86" s="71">
        <v>2021</v>
      </c>
      <c r="B86" s="72" t="s">
        <v>226</v>
      </c>
      <c r="C86" s="73" t="s">
        <v>232</v>
      </c>
      <c r="D86" s="73" t="s">
        <v>165</v>
      </c>
      <c r="E86" s="73" t="str">
        <f>VLOOKUP(D86,clientes!$C$3:$D$60,2,FALSE)</f>
        <v>BRF</v>
      </c>
      <c r="F86" s="73" t="s">
        <v>123</v>
      </c>
      <c r="G86" s="73" t="str">
        <f>VLOOKUP(F86,'[2]Lista de Produtos CLASSIFICAÇÃO'!$E$103:$F$114,2,FALSE)</f>
        <v>Aquecidos</v>
      </c>
      <c r="H86" s="74">
        <v>12000</v>
      </c>
    </row>
    <row r="87" spans="1:8" x14ac:dyDescent="0.25">
      <c r="A87" s="75">
        <v>2021</v>
      </c>
      <c r="B87" s="76" t="s">
        <v>227</v>
      </c>
      <c r="C87" s="77" t="s">
        <v>232</v>
      </c>
      <c r="D87" s="77" t="s">
        <v>165</v>
      </c>
      <c r="E87" s="73" t="str">
        <f>VLOOKUP(D87,clientes!$C$3:$D$60,2,FALSE)</f>
        <v>BRF</v>
      </c>
      <c r="F87" s="77" t="s">
        <v>123</v>
      </c>
      <c r="G87" s="73" t="str">
        <f>VLOOKUP(F87,'[2]Lista de Produtos CLASSIFICAÇÃO'!$E$103:$F$114,2,FALSE)</f>
        <v>Aquecidos</v>
      </c>
      <c r="H87" s="78">
        <v>12000</v>
      </c>
    </row>
    <row r="88" spans="1:8" x14ac:dyDescent="0.25">
      <c r="A88" s="71">
        <v>2021</v>
      </c>
      <c r="B88" s="72" t="s">
        <v>228</v>
      </c>
      <c r="C88" s="73" t="s">
        <v>232</v>
      </c>
      <c r="D88" s="73" t="s">
        <v>165</v>
      </c>
      <c r="E88" s="73" t="str">
        <f>VLOOKUP(D88,clientes!$C$3:$D$60,2,FALSE)</f>
        <v>BRF</v>
      </c>
      <c r="F88" s="73" t="s">
        <v>123</v>
      </c>
      <c r="G88" s="73" t="str">
        <f>VLOOKUP(F88,'[2]Lista de Produtos CLASSIFICAÇÃO'!$E$103:$F$114,2,FALSE)</f>
        <v>Aquecidos</v>
      </c>
      <c r="H88" s="74">
        <v>12000</v>
      </c>
    </row>
    <row r="89" spans="1:8" x14ac:dyDescent="0.25">
      <c r="A89" s="75">
        <v>2021</v>
      </c>
      <c r="B89" s="76" t="s">
        <v>229</v>
      </c>
      <c r="C89" s="77" t="s">
        <v>232</v>
      </c>
      <c r="D89" s="77" t="s">
        <v>165</v>
      </c>
      <c r="E89" s="73" t="str">
        <f>VLOOKUP(D89,clientes!$C$3:$D$60,2,FALSE)</f>
        <v>BRF</v>
      </c>
      <c r="F89" s="77" t="s">
        <v>123</v>
      </c>
      <c r="G89" s="73" t="str">
        <f>VLOOKUP(F89,'[2]Lista de Produtos CLASSIFICAÇÃO'!$E$103:$F$114,2,FALSE)</f>
        <v>Aquecidos</v>
      </c>
      <c r="H89" s="78">
        <v>12000</v>
      </c>
    </row>
    <row r="90" spans="1:8" x14ac:dyDescent="0.25">
      <c r="A90" s="71">
        <v>2021</v>
      </c>
      <c r="B90" s="72" t="s">
        <v>210</v>
      </c>
      <c r="C90" s="73" t="s">
        <v>232</v>
      </c>
      <c r="D90" s="73" t="s">
        <v>165</v>
      </c>
      <c r="E90" s="73" t="str">
        <f>VLOOKUP(D90,clientes!$C$3:$D$60,2,FALSE)</f>
        <v>BRF</v>
      </c>
      <c r="F90" s="73" t="s">
        <v>123</v>
      </c>
      <c r="G90" s="73" t="str">
        <f>VLOOKUP(F90,'[2]Lista de Produtos CLASSIFICAÇÃO'!$E$103:$F$114,2,FALSE)</f>
        <v>Aquecidos</v>
      </c>
      <c r="H90" s="74">
        <v>12000</v>
      </c>
    </row>
    <row r="91" spans="1:8" x14ac:dyDescent="0.25">
      <c r="A91" s="75">
        <v>2021</v>
      </c>
      <c r="B91" s="76" t="s">
        <v>211</v>
      </c>
      <c r="C91" s="77" t="s">
        <v>232</v>
      </c>
      <c r="D91" s="77" t="s">
        <v>165</v>
      </c>
      <c r="E91" s="73" t="str">
        <f>VLOOKUP(D91,clientes!$C$3:$D$60,2,FALSE)</f>
        <v>BRF</v>
      </c>
      <c r="F91" s="77" t="s">
        <v>123</v>
      </c>
      <c r="G91" s="73" t="str">
        <f>VLOOKUP(F91,'[2]Lista de Produtos CLASSIFICAÇÃO'!$E$103:$F$114,2,FALSE)</f>
        <v>Aquecidos</v>
      </c>
      <c r="H91" s="78">
        <v>12000</v>
      </c>
    </row>
    <row r="92" spans="1:8" x14ac:dyDescent="0.25">
      <c r="A92" s="71">
        <v>2021</v>
      </c>
      <c r="B92" s="72" t="s">
        <v>212</v>
      </c>
      <c r="C92" s="73" t="s">
        <v>232</v>
      </c>
      <c r="D92" s="73" t="s">
        <v>165</v>
      </c>
      <c r="E92" s="73" t="str">
        <f>VLOOKUP(D92,clientes!$C$3:$D$60,2,FALSE)</f>
        <v>BRF</v>
      </c>
      <c r="F92" s="73" t="s">
        <v>123</v>
      </c>
      <c r="G92" s="73" t="str">
        <f>VLOOKUP(F92,'[2]Lista de Produtos CLASSIFICAÇÃO'!$E$103:$F$114,2,FALSE)</f>
        <v>Aquecidos</v>
      </c>
      <c r="H92" s="74">
        <v>12000</v>
      </c>
    </row>
    <row r="93" spans="1:8" x14ac:dyDescent="0.25">
      <c r="A93" s="75">
        <v>2021</v>
      </c>
      <c r="B93" s="76" t="s">
        <v>213</v>
      </c>
      <c r="C93" s="77" t="s">
        <v>232</v>
      </c>
      <c r="D93" s="77" t="s">
        <v>165</v>
      </c>
      <c r="E93" s="73" t="str">
        <f>VLOOKUP(D93,clientes!$C$3:$D$60,2,FALSE)</f>
        <v>BRF</v>
      </c>
      <c r="F93" s="77" t="s">
        <v>123</v>
      </c>
      <c r="G93" s="73" t="str">
        <f>VLOOKUP(F93,'[2]Lista de Produtos CLASSIFICAÇÃO'!$E$103:$F$114,2,FALSE)</f>
        <v>Aquecidos</v>
      </c>
      <c r="H93" s="78">
        <v>12000</v>
      </c>
    </row>
    <row r="94" spans="1:8" x14ac:dyDescent="0.25">
      <c r="A94" s="71">
        <v>2021</v>
      </c>
      <c r="B94" s="72" t="s">
        <v>214</v>
      </c>
      <c r="C94" s="73" t="s">
        <v>232</v>
      </c>
      <c r="D94" s="73" t="s">
        <v>165</v>
      </c>
      <c r="E94" s="73" t="str">
        <f>VLOOKUP(D94,clientes!$C$3:$D$60,2,FALSE)</f>
        <v>BRF</v>
      </c>
      <c r="F94" s="73" t="s">
        <v>123</v>
      </c>
      <c r="G94" s="73" t="str">
        <f>VLOOKUP(F94,'[2]Lista de Produtos CLASSIFICAÇÃO'!$E$103:$F$114,2,FALSE)</f>
        <v>Aquecidos</v>
      </c>
      <c r="H94" s="74">
        <v>12000</v>
      </c>
    </row>
    <row r="95" spans="1:8" x14ac:dyDescent="0.25">
      <c r="A95" s="75">
        <v>2021</v>
      </c>
      <c r="B95" s="76" t="s">
        <v>215</v>
      </c>
      <c r="C95" s="77" t="s">
        <v>232</v>
      </c>
      <c r="D95" s="77" t="s">
        <v>165</v>
      </c>
      <c r="E95" s="73" t="str">
        <f>VLOOKUP(D95,clientes!$C$3:$D$60,2,FALSE)</f>
        <v>BRF</v>
      </c>
      <c r="F95" s="77" t="s">
        <v>123</v>
      </c>
      <c r="G95" s="73" t="str">
        <f>VLOOKUP(F95,'[2]Lista de Produtos CLASSIFICAÇÃO'!$E$103:$F$114,2,FALSE)</f>
        <v>Aquecidos</v>
      </c>
      <c r="H95" s="78">
        <v>12000</v>
      </c>
    </row>
    <row r="96" spans="1:8" x14ac:dyDescent="0.25">
      <c r="A96" s="71">
        <v>2021</v>
      </c>
      <c r="B96" s="72" t="s">
        <v>230</v>
      </c>
      <c r="C96" s="73" t="s">
        <v>232</v>
      </c>
      <c r="D96" s="73" t="s">
        <v>165</v>
      </c>
      <c r="E96" s="73" t="str">
        <f>VLOOKUP(D96,clientes!$C$3:$D$60,2,FALSE)</f>
        <v>BRF</v>
      </c>
      <c r="F96" s="73" t="s">
        <v>123</v>
      </c>
      <c r="G96" s="73" t="str">
        <f>VLOOKUP(F96,'[2]Lista de Produtos CLASSIFICAÇÃO'!$E$103:$F$114,2,FALSE)</f>
        <v>Aquecidos</v>
      </c>
      <c r="H96" s="74">
        <v>12000</v>
      </c>
    </row>
    <row r="97" spans="1:8" x14ac:dyDescent="0.25">
      <c r="A97" s="75">
        <v>2021</v>
      </c>
      <c r="B97" s="76" t="s">
        <v>231</v>
      </c>
      <c r="C97" s="77" t="s">
        <v>232</v>
      </c>
      <c r="D97" s="77" t="s">
        <v>165</v>
      </c>
      <c r="E97" s="73" t="str">
        <f>VLOOKUP(D97,clientes!$C$3:$D$60,2,FALSE)</f>
        <v>BRF</v>
      </c>
      <c r="F97" s="77" t="s">
        <v>123</v>
      </c>
      <c r="G97" s="73" t="str">
        <f>VLOOKUP(F97,'[2]Lista de Produtos CLASSIFICAÇÃO'!$E$103:$F$114,2,FALSE)</f>
        <v>Aquecidos</v>
      </c>
      <c r="H97" s="78">
        <v>12000</v>
      </c>
    </row>
    <row r="98" spans="1:8" x14ac:dyDescent="0.25">
      <c r="A98" s="71">
        <v>2021</v>
      </c>
      <c r="B98" s="72" t="s">
        <v>226</v>
      </c>
      <c r="C98" s="73" t="s">
        <v>232</v>
      </c>
      <c r="D98" s="73" t="s">
        <v>166</v>
      </c>
      <c r="E98" s="73" t="str">
        <f>VLOOKUP(D98,clientes!$C$3:$D$60,2,FALSE)</f>
        <v>CARGILL</v>
      </c>
      <c r="F98" s="73" t="s">
        <v>123</v>
      </c>
      <c r="G98" s="73" t="str">
        <f>VLOOKUP(F98,'[2]Lista de Produtos CLASSIFICAÇÃO'!$E$103:$F$114,2,FALSE)</f>
        <v>Aquecidos</v>
      </c>
      <c r="H98" s="74">
        <v>8333</v>
      </c>
    </row>
    <row r="99" spans="1:8" x14ac:dyDescent="0.25">
      <c r="A99" s="75">
        <v>2021</v>
      </c>
      <c r="B99" s="76" t="s">
        <v>227</v>
      </c>
      <c r="C99" s="77" t="s">
        <v>232</v>
      </c>
      <c r="D99" s="77" t="s">
        <v>166</v>
      </c>
      <c r="E99" s="73" t="str">
        <f>VLOOKUP(D99,clientes!$C$3:$D$60,2,FALSE)</f>
        <v>CARGILL</v>
      </c>
      <c r="F99" s="77" t="s">
        <v>123</v>
      </c>
      <c r="G99" s="73" t="str">
        <f>VLOOKUP(F99,'[2]Lista de Produtos CLASSIFICAÇÃO'!$E$103:$F$114,2,FALSE)</f>
        <v>Aquecidos</v>
      </c>
      <c r="H99" s="78">
        <v>8333</v>
      </c>
    </row>
    <row r="100" spans="1:8" x14ac:dyDescent="0.25">
      <c r="A100" s="71">
        <v>2021</v>
      </c>
      <c r="B100" s="72" t="s">
        <v>228</v>
      </c>
      <c r="C100" s="73" t="s">
        <v>232</v>
      </c>
      <c r="D100" s="73" t="s">
        <v>166</v>
      </c>
      <c r="E100" s="73" t="str">
        <f>VLOOKUP(D100,clientes!$C$3:$D$60,2,FALSE)</f>
        <v>CARGILL</v>
      </c>
      <c r="F100" s="73" t="s">
        <v>123</v>
      </c>
      <c r="G100" s="73" t="str">
        <f>VLOOKUP(F100,'[2]Lista de Produtos CLASSIFICAÇÃO'!$E$103:$F$114,2,FALSE)</f>
        <v>Aquecidos</v>
      </c>
      <c r="H100" s="74">
        <v>8333</v>
      </c>
    </row>
    <row r="101" spans="1:8" x14ac:dyDescent="0.25">
      <c r="A101" s="75">
        <v>2021</v>
      </c>
      <c r="B101" s="76" t="s">
        <v>229</v>
      </c>
      <c r="C101" s="77" t="s">
        <v>232</v>
      </c>
      <c r="D101" s="77" t="s">
        <v>166</v>
      </c>
      <c r="E101" s="73" t="str">
        <f>VLOOKUP(D101,clientes!$C$3:$D$60,2,FALSE)</f>
        <v>CARGILL</v>
      </c>
      <c r="F101" s="77" t="s">
        <v>123</v>
      </c>
      <c r="G101" s="73" t="str">
        <f>VLOOKUP(F101,'[2]Lista de Produtos CLASSIFICAÇÃO'!$E$103:$F$114,2,FALSE)</f>
        <v>Aquecidos</v>
      </c>
      <c r="H101" s="78">
        <v>8333</v>
      </c>
    </row>
    <row r="102" spans="1:8" x14ac:dyDescent="0.25">
      <c r="A102" s="71">
        <v>2021</v>
      </c>
      <c r="B102" s="72" t="s">
        <v>210</v>
      </c>
      <c r="C102" s="73" t="s">
        <v>232</v>
      </c>
      <c r="D102" s="73" t="s">
        <v>166</v>
      </c>
      <c r="E102" s="73" t="str">
        <f>VLOOKUP(D102,clientes!$C$3:$D$60,2,FALSE)</f>
        <v>CARGILL</v>
      </c>
      <c r="F102" s="73" t="s">
        <v>123</v>
      </c>
      <c r="G102" s="73" t="str">
        <f>VLOOKUP(F102,'[2]Lista de Produtos CLASSIFICAÇÃO'!$E$103:$F$114,2,FALSE)</f>
        <v>Aquecidos</v>
      </c>
      <c r="H102" s="74">
        <v>8333</v>
      </c>
    </row>
    <row r="103" spans="1:8" x14ac:dyDescent="0.25">
      <c r="A103" s="75">
        <v>2021</v>
      </c>
      <c r="B103" s="76" t="s">
        <v>211</v>
      </c>
      <c r="C103" s="77" t="s">
        <v>232</v>
      </c>
      <c r="D103" s="77" t="s">
        <v>166</v>
      </c>
      <c r="E103" s="73" t="str">
        <f>VLOOKUP(D103,clientes!$C$3:$D$60,2,FALSE)</f>
        <v>CARGILL</v>
      </c>
      <c r="F103" s="77" t="s">
        <v>123</v>
      </c>
      <c r="G103" s="73" t="str">
        <f>VLOOKUP(F103,'[2]Lista de Produtos CLASSIFICAÇÃO'!$E$103:$F$114,2,FALSE)</f>
        <v>Aquecidos</v>
      </c>
      <c r="H103" s="78">
        <v>8333</v>
      </c>
    </row>
    <row r="104" spans="1:8" x14ac:dyDescent="0.25">
      <c r="A104" s="71">
        <v>2021</v>
      </c>
      <c r="B104" s="72" t="s">
        <v>212</v>
      </c>
      <c r="C104" s="73" t="s">
        <v>232</v>
      </c>
      <c r="D104" s="73" t="s">
        <v>166</v>
      </c>
      <c r="E104" s="73" t="str">
        <f>VLOOKUP(D104,clientes!$C$3:$D$60,2,FALSE)</f>
        <v>CARGILL</v>
      </c>
      <c r="F104" s="73" t="s">
        <v>123</v>
      </c>
      <c r="G104" s="73" t="str">
        <f>VLOOKUP(F104,'[2]Lista de Produtos CLASSIFICAÇÃO'!$E$103:$F$114,2,FALSE)</f>
        <v>Aquecidos</v>
      </c>
      <c r="H104" s="74">
        <v>8333</v>
      </c>
    </row>
    <row r="105" spans="1:8" x14ac:dyDescent="0.25">
      <c r="A105" s="75">
        <v>2021</v>
      </c>
      <c r="B105" s="76" t="s">
        <v>213</v>
      </c>
      <c r="C105" s="77" t="s">
        <v>232</v>
      </c>
      <c r="D105" s="77" t="s">
        <v>166</v>
      </c>
      <c r="E105" s="73" t="str">
        <f>VLOOKUP(D105,clientes!$C$3:$D$60,2,FALSE)</f>
        <v>CARGILL</v>
      </c>
      <c r="F105" s="77" t="s">
        <v>123</v>
      </c>
      <c r="G105" s="73" t="str">
        <f>VLOOKUP(F105,'[2]Lista de Produtos CLASSIFICAÇÃO'!$E$103:$F$114,2,FALSE)</f>
        <v>Aquecidos</v>
      </c>
      <c r="H105" s="78">
        <v>8333</v>
      </c>
    </row>
    <row r="106" spans="1:8" x14ac:dyDescent="0.25">
      <c r="A106" s="71">
        <v>2021</v>
      </c>
      <c r="B106" s="72" t="s">
        <v>214</v>
      </c>
      <c r="C106" s="73" t="s">
        <v>232</v>
      </c>
      <c r="D106" s="73" t="s">
        <v>166</v>
      </c>
      <c r="E106" s="73" t="str">
        <f>VLOOKUP(D106,clientes!$C$3:$D$60,2,FALSE)</f>
        <v>CARGILL</v>
      </c>
      <c r="F106" s="73" t="s">
        <v>123</v>
      </c>
      <c r="G106" s="73" t="str">
        <f>VLOOKUP(F106,'[2]Lista de Produtos CLASSIFICAÇÃO'!$E$103:$F$114,2,FALSE)</f>
        <v>Aquecidos</v>
      </c>
      <c r="H106" s="74">
        <v>8333</v>
      </c>
    </row>
    <row r="107" spans="1:8" x14ac:dyDescent="0.25">
      <c r="A107" s="75">
        <v>2021</v>
      </c>
      <c r="B107" s="76" t="s">
        <v>215</v>
      </c>
      <c r="C107" s="77" t="s">
        <v>232</v>
      </c>
      <c r="D107" s="77" t="s">
        <v>166</v>
      </c>
      <c r="E107" s="73" t="str">
        <f>VLOOKUP(D107,clientes!$C$3:$D$60,2,FALSE)</f>
        <v>CARGILL</v>
      </c>
      <c r="F107" s="77" t="s">
        <v>123</v>
      </c>
      <c r="G107" s="73" t="str">
        <f>VLOOKUP(F107,'[2]Lista de Produtos CLASSIFICAÇÃO'!$E$103:$F$114,2,FALSE)</f>
        <v>Aquecidos</v>
      </c>
      <c r="H107" s="78">
        <v>8333</v>
      </c>
    </row>
    <row r="108" spans="1:8" x14ac:dyDescent="0.25">
      <c r="A108" s="71">
        <v>2021</v>
      </c>
      <c r="B108" s="72" t="s">
        <v>230</v>
      </c>
      <c r="C108" s="73" t="s">
        <v>232</v>
      </c>
      <c r="D108" s="73" t="s">
        <v>166</v>
      </c>
      <c r="E108" s="73" t="str">
        <f>VLOOKUP(D108,clientes!$C$3:$D$60,2,FALSE)</f>
        <v>CARGILL</v>
      </c>
      <c r="F108" s="73" t="s">
        <v>123</v>
      </c>
      <c r="G108" s="73" t="str">
        <f>VLOOKUP(F108,'[2]Lista de Produtos CLASSIFICAÇÃO'!$E$103:$F$114,2,FALSE)</f>
        <v>Aquecidos</v>
      </c>
      <c r="H108" s="74">
        <v>8333</v>
      </c>
    </row>
    <row r="109" spans="1:8" x14ac:dyDescent="0.25">
      <c r="A109" s="75">
        <v>2021</v>
      </c>
      <c r="B109" s="76" t="s">
        <v>231</v>
      </c>
      <c r="C109" s="77" t="s">
        <v>232</v>
      </c>
      <c r="D109" s="77" t="s">
        <v>166</v>
      </c>
      <c r="E109" s="73" t="str">
        <f>VLOOKUP(D109,clientes!$C$3:$D$60,2,FALSE)</f>
        <v>CARGILL</v>
      </c>
      <c r="F109" s="77" t="s">
        <v>123</v>
      </c>
      <c r="G109" s="73" t="str">
        <f>VLOOKUP(F109,'[2]Lista de Produtos CLASSIFICAÇÃO'!$E$103:$F$114,2,FALSE)</f>
        <v>Aquecidos</v>
      </c>
      <c r="H109" s="78">
        <v>8333</v>
      </c>
    </row>
    <row r="110" spans="1:8" x14ac:dyDescent="0.25">
      <c r="A110" s="71">
        <v>2021</v>
      </c>
      <c r="B110" s="72" t="s">
        <v>226</v>
      </c>
      <c r="C110" s="73" t="s">
        <v>232</v>
      </c>
      <c r="D110" s="73" t="s">
        <v>166</v>
      </c>
      <c r="E110" s="73" t="str">
        <f>VLOOKUP(D110,clientes!$C$3:$D$60,2,FALSE)</f>
        <v>CARGILL</v>
      </c>
      <c r="F110" s="73" t="s">
        <v>122</v>
      </c>
      <c r="G110" s="73" t="str">
        <f>VLOOKUP(F110,'[2]Lista de Produtos CLASSIFICAÇÃO'!$E$103:$F$114,2,FALSE)</f>
        <v>Óleo Vegetal</v>
      </c>
      <c r="H110" s="74">
        <v>5520</v>
      </c>
    </row>
    <row r="111" spans="1:8" x14ac:dyDescent="0.25">
      <c r="A111" s="75">
        <v>2021</v>
      </c>
      <c r="B111" s="76" t="s">
        <v>227</v>
      </c>
      <c r="C111" s="77" t="s">
        <v>232</v>
      </c>
      <c r="D111" s="77" t="s">
        <v>166</v>
      </c>
      <c r="E111" s="73" t="str">
        <f>VLOOKUP(D111,clientes!$C$3:$D$60,2,FALSE)</f>
        <v>CARGILL</v>
      </c>
      <c r="F111" s="77" t="s">
        <v>122</v>
      </c>
      <c r="G111" s="73" t="str">
        <f>VLOOKUP(F111,'[2]Lista de Produtos CLASSIFICAÇÃO'!$E$103:$F$114,2,FALSE)</f>
        <v>Óleo Vegetal</v>
      </c>
      <c r="H111" s="78">
        <v>5520</v>
      </c>
    </row>
    <row r="112" spans="1:8" x14ac:dyDescent="0.25">
      <c r="A112" s="71">
        <v>2021</v>
      </c>
      <c r="B112" s="72" t="s">
        <v>228</v>
      </c>
      <c r="C112" s="73" t="s">
        <v>232</v>
      </c>
      <c r="D112" s="73" t="s">
        <v>166</v>
      </c>
      <c r="E112" s="73" t="str">
        <f>VLOOKUP(D112,clientes!$C$3:$D$60,2,FALSE)</f>
        <v>CARGILL</v>
      </c>
      <c r="F112" s="73" t="s">
        <v>122</v>
      </c>
      <c r="G112" s="73" t="str">
        <f>VLOOKUP(F112,'[2]Lista de Produtos CLASSIFICAÇÃO'!$E$103:$F$114,2,FALSE)</f>
        <v>Óleo Vegetal</v>
      </c>
      <c r="H112" s="74">
        <v>5520</v>
      </c>
    </row>
    <row r="113" spans="1:8" x14ac:dyDescent="0.25">
      <c r="A113" s="75">
        <v>2021</v>
      </c>
      <c r="B113" s="76" t="s">
        <v>229</v>
      </c>
      <c r="C113" s="77" t="s">
        <v>232</v>
      </c>
      <c r="D113" s="77" t="s">
        <v>166</v>
      </c>
      <c r="E113" s="73" t="str">
        <f>VLOOKUP(D113,clientes!$C$3:$D$60,2,FALSE)</f>
        <v>CARGILL</v>
      </c>
      <c r="F113" s="77" t="s">
        <v>122</v>
      </c>
      <c r="G113" s="73" t="str">
        <f>VLOOKUP(F113,'[2]Lista de Produtos CLASSIFICAÇÃO'!$E$103:$F$114,2,FALSE)</f>
        <v>Óleo Vegetal</v>
      </c>
      <c r="H113" s="78">
        <v>5520</v>
      </c>
    </row>
    <row r="114" spans="1:8" x14ac:dyDescent="0.25">
      <c r="A114" s="71">
        <v>2021</v>
      </c>
      <c r="B114" s="72" t="s">
        <v>210</v>
      </c>
      <c r="C114" s="73" t="s">
        <v>232</v>
      </c>
      <c r="D114" s="73" t="s">
        <v>166</v>
      </c>
      <c r="E114" s="73" t="str">
        <f>VLOOKUP(D114,clientes!$C$3:$D$60,2,FALSE)</f>
        <v>CARGILL</v>
      </c>
      <c r="F114" s="73" t="s">
        <v>122</v>
      </c>
      <c r="G114" s="73" t="str">
        <f>VLOOKUP(F114,'[2]Lista de Produtos CLASSIFICAÇÃO'!$E$103:$F$114,2,FALSE)</f>
        <v>Óleo Vegetal</v>
      </c>
      <c r="H114" s="74">
        <v>5520</v>
      </c>
    </row>
    <row r="115" spans="1:8" x14ac:dyDescent="0.25">
      <c r="A115" s="75">
        <v>2021</v>
      </c>
      <c r="B115" s="76" t="s">
        <v>211</v>
      </c>
      <c r="C115" s="77" t="s">
        <v>232</v>
      </c>
      <c r="D115" s="77" t="s">
        <v>166</v>
      </c>
      <c r="E115" s="73" t="str">
        <f>VLOOKUP(D115,clientes!$C$3:$D$60,2,FALSE)</f>
        <v>CARGILL</v>
      </c>
      <c r="F115" s="77" t="s">
        <v>122</v>
      </c>
      <c r="G115" s="73" t="str">
        <f>VLOOKUP(F115,'[2]Lista de Produtos CLASSIFICAÇÃO'!$E$103:$F$114,2,FALSE)</f>
        <v>Óleo Vegetal</v>
      </c>
      <c r="H115" s="78">
        <v>5520</v>
      </c>
    </row>
    <row r="116" spans="1:8" x14ac:dyDescent="0.25">
      <c r="A116" s="71">
        <v>2021</v>
      </c>
      <c r="B116" s="72" t="s">
        <v>212</v>
      </c>
      <c r="C116" s="73" t="s">
        <v>232</v>
      </c>
      <c r="D116" s="73" t="s">
        <v>166</v>
      </c>
      <c r="E116" s="73" t="str">
        <f>VLOOKUP(D116,clientes!$C$3:$D$60,2,FALSE)</f>
        <v>CARGILL</v>
      </c>
      <c r="F116" s="73" t="s">
        <v>122</v>
      </c>
      <c r="G116" s="73" t="str">
        <f>VLOOKUP(F116,'[2]Lista de Produtos CLASSIFICAÇÃO'!$E$103:$F$114,2,FALSE)</f>
        <v>Óleo Vegetal</v>
      </c>
      <c r="H116" s="74">
        <v>5520</v>
      </c>
    </row>
    <row r="117" spans="1:8" x14ac:dyDescent="0.25">
      <c r="A117" s="75">
        <v>2021</v>
      </c>
      <c r="B117" s="76" t="s">
        <v>213</v>
      </c>
      <c r="C117" s="77" t="s">
        <v>232</v>
      </c>
      <c r="D117" s="77" t="s">
        <v>166</v>
      </c>
      <c r="E117" s="73" t="str">
        <f>VLOOKUP(D117,clientes!$C$3:$D$60,2,FALSE)</f>
        <v>CARGILL</v>
      </c>
      <c r="F117" s="77" t="s">
        <v>122</v>
      </c>
      <c r="G117" s="73" t="str">
        <f>VLOOKUP(F117,'[2]Lista de Produtos CLASSIFICAÇÃO'!$E$103:$F$114,2,FALSE)</f>
        <v>Óleo Vegetal</v>
      </c>
      <c r="H117" s="78">
        <v>5520</v>
      </c>
    </row>
    <row r="118" spans="1:8" x14ac:dyDescent="0.25">
      <c r="A118" s="71">
        <v>2021</v>
      </c>
      <c r="B118" s="72" t="s">
        <v>214</v>
      </c>
      <c r="C118" s="73" t="s">
        <v>232</v>
      </c>
      <c r="D118" s="73" t="s">
        <v>166</v>
      </c>
      <c r="E118" s="73" t="str">
        <f>VLOOKUP(D118,clientes!$C$3:$D$60,2,FALSE)</f>
        <v>CARGILL</v>
      </c>
      <c r="F118" s="73" t="s">
        <v>122</v>
      </c>
      <c r="G118" s="73" t="str">
        <f>VLOOKUP(F118,'[2]Lista de Produtos CLASSIFICAÇÃO'!$E$103:$F$114,2,FALSE)</f>
        <v>Óleo Vegetal</v>
      </c>
      <c r="H118" s="74">
        <v>5520</v>
      </c>
    </row>
    <row r="119" spans="1:8" x14ac:dyDescent="0.25">
      <c r="A119" s="75">
        <v>2021</v>
      </c>
      <c r="B119" s="76" t="s">
        <v>215</v>
      </c>
      <c r="C119" s="77" t="s">
        <v>232</v>
      </c>
      <c r="D119" s="77" t="s">
        <v>166</v>
      </c>
      <c r="E119" s="73" t="str">
        <f>VLOOKUP(D119,clientes!$C$3:$D$60,2,FALSE)</f>
        <v>CARGILL</v>
      </c>
      <c r="F119" s="77" t="s">
        <v>122</v>
      </c>
      <c r="G119" s="73" t="str">
        <f>VLOOKUP(F119,'[2]Lista de Produtos CLASSIFICAÇÃO'!$E$103:$F$114,2,FALSE)</f>
        <v>Óleo Vegetal</v>
      </c>
      <c r="H119" s="78">
        <v>5520</v>
      </c>
    </row>
    <row r="120" spans="1:8" x14ac:dyDescent="0.25">
      <c r="A120" s="71">
        <v>2021</v>
      </c>
      <c r="B120" s="72" t="s">
        <v>230</v>
      </c>
      <c r="C120" s="73" t="s">
        <v>232</v>
      </c>
      <c r="D120" s="73" t="s">
        <v>166</v>
      </c>
      <c r="E120" s="73" t="str">
        <f>VLOOKUP(D120,clientes!$C$3:$D$60,2,FALSE)</f>
        <v>CARGILL</v>
      </c>
      <c r="F120" s="73" t="s">
        <v>122</v>
      </c>
      <c r="G120" s="73" t="str">
        <f>VLOOKUP(F120,'[2]Lista de Produtos CLASSIFICAÇÃO'!$E$103:$F$114,2,FALSE)</f>
        <v>Óleo Vegetal</v>
      </c>
      <c r="H120" s="74">
        <v>5520</v>
      </c>
    </row>
    <row r="121" spans="1:8" x14ac:dyDescent="0.25">
      <c r="A121" s="75">
        <v>2021</v>
      </c>
      <c r="B121" s="76" t="s">
        <v>231</v>
      </c>
      <c r="C121" s="77" t="s">
        <v>232</v>
      </c>
      <c r="D121" s="77" t="s">
        <v>166</v>
      </c>
      <c r="E121" s="73" t="str">
        <f>VLOOKUP(D121,clientes!$C$3:$D$60,2,FALSE)</f>
        <v>CARGILL</v>
      </c>
      <c r="F121" s="77" t="s">
        <v>122</v>
      </c>
      <c r="G121" s="73" t="str">
        <f>VLOOKUP(F121,'[2]Lista de Produtos CLASSIFICAÇÃO'!$E$103:$F$114,2,FALSE)</f>
        <v>Óleo Vegetal</v>
      </c>
      <c r="H121" s="78">
        <v>5520</v>
      </c>
    </row>
    <row r="122" spans="1:8" x14ac:dyDescent="0.25">
      <c r="A122" s="71">
        <v>2021</v>
      </c>
      <c r="B122" s="72" t="s">
        <v>226</v>
      </c>
      <c r="C122" s="73" t="s">
        <v>232</v>
      </c>
      <c r="D122" s="73" t="s">
        <v>174</v>
      </c>
      <c r="E122" s="73" t="str">
        <f>VLOOKUP(D122,clientes!$C$3:$D$60,2,FALSE)</f>
        <v>CELENA</v>
      </c>
      <c r="F122" s="73" t="s">
        <v>123</v>
      </c>
      <c r="G122" s="73" t="str">
        <f>VLOOKUP(F122,'[2]Lista de Produtos CLASSIFICAÇÃO'!$E$103:$F$114,2,FALSE)</f>
        <v>Aquecidos</v>
      </c>
      <c r="H122" s="74">
        <v>4400</v>
      </c>
    </row>
    <row r="123" spans="1:8" x14ac:dyDescent="0.25">
      <c r="A123" s="75">
        <v>2021</v>
      </c>
      <c r="B123" s="76" t="s">
        <v>227</v>
      </c>
      <c r="C123" s="77" t="s">
        <v>232</v>
      </c>
      <c r="D123" s="77" t="s">
        <v>174</v>
      </c>
      <c r="E123" s="73" t="str">
        <f>VLOOKUP(D123,clientes!$C$3:$D$60,2,FALSE)</f>
        <v>CELENA</v>
      </c>
      <c r="F123" s="77" t="s">
        <v>123</v>
      </c>
      <c r="G123" s="73" t="str">
        <f>VLOOKUP(F123,'[2]Lista de Produtos CLASSIFICAÇÃO'!$E$103:$F$114,2,FALSE)</f>
        <v>Aquecidos</v>
      </c>
      <c r="H123" s="78">
        <v>4400</v>
      </c>
    </row>
    <row r="124" spans="1:8" x14ac:dyDescent="0.25">
      <c r="A124" s="71">
        <v>2021</v>
      </c>
      <c r="B124" s="72" t="s">
        <v>228</v>
      </c>
      <c r="C124" s="73" t="s">
        <v>232</v>
      </c>
      <c r="D124" s="73" t="s">
        <v>174</v>
      </c>
      <c r="E124" s="73" t="str">
        <f>VLOOKUP(D124,clientes!$C$3:$D$60,2,FALSE)</f>
        <v>CELENA</v>
      </c>
      <c r="F124" s="73" t="s">
        <v>123</v>
      </c>
      <c r="G124" s="73" t="str">
        <f>VLOOKUP(F124,'[2]Lista de Produtos CLASSIFICAÇÃO'!$E$103:$F$114,2,FALSE)</f>
        <v>Aquecidos</v>
      </c>
      <c r="H124" s="74">
        <v>4400</v>
      </c>
    </row>
    <row r="125" spans="1:8" x14ac:dyDescent="0.25">
      <c r="A125" s="75">
        <v>2021</v>
      </c>
      <c r="B125" s="76" t="s">
        <v>229</v>
      </c>
      <c r="C125" s="77" t="s">
        <v>232</v>
      </c>
      <c r="D125" s="77" t="s">
        <v>174</v>
      </c>
      <c r="E125" s="73" t="str">
        <f>VLOOKUP(D125,clientes!$C$3:$D$60,2,FALSE)</f>
        <v>CELENA</v>
      </c>
      <c r="F125" s="77" t="s">
        <v>123</v>
      </c>
      <c r="G125" s="73" t="str">
        <f>VLOOKUP(F125,'[2]Lista de Produtos CLASSIFICAÇÃO'!$E$103:$F$114,2,FALSE)</f>
        <v>Aquecidos</v>
      </c>
      <c r="H125" s="78">
        <v>4400</v>
      </c>
    </row>
    <row r="126" spans="1:8" x14ac:dyDescent="0.25">
      <c r="A126" s="71">
        <v>2021</v>
      </c>
      <c r="B126" s="72" t="s">
        <v>210</v>
      </c>
      <c r="C126" s="73" t="s">
        <v>232</v>
      </c>
      <c r="D126" s="73" t="s">
        <v>174</v>
      </c>
      <c r="E126" s="73" t="str">
        <f>VLOOKUP(D126,clientes!$C$3:$D$60,2,FALSE)</f>
        <v>CELENA</v>
      </c>
      <c r="F126" s="73" t="s">
        <v>123</v>
      </c>
      <c r="G126" s="73" t="str">
        <f>VLOOKUP(F126,'[2]Lista de Produtos CLASSIFICAÇÃO'!$E$103:$F$114,2,FALSE)</f>
        <v>Aquecidos</v>
      </c>
      <c r="H126" s="74">
        <v>4400</v>
      </c>
    </row>
    <row r="127" spans="1:8" x14ac:dyDescent="0.25">
      <c r="A127" s="75">
        <v>2021</v>
      </c>
      <c r="B127" s="76" t="s">
        <v>211</v>
      </c>
      <c r="C127" s="77" t="s">
        <v>232</v>
      </c>
      <c r="D127" s="77" t="s">
        <v>174</v>
      </c>
      <c r="E127" s="73" t="str">
        <f>VLOOKUP(D127,clientes!$C$3:$D$60,2,FALSE)</f>
        <v>CELENA</v>
      </c>
      <c r="F127" s="77" t="s">
        <v>123</v>
      </c>
      <c r="G127" s="73" t="str">
        <f>VLOOKUP(F127,'[2]Lista de Produtos CLASSIFICAÇÃO'!$E$103:$F$114,2,FALSE)</f>
        <v>Aquecidos</v>
      </c>
      <c r="H127" s="78">
        <v>4400</v>
      </c>
    </row>
    <row r="128" spans="1:8" x14ac:dyDescent="0.25">
      <c r="A128" s="71">
        <v>2021</v>
      </c>
      <c r="B128" s="72" t="s">
        <v>212</v>
      </c>
      <c r="C128" s="73" t="s">
        <v>232</v>
      </c>
      <c r="D128" s="73" t="s">
        <v>174</v>
      </c>
      <c r="E128" s="73" t="str">
        <f>VLOOKUP(D128,clientes!$C$3:$D$60,2,FALSE)</f>
        <v>CELENA</v>
      </c>
      <c r="F128" s="73" t="s">
        <v>123</v>
      </c>
      <c r="G128" s="73" t="str">
        <f>VLOOKUP(F128,'[2]Lista de Produtos CLASSIFICAÇÃO'!$E$103:$F$114,2,FALSE)</f>
        <v>Aquecidos</v>
      </c>
      <c r="H128" s="74">
        <v>4400</v>
      </c>
    </row>
    <row r="129" spans="1:8" x14ac:dyDescent="0.25">
      <c r="A129" s="75">
        <v>2021</v>
      </c>
      <c r="B129" s="76" t="s">
        <v>213</v>
      </c>
      <c r="C129" s="77" t="s">
        <v>232</v>
      </c>
      <c r="D129" s="77" t="s">
        <v>174</v>
      </c>
      <c r="E129" s="73" t="str">
        <f>VLOOKUP(D129,clientes!$C$3:$D$60,2,FALSE)</f>
        <v>CELENA</v>
      </c>
      <c r="F129" s="77" t="s">
        <v>123</v>
      </c>
      <c r="G129" s="73" t="str">
        <f>VLOOKUP(F129,'[2]Lista de Produtos CLASSIFICAÇÃO'!$E$103:$F$114,2,FALSE)</f>
        <v>Aquecidos</v>
      </c>
      <c r="H129" s="78">
        <v>4400</v>
      </c>
    </row>
    <row r="130" spans="1:8" x14ac:dyDescent="0.25">
      <c r="A130" s="71">
        <v>2021</v>
      </c>
      <c r="B130" s="72" t="s">
        <v>214</v>
      </c>
      <c r="C130" s="73" t="s">
        <v>232</v>
      </c>
      <c r="D130" s="73" t="s">
        <v>174</v>
      </c>
      <c r="E130" s="73" t="str">
        <f>VLOOKUP(D130,clientes!$C$3:$D$60,2,FALSE)</f>
        <v>CELENA</v>
      </c>
      <c r="F130" s="73" t="s">
        <v>123</v>
      </c>
      <c r="G130" s="73" t="str">
        <f>VLOOKUP(F130,'[2]Lista de Produtos CLASSIFICAÇÃO'!$E$103:$F$114,2,FALSE)</f>
        <v>Aquecidos</v>
      </c>
      <c r="H130" s="74">
        <v>4400</v>
      </c>
    </row>
    <row r="131" spans="1:8" x14ac:dyDescent="0.25">
      <c r="A131" s="75">
        <v>2021</v>
      </c>
      <c r="B131" s="76" t="s">
        <v>215</v>
      </c>
      <c r="C131" s="77" t="s">
        <v>232</v>
      </c>
      <c r="D131" s="77" t="s">
        <v>174</v>
      </c>
      <c r="E131" s="73" t="str">
        <f>VLOOKUP(D131,clientes!$C$3:$D$60,2,FALSE)</f>
        <v>CELENA</v>
      </c>
      <c r="F131" s="77" t="s">
        <v>123</v>
      </c>
      <c r="G131" s="73" t="str">
        <f>VLOOKUP(F131,'[2]Lista de Produtos CLASSIFICAÇÃO'!$E$103:$F$114,2,FALSE)</f>
        <v>Aquecidos</v>
      </c>
      <c r="H131" s="78">
        <v>4400</v>
      </c>
    </row>
    <row r="132" spans="1:8" x14ac:dyDescent="0.25">
      <c r="A132" s="71">
        <v>2021</v>
      </c>
      <c r="B132" s="72" t="s">
        <v>230</v>
      </c>
      <c r="C132" s="73" t="s">
        <v>232</v>
      </c>
      <c r="D132" s="73" t="s">
        <v>174</v>
      </c>
      <c r="E132" s="73" t="str">
        <f>VLOOKUP(D132,clientes!$C$3:$D$60,2,FALSE)</f>
        <v>CELENA</v>
      </c>
      <c r="F132" s="73" t="s">
        <v>123</v>
      </c>
      <c r="G132" s="73" t="str">
        <f>VLOOKUP(F132,'[2]Lista de Produtos CLASSIFICAÇÃO'!$E$103:$F$114,2,FALSE)</f>
        <v>Aquecidos</v>
      </c>
      <c r="H132" s="74">
        <v>4400</v>
      </c>
    </row>
    <row r="133" spans="1:8" x14ac:dyDescent="0.25">
      <c r="A133" s="75">
        <v>2021</v>
      </c>
      <c r="B133" s="76" t="s">
        <v>231</v>
      </c>
      <c r="C133" s="77" t="s">
        <v>232</v>
      </c>
      <c r="D133" s="77" t="s">
        <v>174</v>
      </c>
      <c r="E133" s="73" t="str">
        <f>VLOOKUP(D133,clientes!$C$3:$D$60,2,FALSE)</f>
        <v>CELENA</v>
      </c>
      <c r="F133" s="77" t="s">
        <v>123</v>
      </c>
      <c r="G133" s="73" t="str">
        <f>VLOOKUP(F133,'[2]Lista de Produtos CLASSIFICAÇÃO'!$E$103:$F$114,2,FALSE)</f>
        <v>Aquecidos</v>
      </c>
      <c r="H133" s="78">
        <v>4400</v>
      </c>
    </row>
    <row r="134" spans="1:8" x14ac:dyDescent="0.25">
      <c r="A134" s="71">
        <v>2021</v>
      </c>
      <c r="B134" s="72" t="s">
        <v>226</v>
      </c>
      <c r="C134" s="73" t="s">
        <v>225</v>
      </c>
      <c r="D134" s="73" t="s">
        <v>204</v>
      </c>
      <c r="E134" s="73" t="str">
        <f>VLOOKUP(D134,clientes!$C$3:$D$60,2,FALSE)</f>
        <v>COPAPE</v>
      </c>
      <c r="F134" s="73" t="s">
        <v>59</v>
      </c>
      <c r="G134" s="73" t="e">
        <f>VLOOKUP(F134,'[2]Lista de Produtos CLASSIFICAÇÃO'!$E$103:$F$114,2,FALSE)</f>
        <v>#N/A</v>
      </c>
      <c r="H134" s="74">
        <v>25000</v>
      </c>
    </row>
    <row r="135" spans="1:8" x14ac:dyDescent="0.25">
      <c r="A135" s="75">
        <v>2021</v>
      </c>
      <c r="B135" s="76" t="s">
        <v>227</v>
      </c>
      <c r="C135" s="77" t="s">
        <v>225</v>
      </c>
      <c r="D135" s="77" t="s">
        <v>204</v>
      </c>
      <c r="E135" s="73" t="str">
        <f>VLOOKUP(D135,clientes!$C$3:$D$60,2,FALSE)</f>
        <v>COPAPE</v>
      </c>
      <c r="F135" s="77" t="s">
        <v>59</v>
      </c>
      <c r="G135" s="73" t="e">
        <f>VLOOKUP(F135,'[2]Lista de Produtos CLASSIFICAÇÃO'!$E$103:$F$114,2,FALSE)</f>
        <v>#N/A</v>
      </c>
      <c r="H135" s="78">
        <v>25000</v>
      </c>
    </row>
    <row r="136" spans="1:8" x14ac:dyDescent="0.25">
      <c r="A136" s="71">
        <v>2021</v>
      </c>
      <c r="B136" s="72" t="s">
        <v>228</v>
      </c>
      <c r="C136" s="73" t="s">
        <v>225</v>
      </c>
      <c r="D136" s="73" t="s">
        <v>204</v>
      </c>
      <c r="E136" s="73" t="str">
        <f>VLOOKUP(D136,clientes!$C$3:$D$60,2,FALSE)</f>
        <v>COPAPE</v>
      </c>
      <c r="F136" s="73" t="s">
        <v>59</v>
      </c>
      <c r="G136" s="73" t="e">
        <f>VLOOKUP(F136,'[2]Lista de Produtos CLASSIFICAÇÃO'!$E$103:$F$114,2,FALSE)</f>
        <v>#N/A</v>
      </c>
      <c r="H136" s="74">
        <v>25000</v>
      </c>
    </row>
    <row r="137" spans="1:8" x14ac:dyDescent="0.25">
      <c r="A137" s="75">
        <v>2021</v>
      </c>
      <c r="B137" s="76" t="s">
        <v>229</v>
      </c>
      <c r="C137" s="77" t="s">
        <v>225</v>
      </c>
      <c r="D137" s="77" t="s">
        <v>204</v>
      </c>
      <c r="E137" s="73" t="str">
        <f>VLOOKUP(D137,clientes!$C$3:$D$60,2,FALSE)</f>
        <v>COPAPE</v>
      </c>
      <c r="F137" s="77" t="s">
        <v>59</v>
      </c>
      <c r="G137" s="73" t="e">
        <f>VLOOKUP(F137,'[2]Lista de Produtos CLASSIFICAÇÃO'!$E$103:$F$114,2,FALSE)</f>
        <v>#N/A</v>
      </c>
      <c r="H137" s="78">
        <v>25000</v>
      </c>
    </row>
    <row r="138" spans="1:8" x14ac:dyDescent="0.25">
      <c r="A138" s="71">
        <v>2021</v>
      </c>
      <c r="B138" s="72" t="s">
        <v>210</v>
      </c>
      <c r="C138" s="73" t="s">
        <v>225</v>
      </c>
      <c r="D138" s="73" t="s">
        <v>204</v>
      </c>
      <c r="E138" s="73" t="str">
        <f>VLOOKUP(D138,clientes!$C$3:$D$60,2,FALSE)</f>
        <v>COPAPE</v>
      </c>
      <c r="F138" s="73" t="s">
        <v>59</v>
      </c>
      <c r="G138" s="73" t="e">
        <f>VLOOKUP(F138,'[2]Lista de Produtos CLASSIFICAÇÃO'!$E$103:$F$114,2,FALSE)</f>
        <v>#N/A</v>
      </c>
      <c r="H138" s="74">
        <v>25000</v>
      </c>
    </row>
    <row r="139" spans="1:8" x14ac:dyDescent="0.25">
      <c r="A139" s="75">
        <v>2021</v>
      </c>
      <c r="B139" s="76" t="s">
        <v>211</v>
      </c>
      <c r="C139" s="77" t="s">
        <v>225</v>
      </c>
      <c r="D139" s="77" t="s">
        <v>204</v>
      </c>
      <c r="E139" s="73" t="str">
        <f>VLOOKUP(D139,clientes!$C$3:$D$60,2,FALSE)</f>
        <v>COPAPE</v>
      </c>
      <c r="F139" s="77" t="s">
        <v>59</v>
      </c>
      <c r="G139" s="73" t="e">
        <f>VLOOKUP(F139,'[2]Lista de Produtos CLASSIFICAÇÃO'!$E$103:$F$114,2,FALSE)</f>
        <v>#N/A</v>
      </c>
      <c r="H139" s="78">
        <v>25000</v>
      </c>
    </row>
    <row r="140" spans="1:8" x14ac:dyDescent="0.25">
      <c r="A140" s="71">
        <v>2021</v>
      </c>
      <c r="B140" s="72" t="s">
        <v>212</v>
      </c>
      <c r="C140" s="73" t="s">
        <v>225</v>
      </c>
      <c r="D140" s="73" t="s">
        <v>204</v>
      </c>
      <c r="E140" s="73" t="str">
        <f>VLOOKUP(D140,clientes!$C$3:$D$60,2,FALSE)</f>
        <v>COPAPE</v>
      </c>
      <c r="F140" s="73" t="s">
        <v>59</v>
      </c>
      <c r="G140" s="73" t="e">
        <f>VLOOKUP(F140,'[2]Lista de Produtos CLASSIFICAÇÃO'!$E$103:$F$114,2,FALSE)</f>
        <v>#N/A</v>
      </c>
      <c r="H140" s="74">
        <v>25000</v>
      </c>
    </row>
    <row r="141" spans="1:8" x14ac:dyDescent="0.25">
      <c r="A141" s="75">
        <v>2021</v>
      </c>
      <c r="B141" s="76" t="s">
        <v>213</v>
      </c>
      <c r="C141" s="77" t="s">
        <v>225</v>
      </c>
      <c r="D141" s="77" t="s">
        <v>204</v>
      </c>
      <c r="E141" s="73" t="str">
        <f>VLOOKUP(D141,clientes!$C$3:$D$60,2,FALSE)</f>
        <v>COPAPE</v>
      </c>
      <c r="F141" s="77" t="s">
        <v>59</v>
      </c>
      <c r="G141" s="73" t="e">
        <f>VLOOKUP(F141,'[2]Lista de Produtos CLASSIFICAÇÃO'!$E$103:$F$114,2,FALSE)</f>
        <v>#N/A</v>
      </c>
      <c r="H141" s="78">
        <v>25000</v>
      </c>
    </row>
    <row r="142" spans="1:8" x14ac:dyDescent="0.25">
      <c r="A142" s="71">
        <v>2021</v>
      </c>
      <c r="B142" s="72" t="s">
        <v>214</v>
      </c>
      <c r="C142" s="73" t="s">
        <v>225</v>
      </c>
      <c r="D142" s="73" t="s">
        <v>204</v>
      </c>
      <c r="E142" s="73" t="str">
        <f>VLOOKUP(D142,clientes!$C$3:$D$60,2,FALSE)</f>
        <v>COPAPE</v>
      </c>
      <c r="F142" s="73" t="s">
        <v>59</v>
      </c>
      <c r="G142" s="73" t="e">
        <f>VLOOKUP(F142,'[2]Lista de Produtos CLASSIFICAÇÃO'!$E$103:$F$114,2,FALSE)</f>
        <v>#N/A</v>
      </c>
      <c r="H142" s="74">
        <v>25000</v>
      </c>
    </row>
    <row r="143" spans="1:8" x14ac:dyDescent="0.25">
      <c r="A143" s="75">
        <v>2021</v>
      </c>
      <c r="B143" s="76" t="s">
        <v>215</v>
      </c>
      <c r="C143" s="77" t="s">
        <v>225</v>
      </c>
      <c r="D143" s="77" t="s">
        <v>204</v>
      </c>
      <c r="E143" s="73" t="str">
        <f>VLOOKUP(D143,clientes!$C$3:$D$60,2,FALSE)</f>
        <v>COPAPE</v>
      </c>
      <c r="F143" s="77" t="s">
        <v>59</v>
      </c>
      <c r="G143" s="73" t="e">
        <f>VLOOKUP(F143,'[2]Lista de Produtos CLASSIFICAÇÃO'!$E$103:$F$114,2,FALSE)</f>
        <v>#N/A</v>
      </c>
      <c r="H143" s="78">
        <v>25000</v>
      </c>
    </row>
    <row r="144" spans="1:8" x14ac:dyDescent="0.25">
      <c r="A144" s="71">
        <v>2021</v>
      </c>
      <c r="B144" s="72" t="s">
        <v>230</v>
      </c>
      <c r="C144" s="73" t="s">
        <v>225</v>
      </c>
      <c r="D144" s="73" t="s">
        <v>204</v>
      </c>
      <c r="E144" s="73" t="str">
        <f>VLOOKUP(D144,clientes!$C$3:$D$60,2,FALSE)</f>
        <v>COPAPE</v>
      </c>
      <c r="F144" s="73" t="s">
        <v>59</v>
      </c>
      <c r="G144" s="73" t="e">
        <f>VLOOKUP(F144,'[2]Lista de Produtos CLASSIFICAÇÃO'!$E$103:$F$114,2,FALSE)</f>
        <v>#N/A</v>
      </c>
      <c r="H144" s="74">
        <v>25000</v>
      </c>
    </row>
    <row r="145" spans="1:8" x14ac:dyDescent="0.25">
      <c r="A145" s="75">
        <v>2021</v>
      </c>
      <c r="B145" s="76" t="s">
        <v>231</v>
      </c>
      <c r="C145" s="77" t="s">
        <v>225</v>
      </c>
      <c r="D145" s="77" t="s">
        <v>204</v>
      </c>
      <c r="E145" s="73" t="str">
        <f>VLOOKUP(D145,clientes!$C$3:$D$60,2,FALSE)</f>
        <v>COPAPE</v>
      </c>
      <c r="F145" s="77" t="s">
        <v>59</v>
      </c>
      <c r="G145" s="73" t="e">
        <f>VLOOKUP(F145,'[2]Lista de Produtos CLASSIFICAÇÃO'!$E$103:$F$114,2,FALSE)</f>
        <v>#N/A</v>
      </c>
      <c r="H145" s="78">
        <v>25000</v>
      </c>
    </row>
    <row r="146" spans="1:8" x14ac:dyDescent="0.25">
      <c r="A146" s="71">
        <v>2021</v>
      </c>
      <c r="B146" s="72" t="s">
        <v>226</v>
      </c>
      <c r="C146" s="73" t="s">
        <v>225</v>
      </c>
      <c r="D146" s="73" t="s">
        <v>197</v>
      </c>
      <c r="E146" s="73" t="str">
        <f>VLOOKUP(D146,clientes!$C$3:$D$60,2,FALSE)</f>
        <v>DRT</v>
      </c>
      <c r="F146" s="73" t="s">
        <v>85</v>
      </c>
      <c r="G146" s="73" t="e">
        <f>VLOOKUP(F146,'[2]Lista de Produtos CLASSIFICAÇÃO'!$E$103:$F$114,2,FALSE)</f>
        <v>#N/A</v>
      </c>
      <c r="H146" s="74">
        <v>1700</v>
      </c>
    </row>
    <row r="147" spans="1:8" x14ac:dyDescent="0.25">
      <c r="A147" s="75">
        <v>2021</v>
      </c>
      <c r="B147" s="76" t="s">
        <v>227</v>
      </c>
      <c r="C147" s="77" t="s">
        <v>225</v>
      </c>
      <c r="D147" s="77" t="s">
        <v>197</v>
      </c>
      <c r="E147" s="73" t="str">
        <f>VLOOKUP(D147,clientes!$C$3:$D$60,2,FALSE)</f>
        <v>DRT</v>
      </c>
      <c r="F147" s="77" t="s">
        <v>85</v>
      </c>
      <c r="G147" s="73" t="e">
        <f>VLOOKUP(F147,'[2]Lista de Produtos CLASSIFICAÇÃO'!$E$103:$F$114,2,FALSE)</f>
        <v>#N/A</v>
      </c>
      <c r="H147" s="78">
        <v>1700</v>
      </c>
    </row>
    <row r="148" spans="1:8" x14ac:dyDescent="0.25">
      <c r="A148" s="71">
        <v>2021</v>
      </c>
      <c r="B148" s="72" t="s">
        <v>228</v>
      </c>
      <c r="C148" s="73" t="s">
        <v>225</v>
      </c>
      <c r="D148" s="73" t="s">
        <v>197</v>
      </c>
      <c r="E148" s="73" t="str">
        <f>VLOOKUP(D148,clientes!$C$3:$D$60,2,FALSE)</f>
        <v>DRT</v>
      </c>
      <c r="F148" s="73" t="s">
        <v>85</v>
      </c>
      <c r="G148" s="73" t="e">
        <f>VLOOKUP(F148,'[2]Lista de Produtos CLASSIFICAÇÃO'!$E$103:$F$114,2,FALSE)</f>
        <v>#N/A</v>
      </c>
      <c r="H148" s="74">
        <v>1700</v>
      </c>
    </row>
    <row r="149" spans="1:8" x14ac:dyDescent="0.25">
      <c r="A149" s="75">
        <v>2021</v>
      </c>
      <c r="B149" s="76" t="s">
        <v>229</v>
      </c>
      <c r="C149" s="77" t="s">
        <v>225</v>
      </c>
      <c r="D149" s="77" t="s">
        <v>197</v>
      </c>
      <c r="E149" s="73" t="str">
        <f>VLOOKUP(D149,clientes!$C$3:$D$60,2,FALSE)</f>
        <v>DRT</v>
      </c>
      <c r="F149" s="77" t="s">
        <v>85</v>
      </c>
      <c r="G149" s="73" t="e">
        <f>VLOOKUP(F149,'[2]Lista de Produtos CLASSIFICAÇÃO'!$E$103:$F$114,2,FALSE)</f>
        <v>#N/A</v>
      </c>
      <c r="H149" s="78">
        <v>1700</v>
      </c>
    </row>
    <row r="150" spans="1:8" x14ac:dyDescent="0.25">
      <c r="A150" s="71">
        <v>2021</v>
      </c>
      <c r="B150" s="72" t="s">
        <v>210</v>
      </c>
      <c r="C150" s="73" t="s">
        <v>225</v>
      </c>
      <c r="D150" s="73" t="s">
        <v>197</v>
      </c>
      <c r="E150" s="73" t="str">
        <f>VLOOKUP(D150,clientes!$C$3:$D$60,2,FALSE)</f>
        <v>DRT</v>
      </c>
      <c r="F150" s="73" t="s">
        <v>85</v>
      </c>
      <c r="G150" s="73" t="e">
        <f>VLOOKUP(F150,'[2]Lista de Produtos CLASSIFICAÇÃO'!$E$103:$F$114,2,FALSE)</f>
        <v>#N/A</v>
      </c>
      <c r="H150" s="74">
        <v>1700</v>
      </c>
    </row>
    <row r="151" spans="1:8" x14ac:dyDescent="0.25">
      <c r="A151" s="75">
        <v>2021</v>
      </c>
      <c r="B151" s="76" t="s">
        <v>211</v>
      </c>
      <c r="C151" s="77" t="s">
        <v>225</v>
      </c>
      <c r="D151" s="77" t="s">
        <v>197</v>
      </c>
      <c r="E151" s="73" t="str">
        <f>VLOOKUP(D151,clientes!$C$3:$D$60,2,FALSE)</f>
        <v>DRT</v>
      </c>
      <c r="F151" s="77" t="s">
        <v>85</v>
      </c>
      <c r="G151" s="73" t="e">
        <f>VLOOKUP(F151,'[2]Lista de Produtos CLASSIFICAÇÃO'!$E$103:$F$114,2,FALSE)</f>
        <v>#N/A</v>
      </c>
      <c r="H151" s="78">
        <v>1700</v>
      </c>
    </row>
    <row r="152" spans="1:8" x14ac:dyDescent="0.25">
      <c r="A152" s="71">
        <v>2021</v>
      </c>
      <c r="B152" s="72" t="s">
        <v>212</v>
      </c>
      <c r="C152" s="73" t="s">
        <v>225</v>
      </c>
      <c r="D152" s="73" t="s">
        <v>197</v>
      </c>
      <c r="E152" s="73" t="str">
        <f>VLOOKUP(D152,clientes!$C$3:$D$60,2,FALSE)</f>
        <v>DRT</v>
      </c>
      <c r="F152" s="73" t="s">
        <v>85</v>
      </c>
      <c r="G152" s="73" t="e">
        <f>VLOOKUP(F152,'[2]Lista de Produtos CLASSIFICAÇÃO'!$E$103:$F$114,2,FALSE)</f>
        <v>#N/A</v>
      </c>
      <c r="H152" s="74">
        <v>1700</v>
      </c>
    </row>
    <row r="153" spans="1:8" x14ac:dyDescent="0.25">
      <c r="A153" s="75">
        <v>2021</v>
      </c>
      <c r="B153" s="76" t="s">
        <v>213</v>
      </c>
      <c r="C153" s="77" t="s">
        <v>225</v>
      </c>
      <c r="D153" s="77" t="s">
        <v>197</v>
      </c>
      <c r="E153" s="73" t="str">
        <f>VLOOKUP(D153,clientes!$C$3:$D$60,2,FALSE)</f>
        <v>DRT</v>
      </c>
      <c r="F153" s="77" t="s">
        <v>85</v>
      </c>
      <c r="G153" s="73" t="e">
        <f>VLOOKUP(F153,'[2]Lista de Produtos CLASSIFICAÇÃO'!$E$103:$F$114,2,FALSE)</f>
        <v>#N/A</v>
      </c>
      <c r="H153" s="78">
        <v>1700</v>
      </c>
    </row>
    <row r="154" spans="1:8" x14ac:dyDescent="0.25">
      <c r="A154" s="71">
        <v>2021</v>
      </c>
      <c r="B154" s="72" t="s">
        <v>214</v>
      </c>
      <c r="C154" s="73" t="s">
        <v>225</v>
      </c>
      <c r="D154" s="73" t="s">
        <v>197</v>
      </c>
      <c r="E154" s="73" t="str">
        <f>VLOOKUP(D154,clientes!$C$3:$D$60,2,FALSE)</f>
        <v>DRT</v>
      </c>
      <c r="F154" s="73" t="s">
        <v>85</v>
      </c>
      <c r="G154" s="73" t="e">
        <f>VLOOKUP(F154,'[2]Lista de Produtos CLASSIFICAÇÃO'!$E$103:$F$114,2,FALSE)</f>
        <v>#N/A</v>
      </c>
      <c r="H154" s="74">
        <v>1700</v>
      </c>
    </row>
    <row r="155" spans="1:8" x14ac:dyDescent="0.25">
      <c r="A155" s="75">
        <v>2021</v>
      </c>
      <c r="B155" s="76" t="s">
        <v>215</v>
      </c>
      <c r="C155" s="77" t="s">
        <v>225</v>
      </c>
      <c r="D155" s="77" t="s">
        <v>197</v>
      </c>
      <c r="E155" s="73" t="str">
        <f>VLOOKUP(D155,clientes!$C$3:$D$60,2,FALSE)</f>
        <v>DRT</v>
      </c>
      <c r="F155" s="77" t="s">
        <v>85</v>
      </c>
      <c r="G155" s="73" t="e">
        <f>VLOOKUP(F155,'[2]Lista de Produtos CLASSIFICAÇÃO'!$E$103:$F$114,2,FALSE)</f>
        <v>#N/A</v>
      </c>
      <c r="H155" s="78">
        <v>1700</v>
      </c>
    </row>
    <row r="156" spans="1:8" x14ac:dyDescent="0.25">
      <c r="A156" s="71">
        <v>2021</v>
      </c>
      <c r="B156" s="72" t="s">
        <v>230</v>
      </c>
      <c r="C156" s="73" t="s">
        <v>225</v>
      </c>
      <c r="D156" s="73" t="s">
        <v>197</v>
      </c>
      <c r="E156" s="73" t="str">
        <f>VLOOKUP(D156,clientes!$C$3:$D$60,2,FALSE)</f>
        <v>DRT</v>
      </c>
      <c r="F156" s="73" t="s">
        <v>85</v>
      </c>
      <c r="G156" s="73" t="e">
        <f>VLOOKUP(F156,'[2]Lista de Produtos CLASSIFICAÇÃO'!$E$103:$F$114,2,FALSE)</f>
        <v>#N/A</v>
      </c>
      <c r="H156" s="74">
        <v>1700</v>
      </c>
    </row>
    <row r="157" spans="1:8" x14ac:dyDescent="0.25">
      <c r="A157" s="75">
        <v>2021</v>
      </c>
      <c r="B157" s="76" t="s">
        <v>231</v>
      </c>
      <c r="C157" s="77" t="s">
        <v>225</v>
      </c>
      <c r="D157" s="77" t="s">
        <v>197</v>
      </c>
      <c r="E157" s="73" t="str">
        <f>VLOOKUP(D157,clientes!$C$3:$D$60,2,FALSE)</f>
        <v>DRT</v>
      </c>
      <c r="F157" s="77" t="s">
        <v>85</v>
      </c>
      <c r="G157" s="73" t="e">
        <f>VLOOKUP(F157,'[2]Lista de Produtos CLASSIFICAÇÃO'!$E$103:$F$114,2,FALSE)</f>
        <v>#N/A</v>
      </c>
      <c r="H157" s="78">
        <v>1700</v>
      </c>
    </row>
    <row r="158" spans="1:8" x14ac:dyDescent="0.25">
      <c r="A158" s="71">
        <v>2021</v>
      </c>
      <c r="B158" s="72" t="s">
        <v>226</v>
      </c>
      <c r="C158" s="73" t="s">
        <v>225</v>
      </c>
      <c r="D158" s="73" t="s">
        <v>172</v>
      </c>
      <c r="E158" s="73" t="str">
        <f>VLOOKUP(D158,clientes!$C$3:$D$60,2,FALSE)</f>
        <v>EVONIK</v>
      </c>
      <c r="F158" s="73" t="s">
        <v>124</v>
      </c>
      <c r="G158" s="73" t="str">
        <f>VLOOKUP(F158,'[2]Lista de Produtos CLASSIFICAÇÃO'!$E$103:$F$114,2,FALSE)</f>
        <v>Outros</v>
      </c>
      <c r="H158" s="74">
        <v>2603</v>
      </c>
    </row>
    <row r="159" spans="1:8" x14ac:dyDescent="0.25">
      <c r="A159" s="75">
        <v>2021</v>
      </c>
      <c r="B159" s="76" t="s">
        <v>227</v>
      </c>
      <c r="C159" s="77" t="s">
        <v>225</v>
      </c>
      <c r="D159" s="77" t="s">
        <v>172</v>
      </c>
      <c r="E159" s="73" t="str">
        <f>VLOOKUP(D159,clientes!$C$3:$D$60,2,FALSE)</f>
        <v>EVONIK</v>
      </c>
      <c r="F159" s="77" t="s">
        <v>124</v>
      </c>
      <c r="G159" s="73" t="str">
        <f>VLOOKUP(F159,'[2]Lista de Produtos CLASSIFICAÇÃO'!$E$103:$F$114,2,FALSE)</f>
        <v>Outros</v>
      </c>
      <c r="H159" s="78">
        <v>2603</v>
      </c>
    </row>
    <row r="160" spans="1:8" x14ac:dyDescent="0.25">
      <c r="A160" s="71">
        <v>2021</v>
      </c>
      <c r="B160" s="72" t="s">
        <v>228</v>
      </c>
      <c r="C160" s="73" t="s">
        <v>225</v>
      </c>
      <c r="D160" s="73" t="s">
        <v>172</v>
      </c>
      <c r="E160" s="73" t="str">
        <f>VLOOKUP(D160,clientes!$C$3:$D$60,2,FALSE)</f>
        <v>EVONIK</v>
      </c>
      <c r="F160" s="73" t="s">
        <v>124</v>
      </c>
      <c r="G160" s="73" t="str">
        <f>VLOOKUP(F160,'[2]Lista de Produtos CLASSIFICAÇÃO'!$E$103:$F$114,2,FALSE)</f>
        <v>Outros</v>
      </c>
      <c r="H160" s="74">
        <v>2603</v>
      </c>
    </row>
    <row r="161" spans="1:8" x14ac:dyDescent="0.25">
      <c r="A161" s="75">
        <v>2021</v>
      </c>
      <c r="B161" s="76" t="s">
        <v>229</v>
      </c>
      <c r="C161" s="77" t="s">
        <v>225</v>
      </c>
      <c r="D161" s="77" t="s">
        <v>172</v>
      </c>
      <c r="E161" s="73" t="str">
        <f>VLOOKUP(D161,clientes!$C$3:$D$60,2,FALSE)</f>
        <v>EVONIK</v>
      </c>
      <c r="F161" s="77" t="s">
        <v>124</v>
      </c>
      <c r="G161" s="73" t="str">
        <f>VLOOKUP(F161,'[2]Lista de Produtos CLASSIFICAÇÃO'!$E$103:$F$114,2,FALSE)</f>
        <v>Outros</v>
      </c>
      <c r="H161" s="78">
        <v>2603</v>
      </c>
    </row>
    <row r="162" spans="1:8" x14ac:dyDescent="0.25">
      <c r="A162" s="71">
        <v>2021</v>
      </c>
      <c r="B162" s="72" t="s">
        <v>210</v>
      </c>
      <c r="C162" s="73" t="s">
        <v>225</v>
      </c>
      <c r="D162" s="73" t="s">
        <v>172</v>
      </c>
      <c r="E162" s="73" t="str">
        <f>VLOOKUP(D162,clientes!$C$3:$D$60,2,FALSE)</f>
        <v>EVONIK</v>
      </c>
      <c r="F162" s="73" t="s">
        <v>124</v>
      </c>
      <c r="G162" s="73" t="str">
        <f>VLOOKUP(F162,'[2]Lista de Produtos CLASSIFICAÇÃO'!$E$103:$F$114,2,FALSE)</f>
        <v>Outros</v>
      </c>
      <c r="H162" s="74">
        <v>2603</v>
      </c>
    </row>
    <row r="163" spans="1:8" x14ac:dyDescent="0.25">
      <c r="A163" s="75">
        <v>2021</v>
      </c>
      <c r="B163" s="76" t="s">
        <v>211</v>
      </c>
      <c r="C163" s="77" t="s">
        <v>225</v>
      </c>
      <c r="D163" s="77" t="s">
        <v>172</v>
      </c>
      <c r="E163" s="73" t="str">
        <f>VLOOKUP(D163,clientes!$C$3:$D$60,2,FALSE)</f>
        <v>EVONIK</v>
      </c>
      <c r="F163" s="77" t="s">
        <v>124</v>
      </c>
      <c r="G163" s="73" t="str">
        <f>VLOOKUP(F163,'[2]Lista de Produtos CLASSIFICAÇÃO'!$E$103:$F$114,2,FALSE)</f>
        <v>Outros</v>
      </c>
      <c r="H163" s="78">
        <v>2603</v>
      </c>
    </row>
    <row r="164" spans="1:8" x14ac:dyDescent="0.25">
      <c r="A164" s="71">
        <v>2021</v>
      </c>
      <c r="B164" s="72" t="s">
        <v>212</v>
      </c>
      <c r="C164" s="73" t="s">
        <v>225</v>
      </c>
      <c r="D164" s="73" t="s">
        <v>172</v>
      </c>
      <c r="E164" s="73" t="str">
        <f>VLOOKUP(D164,clientes!$C$3:$D$60,2,FALSE)</f>
        <v>EVONIK</v>
      </c>
      <c r="F164" s="73" t="s">
        <v>124</v>
      </c>
      <c r="G164" s="73" t="str">
        <f>VLOOKUP(F164,'[2]Lista de Produtos CLASSIFICAÇÃO'!$E$103:$F$114,2,FALSE)</f>
        <v>Outros</v>
      </c>
      <c r="H164" s="74">
        <v>2603</v>
      </c>
    </row>
    <row r="165" spans="1:8" x14ac:dyDescent="0.25">
      <c r="A165" s="75">
        <v>2021</v>
      </c>
      <c r="B165" s="76" t="s">
        <v>213</v>
      </c>
      <c r="C165" s="77" t="s">
        <v>225</v>
      </c>
      <c r="D165" s="77" t="s">
        <v>172</v>
      </c>
      <c r="E165" s="73" t="str">
        <f>VLOOKUP(D165,clientes!$C$3:$D$60,2,FALSE)</f>
        <v>EVONIK</v>
      </c>
      <c r="F165" s="77" t="s">
        <v>124</v>
      </c>
      <c r="G165" s="73" t="str">
        <f>VLOOKUP(F165,'[2]Lista de Produtos CLASSIFICAÇÃO'!$E$103:$F$114,2,FALSE)</f>
        <v>Outros</v>
      </c>
      <c r="H165" s="78">
        <v>2603</v>
      </c>
    </row>
    <row r="166" spans="1:8" x14ac:dyDescent="0.25">
      <c r="A166" s="71">
        <v>2021</v>
      </c>
      <c r="B166" s="72" t="s">
        <v>214</v>
      </c>
      <c r="C166" s="73" t="s">
        <v>225</v>
      </c>
      <c r="D166" s="73" t="s">
        <v>172</v>
      </c>
      <c r="E166" s="73" t="str">
        <f>VLOOKUP(D166,clientes!$C$3:$D$60,2,FALSE)</f>
        <v>EVONIK</v>
      </c>
      <c r="F166" s="73" t="s">
        <v>124</v>
      </c>
      <c r="G166" s="73" t="str">
        <f>VLOOKUP(F166,'[2]Lista de Produtos CLASSIFICAÇÃO'!$E$103:$F$114,2,FALSE)</f>
        <v>Outros</v>
      </c>
      <c r="H166" s="74">
        <v>2603</v>
      </c>
    </row>
    <row r="167" spans="1:8" x14ac:dyDescent="0.25">
      <c r="A167" s="75">
        <v>2021</v>
      </c>
      <c r="B167" s="76" t="s">
        <v>215</v>
      </c>
      <c r="C167" s="77" t="s">
        <v>225</v>
      </c>
      <c r="D167" s="77" t="s">
        <v>172</v>
      </c>
      <c r="E167" s="73" t="str">
        <f>VLOOKUP(D167,clientes!$C$3:$D$60,2,FALSE)</f>
        <v>EVONIK</v>
      </c>
      <c r="F167" s="77" t="s">
        <v>124</v>
      </c>
      <c r="G167" s="73" t="str">
        <f>VLOOKUP(F167,'[2]Lista de Produtos CLASSIFICAÇÃO'!$E$103:$F$114,2,FALSE)</f>
        <v>Outros</v>
      </c>
      <c r="H167" s="78">
        <v>2603</v>
      </c>
    </row>
    <row r="168" spans="1:8" x14ac:dyDescent="0.25">
      <c r="A168" s="71">
        <v>2021</v>
      </c>
      <c r="B168" s="72" t="s">
        <v>230</v>
      </c>
      <c r="C168" s="73" t="s">
        <v>225</v>
      </c>
      <c r="D168" s="73" t="s">
        <v>172</v>
      </c>
      <c r="E168" s="73" t="str">
        <f>VLOOKUP(D168,clientes!$C$3:$D$60,2,FALSE)</f>
        <v>EVONIK</v>
      </c>
      <c r="F168" s="73" t="s">
        <v>124</v>
      </c>
      <c r="G168" s="73" t="str">
        <f>VLOOKUP(F168,'[2]Lista de Produtos CLASSIFICAÇÃO'!$E$103:$F$114,2,FALSE)</f>
        <v>Outros</v>
      </c>
      <c r="H168" s="74">
        <v>2603</v>
      </c>
    </row>
    <row r="169" spans="1:8" x14ac:dyDescent="0.25">
      <c r="A169" s="75">
        <v>2021</v>
      </c>
      <c r="B169" s="76" t="s">
        <v>231</v>
      </c>
      <c r="C169" s="77" t="s">
        <v>225</v>
      </c>
      <c r="D169" s="77" t="s">
        <v>172</v>
      </c>
      <c r="E169" s="73" t="str">
        <f>VLOOKUP(D169,clientes!$C$3:$D$60,2,FALSE)</f>
        <v>EVONIK</v>
      </c>
      <c r="F169" s="77" t="s">
        <v>124</v>
      </c>
      <c r="G169" s="73" t="str">
        <f>VLOOKUP(F169,'[2]Lista de Produtos CLASSIFICAÇÃO'!$E$103:$F$114,2,FALSE)</f>
        <v>Outros</v>
      </c>
      <c r="H169" s="78">
        <v>2603</v>
      </c>
    </row>
    <row r="170" spans="1:8" x14ac:dyDescent="0.25">
      <c r="A170" s="71">
        <v>2021</v>
      </c>
      <c r="B170" s="72" t="s">
        <v>226</v>
      </c>
      <c r="C170" s="73" t="s">
        <v>225</v>
      </c>
      <c r="D170" s="73" t="s">
        <v>203</v>
      </c>
      <c r="E170" s="73" t="str">
        <f>VLOOKUP(D170,clientes!$C$3:$D$60,2,FALSE)</f>
        <v>GTM</v>
      </c>
      <c r="F170" s="73" t="s">
        <v>124</v>
      </c>
      <c r="G170" s="73" t="str">
        <f>VLOOKUP(F170,'[2]Lista de Produtos CLASSIFICAÇÃO'!$E$103:$F$114,2,FALSE)</f>
        <v>Outros</v>
      </c>
      <c r="H170" s="74">
        <v>0</v>
      </c>
    </row>
    <row r="171" spans="1:8" x14ac:dyDescent="0.25">
      <c r="A171" s="75">
        <v>2021</v>
      </c>
      <c r="B171" s="76" t="s">
        <v>227</v>
      </c>
      <c r="C171" s="77" t="s">
        <v>225</v>
      </c>
      <c r="D171" s="77" t="s">
        <v>203</v>
      </c>
      <c r="E171" s="73" t="str">
        <f>VLOOKUP(D171,clientes!$C$3:$D$60,2,FALSE)</f>
        <v>GTM</v>
      </c>
      <c r="F171" s="77" t="s">
        <v>124</v>
      </c>
      <c r="G171" s="73" t="str">
        <f>VLOOKUP(F171,'[2]Lista de Produtos CLASSIFICAÇÃO'!$E$103:$F$114,2,FALSE)</f>
        <v>Outros</v>
      </c>
      <c r="H171" s="78">
        <v>1700</v>
      </c>
    </row>
    <row r="172" spans="1:8" x14ac:dyDescent="0.25">
      <c r="A172" s="71">
        <v>2021</v>
      </c>
      <c r="B172" s="72" t="s">
        <v>228</v>
      </c>
      <c r="C172" s="73" t="s">
        <v>225</v>
      </c>
      <c r="D172" s="73" t="s">
        <v>203</v>
      </c>
      <c r="E172" s="73" t="str">
        <f>VLOOKUP(D172,clientes!$C$3:$D$60,2,FALSE)</f>
        <v>GTM</v>
      </c>
      <c r="F172" s="73" t="s">
        <v>124</v>
      </c>
      <c r="G172" s="73" t="str">
        <f>VLOOKUP(F172,'[2]Lista de Produtos CLASSIFICAÇÃO'!$E$103:$F$114,2,FALSE)</f>
        <v>Outros</v>
      </c>
      <c r="H172" s="74">
        <v>1700</v>
      </c>
    </row>
    <row r="173" spans="1:8" x14ac:dyDescent="0.25">
      <c r="A173" s="75">
        <v>2021</v>
      </c>
      <c r="B173" s="76" t="s">
        <v>229</v>
      </c>
      <c r="C173" s="77" t="s">
        <v>225</v>
      </c>
      <c r="D173" s="77" t="s">
        <v>203</v>
      </c>
      <c r="E173" s="73" t="str">
        <f>VLOOKUP(D173,clientes!$C$3:$D$60,2,FALSE)</f>
        <v>GTM</v>
      </c>
      <c r="F173" s="77" t="s">
        <v>124</v>
      </c>
      <c r="G173" s="73" t="str">
        <f>VLOOKUP(F173,'[2]Lista de Produtos CLASSIFICAÇÃO'!$E$103:$F$114,2,FALSE)</f>
        <v>Outros</v>
      </c>
      <c r="H173" s="78">
        <v>1700</v>
      </c>
    </row>
    <row r="174" spans="1:8" x14ac:dyDescent="0.25">
      <c r="A174" s="71">
        <v>2021</v>
      </c>
      <c r="B174" s="72" t="s">
        <v>210</v>
      </c>
      <c r="C174" s="73" t="s">
        <v>225</v>
      </c>
      <c r="D174" s="73" t="s">
        <v>203</v>
      </c>
      <c r="E174" s="73" t="str">
        <f>VLOOKUP(D174,clientes!$C$3:$D$60,2,FALSE)</f>
        <v>GTM</v>
      </c>
      <c r="F174" s="73" t="s">
        <v>124</v>
      </c>
      <c r="G174" s="73" t="str">
        <f>VLOOKUP(F174,'[2]Lista de Produtos CLASSIFICAÇÃO'!$E$103:$F$114,2,FALSE)</f>
        <v>Outros</v>
      </c>
      <c r="H174" s="74">
        <v>1700</v>
      </c>
    </row>
    <row r="175" spans="1:8" x14ac:dyDescent="0.25">
      <c r="A175" s="75">
        <v>2021</v>
      </c>
      <c r="B175" s="76" t="s">
        <v>211</v>
      </c>
      <c r="C175" s="77" t="s">
        <v>225</v>
      </c>
      <c r="D175" s="77" t="s">
        <v>203</v>
      </c>
      <c r="E175" s="73" t="str">
        <f>VLOOKUP(D175,clientes!$C$3:$D$60,2,FALSE)</f>
        <v>GTM</v>
      </c>
      <c r="F175" s="77" t="s">
        <v>124</v>
      </c>
      <c r="G175" s="73" t="str">
        <f>VLOOKUP(F175,'[2]Lista de Produtos CLASSIFICAÇÃO'!$E$103:$F$114,2,FALSE)</f>
        <v>Outros</v>
      </c>
      <c r="H175" s="78">
        <v>1700</v>
      </c>
    </row>
    <row r="176" spans="1:8" x14ac:dyDescent="0.25">
      <c r="A176" s="71">
        <v>2021</v>
      </c>
      <c r="B176" s="72" t="s">
        <v>212</v>
      </c>
      <c r="C176" s="73" t="s">
        <v>225</v>
      </c>
      <c r="D176" s="73" t="s">
        <v>203</v>
      </c>
      <c r="E176" s="73" t="str">
        <f>VLOOKUP(D176,clientes!$C$3:$D$60,2,FALSE)</f>
        <v>GTM</v>
      </c>
      <c r="F176" s="73" t="s">
        <v>124</v>
      </c>
      <c r="G176" s="73" t="str">
        <f>VLOOKUP(F176,'[2]Lista de Produtos CLASSIFICAÇÃO'!$E$103:$F$114,2,FALSE)</f>
        <v>Outros</v>
      </c>
      <c r="H176" s="74">
        <v>1700</v>
      </c>
    </row>
    <row r="177" spans="1:8" x14ac:dyDescent="0.25">
      <c r="A177" s="75">
        <v>2021</v>
      </c>
      <c r="B177" s="76" t="s">
        <v>213</v>
      </c>
      <c r="C177" s="77" t="s">
        <v>225</v>
      </c>
      <c r="D177" s="77" t="s">
        <v>203</v>
      </c>
      <c r="E177" s="73" t="str">
        <f>VLOOKUP(D177,clientes!$C$3:$D$60,2,FALSE)</f>
        <v>GTM</v>
      </c>
      <c r="F177" s="77" t="s">
        <v>124</v>
      </c>
      <c r="G177" s="73" t="str">
        <f>VLOOKUP(F177,'[2]Lista de Produtos CLASSIFICAÇÃO'!$E$103:$F$114,2,FALSE)</f>
        <v>Outros</v>
      </c>
      <c r="H177" s="78">
        <v>1700</v>
      </c>
    </row>
    <row r="178" spans="1:8" x14ac:dyDescent="0.25">
      <c r="A178" s="71">
        <v>2021</v>
      </c>
      <c r="B178" s="72" t="s">
        <v>214</v>
      </c>
      <c r="C178" s="73" t="s">
        <v>225</v>
      </c>
      <c r="D178" s="73" t="s">
        <v>203</v>
      </c>
      <c r="E178" s="73" t="str">
        <f>VLOOKUP(D178,clientes!$C$3:$D$60,2,FALSE)</f>
        <v>GTM</v>
      </c>
      <c r="F178" s="73" t="s">
        <v>124</v>
      </c>
      <c r="G178" s="73" t="str">
        <f>VLOOKUP(F178,'[2]Lista de Produtos CLASSIFICAÇÃO'!$E$103:$F$114,2,FALSE)</f>
        <v>Outros</v>
      </c>
      <c r="H178" s="74">
        <v>1700</v>
      </c>
    </row>
    <row r="179" spans="1:8" x14ac:dyDescent="0.25">
      <c r="A179" s="75">
        <v>2021</v>
      </c>
      <c r="B179" s="76" t="s">
        <v>215</v>
      </c>
      <c r="C179" s="77" t="s">
        <v>225</v>
      </c>
      <c r="D179" s="77" t="s">
        <v>203</v>
      </c>
      <c r="E179" s="73" t="str">
        <f>VLOOKUP(D179,clientes!$C$3:$D$60,2,FALSE)</f>
        <v>GTM</v>
      </c>
      <c r="F179" s="77" t="s">
        <v>124</v>
      </c>
      <c r="G179" s="73" t="str">
        <f>VLOOKUP(F179,'[2]Lista de Produtos CLASSIFICAÇÃO'!$E$103:$F$114,2,FALSE)</f>
        <v>Outros</v>
      </c>
      <c r="H179" s="78">
        <v>1700</v>
      </c>
    </row>
    <row r="180" spans="1:8" x14ac:dyDescent="0.25">
      <c r="A180" s="71">
        <v>2021</v>
      </c>
      <c r="B180" s="72" t="s">
        <v>230</v>
      </c>
      <c r="C180" s="73" t="s">
        <v>225</v>
      </c>
      <c r="D180" s="73" t="s">
        <v>203</v>
      </c>
      <c r="E180" s="73" t="str">
        <f>VLOOKUP(D180,clientes!$C$3:$D$60,2,FALSE)</f>
        <v>GTM</v>
      </c>
      <c r="F180" s="73" t="s">
        <v>124</v>
      </c>
      <c r="G180" s="73" t="str">
        <f>VLOOKUP(F180,'[2]Lista de Produtos CLASSIFICAÇÃO'!$E$103:$F$114,2,FALSE)</f>
        <v>Outros</v>
      </c>
      <c r="H180" s="74">
        <v>1700</v>
      </c>
    </row>
    <row r="181" spans="1:8" x14ac:dyDescent="0.25">
      <c r="A181" s="75">
        <v>2021</v>
      </c>
      <c r="B181" s="76" t="s">
        <v>231</v>
      </c>
      <c r="C181" s="77" t="s">
        <v>225</v>
      </c>
      <c r="D181" s="77" t="s">
        <v>203</v>
      </c>
      <c r="E181" s="73" t="str">
        <f>VLOOKUP(D181,clientes!$C$3:$D$60,2,FALSE)</f>
        <v>GTM</v>
      </c>
      <c r="F181" s="77" t="s">
        <v>124</v>
      </c>
      <c r="G181" s="73" t="str">
        <f>VLOOKUP(F181,'[2]Lista de Produtos CLASSIFICAÇÃO'!$E$103:$F$114,2,FALSE)</f>
        <v>Outros</v>
      </c>
      <c r="H181" s="78">
        <v>1700</v>
      </c>
    </row>
    <row r="182" spans="1:8" x14ac:dyDescent="0.25">
      <c r="A182" s="71">
        <v>2021</v>
      </c>
      <c r="B182" s="72" t="s">
        <v>226</v>
      </c>
      <c r="C182" s="73" t="s">
        <v>225</v>
      </c>
      <c r="D182" s="73" t="s">
        <v>200</v>
      </c>
      <c r="E182" s="73" t="str">
        <f>VLOOKUP(D182,clientes!$C$3:$D$60,2,FALSE)</f>
        <v>GREENENERGY</v>
      </c>
      <c r="F182" s="73" t="s">
        <v>120</v>
      </c>
      <c r="G182" s="73" t="str">
        <f>VLOOKUP(F182,'[2]Lista de Produtos CLASSIFICAÇÃO'!$E$103:$F$114,2,FALSE)</f>
        <v>Derivados</v>
      </c>
      <c r="H182" s="74">
        <v>30000</v>
      </c>
    </row>
    <row r="183" spans="1:8" x14ac:dyDescent="0.25">
      <c r="A183" s="75">
        <v>2021</v>
      </c>
      <c r="B183" s="76" t="s">
        <v>227</v>
      </c>
      <c r="C183" s="77" t="s">
        <v>225</v>
      </c>
      <c r="D183" s="77" t="s">
        <v>200</v>
      </c>
      <c r="E183" s="73" t="str">
        <f>VLOOKUP(D183,clientes!$C$3:$D$60,2,FALSE)</f>
        <v>GREENENERGY</v>
      </c>
      <c r="F183" s="77" t="s">
        <v>120</v>
      </c>
      <c r="G183" s="73" t="str">
        <f>VLOOKUP(F183,'[2]Lista de Produtos CLASSIFICAÇÃO'!$E$103:$F$114,2,FALSE)</f>
        <v>Derivados</v>
      </c>
      <c r="H183" s="78">
        <v>30000</v>
      </c>
    </row>
    <row r="184" spans="1:8" x14ac:dyDescent="0.25">
      <c r="A184" s="71">
        <v>2021</v>
      </c>
      <c r="B184" s="72" t="s">
        <v>228</v>
      </c>
      <c r="C184" s="73" t="s">
        <v>225</v>
      </c>
      <c r="D184" s="73" t="s">
        <v>200</v>
      </c>
      <c r="E184" s="73" t="str">
        <f>VLOOKUP(D184,clientes!$C$3:$D$60,2,FALSE)</f>
        <v>GREENENERGY</v>
      </c>
      <c r="F184" s="73" t="s">
        <v>120</v>
      </c>
      <c r="G184" s="73" t="str">
        <f>VLOOKUP(F184,'[2]Lista de Produtos CLASSIFICAÇÃO'!$E$103:$F$114,2,FALSE)</f>
        <v>Derivados</v>
      </c>
      <c r="H184" s="74">
        <v>30000</v>
      </c>
    </row>
    <row r="185" spans="1:8" x14ac:dyDescent="0.25">
      <c r="A185" s="75">
        <v>2021</v>
      </c>
      <c r="B185" s="76" t="s">
        <v>229</v>
      </c>
      <c r="C185" s="77" t="s">
        <v>225</v>
      </c>
      <c r="D185" s="77" t="s">
        <v>200</v>
      </c>
      <c r="E185" s="73" t="str">
        <f>VLOOKUP(D185,clientes!$C$3:$D$60,2,FALSE)</f>
        <v>GREENENERGY</v>
      </c>
      <c r="F185" s="77" t="s">
        <v>120</v>
      </c>
      <c r="G185" s="73" t="str">
        <f>VLOOKUP(F185,'[2]Lista de Produtos CLASSIFICAÇÃO'!$E$103:$F$114,2,FALSE)</f>
        <v>Derivados</v>
      </c>
      <c r="H185" s="78">
        <v>30000</v>
      </c>
    </row>
    <row r="186" spans="1:8" x14ac:dyDescent="0.25">
      <c r="A186" s="71">
        <v>2021</v>
      </c>
      <c r="B186" s="72" t="s">
        <v>210</v>
      </c>
      <c r="C186" s="73" t="s">
        <v>225</v>
      </c>
      <c r="D186" s="73" t="s">
        <v>200</v>
      </c>
      <c r="E186" s="73" t="str">
        <f>VLOOKUP(D186,clientes!$C$3:$D$60,2,FALSE)</f>
        <v>GREENENERGY</v>
      </c>
      <c r="F186" s="73" t="s">
        <v>120</v>
      </c>
      <c r="G186" s="73" t="str">
        <f>VLOOKUP(F186,'[2]Lista de Produtos CLASSIFICAÇÃO'!$E$103:$F$114,2,FALSE)</f>
        <v>Derivados</v>
      </c>
      <c r="H186" s="74">
        <v>30000</v>
      </c>
    </row>
    <row r="187" spans="1:8" x14ac:dyDescent="0.25">
      <c r="A187" s="75">
        <v>2021</v>
      </c>
      <c r="B187" s="76" t="s">
        <v>211</v>
      </c>
      <c r="C187" s="77" t="s">
        <v>225</v>
      </c>
      <c r="D187" s="77" t="s">
        <v>200</v>
      </c>
      <c r="E187" s="73" t="str">
        <f>VLOOKUP(D187,clientes!$C$3:$D$60,2,FALSE)</f>
        <v>GREENENERGY</v>
      </c>
      <c r="F187" s="77" t="s">
        <v>120</v>
      </c>
      <c r="G187" s="73" t="str">
        <f>VLOOKUP(F187,'[2]Lista de Produtos CLASSIFICAÇÃO'!$E$103:$F$114,2,FALSE)</f>
        <v>Derivados</v>
      </c>
      <c r="H187" s="78">
        <v>30000</v>
      </c>
    </row>
    <row r="188" spans="1:8" x14ac:dyDescent="0.25">
      <c r="A188" s="71">
        <v>2021</v>
      </c>
      <c r="B188" s="72" t="s">
        <v>212</v>
      </c>
      <c r="C188" s="73" t="s">
        <v>225</v>
      </c>
      <c r="D188" s="73" t="s">
        <v>200</v>
      </c>
      <c r="E188" s="73" t="str">
        <f>VLOOKUP(D188,clientes!$C$3:$D$60,2,FALSE)</f>
        <v>GREENENERGY</v>
      </c>
      <c r="F188" s="73" t="s">
        <v>120</v>
      </c>
      <c r="G188" s="73" t="str">
        <f>VLOOKUP(F188,'[2]Lista de Produtos CLASSIFICAÇÃO'!$E$103:$F$114,2,FALSE)</f>
        <v>Derivados</v>
      </c>
      <c r="H188" s="74">
        <v>30000</v>
      </c>
    </row>
    <row r="189" spans="1:8" x14ac:dyDescent="0.25">
      <c r="A189" s="75">
        <v>2021</v>
      </c>
      <c r="B189" s="76" t="s">
        <v>213</v>
      </c>
      <c r="C189" s="77" t="s">
        <v>225</v>
      </c>
      <c r="D189" s="77" t="s">
        <v>200</v>
      </c>
      <c r="E189" s="73" t="str">
        <f>VLOOKUP(D189,clientes!$C$3:$D$60,2,FALSE)</f>
        <v>GREENENERGY</v>
      </c>
      <c r="F189" s="77" t="s">
        <v>120</v>
      </c>
      <c r="G189" s="73" t="str">
        <f>VLOOKUP(F189,'[2]Lista de Produtos CLASSIFICAÇÃO'!$E$103:$F$114,2,FALSE)</f>
        <v>Derivados</v>
      </c>
      <c r="H189" s="78">
        <v>30000</v>
      </c>
    </row>
    <row r="190" spans="1:8" x14ac:dyDescent="0.25">
      <c r="A190" s="71">
        <v>2021</v>
      </c>
      <c r="B190" s="72" t="s">
        <v>214</v>
      </c>
      <c r="C190" s="73" t="s">
        <v>225</v>
      </c>
      <c r="D190" s="73" t="s">
        <v>200</v>
      </c>
      <c r="E190" s="73" t="str">
        <f>VLOOKUP(D190,clientes!$C$3:$D$60,2,FALSE)</f>
        <v>GREENENERGY</v>
      </c>
      <c r="F190" s="73" t="s">
        <v>120</v>
      </c>
      <c r="G190" s="73" t="str">
        <f>VLOOKUP(F190,'[2]Lista de Produtos CLASSIFICAÇÃO'!$E$103:$F$114,2,FALSE)</f>
        <v>Derivados</v>
      </c>
      <c r="H190" s="74">
        <v>30000</v>
      </c>
    </row>
    <row r="191" spans="1:8" x14ac:dyDescent="0.25">
      <c r="A191" s="75">
        <v>2021</v>
      </c>
      <c r="B191" s="76" t="s">
        <v>215</v>
      </c>
      <c r="C191" s="77" t="s">
        <v>225</v>
      </c>
      <c r="D191" s="77" t="s">
        <v>200</v>
      </c>
      <c r="E191" s="73" t="str">
        <f>VLOOKUP(D191,clientes!$C$3:$D$60,2,FALSE)</f>
        <v>GREENENERGY</v>
      </c>
      <c r="F191" s="77" t="s">
        <v>120</v>
      </c>
      <c r="G191" s="73" t="str">
        <f>VLOOKUP(F191,'[2]Lista de Produtos CLASSIFICAÇÃO'!$E$103:$F$114,2,FALSE)</f>
        <v>Derivados</v>
      </c>
      <c r="H191" s="78">
        <v>30000</v>
      </c>
    </row>
    <row r="192" spans="1:8" x14ac:dyDescent="0.25">
      <c r="A192" s="71">
        <v>2021</v>
      </c>
      <c r="B192" s="72" t="s">
        <v>230</v>
      </c>
      <c r="C192" s="73" t="s">
        <v>225</v>
      </c>
      <c r="D192" s="73" t="s">
        <v>200</v>
      </c>
      <c r="E192" s="73" t="str">
        <f>VLOOKUP(D192,clientes!$C$3:$D$60,2,FALSE)</f>
        <v>GREENENERGY</v>
      </c>
      <c r="F192" s="73" t="s">
        <v>120</v>
      </c>
      <c r="G192" s="73" t="str">
        <f>VLOOKUP(F192,'[2]Lista de Produtos CLASSIFICAÇÃO'!$E$103:$F$114,2,FALSE)</f>
        <v>Derivados</v>
      </c>
      <c r="H192" s="74">
        <v>30000</v>
      </c>
    </row>
    <row r="193" spans="1:8" x14ac:dyDescent="0.25">
      <c r="A193" s="75">
        <v>2021</v>
      </c>
      <c r="B193" s="76" t="s">
        <v>231</v>
      </c>
      <c r="C193" s="77" t="s">
        <v>225</v>
      </c>
      <c r="D193" s="77" t="s">
        <v>200</v>
      </c>
      <c r="E193" s="73" t="str">
        <f>VLOOKUP(D193,clientes!$C$3:$D$60,2,FALSE)</f>
        <v>GREENENERGY</v>
      </c>
      <c r="F193" s="77" t="s">
        <v>120</v>
      </c>
      <c r="G193" s="73" t="str">
        <f>VLOOKUP(F193,'[2]Lista de Produtos CLASSIFICAÇÃO'!$E$103:$F$114,2,FALSE)</f>
        <v>Derivados</v>
      </c>
      <c r="H193" s="78">
        <v>30000</v>
      </c>
    </row>
    <row r="194" spans="1:8" x14ac:dyDescent="0.25">
      <c r="A194" s="71">
        <v>2021</v>
      </c>
      <c r="B194" s="72" t="s">
        <v>226</v>
      </c>
      <c r="C194" s="73" t="s">
        <v>225</v>
      </c>
      <c r="D194" s="73" t="s">
        <v>208</v>
      </c>
      <c r="E194" s="73" t="str">
        <f>VLOOKUP(D194,clientes!$C$3:$D$60,2,FALSE)</f>
        <v>HINOVE</v>
      </c>
      <c r="F194" s="73" t="s">
        <v>202</v>
      </c>
      <c r="G194" s="73" t="e">
        <f>VLOOKUP(F194,'[2]Lista de Produtos CLASSIFICAÇÃO'!$E$103:$F$114,2,FALSE)</f>
        <v>#N/A</v>
      </c>
      <c r="H194" s="74">
        <v>5000</v>
      </c>
    </row>
    <row r="195" spans="1:8" x14ac:dyDescent="0.25">
      <c r="A195" s="75">
        <v>2021</v>
      </c>
      <c r="B195" s="76" t="s">
        <v>227</v>
      </c>
      <c r="C195" s="77" t="s">
        <v>225</v>
      </c>
      <c r="D195" s="77" t="s">
        <v>208</v>
      </c>
      <c r="E195" s="73" t="str">
        <f>VLOOKUP(D195,clientes!$C$3:$D$60,2,FALSE)</f>
        <v>HINOVE</v>
      </c>
      <c r="F195" s="77" t="s">
        <v>202</v>
      </c>
      <c r="G195" s="73" t="e">
        <f>VLOOKUP(F195,'[2]Lista de Produtos CLASSIFICAÇÃO'!$E$103:$F$114,2,FALSE)</f>
        <v>#N/A</v>
      </c>
      <c r="H195" s="78">
        <v>5000</v>
      </c>
    </row>
    <row r="196" spans="1:8" x14ac:dyDescent="0.25">
      <c r="A196" s="71">
        <v>2021</v>
      </c>
      <c r="B196" s="72" t="s">
        <v>228</v>
      </c>
      <c r="C196" s="73" t="s">
        <v>225</v>
      </c>
      <c r="D196" s="73" t="s">
        <v>208</v>
      </c>
      <c r="E196" s="73" t="str">
        <f>VLOOKUP(D196,clientes!$C$3:$D$60,2,FALSE)</f>
        <v>HINOVE</v>
      </c>
      <c r="F196" s="73" t="s">
        <v>202</v>
      </c>
      <c r="G196" s="73" t="e">
        <f>VLOOKUP(F196,'[2]Lista de Produtos CLASSIFICAÇÃO'!$E$103:$F$114,2,FALSE)</f>
        <v>#N/A</v>
      </c>
      <c r="H196" s="74">
        <v>5000</v>
      </c>
    </row>
    <row r="197" spans="1:8" x14ac:dyDescent="0.25">
      <c r="A197" s="75">
        <v>2021</v>
      </c>
      <c r="B197" s="76" t="s">
        <v>229</v>
      </c>
      <c r="C197" s="77" t="s">
        <v>225</v>
      </c>
      <c r="D197" s="77" t="s">
        <v>208</v>
      </c>
      <c r="E197" s="73" t="str">
        <f>VLOOKUP(D197,clientes!$C$3:$D$60,2,FALSE)</f>
        <v>HINOVE</v>
      </c>
      <c r="F197" s="77" t="s">
        <v>202</v>
      </c>
      <c r="G197" s="73" t="e">
        <f>VLOOKUP(F197,'[2]Lista de Produtos CLASSIFICAÇÃO'!$E$103:$F$114,2,FALSE)</f>
        <v>#N/A</v>
      </c>
      <c r="H197" s="78">
        <v>5000</v>
      </c>
    </row>
    <row r="198" spans="1:8" x14ac:dyDescent="0.25">
      <c r="A198" s="71">
        <v>2021</v>
      </c>
      <c r="B198" s="72" t="s">
        <v>210</v>
      </c>
      <c r="C198" s="73" t="s">
        <v>225</v>
      </c>
      <c r="D198" s="73" t="s">
        <v>208</v>
      </c>
      <c r="E198" s="73" t="str">
        <f>VLOOKUP(D198,clientes!$C$3:$D$60,2,FALSE)</f>
        <v>HINOVE</v>
      </c>
      <c r="F198" s="73" t="s">
        <v>202</v>
      </c>
      <c r="G198" s="73" t="e">
        <f>VLOOKUP(F198,'[2]Lista de Produtos CLASSIFICAÇÃO'!$E$103:$F$114,2,FALSE)</f>
        <v>#N/A</v>
      </c>
      <c r="H198" s="74">
        <v>5000</v>
      </c>
    </row>
    <row r="199" spans="1:8" x14ac:dyDescent="0.25">
      <c r="A199" s="75">
        <v>2021</v>
      </c>
      <c r="B199" s="76" t="s">
        <v>211</v>
      </c>
      <c r="C199" s="77" t="s">
        <v>225</v>
      </c>
      <c r="D199" s="77" t="s">
        <v>208</v>
      </c>
      <c r="E199" s="73" t="str">
        <f>VLOOKUP(D199,clientes!$C$3:$D$60,2,FALSE)</f>
        <v>HINOVE</v>
      </c>
      <c r="F199" s="77" t="s">
        <v>202</v>
      </c>
      <c r="G199" s="73" t="e">
        <f>VLOOKUP(F199,'[2]Lista de Produtos CLASSIFICAÇÃO'!$E$103:$F$114,2,FALSE)</f>
        <v>#N/A</v>
      </c>
      <c r="H199" s="78">
        <v>5000</v>
      </c>
    </row>
    <row r="200" spans="1:8" x14ac:dyDescent="0.25">
      <c r="A200" s="71">
        <v>2021</v>
      </c>
      <c r="B200" s="72" t="s">
        <v>212</v>
      </c>
      <c r="C200" s="73" t="s">
        <v>225</v>
      </c>
      <c r="D200" s="73" t="s">
        <v>208</v>
      </c>
      <c r="E200" s="73" t="str">
        <f>VLOOKUP(D200,clientes!$C$3:$D$60,2,FALSE)</f>
        <v>HINOVE</v>
      </c>
      <c r="F200" s="73" t="s">
        <v>202</v>
      </c>
      <c r="G200" s="73" t="e">
        <f>VLOOKUP(F200,'[2]Lista de Produtos CLASSIFICAÇÃO'!$E$103:$F$114,2,FALSE)</f>
        <v>#N/A</v>
      </c>
      <c r="H200" s="74">
        <v>5000</v>
      </c>
    </row>
    <row r="201" spans="1:8" x14ac:dyDescent="0.25">
      <c r="A201" s="75">
        <v>2021</v>
      </c>
      <c r="B201" s="76" t="s">
        <v>213</v>
      </c>
      <c r="C201" s="77" t="s">
        <v>225</v>
      </c>
      <c r="D201" s="77" t="s">
        <v>208</v>
      </c>
      <c r="E201" s="73" t="str">
        <f>VLOOKUP(D201,clientes!$C$3:$D$60,2,FALSE)</f>
        <v>HINOVE</v>
      </c>
      <c r="F201" s="77" t="s">
        <v>202</v>
      </c>
      <c r="G201" s="73" t="e">
        <f>VLOOKUP(F201,'[2]Lista de Produtos CLASSIFICAÇÃO'!$E$103:$F$114,2,FALSE)</f>
        <v>#N/A</v>
      </c>
      <c r="H201" s="78">
        <v>5000</v>
      </c>
    </row>
    <row r="202" spans="1:8" x14ac:dyDescent="0.25">
      <c r="A202" s="71">
        <v>2021</v>
      </c>
      <c r="B202" s="72" t="s">
        <v>214</v>
      </c>
      <c r="C202" s="73" t="s">
        <v>225</v>
      </c>
      <c r="D202" s="73" t="s">
        <v>208</v>
      </c>
      <c r="E202" s="73" t="str">
        <f>VLOOKUP(D202,clientes!$C$3:$D$60,2,FALSE)</f>
        <v>HINOVE</v>
      </c>
      <c r="F202" s="73" t="s">
        <v>202</v>
      </c>
      <c r="G202" s="73" t="e">
        <f>VLOOKUP(F202,'[2]Lista de Produtos CLASSIFICAÇÃO'!$E$103:$F$114,2,FALSE)</f>
        <v>#N/A</v>
      </c>
      <c r="H202" s="74">
        <v>5000</v>
      </c>
    </row>
    <row r="203" spans="1:8" x14ac:dyDescent="0.25">
      <c r="A203" s="75">
        <v>2021</v>
      </c>
      <c r="B203" s="76" t="s">
        <v>215</v>
      </c>
      <c r="C203" s="77" t="s">
        <v>225</v>
      </c>
      <c r="D203" s="77" t="s">
        <v>208</v>
      </c>
      <c r="E203" s="73" t="str">
        <f>VLOOKUP(D203,clientes!$C$3:$D$60,2,FALSE)</f>
        <v>HINOVE</v>
      </c>
      <c r="F203" s="77" t="s">
        <v>202</v>
      </c>
      <c r="G203" s="73" t="e">
        <f>VLOOKUP(F203,'[2]Lista de Produtos CLASSIFICAÇÃO'!$E$103:$F$114,2,FALSE)</f>
        <v>#N/A</v>
      </c>
      <c r="H203" s="78">
        <v>5000</v>
      </c>
    </row>
    <row r="204" spans="1:8" x14ac:dyDescent="0.25">
      <c r="A204" s="71">
        <v>2021</v>
      </c>
      <c r="B204" s="72" t="s">
        <v>230</v>
      </c>
      <c r="C204" s="73" t="s">
        <v>225</v>
      </c>
      <c r="D204" s="73" t="s">
        <v>208</v>
      </c>
      <c r="E204" s="73" t="str">
        <f>VLOOKUP(D204,clientes!$C$3:$D$60,2,FALSE)</f>
        <v>HINOVE</v>
      </c>
      <c r="F204" s="73" t="s">
        <v>202</v>
      </c>
      <c r="G204" s="73" t="e">
        <f>VLOOKUP(F204,'[2]Lista de Produtos CLASSIFICAÇÃO'!$E$103:$F$114,2,FALSE)</f>
        <v>#N/A</v>
      </c>
      <c r="H204" s="74">
        <v>5000</v>
      </c>
    </row>
    <row r="205" spans="1:8" x14ac:dyDescent="0.25">
      <c r="A205" s="75">
        <v>2021</v>
      </c>
      <c r="B205" s="76" t="s">
        <v>231</v>
      </c>
      <c r="C205" s="77" t="s">
        <v>225</v>
      </c>
      <c r="D205" s="77" t="s">
        <v>208</v>
      </c>
      <c r="E205" s="73" t="str">
        <f>VLOOKUP(D205,clientes!$C$3:$D$60,2,FALSE)</f>
        <v>HINOVE</v>
      </c>
      <c r="F205" s="77" t="s">
        <v>202</v>
      </c>
      <c r="G205" s="73" t="e">
        <f>VLOOKUP(F205,'[2]Lista de Produtos CLASSIFICAÇÃO'!$E$103:$F$114,2,FALSE)</f>
        <v>#N/A</v>
      </c>
      <c r="H205" s="78">
        <v>5000</v>
      </c>
    </row>
    <row r="206" spans="1:8" x14ac:dyDescent="0.25">
      <c r="A206" s="71">
        <v>2021</v>
      </c>
      <c r="B206" s="72" t="s">
        <v>226</v>
      </c>
      <c r="C206" s="73" t="s">
        <v>233</v>
      </c>
      <c r="D206" s="73" t="s">
        <v>158</v>
      </c>
      <c r="E206" s="73" t="str">
        <f>VLOOKUP(D206,clientes!$C$3:$D$60,2,FALSE)</f>
        <v>IPIRANGA</v>
      </c>
      <c r="F206" s="73" t="s">
        <v>120</v>
      </c>
      <c r="G206" s="73" t="str">
        <f>VLOOKUP(F206,'[2]Lista de Produtos CLASSIFICAÇÃO'!$E$103:$F$114,2,FALSE)</f>
        <v>Derivados</v>
      </c>
      <c r="H206" s="74">
        <v>93000</v>
      </c>
    </row>
    <row r="207" spans="1:8" x14ac:dyDescent="0.25">
      <c r="A207" s="75">
        <v>2021</v>
      </c>
      <c r="B207" s="76" t="s">
        <v>227</v>
      </c>
      <c r="C207" s="77" t="s">
        <v>233</v>
      </c>
      <c r="D207" s="77" t="s">
        <v>158</v>
      </c>
      <c r="E207" s="73" t="str">
        <f>VLOOKUP(D207,clientes!$C$3:$D$60,2,FALSE)</f>
        <v>IPIRANGA</v>
      </c>
      <c r="F207" s="77" t="s">
        <v>120</v>
      </c>
      <c r="G207" s="73" t="str">
        <f>VLOOKUP(F207,'[2]Lista de Produtos CLASSIFICAÇÃO'!$E$103:$F$114,2,FALSE)</f>
        <v>Derivados</v>
      </c>
      <c r="H207" s="78">
        <v>93000</v>
      </c>
    </row>
    <row r="208" spans="1:8" x14ac:dyDescent="0.25">
      <c r="A208" s="71">
        <v>2021</v>
      </c>
      <c r="B208" s="72" t="s">
        <v>228</v>
      </c>
      <c r="C208" s="73" t="s">
        <v>233</v>
      </c>
      <c r="D208" s="73" t="s">
        <v>158</v>
      </c>
      <c r="E208" s="73" t="str">
        <f>VLOOKUP(D208,clientes!$C$3:$D$60,2,FALSE)</f>
        <v>IPIRANGA</v>
      </c>
      <c r="F208" s="73" t="s">
        <v>120</v>
      </c>
      <c r="G208" s="73" t="str">
        <f>VLOOKUP(F208,'[2]Lista de Produtos CLASSIFICAÇÃO'!$E$103:$F$114,2,FALSE)</f>
        <v>Derivados</v>
      </c>
      <c r="H208" s="74">
        <v>93000</v>
      </c>
    </row>
    <row r="209" spans="1:8" x14ac:dyDescent="0.25">
      <c r="A209" s="75">
        <v>2021</v>
      </c>
      <c r="B209" s="76" t="s">
        <v>229</v>
      </c>
      <c r="C209" s="77" t="s">
        <v>233</v>
      </c>
      <c r="D209" s="77" t="s">
        <v>158</v>
      </c>
      <c r="E209" s="73" t="str">
        <f>VLOOKUP(D209,clientes!$C$3:$D$60,2,FALSE)</f>
        <v>IPIRANGA</v>
      </c>
      <c r="F209" s="77" t="s">
        <v>120</v>
      </c>
      <c r="G209" s="73" t="str">
        <f>VLOOKUP(F209,'[2]Lista de Produtos CLASSIFICAÇÃO'!$E$103:$F$114,2,FALSE)</f>
        <v>Derivados</v>
      </c>
      <c r="H209" s="78">
        <v>93000</v>
      </c>
    </row>
    <row r="210" spans="1:8" x14ac:dyDescent="0.25">
      <c r="A210" s="71">
        <v>2021</v>
      </c>
      <c r="B210" s="72" t="s">
        <v>210</v>
      </c>
      <c r="C210" s="73" t="s">
        <v>233</v>
      </c>
      <c r="D210" s="73" t="s">
        <v>158</v>
      </c>
      <c r="E210" s="73" t="str">
        <f>VLOOKUP(D210,clientes!$C$3:$D$60,2,FALSE)</f>
        <v>IPIRANGA</v>
      </c>
      <c r="F210" s="73" t="s">
        <v>120</v>
      </c>
      <c r="G210" s="73" t="str">
        <f>VLOOKUP(F210,'[2]Lista de Produtos CLASSIFICAÇÃO'!$E$103:$F$114,2,FALSE)</f>
        <v>Derivados</v>
      </c>
      <c r="H210" s="74">
        <v>93000</v>
      </c>
    </row>
    <row r="211" spans="1:8" x14ac:dyDescent="0.25">
      <c r="A211" s="75">
        <v>2021</v>
      </c>
      <c r="B211" s="76" t="s">
        <v>211</v>
      </c>
      <c r="C211" s="77" t="s">
        <v>233</v>
      </c>
      <c r="D211" s="77" t="s">
        <v>158</v>
      </c>
      <c r="E211" s="73" t="str">
        <f>VLOOKUP(D211,clientes!$C$3:$D$60,2,FALSE)</f>
        <v>IPIRANGA</v>
      </c>
      <c r="F211" s="77" t="s">
        <v>120</v>
      </c>
      <c r="G211" s="73" t="str">
        <f>VLOOKUP(F211,'[2]Lista de Produtos CLASSIFICAÇÃO'!$E$103:$F$114,2,FALSE)</f>
        <v>Derivados</v>
      </c>
      <c r="H211" s="78">
        <v>93000</v>
      </c>
    </row>
    <row r="212" spans="1:8" x14ac:dyDescent="0.25">
      <c r="A212" s="71">
        <v>2021</v>
      </c>
      <c r="B212" s="72" t="s">
        <v>212</v>
      </c>
      <c r="C212" s="73" t="s">
        <v>233</v>
      </c>
      <c r="D212" s="73" t="s">
        <v>158</v>
      </c>
      <c r="E212" s="73" t="str">
        <f>VLOOKUP(D212,clientes!$C$3:$D$60,2,FALSE)</f>
        <v>IPIRANGA</v>
      </c>
      <c r="F212" s="73" t="s">
        <v>120</v>
      </c>
      <c r="G212" s="73" t="str">
        <f>VLOOKUP(F212,'[2]Lista de Produtos CLASSIFICAÇÃO'!$E$103:$F$114,2,FALSE)</f>
        <v>Derivados</v>
      </c>
      <c r="H212" s="74">
        <v>93000</v>
      </c>
    </row>
    <row r="213" spans="1:8" x14ac:dyDescent="0.25">
      <c r="A213" s="75">
        <v>2021</v>
      </c>
      <c r="B213" s="76" t="s">
        <v>213</v>
      </c>
      <c r="C213" s="77" t="s">
        <v>233</v>
      </c>
      <c r="D213" s="77" t="s">
        <v>158</v>
      </c>
      <c r="E213" s="73" t="str">
        <f>VLOOKUP(D213,clientes!$C$3:$D$60,2,FALSE)</f>
        <v>IPIRANGA</v>
      </c>
      <c r="F213" s="77" t="s">
        <v>120</v>
      </c>
      <c r="G213" s="73" t="str">
        <f>VLOOKUP(F213,'[2]Lista de Produtos CLASSIFICAÇÃO'!$E$103:$F$114,2,FALSE)</f>
        <v>Derivados</v>
      </c>
      <c r="H213" s="78">
        <v>93000</v>
      </c>
    </row>
    <row r="214" spans="1:8" x14ac:dyDescent="0.25">
      <c r="A214" s="71">
        <v>2021</v>
      </c>
      <c r="B214" s="72" t="s">
        <v>214</v>
      </c>
      <c r="C214" s="73" t="s">
        <v>233</v>
      </c>
      <c r="D214" s="73" t="s">
        <v>158</v>
      </c>
      <c r="E214" s="73" t="str">
        <f>VLOOKUP(D214,clientes!$C$3:$D$60,2,FALSE)</f>
        <v>IPIRANGA</v>
      </c>
      <c r="F214" s="73" t="s">
        <v>120</v>
      </c>
      <c r="G214" s="73" t="str">
        <f>VLOOKUP(F214,'[2]Lista de Produtos CLASSIFICAÇÃO'!$E$103:$F$114,2,FALSE)</f>
        <v>Derivados</v>
      </c>
      <c r="H214" s="74">
        <v>93000</v>
      </c>
    </row>
    <row r="215" spans="1:8" x14ac:dyDescent="0.25">
      <c r="A215" s="75">
        <v>2021</v>
      </c>
      <c r="B215" s="76" t="s">
        <v>215</v>
      </c>
      <c r="C215" s="77" t="s">
        <v>233</v>
      </c>
      <c r="D215" s="77" t="s">
        <v>158</v>
      </c>
      <c r="E215" s="73" t="str">
        <f>VLOOKUP(D215,clientes!$C$3:$D$60,2,FALSE)</f>
        <v>IPIRANGA</v>
      </c>
      <c r="F215" s="77" t="s">
        <v>120</v>
      </c>
      <c r="G215" s="73" t="str">
        <f>VLOOKUP(F215,'[2]Lista de Produtos CLASSIFICAÇÃO'!$E$103:$F$114,2,FALSE)</f>
        <v>Derivados</v>
      </c>
      <c r="H215" s="78">
        <v>93000</v>
      </c>
    </row>
    <row r="216" spans="1:8" x14ac:dyDescent="0.25">
      <c r="A216" s="71">
        <v>2021</v>
      </c>
      <c r="B216" s="72" t="s">
        <v>230</v>
      </c>
      <c r="C216" s="73" t="s">
        <v>233</v>
      </c>
      <c r="D216" s="73" t="s">
        <v>158</v>
      </c>
      <c r="E216" s="73" t="str">
        <f>VLOOKUP(D216,clientes!$C$3:$D$60,2,FALSE)</f>
        <v>IPIRANGA</v>
      </c>
      <c r="F216" s="73" t="s">
        <v>120</v>
      </c>
      <c r="G216" s="73" t="str">
        <f>VLOOKUP(F216,'[2]Lista de Produtos CLASSIFICAÇÃO'!$E$103:$F$114,2,FALSE)</f>
        <v>Derivados</v>
      </c>
      <c r="H216" s="74">
        <v>93000</v>
      </c>
    </row>
    <row r="217" spans="1:8" x14ac:dyDescent="0.25">
      <c r="A217" s="75">
        <v>2021</v>
      </c>
      <c r="B217" s="76" t="s">
        <v>231</v>
      </c>
      <c r="C217" s="77" t="s">
        <v>233</v>
      </c>
      <c r="D217" s="77" t="s">
        <v>158</v>
      </c>
      <c r="E217" s="73" t="str">
        <f>VLOOKUP(D217,clientes!$C$3:$D$60,2,FALSE)</f>
        <v>IPIRANGA</v>
      </c>
      <c r="F217" s="77" t="s">
        <v>120</v>
      </c>
      <c r="G217" s="73" t="str">
        <f>VLOOKUP(F217,'[2]Lista de Produtos CLASSIFICAÇÃO'!$E$103:$F$114,2,FALSE)</f>
        <v>Derivados</v>
      </c>
      <c r="H217" s="78">
        <v>93000</v>
      </c>
    </row>
    <row r="218" spans="1:8" x14ac:dyDescent="0.25">
      <c r="A218" s="71">
        <v>2021</v>
      </c>
      <c r="B218" s="72" t="s">
        <v>226</v>
      </c>
      <c r="C218" s="73" t="s">
        <v>232</v>
      </c>
      <c r="D218" s="73" t="s">
        <v>162</v>
      </c>
      <c r="E218" s="73" t="str">
        <f>VLOOKUP(D218,clientes!$C$3:$D$60,2,FALSE)</f>
        <v>JBS</v>
      </c>
      <c r="F218" s="73" t="s">
        <v>123</v>
      </c>
      <c r="G218" s="73" t="str">
        <f>VLOOKUP(F218,'[2]Lista de Produtos CLASSIFICAÇÃO'!$E$103:$F$114,2,FALSE)</f>
        <v>Aquecidos</v>
      </c>
      <c r="H218" s="74">
        <v>3000</v>
      </c>
    </row>
    <row r="219" spans="1:8" x14ac:dyDescent="0.25">
      <c r="A219" s="75">
        <v>2021</v>
      </c>
      <c r="B219" s="76" t="s">
        <v>227</v>
      </c>
      <c r="C219" s="77" t="s">
        <v>232</v>
      </c>
      <c r="D219" s="77" t="s">
        <v>162</v>
      </c>
      <c r="E219" s="73" t="str">
        <f>VLOOKUP(D219,clientes!$C$3:$D$60,2,FALSE)</f>
        <v>JBS</v>
      </c>
      <c r="F219" s="77" t="s">
        <v>123</v>
      </c>
      <c r="G219" s="73" t="str">
        <f>VLOOKUP(F219,'[2]Lista de Produtos CLASSIFICAÇÃO'!$E$103:$F$114,2,FALSE)</f>
        <v>Aquecidos</v>
      </c>
      <c r="H219" s="78">
        <v>3000</v>
      </c>
    </row>
    <row r="220" spans="1:8" x14ac:dyDescent="0.25">
      <c r="A220" s="71">
        <v>2021</v>
      </c>
      <c r="B220" s="72" t="s">
        <v>228</v>
      </c>
      <c r="C220" s="73" t="s">
        <v>232</v>
      </c>
      <c r="D220" s="73" t="s">
        <v>162</v>
      </c>
      <c r="E220" s="73" t="str">
        <f>VLOOKUP(D220,clientes!$C$3:$D$60,2,FALSE)</f>
        <v>JBS</v>
      </c>
      <c r="F220" s="73" t="s">
        <v>123</v>
      </c>
      <c r="G220" s="73" t="str">
        <f>VLOOKUP(F220,'[2]Lista de Produtos CLASSIFICAÇÃO'!$E$103:$F$114,2,FALSE)</f>
        <v>Aquecidos</v>
      </c>
      <c r="H220" s="74">
        <v>3000</v>
      </c>
    </row>
    <row r="221" spans="1:8" x14ac:dyDescent="0.25">
      <c r="A221" s="75">
        <v>2021</v>
      </c>
      <c r="B221" s="76" t="s">
        <v>229</v>
      </c>
      <c r="C221" s="77" t="s">
        <v>232</v>
      </c>
      <c r="D221" s="77" t="s">
        <v>162</v>
      </c>
      <c r="E221" s="73" t="str">
        <f>VLOOKUP(D221,clientes!$C$3:$D$60,2,FALSE)</f>
        <v>JBS</v>
      </c>
      <c r="F221" s="77" t="s">
        <v>123</v>
      </c>
      <c r="G221" s="73" t="str">
        <f>VLOOKUP(F221,'[2]Lista de Produtos CLASSIFICAÇÃO'!$E$103:$F$114,2,FALSE)</f>
        <v>Aquecidos</v>
      </c>
      <c r="H221" s="78">
        <v>3000</v>
      </c>
    </row>
    <row r="222" spans="1:8" x14ac:dyDescent="0.25">
      <c r="A222" s="71">
        <v>2021</v>
      </c>
      <c r="B222" s="72" t="s">
        <v>210</v>
      </c>
      <c r="C222" s="73" t="s">
        <v>232</v>
      </c>
      <c r="D222" s="73" t="s">
        <v>162</v>
      </c>
      <c r="E222" s="73" t="str">
        <f>VLOOKUP(D222,clientes!$C$3:$D$60,2,FALSE)</f>
        <v>JBS</v>
      </c>
      <c r="F222" s="73" t="s">
        <v>123</v>
      </c>
      <c r="G222" s="73" t="str">
        <f>VLOOKUP(F222,'[2]Lista de Produtos CLASSIFICAÇÃO'!$E$103:$F$114,2,FALSE)</f>
        <v>Aquecidos</v>
      </c>
      <c r="H222" s="74">
        <v>3000</v>
      </c>
    </row>
    <row r="223" spans="1:8" x14ac:dyDescent="0.25">
      <c r="A223" s="75">
        <v>2021</v>
      </c>
      <c r="B223" s="76" t="s">
        <v>211</v>
      </c>
      <c r="C223" s="77" t="s">
        <v>232</v>
      </c>
      <c r="D223" s="77" t="s">
        <v>162</v>
      </c>
      <c r="E223" s="73" t="str">
        <f>VLOOKUP(D223,clientes!$C$3:$D$60,2,FALSE)</f>
        <v>JBS</v>
      </c>
      <c r="F223" s="77" t="s">
        <v>123</v>
      </c>
      <c r="G223" s="73" t="str">
        <f>VLOOKUP(F223,'[2]Lista de Produtos CLASSIFICAÇÃO'!$E$103:$F$114,2,FALSE)</f>
        <v>Aquecidos</v>
      </c>
      <c r="H223" s="78">
        <v>3000</v>
      </c>
    </row>
    <row r="224" spans="1:8" x14ac:dyDescent="0.25">
      <c r="A224" s="71">
        <v>2021</v>
      </c>
      <c r="B224" s="72" t="s">
        <v>212</v>
      </c>
      <c r="C224" s="73" t="s">
        <v>232</v>
      </c>
      <c r="D224" s="73" t="s">
        <v>162</v>
      </c>
      <c r="E224" s="73" t="str">
        <f>VLOOKUP(D224,clientes!$C$3:$D$60,2,FALSE)</f>
        <v>JBS</v>
      </c>
      <c r="F224" s="73" t="s">
        <v>123</v>
      </c>
      <c r="G224" s="73" t="str">
        <f>VLOOKUP(F224,'[2]Lista de Produtos CLASSIFICAÇÃO'!$E$103:$F$114,2,FALSE)</f>
        <v>Aquecidos</v>
      </c>
      <c r="H224" s="74">
        <v>3000</v>
      </c>
    </row>
    <row r="225" spans="1:8" x14ac:dyDescent="0.25">
      <c r="A225" s="75">
        <v>2021</v>
      </c>
      <c r="B225" s="76" t="s">
        <v>213</v>
      </c>
      <c r="C225" s="77" t="s">
        <v>232</v>
      </c>
      <c r="D225" s="77" t="s">
        <v>162</v>
      </c>
      <c r="E225" s="73" t="str">
        <f>VLOOKUP(D225,clientes!$C$3:$D$60,2,FALSE)</f>
        <v>JBS</v>
      </c>
      <c r="F225" s="77" t="s">
        <v>123</v>
      </c>
      <c r="G225" s="73" t="str">
        <f>VLOOKUP(F225,'[2]Lista de Produtos CLASSIFICAÇÃO'!$E$103:$F$114,2,FALSE)</f>
        <v>Aquecidos</v>
      </c>
      <c r="H225" s="78">
        <v>3000</v>
      </c>
    </row>
    <row r="226" spans="1:8" x14ac:dyDescent="0.25">
      <c r="A226" s="71">
        <v>2021</v>
      </c>
      <c r="B226" s="72" t="s">
        <v>214</v>
      </c>
      <c r="C226" s="73" t="s">
        <v>232</v>
      </c>
      <c r="D226" s="73" t="s">
        <v>162</v>
      </c>
      <c r="E226" s="73" t="str">
        <f>VLOOKUP(D226,clientes!$C$3:$D$60,2,FALSE)</f>
        <v>JBS</v>
      </c>
      <c r="F226" s="73" t="s">
        <v>123</v>
      </c>
      <c r="G226" s="73" t="str">
        <f>VLOOKUP(F226,'[2]Lista de Produtos CLASSIFICAÇÃO'!$E$103:$F$114,2,FALSE)</f>
        <v>Aquecidos</v>
      </c>
      <c r="H226" s="74">
        <v>3000</v>
      </c>
    </row>
    <row r="227" spans="1:8" x14ac:dyDescent="0.25">
      <c r="A227" s="75">
        <v>2021</v>
      </c>
      <c r="B227" s="76" t="s">
        <v>215</v>
      </c>
      <c r="C227" s="77" t="s">
        <v>232</v>
      </c>
      <c r="D227" s="77" t="s">
        <v>162</v>
      </c>
      <c r="E227" s="73" t="str">
        <f>VLOOKUP(D227,clientes!$C$3:$D$60,2,FALSE)</f>
        <v>JBS</v>
      </c>
      <c r="F227" s="77" t="s">
        <v>123</v>
      </c>
      <c r="G227" s="73" t="str">
        <f>VLOOKUP(F227,'[2]Lista de Produtos CLASSIFICAÇÃO'!$E$103:$F$114,2,FALSE)</f>
        <v>Aquecidos</v>
      </c>
      <c r="H227" s="78">
        <v>3000</v>
      </c>
    </row>
    <row r="228" spans="1:8" x14ac:dyDescent="0.25">
      <c r="A228" s="71">
        <v>2021</v>
      </c>
      <c r="B228" s="72" t="s">
        <v>230</v>
      </c>
      <c r="C228" s="73" t="s">
        <v>232</v>
      </c>
      <c r="D228" s="73" t="s">
        <v>162</v>
      </c>
      <c r="E228" s="73" t="str">
        <f>VLOOKUP(D228,clientes!$C$3:$D$60,2,FALSE)</f>
        <v>JBS</v>
      </c>
      <c r="F228" s="73" t="s">
        <v>123</v>
      </c>
      <c r="G228" s="73" t="str">
        <f>VLOOKUP(F228,'[2]Lista de Produtos CLASSIFICAÇÃO'!$E$103:$F$114,2,FALSE)</f>
        <v>Aquecidos</v>
      </c>
      <c r="H228" s="74">
        <v>3000</v>
      </c>
    </row>
    <row r="229" spans="1:8" x14ac:dyDescent="0.25">
      <c r="A229" s="75">
        <v>2021</v>
      </c>
      <c r="B229" s="76" t="s">
        <v>231</v>
      </c>
      <c r="C229" s="77" t="s">
        <v>232</v>
      </c>
      <c r="D229" s="77" t="s">
        <v>162</v>
      </c>
      <c r="E229" s="73" t="str">
        <f>VLOOKUP(D229,clientes!$C$3:$D$60,2,FALSE)</f>
        <v>JBS</v>
      </c>
      <c r="F229" s="77" t="s">
        <v>123</v>
      </c>
      <c r="G229" s="73" t="str">
        <f>VLOOKUP(F229,'[2]Lista de Produtos CLASSIFICAÇÃO'!$E$103:$F$114,2,FALSE)</f>
        <v>Aquecidos</v>
      </c>
      <c r="H229" s="78">
        <v>3000</v>
      </c>
    </row>
    <row r="230" spans="1:8" x14ac:dyDescent="0.25">
      <c r="A230" s="71">
        <v>2021</v>
      </c>
      <c r="B230" s="72" t="s">
        <v>226</v>
      </c>
      <c r="C230" s="73" t="s">
        <v>225</v>
      </c>
      <c r="D230" s="73" t="s">
        <v>162</v>
      </c>
      <c r="E230" s="73" t="str">
        <f>VLOOKUP(D230,clientes!$C$3:$D$60,2,FALSE)</f>
        <v>JBS</v>
      </c>
      <c r="F230" s="73" t="s">
        <v>115</v>
      </c>
      <c r="G230" s="73" t="str">
        <f>VLOOKUP(F230,'[2]Lista de Produtos CLASSIFICAÇÃO'!$E$103:$F$114,2,FALSE)</f>
        <v>Soda Caustica</v>
      </c>
      <c r="H230" s="74">
        <v>2200</v>
      </c>
    </row>
    <row r="231" spans="1:8" x14ac:dyDescent="0.25">
      <c r="A231" s="75">
        <v>2021</v>
      </c>
      <c r="B231" s="76" t="s">
        <v>227</v>
      </c>
      <c r="C231" s="77" t="s">
        <v>225</v>
      </c>
      <c r="D231" s="77" t="s">
        <v>162</v>
      </c>
      <c r="E231" s="73" t="str">
        <f>VLOOKUP(D231,clientes!$C$3:$D$60,2,FALSE)</f>
        <v>JBS</v>
      </c>
      <c r="F231" s="77" t="s">
        <v>115</v>
      </c>
      <c r="G231" s="73" t="str">
        <f>VLOOKUP(F231,'[2]Lista de Produtos CLASSIFICAÇÃO'!$E$103:$F$114,2,FALSE)</f>
        <v>Soda Caustica</v>
      </c>
      <c r="H231" s="78">
        <v>2200</v>
      </c>
    </row>
    <row r="232" spans="1:8" x14ac:dyDescent="0.25">
      <c r="A232" s="71">
        <v>2021</v>
      </c>
      <c r="B232" s="72" t="s">
        <v>228</v>
      </c>
      <c r="C232" s="73" t="s">
        <v>225</v>
      </c>
      <c r="D232" s="73" t="s">
        <v>162</v>
      </c>
      <c r="E232" s="73" t="str">
        <f>VLOOKUP(D232,clientes!$C$3:$D$60,2,FALSE)</f>
        <v>JBS</v>
      </c>
      <c r="F232" s="73" t="s">
        <v>115</v>
      </c>
      <c r="G232" s="73" t="str">
        <f>VLOOKUP(F232,'[2]Lista de Produtos CLASSIFICAÇÃO'!$E$103:$F$114,2,FALSE)</f>
        <v>Soda Caustica</v>
      </c>
      <c r="H232" s="74">
        <v>2200</v>
      </c>
    </row>
    <row r="233" spans="1:8" x14ac:dyDescent="0.25">
      <c r="A233" s="75">
        <v>2021</v>
      </c>
      <c r="B233" s="76" t="s">
        <v>229</v>
      </c>
      <c r="C233" s="77" t="s">
        <v>225</v>
      </c>
      <c r="D233" s="77" t="s">
        <v>162</v>
      </c>
      <c r="E233" s="73" t="str">
        <f>VLOOKUP(D233,clientes!$C$3:$D$60,2,FALSE)</f>
        <v>JBS</v>
      </c>
      <c r="F233" s="77" t="s">
        <v>115</v>
      </c>
      <c r="G233" s="73" t="str">
        <f>VLOOKUP(F233,'[2]Lista de Produtos CLASSIFICAÇÃO'!$E$103:$F$114,2,FALSE)</f>
        <v>Soda Caustica</v>
      </c>
      <c r="H233" s="78">
        <v>2200</v>
      </c>
    </row>
    <row r="234" spans="1:8" x14ac:dyDescent="0.25">
      <c r="A234" s="71">
        <v>2021</v>
      </c>
      <c r="B234" s="72" t="s">
        <v>210</v>
      </c>
      <c r="C234" s="73" t="s">
        <v>225</v>
      </c>
      <c r="D234" s="73" t="s">
        <v>162</v>
      </c>
      <c r="E234" s="73" t="str">
        <f>VLOOKUP(D234,clientes!$C$3:$D$60,2,FALSE)</f>
        <v>JBS</v>
      </c>
      <c r="F234" s="73" t="s">
        <v>115</v>
      </c>
      <c r="G234" s="73" t="str">
        <f>VLOOKUP(F234,'[2]Lista de Produtos CLASSIFICAÇÃO'!$E$103:$F$114,2,FALSE)</f>
        <v>Soda Caustica</v>
      </c>
      <c r="H234" s="74">
        <v>2200</v>
      </c>
    </row>
    <row r="235" spans="1:8" x14ac:dyDescent="0.25">
      <c r="A235" s="75">
        <v>2021</v>
      </c>
      <c r="B235" s="76" t="s">
        <v>211</v>
      </c>
      <c r="C235" s="77" t="s">
        <v>225</v>
      </c>
      <c r="D235" s="77" t="s">
        <v>162</v>
      </c>
      <c r="E235" s="73" t="str">
        <f>VLOOKUP(D235,clientes!$C$3:$D$60,2,FALSE)</f>
        <v>JBS</v>
      </c>
      <c r="F235" s="77" t="s">
        <v>115</v>
      </c>
      <c r="G235" s="73" t="str">
        <f>VLOOKUP(F235,'[2]Lista de Produtos CLASSIFICAÇÃO'!$E$103:$F$114,2,FALSE)</f>
        <v>Soda Caustica</v>
      </c>
      <c r="H235" s="78">
        <v>2200</v>
      </c>
    </row>
    <row r="236" spans="1:8" x14ac:dyDescent="0.25">
      <c r="A236" s="71">
        <v>2021</v>
      </c>
      <c r="B236" s="72" t="s">
        <v>212</v>
      </c>
      <c r="C236" s="73" t="s">
        <v>225</v>
      </c>
      <c r="D236" s="73" t="s">
        <v>162</v>
      </c>
      <c r="E236" s="73" t="str">
        <f>VLOOKUP(D236,clientes!$C$3:$D$60,2,FALSE)</f>
        <v>JBS</v>
      </c>
      <c r="F236" s="73" t="s">
        <v>115</v>
      </c>
      <c r="G236" s="73" t="str">
        <f>VLOOKUP(F236,'[2]Lista de Produtos CLASSIFICAÇÃO'!$E$103:$F$114,2,FALSE)</f>
        <v>Soda Caustica</v>
      </c>
      <c r="H236" s="74">
        <v>2200</v>
      </c>
    </row>
    <row r="237" spans="1:8" x14ac:dyDescent="0.25">
      <c r="A237" s="75">
        <v>2021</v>
      </c>
      <c r="B237" s="76" t="s">
        <v>213</v>
      </c>
      <c r="C237" s="77" t="s">
        <v>225</v>
      </c>
      <c r="D237" s="77" t="s">
        <v>162</v>
      </c>
      <c r="E237" s="73" t="str">
        <f>VLOOKUP(D237,clientes!$C$3:$D$60,2,FALSE)</f>
        <v>JBS</v>
      </c>
      <c r="F237" s="77" t="s">
        <v>115</v>
      </c>
      <c r="G237" s="73" t="str">
        <f>VLOOKUP(F237,'[2]Lista de Produtos CLASSIFICAÇÃO'!$E$103:$F$114,2,FALSE)</f>
        <v>Soda Caustica</v>
      </c>
      <c r="H237" s="78">
        <v>2200</v>
      </c>
    </row>
    <row r="238" spans="1:8" x14ac:dyDescent="0.25">
      <c r="A238" s="71">
        <v>2021</v>
      </c>
      <c r="B238" s="72" t="s">
        <v>214</v>
      </c>
      <c r="C238" s="73" t="s">
        <v>225</v>
      </c>
      <c r="D238" s="73" t="s">
        <v>162</v>
      </c>
      <c r="E238" s="73" t="str">
        <f>VLOOKUP(D238,clientes!$C$3:$D$60,2,FALSE)</f>
        <v>JBS</v>
      </c>
      <c r="F238" s="73" t="s">
        <v>115</v>
      </c>
      <c r="G238" s="73" t="str">
        <f>VLOOKUP(F238,'[2]Lista de Produtos CLASSIFICAÇÃO'!$E$103:$F$114,2,FALSE)</f>
        <v>Soda Caustica</v>
      </c>
      <c r="H238" s="74">
        <v>2200</v>
      </c>
    </row>
    <row r="239" spans="1:8" x14ac:dyDescent="0.25">
      <c r="A239" s="75">
        <v>2021</v>
      </c>
      <c r="B239" s="76" t="s">
        <v>215</v>
      </c>
      <c r="C239" s="77" t="s">
        <v>225</v>
      </c>
      <c r="D239" s="77" t="s">
        <v>162</v>
      </c>
      <c r="E239" s="73" t="str">
        <f>VLOOKUP(D239,clientes!$C$3:$D$60,2,FALSE)</f>
        <v>JBS</v>
      </c>
      <c r="F239" s="77" t="s">
        <v>115</v>
      </c>
      <c r="G239" s="73" t="str">
        <f>VLOOKUP(F239,'[2]Lista de Produtos CLASSIFICAÇÃO'!$E$103:$F$114,2,FALSE)</f>
        <v>Soda Caustica</v>
      </c>
      <c r="H239" s="78">
        <v>2200</v>
      </c>
    </row>
    <row r="240" spans="1:8" x14ac:dyDescent="0.25">
      <c r="A240" s="71">
        <v>2021</v>
      </c>
      <c r="B240" s="72" t="s">
        <v>230</v>
      </c>
      <c r="C240" s="73" t="s">
        <v>225</v>
      </c>
      <c r="D240" s="73" t="s">
        <v>162</v>
      </c>
      <c r="E240" s="73" t="str">
        <f>VLOOKUP(D240,clientes!$C$3:$D$60,2,FALSE)</f>
        <v>JBS</v>
      </c>
      <c r="F240" s="73" t="s">
        <v>115</v>
      </c>
      <c r="G240" s="73" t="str">
        <f>VLOOKUP(F240,'[2]Lista de Produtos CLASSIFICAÇÃO'!$E$103:$F$114,2,FALSE)</f>
        <v>Soda Caustica</v>
      </c>
      <c r="H240" s="74">
        <v>2200</v>
      </c>
    </row>
    <row r="241" spans="1:8" x14ac:dyDescent="0.25">
      <c r="A241" s="75">
        <v>2021</v>
      </c>
      <c r="B241" s="76" t="s">
        <v>231</v>
      </c>
      <c r="C241" s="77" t="s">
        <v>225</v>
      </c>
      <c r="D241" s="77" t="s">
        <v>162</v>
      </c>
      <c r="E241" s="73" t="str">
        <f>VLOOKUP(D241,clientes!$C$3:$D$60,2,FALSE)</f>
        <v>JBS</v>
      </c>
      <c r="F241" s="77" t="s">
        <v>115</v>
      </c>
      <c r="G241" s="73" t="str">
        <f>VLOOKUP(F241,'[2]Lista de Produtos CLASSIFICAÇÃO'!$E$103:$F$114,2,FALSE)</f>
        <v>Soda Caustica</v>
      </c>
      <c r="H241" s="78">
        <v>2200</v>
      </c>
    </row>
    <row r="242" spans="1:8" x14ac:dyDescent="0.25">
      <c r="A242" s="71">
        <v>2021</v>
      </c>
      <c r="B242" s="72" t="s">
        <v>226</v>
      </c>
      <c r="C242" s="73" t="s">
        <v>234</v>
      </c>
      <c r="D242" s="73" t="s">
        <v>169</v>
      </c>
      <c r="E242" s="73" t="str">
        <f>VLOOKUP(D242,clientes!$C$3:$D$60,2,FALSE)</f>
        <v>METHANEX</v>
      </c>
      <c r="F242" s="73" t="s">
        <v>22</v>
      </c>
      <c r="G242" s="73" t="str">
        <f>VLOOKUP(F242,'[2]Lista de Produtos CLASSIFICAÇÃO'!$E$103:$F$114,2,FALSE)</f>
        <v>Metanol</v>
      </c>
      <c r="H242" s="74">
        <v>94000</v>
      </c>
    </row>
    <row r="243" spans="1:8" x14ac:dyDescent="0.25">
      <c r="A243" s="75">
        <v>2021</v>
      </c>
      <c r="B243" s="76" t="s">
        <v>227</v>
      </c>
      <c r="C243" s="77" t="s">
        <v>234</v>
      </c>
      <c r="D243" s="77" t="s">
        <v>169</v>
      </c>
      <c r="E243" s="73" t="str">
        <f>VLOOKUP(D243,clientes!$C$3:$D$60,2,FALSE)</f>
        <v>METHANEX</v>
      </c>
      <c r="F243" s="77" t="s">
        <v>22</v>
      </c>
      <c r="G243" s="73" t="str">
        <f>VLOOKUP(F243,'[2]Lista de Produtos CLASSIFICAÇÃO'!$E$103:$F$114,2,FALSE)</f>
        <v>Metanol</v>
      </c>
      <c r="H243" s="78">
        <v>94000</v>
      </c>
    </row>
    <row r="244" spans="1:8" x14ac:dyDescent="0.25">
      <c r="A244" s="71">
        <v>2021</v>
      </c>
      <c r="B244" s="72" t="s">
        <v>228</v>
      </c>
      <c r="C244" s="73" t="s">
        <v>234</v>
      </c>
      <c r="D244" s="73" t="s">
        <v>169</v>
      </c>
      <c r="E244" s="73" t="str">
        <f>VLOOKUP(D244,clientes!$C$3:$D$60,2,FALSE)</f>
        <v>METHANEX</v>
      </c>
      <c r="F244" s="73" t="s">
        <v>22</v>
      </c>
      <c r="G244" s="73" t="str">
        <f>VLOOKUP(F244,'[2]Lista de Produtos CLASSIFICAÇÃO'!$E$103:$F$114,2,FALSE)</f>
        <v>Metanol</v>
      </c>
      <c r="H244" s="74">
        <v>94000</v>
      </c>
    </row>
    <row r="245" spans="1:8" x14ac:dyDescent="0.25">
      <c r="A245" s="75">
        <v>2021</v>
      </c>
      <c r="B245" s="76" t="s">
        <v>229</v>
      </c>
      <c r="C245" s="77" t="s">
        <v>234</v>
      </c>
      <c r="D245" s="77" t="s">
        <v>169</v>
      </c>
      <c r="E245" s="73" t="str">
        <f>VLOOKUP(D245,clientes!$C$3:$D$60,2,FALSE)</f>
        <v>METHANEX</v>
      </c>
      <c r="F245" s="77" t="s">
        <v>22</v>
      </c>
      <c r="G245" s="73" t="str">
        <f>VLOOKUP(F245,'[2]Lista de Produtos CLASSIFICAÇÃO'!$E$103:$F$114,2,FALSE)</f>
        <v>Metanol</v>
      </c>
      <c r="H245" s="78">
        <v>94000</v>
      </c>
    </row>
    <row r="246" spans="1:8" x14ac:dyDescent="0.25">
      <c r="A246" s="71">
        <v>2021</v>
      </c>
      <c r="B246" s="72" t="s">
        <v>210</v>
      </c>
      <c r="C246" s="73" t="s">
        <v>234</v>
      </c>
      <c r="D246" s="73" t="s">
        <v>169</v>
      </c>
      <c r="E246" s="73" t="str">
        <f>VLOOKUP(D246,clientes!$C$3:$D$60,2,FALSE)</f>
        <v>METHANEX</v>
      </c>
      <c r="F246" s="73" t="s">
        <v>22</v>
      </c>
      <c r="G246" s="73" t="str">
        <f>VLOOKUP(F246,'[2]Lista de Produtos CLASSIFICAÇÃO'!$E$103:$F$114,2,FALSE)</f>
        <v>Metanol</v>
      </c>
      <c r="H246" s="74">
        <v>94000</v>
      </c>
    </row>
    <row r="247" spans="1:8" x14ac:dyDescent="0.25">
      <c r="A247" s="75">
        <v>2021</v>
      </c>
      <c r="B247" s="76" t="s">
        <v>211</v>
      </c>
      <c r="C247" s="77" t="s">
        <v>234</v>
      </c>
      <c r="D247" s="77" t="s">
        <v>169</v>
      </c>
      <c r="E247" s="73" t="str">
        <f>VLOOKUP(D247,clientes!$C$3:$D$60,2,FALSE)</f>
        <v>METHANEX</v>
      </c>
      <c r="F247" s="77" t="s">
        <v>22</v>
      </c>
      <c r="G247" s="73" t="str">
        <f>VLOOKUP(F247,'[2]Lista de Produtos CLASSIFICAÇÃO'!$E$103:$F$114,2,FALSE)</f>
        <v>Metanol</v>
      </c>
      <c r="H247" s="78">
        <v>94000</v>
      </c>
    </row>
    <row r="248" spans="1:8" x14ac:dyDescent="0.25">
      <c r="A248" s="71">
        <v>2021</v>
      </c>
      <c r="B248" s="72" t="s">
        <v>212</v>
      </c>
      <c r="C248" s="73" t="s">
        <v>234</v>
      </c>
      <c r="D248" s="73" t="s">
        <v>169</v>
      </c>
      <c r="E248" s="73" t="str">
        <f>VLOOKUP(D248,clientes!$C$3:$D$60,2,FALSE)</f>
        <v>METHANEX</v>
      </c>
      <c r="F248" s="73" t="s">
        <v>22</v>
      </c>
      <c r="G248" s="73" t="str">
        <f>VLOOKUP(F248,'[2]Lista de Produtos CLASSIFICAÇÃO'!$E$103:$F$114,2,FALSE)</f>
        <v>Metanol</v>
      </c>
      <c r="H248" s="74">
        <v>94000</v>
      </c>
    </row>
    <row r="249" spans="1:8" x14ac:dyDescent="0.25">
      <c r="A249" s="75">
        <v>2021</v>
      </c>
      <c r="B249" s="76" t="s">
        <v>213</v>
      </c>
      <c r="C249" s="77" t="s">
        <v>234</v>
      </c>
      <c r="D249" s="77" t="s">
        <v>169</v>
      </c>
      <c r="E249" s="73" t="str">
        <f>VLOOKUP(D249,clientes!$C$3:$D$60,2,FALSE)</f>
        <v>METHANEX</v>
      </c>
      <c r="F249" s="77" t="s">
        <v>22</v>
      </c>
      <c r="G249" s="73" t="str">
        <f>VLOOKUP(F249,'[2]Lista de Produtos CLASSIFICAÇÃO'!$E$103:$F$114,2,FALSE)</f>
        <v>Metanol</v>
      </c>
      <c r="H249" s="78">
        <v>94000</v>
      </c>
    </row>
    <row r="250" spans="1:8" x14ac:dyDescent="0.25">
      <c r="A250" s="71">
        <v>2021</v>
      </c>
      <c r="B250" s="72" t="s">
        <v>214</v>
      </c>
      <c r="C250" s="73" t="s">
        <v>234</v>
      </c>
      <c r="D250" s="73" t="s">
        <v>169</v>
      </c>
      <c r="E250" s="73" t="str">
        <f>VLOOKUP(D250,clientes!$C$3:$D$60,2,FALSE)</f>
        <v>METHANEX</v>
      </c>
      <c r="F250" s="73" t="s">
        <v>22</v>
      </c>
      <c r="G250" s="73" t="str">
        <f>VLOOKUP(F250,'[2]Lista de Produtos CLASSIFICAÇÃO'!$E$103:$F$114,2,FALSE)</f>
        <v>Metanol</v>
      </c>
      <c r="H250" s="74">
        <v>94000</v>
      </c>
    </row>
    <row r="251" spans="1:8" x14ac:dyDescent="0.25">
      <c r="A251" s="75">
        <v>2021</v>
      </c>
      <c r="B251" s="76" t="s">
        <v>215</v>
      </c>
      <c r="C251" s="77" t="s">
        <v>234</v>
      </c>
      <c r="D251" s="77" t="s">
        <v>169</v>
      </c>
      <c r="E251" s="73" t="str">
        <f>VLOOKUP(D251,clientes!$C$3:$D$60,2,FALSE)</f>
        <v>METHANEX</v>
      </c>
      <c r="F251" s="77" t="s">
        <v>22</v>
      </c>
      <c r="G251" s="73" t="str">
        <f>VLOOKUP(F251,'[2]Lista de Produtos CLASSIFICAÇÃO'!$E$103:$F$114,2,FALSE)</f>
        <v>Metanol</v>
      </c>
      <c r="H251" s="78">
        <v>94000</v>
      </c>
    </row>
    <row r="252" spans="1:8" x14ac:dyDescent="0.25">
      <c r="A252" s="71">
        <v>2021</v>
      </c>
      <c r="B252" s="72" t="s">
        <v>230</v>
      </c>
      <c r="C252" s="73" t="s">
        <v>234</v>
      </c>
      <c r="D252" s="73" t="s">
        <v>169</v>
      </c>
      <c r="E252" s="73" t="str">
        <f>VLOOKUP(D252,clientes!$C$3:$D$60,2,FALSE)</f>
        <v>METHANEX</v>
      </c>
      <c r="F252" s="73" t="s">
        <v>22</v>
      </c>
      <c r="G252" s="73" t="str">
        <f>VLOOKUP(F252,'[2]Lista de Produtos CLASSIFICAÇÃO'!$E$103:$F$114,2,FALSE)</f>
        <v>Metanol</v>
      </c>
      <c r="H252" s="74">
        <v>94000</v>
      </c>
    </row>
    <row r="253" spans="1:8" x14ac:dyDescent="0.25">
      <c r="A253" s="75">
        <v>2021</v>
      </c>
      <c r="B253" s="76" t="s">
        <v>231</v>
      </c>
      <c r="C253" s="77" t="s">
        <v>234</v>
      </c>
      <c r="D253" s="77" t="s">
        <v>169</v>
      </c>
      <c r="E253" s="73" t="str">
        <f>VLOOKUP(D253,clientes!$C$3:$D$60,2,FALSE)</f>
        <v>METHANEX</v>
      </c>
      <c r="F253" s="77" t="s">
        <v>22</v>
      </c>
      <c r="G253" s="73" t="str">
        <f>VLOOKUP(F253,'[2]Lista de Produtos CLASSIFICAÇÃO'!$E$103:$F$114,2,FALSE)</f>
        <v>Metanol</v>
      </c>
      <c r="H253" s="78">
        <v>94000</v>
      </c>
    </row>
    <row r="254" spans="1:8" x14ac:dyDescent="0.25">
      <c r="A254" s="71">
        <v>2021</v>
      </c>
      <c r="B254" s="72" t="s">
        <v>226</v>
      </c>
      <c r="C254" s="73" t="s">
        <v>234</v>
      </c>
      <c r="D254" s="73" t="s">
        <v>170</v>
      </c>
      <c r="E254" s="73" t="str">
        <f>VLOOKUP(D254,clientes!$C$3:$D$60,2,FALSE)</f>
        <v>MITSUBISHI</v>
      </c>
      <c r="F254" s="73" t="s">
        <v>22</v>
      </c>
      <c r="G254" s="73" t="str">
        <f>VLOOKUP(F254,'[2]Lista de Produtos CLASSIFICAÇÃO'!$E$103:$F$114,2,FALSE)</f>
        <v>Metanol</v>
      </c>
      <c r="H254" s="74">
        <v>42000</v>
      </c>
    </row>
    <row r="255" spans="1:8" x14ac:dyDescent="0.25">
      <c r="A255" s="75">
        <v>2021</v>
      </c>
      <c r="B255" s="76" t="s">
        <v>227</v>
      </c>
      <c r="C255" s="77" t="s">
        <v>234</v>
      </c>
      <c r="D255" s="77" t="s">
        <v>170</v>
      </c>
      <c r="E255" s="73" t="str">
        <f>VLOOKUP(D255,clientes!$C$3:$D$60,2,FALSE)</f>
        <v>MITSUBISHI</v>
      </c>
      <c r="F255" s="77" t="s">
        <v>22</v>
      </c>
      <c r="G255" s="73" t="str">
        <f>VLOOKUP(F255,'[2]Lista de Produtos CLASSIFICAÇÃO'!$E$103:$F$114,2,FALSE)</f>
        <v>Metanol</v>
      </c>
      <c r="H255" s="78">
        <v>42000</v>
      </c>
    </row>
    <row r="256" spans="1:8" x14ac:dyDescent="0.25">
      <c r="A256" s="71">
        <v>2021</v>
      </c>
      <c r="B256" s="72" t="s">
        <v>228</v>
      </c>
      <c r="C256" s="73" t="s">
        <v>234</v>
      </c>
      <c r="D256" s="73" t="s">
        <v>170</v>
      </c>
      <c r="E256" s="73" t="str">
        <f>VLOOKUP(D256,clientes!$C$3:$D$60,2,FALSE)</f>
        <v>MITSUBISHI</v>
      </c>
      <c r="F256" s="73" t="s">
        <v>22</v>
      </c>
      <c r="G256" s="73" t="str">
        <f>VLOOKUP(F256,'[2]Lista de Produtos CLASSIFICAÇÃO'!$E$103:$F$114,2,FALSE)</f>
        <v>Metanol</v>
      </c>
      <c r="H256" s="74">
        <v>42000</v>
      </c>
    </row>
    <row r="257" spans="1:8" x14ac:dyDescent="0.25">
      <c r="A257" s="75">
        <v>2021</v>
      </c>
      <c r="B257" s="76" t="s">
        <v>229</v>
      </c>
      <c r="C257" s="77" t="s">
        <v>234</v>
      </c>
      <c r="D257" s="77" t="s">
        <v>170</v>
      </c>
      <c r="E257" s="73" t="str">
        <f>VLOOKUP(D257,clientes!$C$3:$D$60,2,FALSE)</f>
        <v>MITSUBISHI</v>
      </c>
      <c r="F257" s="77" t="s">
        <v>22</v>
      </c>
      <c r="G257" s="73" t="str">
        <f>VLOOKUP(F257,'[2]Lista de Produtos CLASSIFICAÇÃO'!$E$103:$F$114,2,FALSE)</f>
        <v>Metanol</v>
      </c>
      <c r="H257" s="78">
        <v>42000</v>
      </c>
    </row>
    <row r="258" spans="1:8" x14ac:dyDescent="0.25">
      <c r="A258" s="71">
        <v>2021</v>
      </c>
      <c r="B258" s="72" t="s">
        <v>210</v>
      </c>
      <c r="C258" s="73" t="s">
        <v>234</v>
      </c>
      <c r="D258" s="73" t="s">
        <v>170</v>
      </c>
      <c r="E258" s="73" t="str">
        <f>VLOOKUP(D258,clientes!$C$3:$D$60,2,FALSE)</f>
        <v>MITSUBISHI</v>
      </c>
      <c r="F258" s="73" t="s">
        <v>22</v>
      </c>
      <c r="G258" s="73" t="str">
        <f>VLOOKUP(F258,'[2]Lista de Produtos CLASSIFICAÇÃO'!$E$103:$F$114,2,FALSE)</f>
        <v>Metanol</v>
      </c>
      <c r="H258" s="74">
        <v>42000</v>
      </c>
    </row>
    <row r="259" spans="1:8" x14ac:dyDescent="0.25">
      <c r="A259" s="75">
        <v>2021</v>
      </c>
      <c r="B259" s="76" t="s">
        <v>211</v>
      </c>
      <c r="C259" s="77" t="s">
        <v>234</v>
      </c>
      <c r="D259" s="77" t="s">
        <v>170</v>
      </c>
      <c r="E259" s="73" t="str">
        <f>VLOOKUP(D259,clientes!$C$3:$D$60,2,FALSE)</f>
        <v>MITSUBISHI</v>
      </c>
      <c r="F259" s="77" t="s">
        <v>22</v>
      </c>
      <c r="G259" s="73" t="str">
        <f>VLOOKUP(F259,'[2]Lista de Produtos CLASSIFICAÇÃO'!$E$103:$F$114,2,FALSE)</f>
        <v>Metanol</v>
      </c>
      <c r="H259" s="78">
        <v>42000</v>
      </c>
    </row>
    <row r="260" spans="1:8" x14ac:dyDescent="0.25">
      <c r="A260" s="71">
        <v>2021</v>
      </c>
      <c r="B260" s="72" t="s">
        <v>212</v>
      </c>
      <c r="C260" s="73" t="s">
        <v>234</v>
      </c>
      <c r="D260" s="73" t="s">
        <v>170</v>
      </c>
      <c r="E260" s="73" t="str">
        <f>VLOOKUP(D260,clientes!$C$3:$D$60,2,FALSE)</f>
        <v>MITSUBISHI</v>
      </c>
      <c r="F260" s="73" t="s">
        <v>22</v>
      </c>
      <c r="G260" s="73" t="str">
        <f>VLOOKUP(F260,'[2]Lista de Produtos CLASSIFICAÇÃO'!$E$103:$F$114,2,FALSE)</f>
        <v>Metanol</v>
      </c>
      <c r="H260" s="74">
        <v>42000</v>
      </c>
    </row>
    <row r="261" spans="1:8" x14ac:dyDescent="0.25">
      <c r="A261" s="75">
        <v>2021</v>
      </c>
      <c r="B261" s="76" t="s">
        <v>213</v>
      </c>
      <c r="C261" s="77" t="s">
        <v>234</v>
      </c>
      <c r="D261" s="77" t="s">
        <v>170</v>
      </c>
      <c r="E261" s="73" t="str">
        <f>VLOOKUP(D261,clientes!$C$3:$D$60,2,FALSE)</f>
        <v>MITSUBISHI</v>
      </c>
      <c r="F261" s="77" t="s">
        <v>22</v>
      </c>
      <c r="G261" s="73" t="str">
        <f>VLOOKUP(F261,'[2]Lista de Produtos CLASSIFICAÇÃO'!$E$103:$F$114,2,FALSE)</f>
        <v>Metanol</v>
      </c>
      <c r="H261" s="78">
        <v>42000</v>
      </c>
    </row>
    <row r="262" spans="1:8" x14ac:dyDescent="0.25">
      <c r="A262" s="71">
        <v>2021</v>
      </c>
      <c r="B262" s="72" t="s">
        <v>214</v>
      </c>
      <c r="C262" s="73" t="s">
        <v>234</v>
      </c>
      <c r="D262" s="73" t="s">
        <v>170</v>
      </c>
      <c r="E262" s="73" t="str">
        <f>VLOOKUP(D262,clientes!$C$3:$D$60,2,FALSE)</f>
        <v>MITSUBISHI</v>
      </c>
      <c r="F262" s="73" t="s">
        <v>22</v>
      </c>
      <c r="G262" s="73" t="str">
        <f>VLOOKUP(F262,'[2]Lista de Produtos CLASSIFICAÇÃO'!$E$103:$F$114,2,FALSE)</f>
        <v>Metanol</v>
      </c>
      <c r="H262" s="74">
        <v>42000</v>
      </c>
    </row>
    <row r="263" spans="1:8" x14ac:dyDescent="0.25">
      <c r="A263" s="75">
        <v>2021</v>
      </c>
      <c r="B263" s="76" t="s">
        <v>215</v>
      </c>
      <c r="C263" s="77" t="s">
        <v>234</v>
      </c>
      <c r="D263" s="77" t="s">
        <v>170</v>
      </c>
      <c r="E263" s="73" t="str">
        <f>VLOOKUP(D263,clientes!$C$3:$D$60,2,FALSE)</f>
        <v>MITSUBISHI</v>
      </c>
      <c r="F263" s="77" t="s">
        <v>22</v>
      </c>
      <c r="G263" s="73" t="str">
        <f>VLOOKUP(F263,'[2]Lista de Produtos CLASSIFICAÇÃO'!$E$103:$F$114,2,FALSE)</f>
        <v>Metanol</v>
      </c>
      <c r="H263" s="78">
        <v>42000</v>
      </c>
    </row>
    <row r="264" spans="1:8" x14ac:dyDescent="0.25">
      <c r="A264" s="71">
        <v>2021</v>
      </c>
      <c r="B264" s="72" t="s">
        <v>230</v>
      </c>
      <c r="C264" s="73" t="s">
        <v>234</v>
      </c>
      <c r="D264" s="73" t="s">
        <v>170</v>
      </c>
      <c r="E264" s="73" t="str">
        <f>VLOOKUP(D264,clientes!$C$3:$D$60,2,FALSE)</f>
        <v>MITSUBISHI</v>
      </c>
      <c r="F264" s="73" t="s">
        <v>22</v>
      </c>
      <c r="G264" s="73" t="str">
        <f>VLOOKUP(F264,'[2]Lista de Produtos CLASSIFICAÇÃO'!$E$103:$F$114,2,FALSE)</f>
        <v>Metanol</v>
      </c>
      <c r="H264" s="74">
        <v>42000</v>
      </c>
    </row>
    <row r="265" spans="1:8" x14ac:dyDescent="0.25">
      <c r="A265" s="75">
        <v>2021</v>
      </c>
      <c r="B265" s="76" t="s">
        <v>231</v>
      </c>
      <c r="C265" s="77" t="s">
        <v>234</v>
      </c>
      <c r="D265" s="77" t="s">
        <v>170</v>
      </c>
      <c r="E265" s="73" t="str">
        <f>VLOOKUP(D265,clientes!$C$3:$D$60,2,FALSE)</f>
        <v>MITSUBISHI</v>
      </c>
      <c r="F265" s="77" t="s">
        <v>22</v>
      </c>
      <c r="G265" s="73" t="str">
        <f>VLOOKUP(F265,'[2]Lista de Produtos CLASSIFICAÇÃO'!$E$103:$F$114,2,FALSE)</f>
        <v>Metanol</v>
      </c>
      <c r="H265" s="78">
        <v>42000</v>
      </c>
    </row>
    <row r="266" spans="1:8" x14ac:dyDescent="0.25">
      <c r="A266" s="71">
        <v>2021</v>
      </c>
      <c r="B266" s="72" t="s">
        <v>226</v>
      </c>
      <c r="C266" s="73" t="s">
        <v>225</v>
      </c>
      <c r="D266" s="73" t="s">
        <v>207</v>
      </c>
      <c r="E266" s="73" t="str">
        <f>VLOOKUP(D266,clientes!$C$3:$D$60,2,FALSE)</f>
        <v>NOVUS</v>
      </c>
      <c r="F266" s="73" t="s">
        <v>16</v>
      </c>
      <c r="G266" s="73" t="str">
        <f>VLOOKUP(F266,'[2]Lista de Produtos CLASSIFICAÇÃO'!$E$103:$F$114,2,FALSE)</f>
        <v>Outros</v>
      </c>
      <c r="H266" s="74">
        <v>2700</v>
      </c>
    </row>
    <row r="267" spans="1:8" x14ac:dyDescent="0.25">
      <c r="A267" s="75">
        <v>2021</v>
      </c>
      <c r="B267" s="76" t="s">
        <v>227</v>
      </c>
      <c r="C267" s="77" t="s">
        <v>225</v>
      </c>
      <c r="D267" s="77" t="s">
        <v>207</v>
      </c>
      <c r="E267" s="73" t="str">
        <f>VLOOKUP(D267,clientes!$C$3:$D$60,2,FALSE)</f>
        <v>NOVUS</v>
      </c>
      <c r="F267" s="77" t="s">
        <v>16</v>
      </c>
      <c r="G267" s="73" t="str">
        <f>VLOOKUP(F267,'[2]Lista de Produtos CLASSIFICAÇÃO'!$E$103:$F$114,2,FALSE)</f>
        <v>Outros</v>
      </c>
      <c r="H267" s="78">
        <v>2700</v>
      </c>
    </row>
    <row r="268" spans="1:8" x14ac:dyDescent="0.25">
      <c r="A268" s="71">
        <v>2021</v>
      </c>
      <c r="B268" s="72" t="s">
        <v>228</v>
      </c>
      <c r="C268" s="73" t="s">
        <v>225</v>
      </c>
      <c r="D268" s="73" t="s">
        <v>207</v>
      </c>
      <c r="E268" s="73" t="str">
        <f>VLOOKUP(D268,clientes!$C$3:$D$60,2,FALSE)</f>
        <v>NOVUS</v>
      </c>
      <c r="F268" s="73" t="s">
        <v>16</v>
      </c>
      <c r="G268" s="73" t="str">
        <f>VLOOKUP(F268,'[2]Lista de Produtos CLASSIFICAÇÃO'!$E$103:$F$114,2,FALSE)</f>
        <v>Outros</v>
      </c>
      <c r="H268" s="74">
        <v>2700</v>
      </c>
    </row>
    <row r="269" spans="1:8" x14ac:dyDescent="0.25">
      <c r="A269" s="75">
        <v>2021</v>
      </c>
      <c r="B269" s="76" t="s">
        <v>229</v>
      </c>
      <c r="C269" s="77" t="s">
        <v>225</v>
      </c>
      <c r="D269" s="77" t="s">
        <v>207</v>
      </c>
      <c r="E269" s="73" t="str">
        <f>VLOOKUP(D269,clientes!$C$3:$D$60,2,FALSE)</f>
        <v>NOVUS</v>
      </c>
      <c r="F269" s="77" t="s">
        <v>16</v>
      </c>
      <c r="G269" s="73" t="str">
        <f>VLOOKUP(F269,'[2]Lista de Produtos CLASSIFICAÇÃO'!$E$103:$F$114,2,FALSE)</f>
        <v>Outros</v>
      </c>
      <c r="H269" s="78">
        <v>2700</v>
      </c>
    </row>
    <row r="270" spans="1:8" x14ac:dyDescent="0.25">
      <c r="A270" s="71">
        <v>2021</v>
      </c>
      <c r="B270" s="72" t="s">
        <v>210</v>
      </c>
      <c r="C270" s="73" t="s">
        <v>225</v>
      </c>
      <c r="D270" s="73" t="s">
        <v>207</v>
      </c>
      <c r="E270" s="73" t="str">
        <f>VLOOKUP(D270,clientes!$C$3:$D$60,2,FALSE)</f>
        <v>NOVUS</v>
      </c>
      <c r="F270" s="73" t="s">
        <v>16</v>
      </c>
      <c r="G270" s="73" t="str">
        <f>VLOOKUP(F270,'[2]Lista de Produtos CLASSIFICAÇÃO'!$E$103:$F$114,2,FALSE)</f>
        <v>Outros</v>
      </c>
      <c r="H270" s="74">
        <v>2700</v>
      </c>
    </row>
    <row r="271" spans="1:8" x14ac:dyDescent="0.25">
      <c r="A271" s="75">
        <v>2021</v>
      </c>
      <c r="B271" s="76" t="s">
        <v>211</v>
      </c>
      <c r="C271" s="77" t="s">
        <v>225</v>
      </c>
      <c r="D271" s="77" t="s">
        <v>207</v>
      </c>
      <c r="E271" s="73" t="str">
        <f>VLOOKUP(D271,clientes!$C$3:$D$60,2,FALSE)</f>
        <v>NOVUS</v>
      </c>
      <c r="F271" s="77" t="s">
        <v>16</v>
      </c>
      <c r="G271" s="73" t="str">
        <f>VLOOKUP(F271,'[2]Lista de Produtos CLASSIFICAÇÃO'!$E$103:$F$114,2,FALSE)</f>
        <v>Outros</v>
      </c>
      <c r="H271" s="78">
        <v>2700</v>
      </c>
    </row>
    <row r="272" spans="1:8" x14ac:dyDescent="0.25">
      <c r="A272" s="71">
        <v>2021</v>
      </c>
      <c r="B272" s="72" t="s">
        <v>212</v>
      </c>
      <c r="C272" s="73" t="s">
        <v>225</v>
      </c>
      <c r="D272" s="73" t="s">
        <v>207</v>
      </c>
      <c r="E272" s="73" t="str">
        <f>VLOOKUP(D272,clientes!$C$3:$D$60,2,FALSE)</f>
        <v>NOVUS</v>
      </c>
      <c r="F272" s="73" t="s">
        <v>16</v>
      </c>
      <c r="G272" s="73" t="str">
        <f>VLOOKUP(F272,'[2]Lista de Produtos CLASSIFICAÇÃO'!$E$103:$F$114,2,FALSE)</f>
        <v>Outros</v>
      </c>
      <c r="H272" s="74">
        <v>2700</v>
      </c>
    </row>
    <row r="273" spans="1:8" x14ac:dyDescent="0.25">
      <c r="A273" s="75">
        <v>2021</v>
      </c>
      <c r="B273" s="76" t="s">
        <v>213</v>
      </c>
      <c r="C273" s="77" t="s">
        <v>225</v>
      </c>
      <c r="D273" s="77" t="s">
        <v>207</v>
      </c>
      <c r="E273" s="73" t="str">
        <f>VLOOKUP(D273,clientes!$C$3:$D$60,2,FALSE)</f>
        <v>NOVUS</v>
      </c>
      <c r="F273" s="77" t="s">
        <v>16</v>
      </c>
      <c r="G273" s="73" t="str">
        <f>VLOOKUP(F273,'[2]Lista de Produtos CLASSIFICAÇÃO'!$E$103:$F$114,2,FALSE)</f>
        <v>Outros</v>
      </c>
      <c r="H273" s="78">
        <v>2700</v>
      </c>
    </row>
    <row r="274" spans="1:8" x14ac:dyDescent="0.25">
      <c r="A274" s="71">
        <v>2021</v>
      </c>
      <c r="B274" s="72" t="s">
        <v>214</v>
      </c>
      <c r="C274" s="73" t="s">
        <v>225</v>
      </c>
      <c r="D274" s="73" t="s">
        <v>207</v>
      </c>
      <c r="E274" s="73" t="str">
        <f>VLOOKUP(D274,clientes!$C$3:$D$60,2,FALSE)</f>
        <v>NOVUS</v>
      </c>
      <c r="F274" s="73" t="s">
        <v>16</v>
      </c>
      <c r="G274" s="73" t="str">
        <f>VLOOKUP(F274,'[2]Lista de Produtos CLASSIFICAÇÃO'!$E$103:$F$114,2,FALSE)</f>
        <v>Outros</v>
      </c>
      <c r="H274" s="74">
        <v>2700</v>
      </c>
    </row>
    <row r="275" spans="1:8" x14ac:dyDescent="0.25">
      <c r="A275" s="75">
        <v>2021</v>
      </c>
      <c r="B275" s="76" t="s">
        <v>215</v>
      </c>
      <c r="C275" s="77" t="s">
        <v>225</v>
      </c>
      <c r="D275" s="77" t="s">
        <v>207</v>
      </c>
      <c r="E275" s="73" t="str">
        <f>VLOOKUP(D275,clientes!$C$3:$D$60,2,FALSE)</f>
        <v>NOVUS</v>
      </c>
      <c r="F275" s="77" t="s">
        <v>16</v>
      </c>
      <c r="G275" s="73" t="str">
        <f>VLOOKUP(F275,'[2]Lista de Produtos CLASSIFICAÇÃO'!$E$103:$F$114,2,FALSE)</f>
        <v>Outros</v>
      </c>
      <c r="H275" s="78">
        <v>2700</v>
      </c>
    </row>
    <row r="276" spans="1:8" x14ac:dyDescent="0.25">
      <c r="A276" s="71">
        <v>2021</v>
      </c>
      <c r="B276" s="72" t="s">
        <v>230</v>
      </c>
      <c r="C276" s="73" t="s">
        <v>225</v>
      </c>
      <c r="D276" s="73" t="s">
        <v>207</v>
      </c>
      <c r="E276" s="73" t="str">
        <f>VLOOKUP(D276,clientes!$C$3:$D$60,2,FALSE)</f>
        <v>NOVUS</v>
      </c>
      <c r="F276" s="73" t="s">
        <v>16</v>
      </c>
      <c r="G276" s="73" t="str">
        <f>VLOOKUP(F276,'[2]Lista de Produtos CLASSIFICAÇÃO'!$E$103:$F$114,2,FALSE)</f>
        <v>Outros</v>
      </c>
      <c r="H276" s="74">
        <v>2700</v>
      </c>
    </row>
    <row r="277" spans="1:8" x14ac:dyDescent="0.25">
      <c r="A277" s="75">
        <v>2021</v>
      </c>
      <c r="B277" s="76" t="s">
        <v>231</v>
      </c>
      <c r="C277" s="77" t="s">
        <v>225</v>
      </c>
      <c r="D277" s="77" t="s">
        <v>207</v>
      </c>
      <c r="E277" s="73" t="str">
        <f>VLOOKUP(D277,clientes!$C$3:$D$60,2,FALSE)</f>
        <v>NOVUS</v>
      </c>
      <c r="F277" s="77" t="s">
        <v>16</v>
      </c>
      <c r="G277" s="73" t="str">
        <f>VLOOKUP(F277,'[2]Lista de Produtos CLASSIFICAÇÃO'!$E$103:$F$114,2,FALSE)</f>
        <v>Outros</v>
      </c>
      <c r="H277" s="78">
        <v>2700</v>
      </c>
    </row>
    <row r="278" spans="1:8" x14ac:dyDescent="0.25">
      <c r="A278" s="71">
        <v>2021</v>
      </c>
      <c r="B278" s="72" t="s">
        <v>226</v>
      </c>
      <c r="C278" s="73" t="s">
        <v>232</v>
      </c>
      <c r="D278" s="73" t="s">
        <v>167</v>
      </c>
      <c r="E278" s="73" t="str">
        <f>VLOOKUP(D278,clientes!$C$3:$D$60,2,FALSE)</f>
        <v>POOL</v>
      </c>
      <c r="F278" s="73" t="s">
        <v>122</v>
      </c>
      <c r="G278" s="73" t="str">
        <f>VLOOKUP(F278,'[2]Lista de Produtos CLASSIFICAÇÃO'!$E$103:$F$114,2,FALSE)</f>
        <v>Óleo Vegetal</v>
      </c>
      <c r="H278" s="74">
        <v>10869</v>
      </c>
    </row>
    <row r="279" spans="1:8" x14ac:dyDescent="0.25">
      <c r="A279" s="75">
        <v>2021</v>
      </c>
      <c r="B279" s="76" t="s">
        <v>227</v>
      </c>
      <c r="C279" s="77" t="s">
        <v>232</v>
      </c>
      <c r="D279" s="77" t="s">
        <v>167</v>
      </c>
      <c r="E279" s="73" t="str">
        <f>VLOOKUP(D279,clientes!$C$3:$D$60,2,FALSE)</f>
        <v>POOL</v>
      </c>
      <c r="F279" s="77" t="s">
        <v>122</v>
      </c>
      <c r="G279" s="73" t="str">
        <f>VLOOKUP(F279,'[2]Lista de Produtos CLASSIFICAÇÃO'!$E$103:$F$114,2,FALSE)</f>
        <v>Óleo Vegetal</v>
      </c>
      <c r="H279" s="78">
        <v>23355</v>
      </c>
    </row>
    <row r="280" spans="1:8" x14ac:dyDescent="0.25">
      <c r="A280" s="71">
        <v>2021</v>
      </c>
      <c r="B280" s="72" t="s">
        <v>228</v>
      </c>
      <c r="C280" s="73" t="s">
        <v>232</v>
      </c>
      <c r="D280" s="73" t="s">
        <v>167</v>
      </c>
      <c r="E280" s="73" t="str">
        <f>VLOOKUP(D280,clientes!$C$3:$D$60,2,FALSE)</f>
        <v>POOL</v>
      </c>
      <c r="F280" s="73" t="s">
        <v>122</v>
      </c>
      <c r="G280" s="73" t="str">
        <f>VLOOKUP(F280,'[2]Lista de Produtos CLASSIFICAÇÃO'!$E$103:$F$114,2,FALSE)</f>
        <v>Óleo Vegetal</v>
      </c>
      <c r="H280" s="74">
        <v>50645</v>
      </c>
    </row>
    <row r="281" spans="1:8" x14ac:dyDescent="0.25">
      <c r="A281" s="75">
        <v>2021</v>
      </c>
      <c r="B281" s="76" t="s">
        <v>229</v>
      </c>
      <c r="C281" s="77" t="s">
        <v>232</v>
      </c>
      <c r="D281" s="77" t="s">
        <v>167</v>
      </c>
      <c r="E281" s="73" t="str">
        <f>VLOOKUP(D281,clientes!$C$3:$D$60,2,FALSE)</f>
        <v>POOL</v>
      </c>
      <c r="F281" s="77" t="s">
        <v>122</v>
      </c>
      <c r="G281" s="73" t="str">
        <f>VLOOKUP(F281,'[2]Lista de Produtos CLASSIFICAÇÃO'!$E$103:$F$114,2,FALSE)</f>
        <v>Óleo Vegetal</v>
      </c>
      <c r="H281" s="78">
        <v>102894</v>
      </c>
    </row>
    <row r="282" spans="1:8" x14ac:dyDescent="0.25">
      <c r="A282" s="71">
        <v>2021</v>
      </c>
      <c r="B282" s="72" t="s">
        <v>210</v>
      </c>
      <c r="C282" s="73" t="s">
        <v>232</v>
      </c>
      <c r="D282" s="73" t="s">
        <v>167</v>
      </c>
      <c r="E282" s="73" t="str">
        <f>VLOOKUP(D282,clientes!$C$3:$D$60,2,FALSE)</f>
        <v>POOL</v>
      </c>
      <c r="F282" s="73" t="s">
        <v>122</v>
      </c>
      <c r="G282" s="73" t="str">
        <f>VLOOKUP(F282,'[2]Lista de Produtos CLASSIFICAÇÃO'!$E$103:$F$114,2,FALSE)</f>
        <v>Óleo Vegetal</v>
      </c>
      <c r="H282" s="74">
        <v>71190</v>
      </c>
    </row>
    <row r="283" spans="1:8" x14ac:dyDescent="0.25">
      <c r="A283" s="75">
        <v>2021</v>
      </c>
      <c r="B283" s="76" t="s">
        <v>211</v>
      </c>
      <c r="C283" s="77" t="s">
        <v>232</v>
      </c>
      <c r="D283" s="77" t="s">
        <v>167</v>
      </c>
      <c r="E283" s="73" t="str">
        <f>VLOOKUP(D283,clientes!$C$3:$D$60,2,FALSE)</f>
        <v>POOL</v>
      </c>
      <c r="F283" s="77" t="s">
        <v>122</v>
      </c>
      <c r="G283" s="73" t="str">
        <f>VLOOKUP(F283,'[2]Lista de Produtos CLASSIFICAÇÃO'!$E$103:$F$114,2,FALSE)</f>
        <v>Óleo Vegetal</v>
      </c>
      <c r="H283" s="78">
        <v>116810</v>
      </c>
    </row>
    <row r="284" spans="1:8" x14ac:dyDescent="0.25">
      <c r="A284" s="71">
        <v>2021</v>
      </c>
      <c r="B284" s="72" t="s">
        <v>212</v>
      </c>
      <c r="C284" s="73" t="s">
        <v>232</v>
      </c>
      <c r="D284" s="73" t="s">
        <v>167</v>
      </c>
      <c r="E284" s="73" t="str">
        <f>VLOOKUP(D284,clientes!$C$3:$D$60,2,FALSE)</f>
        <v>POOL</v>
      </c>
      <c r="F284" s="73" t="s">
        <v>122</v>
      </c>
      <c r="G284" s="73" t="str">
        <f>VLOOKUP(F284,'[2]Lista de Produtos CLASSIFICAÇÃO'!$E$103:$F$114,2,FALSE)</f>
        <v>Óleo Vegetal</v>
      </c>
      <c r="H284" s="74">
        <v>168683</v>
      </c>
    </row>
    <row r="285" spans="1:8" x14ac:dyDescent="0.25">
      <c r="A285" s="75">
        <v>2021</v>
      </c>
      <c r="B285" s="76" t="s">
        <v>213</v>
      </c>
      <c r="C285" s="77" t="s">
        <v>232</v>
      </c>
      <c r="D285" s="77" t="s">
        <v>167</v>
      </c>
      <c r="E285" s="73" t="str">
        <f>VLOOKUP(D285,clientes!$C$3:$D$60,2,FALSE)</f>
        <v>POOL</v>
      </c>
      <c r="F285" s="77" t="s">
        <v>122</v>
      </c>
      <c r="G285" s="73" t="str">
        <f>VLOOKUP(F285,'[2]Lista de Produtos CLASSIFICAÇÃO'!$E$103:$F$114,2,FALSE)</f>
        <v>Óleo Vegetal</v>
      </c>
      <c r="H285" s="78">
        <v>40825</v>
      </c>
    </row>
    <row r="286" spans="1:8" x14ac:dyDescent="0.25">
      <c r="A286" s="71">
        <v>2021</v>
      </c>
      <c r="B286" s="72" t="s">
        <v>214</v>
      </c>
      <c r="C286" s="73" t="s">
        <v>232</v>
      </c>
      <c r="D286" s="73" t="s">
        <v>167</v>
      </c>
      <c r="E286" s="73" t="str">
        <f>VLOOKUP(D286,clientes!$C$3:$D$60,2,FALSE)</f>
        <v>POOL</v>
      </c>
      <c r="F286" s="73" t="s">
        <v>122</v>
      </c>
      <c r="G286" s="73" t="str">
        <f>VLOOKUP(F286,'[2]Lista de Produtos CLASSIFICAÇÃO'!$E$103:$F$114,2,FALSE)</f>
        <v>Óleo Vegetal</v>
      </c>
      <c r="H286" s="74">
        <v>48256</v>
      </c>
    </row>
    <row r="287" spans="1:8" x14ac:dyDescent="0.25">
      <c r="A287" s="75">
        <v>2021</v>
      </c>
      <c r="B287" s="76" t="s">
        <v>215</v>
      </c>
      <c r="C287" s="77" t="s">
        <v>232</v>
      </c>
      <c r="D287" s="77" t="s">
        <v>167</v>
      </c>
      <c r="E287" s="73" t="str">
        <f>VLOOKUP(D287,clientes!$C$3:$D$60,2,FALSE)</f>
        <v>POOL</v>
      </c>
      <c r="F287" s="77" t="s">
        <v>122</v>
      </c>
      <c r="G287" s="73" t="str">
        <f>VLOOKUP(F287,'[2]Lista de Produtos CLASSIFICAÇÃO'!$E$103:$F$114,2,FALSE)</f>
        <v>Óleo Vegetal</v>
      </c>
      <c r="H287" s="78">
        <v>19084</v>
      </c>
    </row>
    <row r="288" spans="1:8" x14ac:dyDescent="0.25">
      <c r="A288" s="71">
        <v>2021</v>
      </c>
      <c r="B288" s="72" t="s">
        <v>230</v>
      </c>
      <c r="C288" s="73" t="s">
        <v>232</v>
      </c>
      <c r="D288" s="73" t="s">
        <v>167</v>
      </c>
      <c r="E288" s="73" t="str">
        <f>VLOOKUP(D288,clientes!$C$3:$D$60,2,FALSE)</f>
        <v>POOL</v>
      </c>
      <c r="F288" s="73" t="s">
        <v>122</v>
      </c>
      <c r="G288" s="73" t="str">
        <f>VLOOKUP(F288,'[2]Lista de Produtos CLASSIFICAÇÃO'!$E$103:$F$114,2,FALSE)</f>
        <v>Óleo Vegetal</v>
      </c>
      <c r="H288" s="74">
        <v>10869</v>
      </c>
    </row>
    <row r="289" spans="1:8" x14ac:dyDescent="0.25">
      <c r="A289" s="75">
        <v>2021</v>
      </c>
      <c r="B289" s="76" t="s">
        <v>231</v>
      </c>
      <c r="C289" s="77" t="s">
        <v>232</v>
      </c>
      <c r="D289" s="77" t="s">
        <v>167</v>
      </c>
      <c r="E289" s="73" t="str">
        <f>VLOOKUP(D289,clientes!$C$3:$D$60,2,FALSE)</f>
        <v>POOL</v>
      </c>
      <c r="F289" s="77" t="s">
        <v>122</v>
      </c>
      <c r="G289" s="73" t="str">
        <f>VLOOKUP(F289,'[2]Lista de Produtos CLASSIFICAÇÃO'!$E$103:$F$114,2,FALSE)</f>
        <v>Óleo Vegetal</v>
      </c>
      <c r="H289" s="78">
        <v>10869</v>
      </c>
    </row>
    <row r="290" spans="1:8" x14ac:dyDescent="0.25">
      <c r="A290" s="71">
        <v>2021</v>
      </c>
      <c r="B290" s="72" t="s">
        <v>226</v>
      </c>
      <c r="C290" s="73" t="s">
        <v>232</v>
      </c>
      <c r="D290" s="73" t="s">
        <v>168</v>
      </c>
      <c r="E290" s="73" t="str">
        <f>VLOOKUP(D290,clientes!$C$3:$D$60,2,FALSE)</f>
        <v>POOL EXCEDENTE</v>
      </c>
      <c r="F290" s="73" t="s">
        <v>122</v>
      </c>
      <c r="G290" s="73" t="str">
        <f>VLOOKUP(F290,'[2]Lista de Produtos CLASSIFICAÇÃO'!$E$103:$F$114,2,FALSE)</f>
        <v>Óleo Vegetal</v>
      </c>
      <c r="H290" s="74">
        <v>2173</v>
      </c>
    </row>
    <row r="291" spans="1:8" x14ac:dyDescent="0.25">
      <c r="A291" s="75">
        <v>2021</v>
      </c>
      <c r="B291" s="76" t="s">
        <v>227</v>
      </c>
      <c r="C291" s="77" t="s">
        <v>232</v>
      </c>
      <c r="D291" s="77" t="s">
        <v>168</v>
      </c>
      <c r="E291" s="73" t="str">
        <f>VLOOKUP(D291,clientes!$C$3:$D$60,2,FALSE)</f>
        <v>POOL EXCEDENTE</v>
      </c>
      <c r="F291" s="77" t="s">
        <v>122</v>
      </c>
      <c r="G291" s="73" t="str">
        <f>VLOOKUP(F291,'[2]Lista de Produtos CLASSIFICAÇÃO'!$E$103:$F$114,2,FALSE)</f>
        <v>Óleo Vegetal</v>
      </c>
      <c r="H291" s="78">
        <v>2173</v>
      </c>
    </row>
    <row r="292" spans="1:8" x14ac:dyDescent="0.25">
      <c r="A292" s="71">
        <v>2021</v>
      </c>
      <c r="B292" s="72" t="s">
        <v>228</v>
      </c>
      <c r="C292" s="73" t="s">
        <v>232</v>
      </c>
      <c r="D292" s="73" t="s">
        <v>168</v>
      </c>
      <c r="E292" s="73" t="str">
        <f>VLOOKUP(D292,clientes!$C$3:$D$60,2,FALSE)</f>
        <v>POOL EXCEDENTE</v>
      </c>
      <c r="F292" s="73" t="s">
        <v>122</v>
      </c>
      <c r="G292" s="73" t="str">
        <f>VLOOKUP(F292,'[2]Lista de Produtos CLASSIFICAÇÃO'!$E$103:$F$114,2,FALSE)</f>
        <v>Óleo Vegetal</v>
      </c>
      <c r="H292" s="74">
        <v>2173</v>
      </c>
    </row>
    <row r="293" spans="1:8" x14ac:dyDescent="0.25">
      <c r="A293" s="75">
        <v>2021</v>
      </c>
      <c r="B293" s="76" t="s">
        <v>229</v>
      </c>
      <c r="C293" s="77" t="s">
        <v>232</v>
      </c>
      <c r="D293" s="77" t="s">
        <v>168</v>
      </c>
      <c r="E293" s="73" t="str">
        <f>VLOOKUP(D293,clientes!$C$3:$D$60,2,FALSE)</f>
        <v>POOL EXCEDENTE</v>
      </c>
      <c r="F293" s="77" t="s">
        <v>122</v>
      </c>
      <c r="G293" s="73" t="str">
        <f>VLOOKUP(F293,'[2]Lista de Produtos CLASSIFICAÇÃO'!$E$103:$F$114,2,FALSE)</f>
        <v>Óleo Vegetal</v>
      </c>
      <c r="H293" s="78">
        <v>2173</v>
      </c>
    </row>
    <row r="294" spans="1:8" x14ac:dyDescent="0.25">
      <c r="A294" s="71">
        <v>2021</v>
      </c>
      <c r="B294" s="72" t="s">
        <v>210</v>
      </c>
      <c r="C294" s="73" t="s">
        <v>232</v>
      </c>
      <c r="D294" s="73" t="s">
        <v>168</v>
      </c>
      <c r="E294" s="73" t="str">
        <f>VLOOKUP(D294,clientes!$C$3:$D$60,2,FALSE)</f>
        <v>POOL EXCEDENTE</v>
      </c>
      <c r="F294" s="73" t="s">
        <v>122</v>
      </c>
      <c r="G294" s="73" t="str">
        <f>VLOOKUP(F294,'[2]Lista de Produtos CLASSIFICAÇÃO'!$E$103:$F$114,2,FALSE)</f>
        <v>Óleo Vegetal</v>
      </c>
      <c r="H294" s="74">
        <v>2173</v>
      </c>
    </row>
    <row r="295" spans="1:8" x14ac:dyDescent="0.25">
      <c r="A295" s="75">
        <v>2021</v>
      </c>
      <c r="B295" s="76" t="s">
        <v>211</v>
      </c>
      <c r="C295" s="77" t="s">
        <v>232</v>
      </c>
      <c r="D295" s="77" t="s">
        <v>168</v>
      </c>
      <c r="E295" s="73" t="str">
        <f>VLOOKUP(D295,clientes!$C$3:$D$60,2,FALSE)</f>
        <v>POOL EXCEDENTE</v>
      </c>
      <c r="F295" s="77" t="s">
        <v>122</v>
      </c>
      <c r="G295" s="73" t="str">
        <f>VLOOKUP(F295,'[2]Lista de Produtos CLASSIFICAÇÃO'!$E$103:$F$114,2,FALSE)</f>
        <v>Óleo Vegetal</v>
      </c>
      <c r="H295" s="78">
        <v>2173</v>
      </c>
    </row>
    <row r="296" spans="1:8" x14ac:dyDescent="0.25">
      <c r="A296" s="71">
        <v>2021</v>
      </c>
      <c r="B296" s="72" t="s">
        <v>212</v>
      </c>
      <c r="C296" s="73" t="s">
        <v>232</v>
      </c>
      <c r="D296" s="73" t="s">
        <v>168</v>
      </c>
      <c r="E296" s="73" t="str">
        <f>VLOOKUP(D296,clientes!$C$3:$D$60,2,FALSE)</f>
        <v>POOL EXCEDENTE</v>
      </c>
      <c r="F296" s="73" t="s">
        <v>122</v>
      </c>
      <c r="G296" s="73" t="str">
        <f>VLOOKUP(F296,'[2]Lista de Produtos CLASSIFICAÇÃO'!$E$103:$F$114,2,FALSE)</f>
        <v>Óleo Vegetal</v>
      </c>
      <c r="H296" s="74">
        <v>2173</v>
      </c>
    </row>
    <row r="297" spans="1:8" x14ac:dyDescent="0.25">
      <c r="A297" s="75">
        <v>2021</v>
      </c>
      <c r="B297" s="76" t="s">
        <v>213</v>
      </c>
      <c r="C297" s="77" t="s">
        <v>232</v>
      </c>
      <c r="D297" s="77" t="s">
        <v>168</v>
      </c>
      <c r="E297" s="73" t="str">
        <f>VLOOKUP(D297,clientes!$C$3:$D$60,2,FALSE)</f>
        <v>POOL EXCEDENTE</v>
      </c>
      <c r="F297" s="77" t="s">
        <v>122</v>
      </c>
      <c r="G297" s="73" t="str">
        <f>VLOOKUP(F297,'[2]Lista de Produtos CLASSIFICAÇÃO'!$E$103:$F$114,2,FALSE)</f>
        <v>Óleo Vegetal</v>
      </c>
      <c r="H297" s="78">
        <v>2173</v>
      </c>
    </row>
    <row r="298" spans="1:8" x14ac:dyDescent="0.25">
      <c r="A298" s="71">
        <v>2021</v>
      </c>
      <c r="B298" s="72" t="s">
        <v>214</v>
      </c>
      <c r="C298" s="73" t="s">
        <v>232</v>
      </c>
      <c r="D298" s="73" t="s">
        <v>168</v>
      </c>
      <c r="E298" s="73" t="str">
        <f>VLOOKUP(D298,clientes!$C$3:$D$60,2,FALSE)</f>
        <v>POOL EXCEDENTE</v>
      </c>
      <c r="F298" s="73" t="s">
        <v>122</v>
      </c>
      <c r="G298" s="73" t="str">
        <f>VLOOKUP(F298,'[2]Lista de Produtos CLASSIFICAÇÃO'!$E$103:$F$114,2,FALSE)</f>
        <v>Óleo Vegetal</v>
      </c>
      <c r="H298" s="74">
        <v>2173</v>
      </c>
    </row>
    <row r="299" spans="1:8" x14ac:dyDescent="0.25">
      <c r="A299" s="75">
        <v>2021</v>
      </c>
      <c r="B299" s="76" t="s">
        <v>215</v>
      </c>
      <c r="C299" s="77" t="s">
        <v>232</v>
      </c>
      <c r="D299" s="77" t="s">
        <v>168</v>
      </c>
      <c r="E299" s="73" t="str">
        <f>VLOOKUP(D299,clientes!$C$3:$D$60,2,FALSE)</f>
        <v>POOL EXCEDENTE</v>
      </c>
      <c r="F299" s="77" t="s">
        <v>122</v>
      </c>
      <c r="G299" s="73" t="str">
        <f>VLOOKUP(F299,'[2]Lista de Produtos CLASSIFICAÇÃO'!$E$103:$F$114,2,FALSE)</f>
        <v>Óleo Vegetal</v>
      </c>
      <c r="H299" s="78">
        <v>2173</v>
      </c>
    </row>
    <row r="300" spans="1:8" x14ac:dyDescent="0.25">
      <c r="A300" s="71">
        <v>2021</v>
      </c>
      <c r="B300" s="72" t="s">
        <v>230</v>
      </c>
      <c r="C300" s="73" t="s">
        <v>232</v>
      </c>
      <c r="D300" s="73" t="s">
        <v>168</v>
      </c>
      <c r="E300" s="73" t="str">
        <f>VLOOKUP(D300,clientes!$C$3:$D$60,2,FALSE)</f>
        <v>POOL EXCEDENTE</v>
      </c>
      <c r="F300" s="73" t="s">
        <v>122</v>
      </c>
      <c r="G300" s="73" t="str">
        <f>VLOOKUP(F300,'[2]Lista de Produtos CLASSIFICAÇÃO'!$E$103:$F$114,2,FALSE)</f>
        <v>Óleo Vegetal</v>
      </c>
      <c r="H300" s="74">
        <v>2173</v>
      </c>
    </row>
    <row r="301" spans="1:8" x14ac:dyDescent="0.25">
      <c r="A301" s="75">
        <v>2021</v>
      </c>
      <c r="B301" s="76" t="s">
        <v>231</v>
      </c>
      <c r="C301" s="77" t="s">
        <v>232</v>
      </c>
      <c r="D301" s="77" t="s">
        <v>168</v>
      </c>
      <c r="E301" s="73" t="str">
        <f>VLOOKUP(D301,clientes!$C$3:$D$60,2,FALSE)</f>
        <v>POOL EXCEDENTE</v>
      </c>
      <c r="F301" s="77" t="s">
        <v>122</v>
      </c>
      <c r="G301" s="73" t="str">
        <f>VLOOKUP(F301,'[2]Lista de Produtos CLASSIFICAÇÃO'!$E$103:$F$114,2,FALSE)</f>
        <v>Óleo Vegetal</v>
      </c>
      <c r="H301" s="78">
        <v>2173</v>
      </c>
    </row>
    <row r="302" spans="1:8" x14ac:dyDescent="0.25">
      <c r="A302" s="71">
        <v>2021</v>
      </c>
      <c r="B302" s="72" t="s">
        <v>226</v>
      </c>
      <c r="C302" s="73" t="s">
        <v>235</v>
      </c>
      <c r="D302" s="73" t="s">
        <v>196</v>
      </c>
      <c r="E302" s="73" t="str">
        <f>VLOOKUP(D302,clientes!$C$3:$D$60,2,FALSE)</f>
        <v>SCC</v>
      </c>
      <c r="F302" s="73" t="s">
        <v>22</v>
      </c>
      <c r="G302" s="73" t="str">
        <f>VLOOKUP(F302,'[2]Lista de Produtos CLASSIFICAÇÃO'!$E$103:$F$114,2,FALSE)</f>
        <v>Metanol</v>
      </c>
      <c r="H302" s="74">
        <v>75000</v>
      </c>
    </row>
    <row r="303" spans="1:8" x14ac:dyDescent="0.25">
      <c r="A303" s="75">
        <v>2021</v>
      </c>
      <c r="B303" s="76" t="s">
        <v>226</v>
      </c>
      <c r="C303" s="77" t="s">
        <v>235</v>
      </c>
      <c r="D303" s="77" t="s">
        <v>196</v>
      </c>
      <c r="E303" s="73" t="str">
        <f>VLOOKUP(D303,clientes!$C$3:$D$60,2,FALSE)</f>
        <v>SCC</v>
      </c>
      <c r="F303" s="77" t="s">
        <v>22</v>
      </c>
      <c r="G303" s="73" t="str">
        <f>VLOOKUP(F303,'[2]Lista de Produtos CLASSIFICAÇÃO'!$E$103:$F$114,2,FALSE)</f>
        <v>Metanol</v>
      </c>
      <c r="H303" s="78">
        <v>0</v>
      </c>
    </row>
    <row r="304" spans="1:8" x14ac:dyDescent="0.25">
      <c r="A304" s="71">
        <v>2021</v>
      </c>
      <c r="B304" s="72" t="s">
        <v>227</v>
      </c>
      <c r="C304" s="73" t="s">
        <v>235</v>
      </c>
      <c r="D304" s="73" t="s">
        <v>196</v>
      </c>
      <c r="E304" s="73" t="str">
        <f>VLOOKUP(D304,clientes!$C$3:$D$60,2,FALSE)</f>
        <v>SCC</v>
      </c>
      <c r="F304" s="73" t="s">
        <v>22</v>
      </c>
      <c r="G304" s="73" t="str">
        <f>VLOOKUP(F304,'[2]Lista de Produtos CLASSIFICAÇÃO'!$E$103:$F$114,2,FALSE)</f>
        <v>Metanol</v>
      </c>
      <c r="H304" s="74">
        <v>75000</v>
      </c>
    </row>
    <row r="305" spans="1:8" x14ac:dyDescent="0.25">
      <c r="A305" s="75">
        <v>2021</v>
      </c>
      <c r="B305" s="76" t="s">
        <v>227</v>
      </c>
      <c r="C305" s="77" t="s">
        <v>235</v>
      </c>
      <c r="D305" s="77" t="s">
        <v>196</v>
      </c>
      <c r="E305" s="73" t="str">
        <f>VLOOKUP(D305,clientes!$C$3:$D$60,2,FALSE)</f>
        <v>SCC</v>
      </c>
      <c r="F305" s="77" t="s">
        <v>22</v>
      </c>
      <c r="G305" s="73" t="str">
        <f>VLOOKUP(F305,'[2]Lista de Produtos CLASSIFICAÇÃO'!$E$103:$F$114,2,FALSE)</f>
        <v>Metanol</v>
      </c>
      <c r="H305" s="78">
        <v>0</v>
      </c>
    </row>
    <row r="306" spans="1:8" x14ac:dyDescent="0.25">
      <c r="A306" s="71">
        <v>2021</v>
      </c>
      <c r="B306" s="72" t="s">
        <v>228</v>
      </c>
      <c r="C306" s="73" t="s">
        <v>235</v>
      </c>
      <c r="D306" s="73" t="s">
        <v>196</v>
      </c>
      <c r="E306" s="73" t="str">
        <f>VLOOKUP(D306,clientes!$C$3:$D$60,2,FALSE)</f>
        <v>SCC</v>
      </c>
      <c r="F306" s="73" t="s">
        <v>22</v>
      </c>
      <c r="G306" s="73" t="str">
        <f>VLOOKUP(F306,'[2]Lista de Produtos CLASSIFICAÇÃO'!$E$103:$F$114,2,FALSE)</f>
        <v>Metanol</v>
      </c>
      <c r="H306" s="74">
        <v>75000</v>
      </c>
    </row>
    <row r="307" spans="1:8" x14ac:dyDescent="0.25">
      <c r="A307" s="75">
        <v>2021</v>
      </c>
      <c r="B307" s="76" t="s">
        <v>228</v>
      </c>
      <c r="C307" s="77" t="s">
        <v>235</v>
      </c>
      <c r="D307" s="77" t="s">
        <v>196</v>
      </c>
      <c r="E307" s="73" t="str">
        <f>VLOOKUP(D307,clientes!$C$3:$D$60,2,FALSE)</f>
        <v>SCC</v>
      </c>
      <c r="F307" s="77" t="s">
        <v>22</v>
      </c>
      <c r="G307" s="73" t="str">
        <f>VLOOKUP(F307,'[2]Lista de Produtos CLASSIFICAÇÃO'!$E$103:$F$114,2,FALSE)</f>
        <v>Metanol</v>
      </c>
      <c r="H307" s="78">
        <v>0</v>
      </c>
    </row>
    <row r="308" spans="1:8" x14ac:dyDescent="0.25">
      <c r="A308" s="71">
        <v>2021</v>
      </c>
      <c r="B308" s="72" t="s">
        <v>229</v>
      </c>
      <c r="C308" s="73" t="s">
        <v>235</v>
      </c>
      <c r="D308" s="73" t="s">
        <v>196</v>
      </c>
      <c r="E308" s="73" t="str">
        <f>VLOOKUP(D308,clientes!$C$3:$D$60,2,FALSE)</f>
        <v>SCC</v>
      </c>
      <c r="F308" s="73" t="s">
        <v>22</v>
      </c>
      <c r="G308" s="73" t="str">
        <f>VLOOKUP(F308,'[2]Lista de Produtos CLASSIFICAÇÃO'!$E$103:$F$114,2,FALSE)</f>
        <v>Metanol</v>
      </c>
      <c r="H308" s="74">
        <v>75000</v>
      </c>
    </row>
    <row r="309" spans="1:8" x14ac:dyDescent="0.25">
      <c r="A309" s="75">
        <v>2021</v>
      </c>
      <c r="B309" s="76" t="s">
        <v>229</v>
      </c>
      <c r="C309" s="77" t="s">
        <v>235</v>
      </c>
      <c r="D309" s="77" t="s">
        <v>196</v>
      </c>
      <c r="E309" s="73" t="str">
        <f>VLOOKUP(D309,clientes!$C$3:$D$60,2,FALSE)</f>
        <v>SCC</v>
      </c>
      <c r="F309" s="77" t="s">
        <v>22</v>
      </c>
      <c r="G309" s="73" t="str">
        <f>VLOOKUP(F309,'[2]Lista de Produtos CLASSIFICAÇÃO'!$E$103:$F$114,2,FALSE)</f>
        <v>Metanol</v>
      </c>
      <c r="H309" s="78">
        <v>0</v>
      </c>
    </row>
    <row r="310" spans="1:8" x14ac:dyDescent="0.25">
      <c r="A310" s="71">
        <v>2021</v>
      </c>
      <c r="B310" s="72" t="s">
        <v>210</v>
      </c>
      <c r="C310" s="73" t="s">
        <v>235</v>
      </c>
      <c r="D310" s="73" t="s">
        <v>196</v>
      </c>
      <c r="E310" s="73" t="str">
        <f>VLOOKUP(D310,clientes!$C$3:$D$60,2,FALSE)</f>
        <v>SCC</v>
      </c>
      <c r="F310" s="73" t="s">
        <v>22</v>
      </c>
      <c r="G310" s="73" t="str">
        <f>VLOOKUP(F310,'[2]Lista de Produtos CLASSIFICAÇÃO'!$E$103:$F$114,2,FALSE)</f>
        <v>Metanol</v>
      </c>
      <c r="H310" s="74">
        <v>75000</v>
      </c>
    </row>
    <row r="311" spans="1:8" x14ac:dyDescent="0.25">
      <c r="A311" s="75">
        <v>2021</v>
      </c>
      <c r="B311" s="76" t="s">
        <v>210</v>
      </c>
      <c r="C311" s="77" t="s">
        <v>235</v>
      </c>
      <c r="D311" s="77" t="s">
        <v>196</v>
      </c>
      <c r="E311" s="73" t="str">
        <f>VLOOKUP(D311,clientes!$C$3:$D$60,2,FALSE)</f>
        <v>SCC</v>
      </c>
      <c r="F311" s="77" t="s">
        <v>22</v>
      </c>
      <c r="G311" s="73" t="str">
        <f>VLOOKUP(F311,'[2]Lista de Produtos CLASSIFICAÇÃO'!$E$103:$F$114,2,FALSE)</f>
        <v>Metanol</v>
      </c>
      <c r="H311" s="78">
        <v>0</v>
      </c>
    </row>
    <row r="312" spans="1:8" x14ac:dyDescent="0.25">
      <c r="A312" s="71">
        <v>2021</v>
      </c>
      <c r="B312" s="72" t="s">
        <v>211</v>
      </c>
      <c r="C312" s="73" t="s">
        <v>235</v>
      </c>
      <c r="D312" s="73" t="s">
        <v>196</v>
      </c>
      <c r="E312" s="73" t="str">
        <f>VLOOKUP(D312,clientes!$C$3:$D$60,2,FALSE)</f>
        <v>SCC</v>
      </c>
      <c r="F312" s="73" t="s">
        <v>22</v>
      </c>
      <c r="G312" s="73" t="str">
        <f>VLOOKUP(F312,'[2]Lista de Produtos CLASSIFICAÇÃO'!$E$103:$F$114,2,FALSE)</f>
        <v>Metanol</v>
      </c>
      <c r="H312" s="74">
        <v>75000</v>
      </c>
    </row>
    <row r="313" spans="1:8" x14ac:dyDescent="0.25">
      <c r="A313" s="75">
        <v>2021</v>
      </c>
      <c r="B313" s="76" t="s">
        <v>211</v>
      </c>
      <c r="C313" s="77" t="s">
        <v>235</v>
      </c>
      <c r="D313" s="77" t="s">
        <v>196</v>
      </c>
      <c r="E313" s="73" t="str">
        <f>VLOOKUP(D313,clientes!$C$3:$D$60,2,FALSE)</f>
        <v>SCC</v>
      </c>
      <c r="F313" s="77" t="s">
        <v>22</v>
      </c>
      <c r="G313" s="73" t="str">
        <f>VLOOKUP(F313,'[2]Lista de Produtos CLASSIFICAÇÃO'!$E$103:$F$114,2,FALSE)</f>
        <v>Metanol</v>
      </c>
      <c r="H313" s="78">
        <v>5000</v>
      </c>
    </row>
    <row r="314" spans="1:8" x14ac:dyDescent="0.25">
      <c r="A314" s="71">
        <v>2021</v>
      </c>
      <c r="B314" s="72" t="s">
        <v>212</v>
      </c>
      <c r="C314" s="73" t="s">
        <v>235</v>
      </c>
      <c r="D314" s="73" t="s">
        <v>196</v>
      </c>
      <c r="E314" s="73" t="str">
        <f>VLOOKUP(D314,clientes!$C$3:$D$60,2,FALSE)</f>
        <v>SCC</v>
      </c>
      <c r="F314" s="73" t="s">
        <v>22</v>
      </c>
      <c r="G314" s="73" t="str">
        <f>VLOOKUP(F314,'[2]Lista de Produtos CLASSIFICAÇÃO'!$E$103:$F$114,2,FALSE)</f>
        <v>Metanol</v>
      </c>
      <c r="H314" s="74">
        <v>75000</v>
      </c>
    </row>
    <row r="315" spans="1:8" x14ac:dyDescent="0.25">
      <c r="A315" s="75">
        <v>2021</v>
      </c>
      <c r="B315" s="76" t="s">
        <v>212</v>
      </c>
      <c r="C315" s="77" t="s">
        <v>235</v>
      </c>
      <c r="D315" s="77" t="s">
        <v>196</v>
      </c>
      <c r="E315" s="73" t="str">
        <f>VLOOKUP(D315,clientes!$C$3:$D$60,2,FALSE)</f>
        <v>SCC</v>
      </c>
      <c r="F315" s="77" t="s">
        <v>22</v>
      </c>
      <c r="G315" s="73" t="str">
        <f>VLOOKUP(F315,'[2]Lista de Produtos CLASSIFICAÇÃO'!$E$103:$F$114,2,FALSE)</f>
        <v>Metanol</v>
      </c>
      <c r="H315" s="78">
        <v>5000</v>
      </c>
    </row>
    <row r="316" spans="1:8" x14ac:dyDescent="0.25">
      <c r="A316" s="71">
        <v>2021</v>
      </c>
      <c r="B316" s="72" t="s">
        <v>213</v>
      </c>
      <c r="C316" s="73" t="s">
        <v>235</v>
      </c>
      <c r="D316" s="73" t="s">
        <v>196</v>
      </c>
      <c r="E316" s="73" t="str">
        <f>VLOOKUP(D316,clientes!$C$3:$D$60,2,FALSE)</f>
        <v>SCC</v>
      </c>
      <c r="F316" s="73" t="s">
        <v>22</v>
      </c>
      <c r="G316" s="73" t="str">
        <f>VLOOKUP(F316,'[2]Lista de Produtos CLASSIFICAÇÃO'!$E$103:$F$114,2,FALSE)</f>
        <v>Metanol</v>
      </c>
      <c r="H316" s="74">
        <v>75000</v>
      </c>
    </row>
    <row r="317" spans="1:8" x14ac:dyDescent="0.25">
      <c r="A317" s="75">
        <v>2021</v>
      </c>
      <c r="B317" s="76" t="s">
        <v>213</v>
      </c>
      <c r="C317" s="77" t="s">
        <v>235</v>
      </c>
      <c r="D317" s="77" t="s">
        <v>196</v>
      </c>
      <c r="E317" s="73" t="str">
        <f>VLOOKUP(D317,clientes!$C$3:$D$60,2,FALSE)</f>
        <v>SCC</v>
      </c>
      <c r="F317" s="77" t="s">
        <v>22</v>
      </c>
      <c r="G317" s="73" t="str">
        <f>VLOOKUP(F317,'[2]Lista de Produtos CLASSIFICAÇÃO'!$E$103:$F$114,2,FALSE)</f>
        <v>Metanol</v>
      </c>
      <c r="H317" s="78">
        <v>5000</v>
      </c>
    </row>
    <row r="318" spans="1:8" x14ac:dyDescent="0.25">
      <c r="A318" s="71">
        <v>2021</v>
      </c>
      <c r="B318" s="72" t="s">
        <v>214</v>
      </c>
      <c r="C318" s="73" t="s">
        <v>235</v>
      </c>
      <c r="D318" s="73" t="s">
        <v>196</v>
      </c>
      <c r="E318" s="73" t="str">
        <f>VLOOKUP(D318,clientes!$C$3:$D$60,2,FALSE)</f>
        <v>SCC</v>
      </c>
      <c r="F318" s="73" t="s">
        <v>22</v>
      </c>
      <c r="G318" s="73" t="str">
        <f>VLOOKUP(F318,'[2]Lista de Produtos CLASSIFICAÇÃO'!$E$103:$F$114,2,FALSE)</f>
        <v>Metanol</v>
      </c>
      <c r="H318" s="74">
        <v>75000</v>
      </c>
    </row>
    <row r="319" spans="1:8" x14ac:dyDescent="0.25">
      <c r="A319" s="75">
        <v>2021</v>
      </c>
      <c r="B319" s="76" t="s">
        <v>214</v>
      </c>
      <c r="C319" s="77" t="s">
        <v>235</v>
      </c>
      <c r="D319" s="77" t="s">
        <v>196</v>
      </c>
      <c r="E319" s="73" t="str">
        <f>VLOOKUP(D319,clientes!$C$3:$D$60,2,FALSE)</f>
        <v>SCC</v>
      </c>
      <c r="F319" s="77" t="s">
        <v>22</v>
      </c>
      <c r="G319" s="73" t="str">
        <f>VLOOKUP(F319,'[2]Lista de Produtos CLASSIFICAÇÃO'!$E$103:$F$114,2,FALSE)</f>
        <v>Metanol</v>
      </c>
      <c r="H319" s="78">
        <v>5000</v>
      </c>
    </row>
    <row r="320" spans="1:8" x14ac:dyDescent="0.25">
      <c r="A320" s="71">
        <v>2021</v>
      </c>
      <c r="B320" s="72" t="s">
        <v>215</v>
      </c>
      <c r="C320" s="73" t="s">
        <v>235</v>
      </c>
      <c r="D320" s="73" t="s">
        <v>196</v>
      </c>
      <c r="E320" s="73" t="str">
        <f>VLOOKUP(D320,clientes!$C$3:$D$60,2,FALSE)</f>
        <v>SCC</v>
      </c>
      <c r="F320" s="73" t="s">
        <v>22</v>
      </c>
      <c r="G320" s="73" t="str">
        <f>VLOOKUP(F320,'[2]Lista de Produtos CLASSIFICAÇÃO'!$E$103:$F$114,2,FALSE)</f>
        <v>Metanol</v>
      </c>
      <c r="H320" s="74">
        <v>75000</v>
      </c>
    </row>
    <row r="321" spans="1:8" x14ac:dyDescent="0.25">
      <c r="A321" s="75">
        <v>2021</v>
      </c>
      <c r="B321" s="76" t="s">
        <v>215</v>
      </c>
      <c r="C321" s="77" t="s">
        <v>235</v>
      </c>
      <c r="D321" s="77" t="s">
        <v>196</v>
      </c>
      <c r="E321" s="73" t="str">
        <f>VLOOKUP(D321,clientes!$C$3:$D$60,2,FALSE)</f>
        <v>SCC</v>
      </c>
      <c r="F321" s="77" t="s">
        <v>22</v>
      </c>
      <c r="G321" s="73" t="str">
        <f>VLOOKUP(F321,'[2]Lista de Produtos CLASSIFICAÇÃO'!$E$103:$F$114,2,FALSE)</f>
        <v>Metanol</v>
      </c>
      <c r="H321" s="78">
        <v>5000</v>
      </c>
    </row>
    <row r="322" spans="1:8" x14ac:dyDescent="0.25">
      <c r="A322" s="71">
        <v>2021</v>
      </c>
      <c r="B322" s="72" t="s">
        <v>230</v>
      </c>
      <c r="C322" s="73" t="s">
        <v>235</v>
      </c>
      <c r="D322" s="73" t="s">
        <v>196</v>
      </c>
      <c r="E322" s="73" t="str">
        <f>VLOOKUP(D322,clientes!$C$3:$D$60,2,FALSE)</f>
        <v>SCC</v>
      </c>
      <c r="F322" s="73" t="s">
        <v>22</v>
      </c>
      <c r="G322" s="73" t="str">
        <f>VLOOKUP(F322,'[2]Lista de Produtos CLASSIFICAÇÃO'!$E$103:$F$114,2,FALSE)</f>
        <v>Metanol</v>
      </c>
      <c r="H322" s="74">
        <v>75000</v>
      </c>
    </row>
    <row r="323" spans="1:8" x14ac:dyDescent="0.25">
      <c r="A323" s="75">
        <v>2021</v>
      </c>
      <c r="B323" s="76" t="s">
        <v>230</v>
      </c>
      <c r="C323" s="77" t="s">
        <v>235</v>
      </c>
      <c r="D323" s="77" t="s">
        <v>196</v>
      </c>
      <c r="E323" s="73" t="str">
        <f>VLOOKUP(D323,clientes!$C$3:$D$60,2,FALSE)</f>
        <v>SCC</v>
      </c>
      <c r="F323" s="77" t="s">
        <v>22</v>
      </c>
      <c r="G323" s="73" t="str">
        <f>VLOOKUP(F323,'[2]Lista de Produtos CLASSIFICAÇÃO'!$E$103:$F$114,2,FALSE)</f>
        <v>Metanol</v>
      </c>
      <c r="H323" s="78">
        <v>5000</v>
      </c>
    </row>
    <row r="324" spans="1:8" x14ac:dyDescent="0.25">
      <c r="A324" s="71">
        <v>2021</v>
      </c>
      <c r="B324" s="72" t="s">
        <v>231</v>
      </c>
      <c r="C324" s="73" t="s">
        <v>235</v>
      </c>
      <c r="D324" s="73" t="s">
        <v>196</v>
      </c>
      <c r="E324" s="73" t="str">
        <f>VLOOKUP(D324,clientes!$C$3:$D$60,2,FALSE)</f>
        <v>SCC</v>
      </c>
      <c r="F324" s="73" t="s">
        <v>22</v>
      </c>
      <c r="G324" s="73" t="str">
        <f>VLOOKUP(F324,'[2]Lista de Produtos CLASSIFICAÇÃO'!$E$103:$F$114,2,FALSE)</f>
        <v>Metanol</v>
      </c>
      <c r="H324" s="74">
        <v>75000</v>
      </c>
    </row>
    <row r="325" spans="1:8" x14ac:dyDescent="0.25">
      <c r="A325" s="75">
        <v>2021</v>
      </c>
      <c r="B325" s="76" t="s">
        <v>231</v>
      </c>
      <c r="C325" s="77" t="s">
        <v>235</v>
      </c>
      <c r="D325" s="77" t="s">
        <v>196</v>
      </c>
      <c r="E325" s="73" t="str">
        <f>VLOOKUP(D325,clientes!$C$3:$D$60,2,FALSE)</f>
        <v>SCC</v>
      </c>
      <c r="F325" s="77" t="s">
        <v>22</v>
      </c>
      <c r="G325" s="73" t="str">
        <f>VLOOKUP(F325,'[2]Lista de Produtos CLASSIFICAÇÃO'!$E$103:$F$114,2,FALSE)</f>
        <v>Metanol</v>
      </c>
      <c r="H325" s="78">
        <v>5000</v>
      </c>
    </row>
    <row r="326" spans="1:8" x14ac:dyDescent="0.25">
      <c r="A326" s="71">
        <v>2021</v>
      </c>
      <c r="B326" s="72" t="s">
        <v>226</v>
      </c>
      <c r="C326" s="73" t="s">
        <v>233</v>
      </c>
      <c r="D326" s="73" t="s">
        <v>161</v>
      </c>
      <c r="E326" s="73" t="str">
        <f>VLOOKUP(D326,clientes!$C$3:$D$60,2,FALSE)</f>
        <v>SUL PLATA</v>
      </c>
      <c r="F326" s="73" t="s">
        <v>120</v>
      </c>
      <c r="G326" s="73" t="str">
        <f>VLOOKUP(F326,'[2]Lista de Produtos CLASSIFICAÇÃO'!$E$103:$F$114,2,FALSE)</f>
        <v>Derivados</v>
      </c>
      <c r="H326" s="74">
        <v>60000</v>
      </c>
    </row>
    <row r="327" spans="1:8" x14ac:dyDescent="0.25">
      <c r="A327" s="75">
        <v>2021</v>
      </c>
      <c r="B327" s="76" t="s">
        <v>226</v>
      </c>
      <c r="C327" s="77" t="s">
        <v>233</v>
      </c>
      <c r="D327" s="77" t="s">
        <v>161</v>
      </c>
      <c r="E327" s="73" t="str">
        <f>VLOOKUP(D327,clientes!$C$3:$D$60,2,FALSE)</f>
        <v>SUL PLATA</v>
      </c>
      <c r="F327" s="77" t="s">
        <v>120</v>
      </c>
      <c r="G327" s="73" t="str">
        <f>VLOOKUP(F327,'[2]Lista de Produtos CLASSIFICAÇÃO'!$E$103:$F$114,2,FALSE)</f>
        <v>Derivados</v>
      </c>
      <c r="H327" s="78">
        <v>0</v>
      </c>
    </row>
    <row r="328" spans="1:8" x14ac:dyDescent="0.25">
      <c r="A328" s="71">
        <v>2021</v>
      </c>
      <c r="B328" s="72" t="s">
        <v>227</v>
      </c>
      <c r="C328" s="73" t="s">
        <v>233</v>
      </c>
      <c r="D328" s="73" t="s">
        <v>161</v>
      </c>
      <c r="E328" s="73" t="str">
        <f>VLOOKUP(D328,clientes!$C$3:$D$60,2,FALSE)</f>
        <v>SUL PLATA</v>
      </c>
      <c r="F328" s="73" t="s">
        <v>120</v>
      </c>
      <c r="G328" s="73" t="str">
        <f>VLOOKUP(F328,'[2]Lista de Produtos CLASSIFICAÇÃO'!$E$103:$F$114,2,FALSE)</f>
        <v>Derivados</v>
      </c>
      <c r="H328" s="74">
        <v>50000</v>
      </c>
    </row>
    <row r="329" spans="1:8" x14ac:dyDescent="0.25">
      <c r="A329" s="75">
        <v>2021</v>
      </c>
      <c r="B329" s="76" t="s">
        <v>227</v>
      </c>
      <c r="C329" s="77" t="s">
        <v>233</v>
      </c>
      <c r="D329" s="77" t="s">
        <v>161</v>
      </c>
      <c r="E329" s="73" t="str">
        <f>VLOOKUP(D329,clientes!$C$3:$D$60,2,FALSE)</f>
        <v>SUL PLATA</v>
      </c>
      <c r="F329" s="77" t="s">
        <v>120</v>
      </c>
      <c r="G329" s="73" t="str">
        <f>VLOOKUP(F329,'[2]Lista de Produtos CLASSIFICAÇÃO'!$E$103:$F$114,2,FALSE)</f>
        <v>Derivados</v>
      </c>
      <c r="H329" s="78">
        <v>0</v>
      </c>
    </row>
    <row r="330" spans="1:8" x14ac:dyDescent="0.25">
      <c r="A330" s="71">
        <v>2021</v>
      </c>
      <c r="B330" s="72" t="s">
        <v>228</v>
      </c>
      <c r="C330" s="73" t="s">
        <v>233</v>
      </c>
      <c r="D330" s="73" t="s">
        <v>161</v>
      </c>
      <c r="E330" s="73" t="str">
        <f>VLOOKUP(D330,clientes!$C$3:$D$60,2,FALSE)</f>
        <v>SUL PLATA</v>
      </c>
      <c r="F330" s="73" t="s">
        <v>120</v>
      </c>
      <c r="G330" s="73" t="str">
        <f>VLOOKUP(F330,'[2]Lista de Produtos CLASSIFICAÇÃO'!$E$103:$F$114,2,FALSE)</f>
        <v>Derivados</v>
      </c>
      <c r="H330" s="74">
        <v>50000</v>
      </c>
    </row>
    <row r="331" spans="1:8" x14ac:dyDescent="0.25">
      <c r="A331" s="75">
        <v>2021</v>
      </c>
      <c r="B331" s="76" t="s">
        <v>228</v>
      </c>
      <c r="C331" s="77" t="s">
        <v>233</v>
      </c>
      <c r="D331" s="77" t="s">
        <v>161</v>
      </c>
      <c r="E331" s="73" t="str">
        <f>VLOOKUP(D331,clientes!$C$3:$D$60,2,FALSE)</f>
        <v>SUL PLATA</v>
      </c>
      <c r="F331" s="77" t="s">
        <v>120</v>
      </c>
      <c r="G331" s="73" t="str">
        <f>VLOOKUP(F331,'[2]Lista de Produtos CLASSIFICAÇÃO'!$E$103:$F$114,2,FALSE)</f>
        <v>Derivados</v>
      </c>
      <c r="H331" s="78">
        <v>0</v>
      </c>
    </row>
    <row r="332" spans="1:8" x14ac:dyDescent="0.25">
      <c r="A332" s="71">
        <v>2021</v>
      </c>
      <c r="B332" s="72" t="s">
        <v>229</v>
      </c>
      <c r="C332" s="73" t="s">
        <v>233</v>
      </c>
      <c r="D332" s="73" t="s">
        <v>161</v>
      </c>
      <c r="E332" s="73" t="str">
        <f>VLOOKUP(D332,clientes!$C$3:$D$60,2,FALSE)</f>
        <v>SUL PLATA</v>
      </c>
      <c r="F332" s="73" t="s">
        <v>120</v>
      </c>
      <c r="G332" s="73" t="str">
        <f>VLOOKUP(F332,'[2]Lista de Produtos CLASSIFICAÇÃO'!$E$103:$F$114,2,FALSE)</f>
        <v>Derivados</v>
      </c>
      <c r="H332" s="74">
        <v>50000</v>
      </c>
    </row>
    <row r="333" spans="1:8" x14ac:dyDescent="0.25">
      <c r="A333" s="75">
        <v>2021</v>
      </c>
      <c r="B333" s="76" t="s">
        <v>229</v>
      </c>
      <c r="C333" s="77" t="s">
        <v>233</v>
      </c>
      <c r="D333" s="77" t="s">
        <v>161</v>
      </c>
      <c r="E333" s="73" t="str">
        <f>VLOOKUP(D333,clientes!$C$3:$D$60,2,FALSE)</f>
        <v>SUL PLATA</v>
      </c>
      <c r="F333" s="77" t="s">
        <v>120</v>
      </c>
      <c r="G333" s="73" t="str">
        <f>VLOOKUP(F333,'[2]Lista de Produtos CLASSIFICAÇÃO'!$E$103:$F$114,2,FALSE)</f>
        <v>Derivados</v>
      </c>
      <c r="H333" s="78">
        <v>0</v>
      </c>
    </row>
    <row r="334" spans="1:8" x14ac:dyDescent="0.25">
      <c r="A334" s="71">
        <v>2021</v>
      </c>
      <c r="B334" s="72" t="s">
        <v>210</v>
      </c>
      <c r="C334" s="73" t="s">
        <v>233</v>
      </c>
      <c r="D334" s="73" t="s">
        <v>161</v>
      </c>
      <c r="E334" s="73" t="str">
        <f>VLOOKUP(D334,clientes!$C$3:$D$60,2,FALSE)</f>
        <v>SUL PLATA</v>
      </c>
      <c r="F334" s="73" t="s">
        <v>120</v>
      </c>
      <c r="G334" s="73" t="str">
        <f>VLOOKUP(F334,'[2]Lista de Produtos CLASSIFICAÇÃO'!$E$103:$F$114,2,FALSE)</f>
        <v>Derivados</v>
      </c>
      <c r="H334" s="74">
        <v>50000</v>
      </c>
    </row>
    <row r="335" spans="1:8" x14ac:dyDescent="0.25">
      <c r="A335" s="75">
        <v>2021</v>
      </c>
      <c r="B335" s="76" t="s">
        <v>210</v>
      </c>
      <c r="C335" s="77" t="s">
        <v>233</v>
      </c>
      <c r="D335" s="77" t="s">
        <v>161</v>
      </c>
      <c r="E335" s="73" t="str">
        <f>VLOOKUP(D335,clientes!$C$3:$D$60,2,FALSE)</f>
        <v>SUL PLATA</v>
      </c>
      <c r="F335" s="77" t="s">
        <v>120</v>
      </c>
      <c r="G335" s="73" t="str">
        <f>VLOOKUP(F335,'[2]Lista de Produtos CLASSIFICAÇÃO'!$E$103:$F$114,2,FALSE)</f>
        <v>Derivados</v>
      </c>
      <c r="H335" s="78">
        <v>0</v>
      </c>
    </row>
    <row r="336" spans="1:8" x14ac:dyDescent="0.25">
      <c r="A336" s="71">
        <v>2021</v>
      </c>
      <c r="B336" s="72" t="s">
        <v>211</v>
      </c>
      <c r="C336" s="73" t="s">
        <v>233</v>
      </c>
      <c r="D336" s="73" t="s">
        <v>161</v>
      </c>
      <c r="E336" s="73" t="str">
        <f>VLOOKUP(D336,clientes!$C$3:$D$60,2,FALSE)</f>
        <v>SUL PLATA</v>
      </c>
      <c r="F336" s="73" t="s">
        <v>120</v>
      </c>
      <c r="G336" s="73" t="str">
        <f>VLOOKUP(F336,'[2]Lista de Produtos CLASSIFICAÇÃO'!$E$103:$F$114,2,FALSE)</f>
        <v>Derivados</v>
      </c>
      <c r="H336" s="74">
        <v>50000</v>
      </c>
    </row>
    <row r="337" spans="1:8" x14ac:dyDescent="0.25">
      <c r="A337" s="75">
        <v>2021</v>
      </c>
      <c r="B337" s="76" t="s">
        <v>211</v>
      </c>
      <c r="C337" s="77" t="s">
        <v>233</v>
      </c>
      <c r="D337" s="77" t="s">
        <v>161</v>
      </c>
      <c r="E337" s="73" t="str">
        <f>VLOOKUP(D337,clientes!$C$3:$D$60,2,FALSE)</f>
        <v>SUL PLATA</v>
      </c>
      <c r="F337" s="77" t="s">
        <v>120</v>
      </c>
      <c r="G337" s="73" t="str">
        <f>VLOOKUP(F337,'[2]Lista de Produtos CLASSIFICAÇÃO'!$E$103:$F$114,2,FALSE)</f>
        <v>Derivados</v>
      </c>
      <c r="H337" s="78">
        <v>0</v>
      </c>
    </row>
    <row r="338" spans="1:8" x14ac:dyDescent="0.25">
      <c r="A338" s="71">
        <v>2021</v>
      </c>
      <c r="B338" s="72" t="s">
        <v>212</v>
      </c>
      <c r="C338" s="73" t="s">
        <v>233</v>
      </c>
      <c r="D338" s="73" t="s">
        <v>161</v>
      </c>
      <c r="E338" s="73" t="str">
        <f>VLOOKUP(D338,clientes!$C$3:$D$60,2,FALSE)</f>
        <v>SUL PLATA</v>
      </c>
      <c r="F338" s="73" t="s">
        <v>120</v>
      </c>
      <c r="G338" s="73" t="str">
        <f>VLOOKUP(F338,'[2]Lista de Produtos CLASSIFICAÇÃO'!$E$103:$F$114,2,FALSE)</f>
        <v>Derivados</v>
      </c>
      <c r="H338" s="74">
        <v>0</v>
      </c>
    </row>
    <row r="339" spans="1:8" x14ac:dyDescent="0.25">
      <c r="A339" s="75">
        <v>2021</v>
      </c>
      <c r="B339" s="76" t="s">
        <v>212</v>
      </c>
      <c r="C339" s="77" t="s">
        <v>233</v>
      </c>
      <c r="D339" s="77" t="s">
        <v>161</v>
      </c>
      <c r="E339" s="73" t="str">
        <f>VLOOKUP(D339,clientes!$C$3:$D$60,2,FALSE)</f>
        <v>SUL PLATA</v>
      </c>
      <c r="F339" s="77" t="s">
        <v>120</v>
      </c>
      <c r="G339" s="73" t="str">
        <f>VLOOKUP(F339,'[2]Lista de Produtos CLASSIFICAÇÃO'!$E$103:$F$114,2,FALSE)</f>
        <v>Derivados</v>
      </c>
      <c r="H339" s="78">
        <v>30000</v>
      </c>
    </row>
    <row r="340" spans="1:8" x14ac:dyDescent="0.25">
      <c r="A340" s="71">
        <v>2021</v>
      </c>
      <c r="B340" s="72" t="s">
        <v>213</v>
      </c>
      <c r="C340" s="73" t="s">
        <v>233</v>
      </c>
      <c r="D340" s="73" t="s">
        <v>161</v>
      </c>
      <c r="E340" s="73" t="str">
        <f>VLOOKUP(D340,clientes!$C$3:$D$60,2,FALSE)</f>
        <v>SUL PLATA</v>
      </c>
      <c r="F340" s="73" t="s">
        <v>120</v>
      </c>
      <c r="G340" s="73" t="str">
        <f>VLOOKUP(F340,'[2]Lista de Produtos CLASSIFICAÇÃO'!$E$103:$F$114,2,FALSE)</f>
        <v>Derivados</v>
      </c>
      <c r="H340" s="74">
        <v>0</v>
      </c>
    </row>
    <row r="341" spans="1:8" x14ac:dyDescent="0.25">
      <c r="A341" s="75">
        <v>2021</v>
      </c>
      <c r="B341" s="76" t="s">
        <v>213</v>
      </c>
      <c r="C341" s="77" t="s">
        <v>233</v>
      </c>
      <c r="D341" s="77" t="s">
        <v>161</v>
      </c>
      <c r="E341" s="73" t="str">
        <f>VLOOKUP(D341,clientes!$C$3:$D$60,2,FALSE)</f>
        <v>SUL PLATA</v>
      </c>
      <c r="F341" s="77" t="s">
        <v>120</v>
      </c>
      <c r="G341" s="73" t="str">
        <f>VLOOKUP(F341,'[2]Lista de Produtos CLASSIFICAÇÃO'!$E$103:$F$114,2,FALSE)</f>
        <v>Derivados</v>
      </c>
      <c r="H341" s="78">
        <v>30000</v>
      </c>
    </row>
    <row r="342" spans="1:8" x14ac:dyDescent="0.25">
      <c r="A342" s="71">
        <v>2021</v>
      </c>
      <c r="B342" s="72" t="s">
        <v>214</v>
      </c>
      <c r="C342" s="73" t="s">
        <v>233</v>
      </c>
      <c r="D342" s="73" t="s">
        <v>161</v>
      </c>
      <c r="E342" s="73" t="str">
        <f>VLOOKUP(D342,clientes!$C$3:$D$60,2,FALSE)</f>
        <v>SUL PLATA</v>
      </c>
      <c r="F342" s="73" t="s">
        <v>120</v>
      </c>
      <c r="G342" s="73" t="str">
        <f>VLOOKUP(F342,'[2]Lista de Produtos CLASSIFICAÇÃO'!$E$103:$F$114,2,FALSE)</f>
        <v>Derivados</v>
      </c>
      <c r="H342" s="74">
        <v>0</v>
      </c>
    </row>
    <row r="343" spans="1:8" x14ac:dyDescent="0.25">
      <c r="A343" s="75">
        <v>2021</v>
      </c>
      <c r="B343" s="76" t="s">
        <v>214</v>
      </c>
      <c r="C343" s="77" t="s">
        <v>233</v>
      </c>
      <c r="D343" s="77" t="s">
        <v>161</v>
      </c>
      <c r="E343" s="73" t="str">
        <f>VLOOKUP(D343,clientes!$C$3:$D$60,2,FALSE)</f>
        <v>SUL PLATA</v>
      </c>
      <c r="F343" s="77" t="s">
        <v>120</v>
      </c>
      <c r="G343" s="73" t="str">
        <f>VLOOKUP(F343,'[2]Lista de Produtos CLASSIFICAÇÃO'!$E$103:$F$114,2,FALSE)</f>
        <v>Derivados</v>
      </c>
      <c r="H343" s="78">
        <v>30000</v>
      </c>
    </row>
    <row r="344" spans="1:8" x14ac:dyDescent="0.25">
      <c r="A344" s="71">
        <v>2021</v>
      </c>
      <c r="B344" s="72" t="s">
        <v>215</v>
      </c>
      <c r="C344" s="73" t="s">
        <v>233</v>
      </c>
      <c r="D344" s="73" t="s">
        <v>161</v>
      </c>
      <c r="E344" s="73" t="str">
        <f>VLOOKUP(D344,clientes!$C$3:$D$60,2,FALSE)</f>
        <v>SUL PLATA</v>
      </c>
      <c r="F344" s="73" t="s">
        <v>120</v>
      </c>
      <c r="G344" s="73" t="str">
        <f>VLOOKUP(F344,'[2]Lista de Produtos CLASSIFICAÇÃO'!$E$103:$F$114,2,FALSE)</f>
        <v>Derivados</v>
      </c>
      <c r="H344" s="74">
        <v>0</v>
      </c>
    </row>
    <row r="345" spans="1:8" x14ac:dyDescent="0.25">
      <c r="A345" s="75">
        <v>2021</v>
      </c>
      <c r="B345" s="76" t="s">
        <v>215</v>
      </c>
      <c r="C345" s="77" t="s">
        <v>233</v>
      </c>
      <c r="D345" s="77" t="s">
        <v>161</v>
      </c>
      <c r="E345" s="73" t="str">
        <f>VLOOKUP(D345,clientes!$C$3:$D$60,2,FALSE)</f>
        <v>SUL PLATA</v>
      </c>
      <c r="F345" s="77" t="s">
        <v>120</v>
      </c>
      <c r="G345" s="73" t="str">
        <f>VLOOKUP(F345,'[2]Lista de Produtos CLASSIFICAÇÃO'!$E$103:$F$114,2,FALSE)</f>
        <v>Derivados</v>
      </c>
      <c r="H345" s="78">
        <v>30000</v>
      </c>
    </row>
    <row r="346" spans="1:8" x14ac:dyDescent="0.25">
      <c r="A346" s="71">
        <v>2021</v>
      </c>
      <c r="B346" s="72" t="s">
        <v>230</v>
      </c>
      <c r="C346" s="73" t="s">
        <v>233</v>
      </c>
      <c r="D346" s="73" t="s">
        <v>161</v>
      </c>
      <c r="E346" s="73" t="str">
        <f>VLOOKUP(D346,clientes!$C$3:$D$60,2,FALSE)</f>
        <v>SUL PLATA</v>
      </c>
      <c r="F346" s="73" t="s">
        <v>120</v>
      </c>
      <c r="G346" s="73" t="str">
        <f>VLOOKUP(F346,'[2]Lista de Produtos CLASSIFICAÇÃO'!$E$103:$F$114,2,FALSE)</f>
        <v>Derivados</v>
      </c>
      <c r="H346" s="74">
        <v>0</v>
      </c>
    </row>
    <row r="347" spans="1:8" x14ac:dyDescent="0.25">
      <c r="A347" s="75">
        <v>2021</v>
      </c>
      <c r="B347" s="76" t="s">
        <v>230</v>
      </c>
      <c r="C347" s="77" t="s">
        <v>233</v>
      </c>
      <c r="D347" s="77" t="s">
        <v>161</v>
      </c>
      <c r="E347" s="73" t="str">
        <f>VLOOKUP(D347,clientes!$C$3:$D$60,2,FALSE)</f>
        <v>SUL PLATA</v>
      </c>
      <c r="F347" s="77" t="s">
        <v>120</v>
      </c>
      <c r="G347" s="73" t="str">
        <f>VLOOKUP(F347,'[2]Lista de Produtos CLASSIFICAÇÃO'!$E$103:$F$114,2,FALSE)</f>
        <v>Derivados</v>
      </c>
      <c r="H347" s="78">
        <v>30000</v>
      </c>
    </row>
    <row r="348" spans="1:8" x14ac:dyDescent="0.25">
      <c r="A348" s="71">
        <v>2021</v>
      </c>
      <c r="B348" s="72" t="s">
        <v>231</v>
      </c>
      <c r="C348" s="73" t="s">
        <v>233</v>
      </c>
      <c r="D348" s="73" t="s">
        <v>161</v>
      </c>
      <c r="E348" s="73" t="str">
        <f>VLOOKUP(D348,clientes!$C$3:$D$60,2,FALSE)</f>
        <v>SUL PLATA</v>
      </c>
      <c r="F348" s="73" t="s">
        <v>120</v>
      </c>
      <c r="G348" s="73" t="str">
        <f>VLOOKUP(F348,'[2]Lista de Produtos CLASSIFICAÇÃO'!$E$103:$F$114,2,FALSE)</f>
        <v>Derivados</v>
      </c>
      <c r="H348" s="74">
        <v>0</v>
      </c>
    </row>
    <row r="349" spans="1:8" x14ac:dyDescent="0.25">
      <c r="A349" s="75">
        <v>2021</v>
      </c>
      <c r="B349" s="76" t="s">
        <v>231</v>
      </c>
      <c r="C349" s="77" t="s">
        <v>233</v>
      </c>
      <c r="D349" s="77" t="s">
        <v>161</v>
      </c>
      <c r="E349" s="73" t="str">
        <f>VLOOKUP(D349,clientes!$C$3:$D$60,2,FALSE)</f>
        <v>SUL PLATA</v>
      </c>
      <c r="F349" s="77" t="s">
        <v>120</v>
      </c>
      <c r="G349" s="73" t="str">
        <f>VLOOKUP(F349,'[2]Lista de Produtos CLASSIFICAÇÃO'!$E$103:$F$114,2,FALSE)</f>
        <v>Derivados</v>
      </c>
      <c r="H349" s="78">
        <v>30000</v>
      </c>
    </row>
    <row r="350" spans="1:8" x14ac:dyDescent="0.25">
      <c r="A350" s="71">
        <v>2021</v>
      </c>
      <c r="B350" s="72" t="s">
        <v>226</v>
      </c>
      <c r="C350" s="73" t="s">
        <v>234</v>
      </c>
      <c r="D350" s="73" t="s">
        <v>198</v>
      </c>
      <c r="E350" s="73" t="str">
        <f>VLOOKUP(D350,clientes!$C$3:$D$60,2,FALSE)</f>
        <v>TEREOS / INPASA / GLENCORE</v>
      </c>
      <c r="F350" s="73" t="s">
        <v>121</v>
      </c>
      <c r="G350" s="73" t="str">
        <f>VLOOKUP(F350,'[2]Lista de Produtos CLASSIFICAÇÃO'!$E$103:$F$114,2,FALSE)</f>
        <v>Biocombustíveis</v>
      </c>
      <c r="H350" s="74">
        <v>0</v>
      </c>
    </row>
    <row r="351" spans="1:8" x14ac:dyDescent="0.25">
      <c r="A351" s="75">
        <v>2021</v>
      </c>
      <c r="B351" s="76" t="s">
        <v>227</v>
      </c>
      <c r="C351" s="77" t="s">
        <v>234</v>
      </c>
      <c r="D351" s="77" t="s">
        <v>198</v>
      </c>
      <c r="E351" s="73" t="str">
        <f>VLOOKUP(D351,clientes!$C$3:$D$60,2,FALSE)</f>
        <v>TEREOS / INPASA / GLENCORE</v>
      </c>
      <c r="F351" s="77" t="s">
        <v>121</v>
      </c>
      <c r="G351" s="73" t="str">
        <f>VLOOKUP(F351,'[2]Lista de Produtos CLASSIFICAÇÃO'!$E$103:$F$114,2,FALSE)</f>
        <v>Biocombustíveis</v>
      </c>
      <c r="H351" s="78">
        <v>0</v>
      </c>
    </row>
    <row r="352" spans="1:8" x14ac:dyDescent="0.25">
      <c r="A352" s="71">
        <v>2021</v>
      </c>
      <c r="B352" s="72" t="s">
        <v>228</v>
      </c>
      <c r="C352" s="73" t="s">
        <v>234</v>
      </c>
      <c r="D352" s="73" t="s">
        <v>198</v>
      </c>
      <c r="E352" s="73" t="str">
        <f>VLOOKUP(D352,clientes!$C$3:$D$60,2,FALSE)</f>
        <v>TEREOS / INPASA / GLENCORE</v>
      </c>
      <c r="F352" s="73" t="s">
        <v>121</v>
      </c>
      <c r="G352" s="73" t="str">
        <f>VLOOKUP(F352,'[2]Lista de Produtos CLASSIFICAÇÃO'!$E$103:$F$114,2,FALSE)</f>
        <v>Biocombustíveis</v>
      </c>
      <c r="H352" s="74">
        <v>0</v>
      </c>
    </row>
    <row r="353" spans="1:8" x14ac:dyDescent="0.25">
      <c r="A353" s="75">
        <v>2021</v>
      </c>
      <c r="B353" s="76" t="s">
        <v>229</v>
      </c>
      <c r="C353" s="77" t="s">
        <v>234</v>
      </c>
      <c r="D353" s="77" t="s">
        <v>198</v>
      </c>
      <c r="E353" s="73" t="str">
        <f>VLOOKUP(D353,clientes!$C$3:$D$60,2,FALSE)</f>
        <v>TEREOS / INPASA / GLENCORE</v>
      </c>
      <c r="F353" s="77" t="s">
        <v>121</v>
      </c>
      <c r="G353" s="73" t="str">
        <f>VLOOKUP(F353,'[2]Lista de Produtos CLASSIFICAÇÃO'!$E$103:$F$114,2,FALSE)</f>
        <v>Biocombustíveis</v>
      </c>
      <c r="H353" s="78">
        <v>0</v>
      </c>
    </row>
    <row r="354" spans="1:8" x14ac:dyDescent="0.25">
      <c r="A354" s="71">
        <v>2021</v>
      </c>
      <c r="B354" s="72" t="s">
        <v>210</v>
      </c>
      <c r="C354" s="73" t="s">
        <v>234</v>
      </c>
      <c r="D354" s="73" t="s">
        <v>198</v>
      </c>
      <c r="E354" s="73" t="str">
        <f>VLOOKUP(D354,clientes!$C$3:$D$60,2,FALSE)</f>
        <v>TEREOS / INPASA / GLENCORE</v>
      </c>
      <c r="F354" s="73" t="s">
        <v>121</v>
      </c>
      <c r="G354" s="73" t="str">
        <f>VLOOKUP(F354,'[2]Lista de Produtos CLASSIFICAÇÃO'!$E$103:$F$114,2,FALSE)</f>
        <v>Biocombustíveis</v>
      </c>
      <c r="H354" s="74">
        <v>0</v>
      </c>
    </row>
    <row r="355" spans="1:8" x14ac:dyDescent="0.25">
      <c r="A355" s="75">
        <v>2021</v>
      </c>
      <c r="B355" s="76" t="s">
        <v>211</v>
      </c>
      <c r="C355" s="77" t="s">
        <v>234</v>
      </c>
      <c r="D355" s="77" t="s">
        <v>198</v>
      </c>
      <c r="E355" s="73" t="str">
        <f>VLOOKUP(D355,clientes!$C$3:$D$60,2,FALSE)</f>
        <v>TEREOS / INPASA / GLENCORE</v>
      </c>
      <c r="F355" s="77" t="s">
        <v>121</v>
      </c>
      <c r="G355" s="73" t="str">
        <f>VLOOKUP(F355,'[2]Lista de Produtos CLASSIFICAÇÃO'!$E$103:$F$114,2,FALSE)</f>
        <v>Biocombustíveis</v>
      </c>
      <c r="H355" s="78">
        <v>0</v>
      </c>
    </row>
    <row r="356" spans="1:8" x14ac:dyDescent="0.25">
      <c r="A356" s="71">
        <v>2021</v>
      </c>
      <c r="B356" s="72" t="s">
        <v>212</v>
      </c>
      <c r="C356" s="73" t="s">
        <v>234</v>
      </c>
      <c r="D356" s="73" t="s">
        <v>198</v>
      </c>
      <c r="E356" s="73" t="str">
        <f>VLOOKUP(D356,clientes!$C$3:$D$60,2,FALSE)</f>
        <v>TEREOS / INPASA / GLENCORE</v>
      </c>
      <c r="F356" s="73" t="s">
        <v>121</v>
      </c>
      <c r="G356" s="73" t="str">
        <f>VLOOKUP(F356,'[2]Lista de Produtos CLASSIFICAÇÃO'!$E$103:$F$114,2,FALSE)</f>
        <v>Biocombustíveis</v>
      </c>
      <c r="H356" s="74">
        <v>0</v>
      </c>
    </row>
    <row r="357" spans="1:8" x14ac:dyDescent="0.25">
      <c r="A357" s="75">
        <v>2021</v>
      </c>
      <c r="B357" s="76" t="s">
        <v>213</v>
      </c>
      <c r="C357" s="77" t="s">
        <v>234</v>
      </c>
      <c r="D357" s="77" t="s">
        <v>198</v>
      </c>
      <c r="E357" s="73" t="str">
        <f>VLOOKUP(D357,clientes!$C$3:$D$60,2,FALSE)</f>
        <v>TEREOS / INPASA / GLENCORE</v>
      </c>
      <c r="F357" s="77" t="s">
        <v>121</v>
      </c>
      <c r="G357" s="73" t="str">
        <f>VLOOKUP(F357,'[2]Lista de Produtos CLASSIFICAÇÃO'!$E$103:$F$114,2,FALSE)</f>
        <v>Biocombustíveis</v>
      </c>
      <c r="H357" s="78">
        <v>10000</v>
      </c>
    </row>
    <row r="358" spans="1:8" x14ac:dyDescent="0.25">
      <c r="A358" s="71">
        <v>2021</v>
      </c>
      <c r="B358" s="72" t="s">
        <v>214</v>
      </c>
      <c r="C358" s="73" t="s">
        <v>234</v>
      </c>
      <c r="D358" s="73" t="s">
        <v>198</v>
      </c>
      <c r="E358" s="73" t="str">
        <f>VLOOKUP(D358,clientes!$C$3:$D$60,2,FALSE)</f>
        <v>TEREOS / INPASA / GLENCORE</v>
      </c>
      <c r="F358" s="73" t="s">
        <v>121</v>
      </c>
      <c r="G358" s="73" t="str">
        <f>VLOOKUP(F358,'[2]Lista de Produtos CLASSIFICAÇÃO'!$E$103:$F$114,2,FALSE)</f>
        <v>Biocombustíveis</v>
      </c>
      <c r="H358" s="74">
        <v>10000</v>
      </c>
    </row>
    <row r="359" spans="1:8" x14ac:dyDescent="0.25">
      <c r="A359" s="75">
        <v>2021</v>
      </c>
      <c r="B359" s="76" t="s">
        <v>215</v>
      </c>
      <c r="C359" s="77" t="s">
        <v>234</v>
      </c>
      <c r="D359" s="77" t="s">
        <v>198</v>
      </c>
      <c r="E359" s="73" t="str">
        <f>VLOOKUP(D359,clientes!$C$3:$D$60,2,FALSE)</f>
        <v>TEREOS / INPASA / GLENCORE</v>
      </c>
      <c r="F359" s="77" t="s">
        <v>121</v>
      </c>
      <c r="G359" s="73" t="str">
        <f>VLOOKUP(F359,'[2]Lista de Produtos CLASSIFICAÇÃO'!$E$103:$F$114,2,FALSE)</f>
        <v>Biocombustíveis</v>
      </c>
      <c r="H359" s="78">
        <v>10000</v>
      </c>
    </row>
    <row r="360" spans="1:8" x14ac:dyDescent="0.25">
      <c r="A360" s="71">
        <v>2021</v>
      </c>
      <c r="B360" s="72" t="s">
        <v>230</v>
      </c>
      <c r="C360" s="73" t="s">
        <v>234</v>
      </c>
      <c r="D360" s="73" t="s">
        <v>198</v>
      </c>
      <c r="E360" s="73" t="str">
        <f>VLOOKUP(D360,clientes!$C$3:$D$60,2,FALSE)</f>
        <v>TEREOS / INPASA / GLENCORE</v>
      </c>
      <c r="F360" s="73" t="s">
        <v>121</v>
      </c>
      <c r="G360" s="73" t="str">
        <f>VLOOKUP(F360,'[2]Lista de Produtos CLASSIFICAÇÃO'!$E$103:$F$114,2,FALSE)</f>
        <v>Biocombustíveis</v>
      </c>
      <c r="H360" s="74">
        <v>0</v>
      </c>
    </row>
    <row r="361" spans="1:8" x14ac:dyDescent="0.25">
      <c r="A361" s="75">
        <v>2021</v>
      </c>
      <c r="B361" s="76" t="s">
        <v>231</v>
      </c>
      <c r="C361" s="77" t="s">
        <v>234</v>
      </c>
      <c r="D361" s="77" t="s">
        <v>198</v>
      </c>
      <c r="E361" s="73" t="str">
        <f>VLOOKUP(D361,clientes!$C$3:$D$60,2,FALSE)</f>
        <v>TEREOS / INPASA / GLENCORE</v>
      </c>
      <c r="F361" s="77" t="s">
        <v>121</v>
      </c>
      <c r="G361" s="73" t="str">
        <f>VLOOKUP(F361,'[2]Lista de Produtos CLASSIFICAÇÃO'!$E$103:$F$114,2,FALSE)</f>
        <v>Biocombustíveis</v>
      </c>
      <c r="H361" s="78">
        <v>0</v>
      </c>
    </row>
    <row r="362" spans="1:8" x14ac:dyDescent="0.25">
      <c r="A362" s="71">
        <v>2021</v>
      </c>
      <c r="B362" s="72" t="s">
        <v>226</v>
      </c>
      <c r="C362" s="73" t="s">
        <v>225</v>
      </c>
      <c r="D362" s="73" t="s">
        <v>163</v>
      </c>
      <c r="E362" s="73" t="str">
        <f>VLOOKUP(D362,clientes!$C$3:$D$60,2,FALSE)</f>
        <v>TRICON ENERGY</v>
      </c>
      <c r="F362" s="73" t="s">
        <v>115</v>
      </c>
      <c r="G362" s="73" t="str">
        <f>VLOOKUP(F362,'[2]Lista de Produtos CLASSIFICAÇÃO'!$E$103:$F$114,2,FALSE)</f>
        <v>Soda Caustica</v>
      </c>
      <c r="H362" s="74">
        <v>5000</v>
      </c>
    </row>
    <row r="363" spans="1:8" x14ac:dyDescent="0.25">
      <c r="A363" s="75">
        <v>2021</v>
      </c>
      <c r="B363" s="76" t="s">
        <v>227</v>
      </c>
      <c r="C363" s="77" t="s">
        <v>225</v>
      </c>
      <c r="D363" s="77" t="s">
        <v>163</v>
      </c>
      <c r="E363" s="73" t="str">
        <f>VLOOKUP(D363,clientes!$C$3:$D$60,2,FALSE)</f>
        <v>TRICON ENERGY</v>
      </c>
      <c r="F363" s="77" t="s">
        <v>115</v>
      </c>
      <c r="G363" s="73" t="str">
        <f>VLOOKUP(F363,'[2]Lista de Produtos CLASSIFICAÇÃO'!$E$103:$F$114,2,FALSE)</f>
        <v>Soda Caustica</v>
      </c>
      <c r="H363" s="78">
        <v>5000</v>
      </c>
    </row>
    <row r="364" spans="1:8" x14ac:dyDescent="0.25">
      <c r="A364" s="71">
        <v>2021</v>
      </c>
      <c r="B364" s="72" t="s">
        <v>228</v>
      </c>
      <c r="C364" s="73" t="s">
        <v>225</v>
      </c>
      <c r="D364" s="73" t="s">
        <v>163</v>
      </c>
      <c r="E364" s="73" t="str">
        <f>VLOOKUP(D364,clientes!$C$3:$D$60,2,FALSE)</f>
        <v>TRICON ENERGY</v>
      </c>
      <c r="F364" s="73" t="s">
        <v>115</v>
      </c>
      <c r="G364" s="73" t="str">
        <f>VLOOKUP(F364,'[2]Lista de Produtos CLASSIFICAÇÃO'!$E$103:$F$114,2,FALSE)</f>
        <v>Soda Caustica</v>
      </c>
      <c r="H364" s="74">
        <v>5000</v>
      </c>
    </row>
    <row r="365" spans="1:8" x14ac:dyDescent="0.25">
      <c r="A365" s="75">
        <v>2021</v>
      </c>
      <c r="B365" s="76" t="s">
        <v>229</v>
      </c>
      <c r="C365" s="77" t="s">
        <v>225</v>
      </c>
      <c r="D365" s="77" t="s">
        <v>163</v>
      </c>
      <c r="E365" s="73" t="str">
        <f>VLOOKUP(D365,clientes!$C$3:$D$60,2,FALSE)</f>
        <v>TRICON ENERGY</v>
      </c>
      <c r="F365" s="77" t="s">
        <v>115</v>
      </c>
      <c r="G365" s="73" t="str">
        <f>VLOOKUP(F365,'[2]Lista de Produtos CLASSIFICAÇÃO'!$E$103:$F$114,2,FALSE)</f>
        <v>Soda Caustica</v>
      </c>
      <c r="H365" s="78">
        <v>5000</v>
      </c>
    </row>
    <row r="366" spans="1:8" x14ac:dyDescent="0.25">
      <c r="A366" s="71">
        <v>2021</v>
      </c>
      <c r="B366" s="72" t="s">
        <v>210</v>
      </c>
      <c r="C366" s="73" t="s">
        <v>225</v>
      </c>
      <c r="D366" s="73" t="s">
        <v>163</v>
      </c>
      <c r="E366" s="73" t="str">
        <f>VLOOKUP(D366,clientes!$C$3:$D$60,2,FALSE)</f>
        <v>TRICON ENERGY</v>
      </c>
      <c r="F366" s="73" t="s">
        <v>115</v>
      </c>
      <c r="G366" s="73" t="str">
        <f>VLOOKUP(F366,'[2]Lista de Produtos CLASSIFICAÇÃO'!$E$103:$F$114,2,FALSE)</f>
        <v>Soda Caustica</v>
      </c>
      <c r="H366" s="74">
        <v>5000</v>
      </c>
    </row>
    <row r="367" spans="1:8" x14ac:dyDescent="0.25">
      <c r="A367" s="75">
        <v>2021</v>
      </c>
      <c r="B367" s="76" t="s">
        <v>211</v>
      </c>
      <c r="C367" s="77" t="s">
        <v>225</v>
      </c>
      <c r="D367" s="77" t="s">
        <v>163</v>
      </c>
      <c r="E367" s="73" t="str">
        <f>VLOOKUP(D367,clientes!$C$3:$D$60,2,FALSE)</f>
        <v>TRICON ENERGY</v>
      </c>
      <c r="F367" s="77" t="s">
        <v>115</v>
      </c>
      <c r="G367" s="73" t="str">
        <f>VLOOKUP(F367,'[2]Lista de Produtos CLASSIFICAÇÃO'!$E$103:$F$114,2,FALSE)</f>
        <v>Soda Caustica</v>
      </c>
      <c r="H367" s="78">
        <v>5000</v>
      </c>
    </row>
    <row r="368" spans="1:8" x14ac:dyDescent="0.25">
      <c r="A368" s="71">
        <v>2021</v>
      </c>
      <c r="B368" s="72" t="s">
        <v>212</v>
      </c>
      <c r="C368" s="73" t="s">
        <v>225</v>
      </c>
      <c r="D368" s="73" t="s">
        <v>163</v>
      </c>
      <c r="E368" s="73" t="str">
        <f>VLOOKUP(D368,clientes!$C$3:$D$60,2,FALSE)</f>
        <v>TRICON ENERGY</v>
      </c>
      <c r="F368" s="73" t="s">
        <v>115</v>
      </c>
      <c r="G368" s="73" t="str">
        <f>VLOOKUP(F368,'[2]Lista de Produtos CLASSIFICAÇÃO'!$E$103:$F$114,2,FALSE)</f>
        <v>Soda Caustica</v>
      </c>
      <c r="H368" s="74">
        <v>5000</v>
      </c>
    </row>
    <row r="369" spans="1:8" x14ac:dyDescent="0.25">
      <c r="A369" s="75">
        <v>2021</v>
      </c>
      <c r="B369" s="76" t="s">
        <v>213</v>
      </c>
      <c r="C369" s="77" t="s">
        <v>225</v>
      </c>
      <c r="D369" s="77" t="s">
        <v>163</v>
      </c>
      <c r="E369" s="73" t="str">
        <f>VLOOKUP(D369,clientes!$C$3:$D$60,2,FALSE)</f>
        <v>TRICON ENERGY</v>
      </c>
      <c r="F369" s="77" t="s">
        <v>115</v>
      </c>
      <c r="G369" s="73" t="str">
        <f>VLOOKUP(F369,'[2]Lista de Produtos CLASSIFICAÇÃO'!$E$103:$F$114,2,FALSE)</f>
        <v>Soda Caustica</v>
      </c>
      <c r="H369" s="78">
        <v>5000</v>
      </c>
    </row>
    <row r="370" spans="1:8" x14ac:dyDescent="0.25">
      <c r="A370" s="71">
        <v>2021</v>
      </c>
      <c r="B370" s="72" t="s">
        <v>214</v>
      </c>
      <c r="C370" s="73" t="s">
        <v>225</v>
      </c>
      <c r="D370" s="73" t="s">
        <v>163</v>
      </c>
      <c r="E370" s="73" t="str">
        <f>VLOOKUP(D370,clientes!$C$3:$D$60,2,FALSE)</f>
        <v>TRICON ENERGY</v>
      </c>
      <c r="F370" s="73" t="s">
        <v>115</v>
      </c>
      <c r="G370" s="73" t="str">
        <f>VLOOKUP(F370,'[2]Lista de Produtos CLASSIFICAÇÃO'!$E$103:$F$114,2,FALSE)</f>
        <v>Soda Caustica</v>
      </c>
      <c r="H370" s="74">
        <v>5000</v>
      </c>
    </row>
    <row r="371" spans="1:8" x14ac:dyDescent="0.25">
      <c r="A371" s="75">
        <v>2021</v>
      </c>
      <c r="B371" s="76" t="s">
        <v>215</v>
      </c>
      <c r="C371" s="77" t="s">
        <v>225</v>
      </c>
      <c r="D371" s="77" t="s">
        <v>163</v>
      </c>
      <c r="E371" s="73" t="str">
        <f>VLOOKUP(D371,clientes!$C$3:$D$60,2,FALSE)</f>
        <v>TRICON ENERGY</v>
      </c>
      <c r="F371" s="77" t="s">
        <v>115</v>
      </c>
      <c r="G371" s="73" t="str">
        <f>VLOOKUP(F371,'[2]Lista de Produtos CLASSIFICAÇÃO'!$E$103:$F$114,2,FALSE)</f>
        <v>Soda Caustica</v>
      </c>
      <c r="H371" s="78">
        <v>5000</v>
      </c>
    </row>
    <row r="372" spans="1:8" x14ac:dyDescent="0.25">
      <c r="A372" s="71">
        <v>2021</v>
      </c>
      <c r="B372" s="72" t="s">
        <v>230</v>
      </c>
      <c r="C372" s="73" t="s">
        <v>225</v>
      </c>
      <c r="D372" s="73" t="s">
        <v>163</v>
      </c>
      <c r="E372" s="73" t="str">
        <f>VLOOKUP(D372,clientes!$C$3:$D$60,2,FALSE)</f>
        <v>TRICON ENERGY</v>
      </c>
      <c r="F372" s="73" t="s">
        <v>115</v>
      </c>
      <c r="G372" s="73" t="str">
        <f>VLOOKUP(F372,'[2]Lista de Produtos CLASSIFICAÇÃO'!$E$103:$F$114,2,FALSE)</f>
        <v>Soda Caustica</v>
      </c>
      <c r="H372" s="74">
        <v>5000</v>
      </c>
    </row>
    <row r="373" spans="1:8" x14ac:dyDescent="0.25">
      <c r="A373" s="75">
        <v>2021</v>
      </c>
      <c r="B373" s="76" t="s">
        <v>231</v>
      </c>
      <c r="C373" s="77" t="s">
        <v>225</v>
      </c>
      <c r="D373" s="77" t="s">
        <v>163</v>
      </c>
      <c r="E373" s="73" t="str">
        <f>VLOOKUP(D373,clientes!$C$3:$D$60,2,FALSE)</f>
        <v>TRICON ENERGY</v>
      </c>
      <c r="F373" s="77" t="s">
        <v>115</v>
      </c>
      <c r="G373" s="73" t="str">
        <f>VLOOKUP(F373,'[2]Lista de Produtos CLASSIFICAÇÃO'!$E$103:$F$114,2,FALSE)</f>
        <v>Soda Caustica</v>
      </c>
      <c r="H373" s="78">
        <v>5000</v>
      </c>
    </row>
    <row r="374" spans="1:8" x14ac:dyDescent="0.25">
      <c r="A374" s="71">
        <v>2021</v>
      </c>
      <c r="B374" s="72" t="s">
        <v>226</v>
      </c>
      <c r="C374" s="73" t="s">
        <v>235</v>
      </c>
      <c r="D374" s="73" t="s">
        <v>173</v>
      </c>
      <c r="E374" s="73" t="str">
        <f>VLOOKUP(D374,clientes!$C$3:$D$60,2,FALSE)</f>
        <v>YPF SOCIEDAD ANONIMA</v>
      </c>
      <c r="F374" s="73" t="s">
        <v>22</v>
      </c>
      <c r="G374" s="73" t="str">
        <f>VLOOKUP(F374,'[2]Lista de Produtos CLASSIFICAÇÃO'!$E$103:$F$114,2,FALSE)</f>
        <v>Metanol</v>
      </c>
      <c r="H374" s="74">
        <v>6900</v>
      </c>
    </row>
    <row r="375" spans="1:8" x14ac:dyDescent="0.25">
      <c r="A375" s="75">
        <v>2021</v>
      </c>
      <c r="B375" s="76" t="s">
        <v>227</v>
      </c>
      <c r="C375" s="77" t="s">
        <v>235</v>
      </c>
      <c r="D375" s="77" t="s">
        <v>173</v>
      </c>
      <c r="E375" s="73" t="str">
        <f>VLOOKUP(D375,clientes!$C$3:$D$60,2,FALSE)</f>
        <v>YPF SOCIEDAD ANONIMA</v>
      </c>
      <c r="F375" s="77" t="s">
        <v>22</v>
      </c>
      <c r="G375" s="73" t="str">
        <f>VLOOKUP(F375,'[2]Lista de Produtos CLASSIFICAÇÃO'!$E$103:$F$114,2,FALSE)</f>
        <v>Metanol</v>
      </c>
      <c r="H375" s="78">
        <v>6900</v>
      </c>
    </row>
    <row r="376" spans="1:8" x14ac:dyDescent="0.25">
      <c r="A376" s="71">
        <v>2021</v>
      </c>
      <c r="B376" s="72" t="s">
        <v>228</v>
      </c>
      <c r="C376" s="73" t="s">
        <v>235</v>
      </c>
      <c r="D376" s="73" t="s">
        <v>173</v>
      </c>
      <c r="E376" s="73" t="str">
        <f>VLOOKUP(D376,clientes!$C$3:$D$60,2,FALSE)</f>
        <v>YPF SOCIEDAD ANONIMA</v>
      </c>
      <c r="F376" s="73" t="s">
        <v>22</v>
      </c>
      <c r="G376" s="73" t="str">
        <f>VLOOKUP(F376,'[2]Lista de Produtos CLASSIFICAÇÃO'!$E$103:$F$114,2,FALSE)</f>
        <v>Metanol</v>
      </c>
      <c r="H376" s="74">
        <v>6900</v>
      </c>
    </row>
    <row r="377" spans="1:8" x14ac:dyDescent="0.25">
      <c r="A377" s="75">
        <v>2021</v>
      </c>
      <c r="B377" s="76" t="s">
        <v>229</v>
      </c>
      <c r="C377" s="77" t="s">
        <v>235</v>
      </c>
      <c r="D377" s="77" t="s">
        <v>173</v>
      </c>
      <c r="E377" s="73" t="str">
        <f>VLOOKUP(D377,clientes!$C$3:$D$60,2,FALSE)</f>
        <v>YPF SOCIEDAD ANONIMA</v>
      </c>
      <c r="F377" s="77" t="s">
        <v>22</v>
      </c>
      <c r="G377" s="73" t="str">
        <f>VLOOKUP(F377,'[2]Lista de Produtos CLASSIFICAÇÃO'!$E$103:$F$114,2,FALSE)</f>
        <v>Metanol</v>
      </c>
      <c r="H377" s="78">
        <v>6900</v>
      </c>
    </row>
    <row r="378" spans="1:8" x14ac:dyDescent="0.25">
      <c r="A378" s="71">
        <v>2021</v>
      </c>
      <c r="B378" s="72" t="s">
        <v>210</v>
      </c>
      <c r="C378" s="73" t="s">
        <v>235</v>
      </c>
      <c r="D378" s="73" t="s">
        <v>173</v>
      </c>
      <c r="E378" s="73" t="str">
        <f>VLOOKUP(D378,clientes!$C$3:$D$60,2,FALSE)</f>
        <v>YPF SOCIEDAD ANONIMA</v>
      </c>
      <c r="F378" s="73" t="s">
        <v>22</v>
      </c>
      <c r="G378" s="73" t="str">
        <f>VLOOKUP(F378,'[2]Lista de Produtos CLASSIFICAÇÃO'!$E$103:$F$114,2,FALSE)</f>
        <v>Metanol</v>
      </c>
      <c r="H378" s="74">
        <v>6900</v>
      </c>
    </row>
    <row r="379" spans="1:8" x14ac:dyDescent="0.25">
      <c r="A379" s="75">
        <v>2021</v>
      </c>
      <c r="B379" s="76" t="s">
        <v>211</v>
      </c>
      <c r="C379" s="77" t="s">
        <v>235</v>
      </c>
      <c r="D379" s="77" t="s">
        <v>173</v>
      </c>
      <c r="E379" s="73" t="str">
        <f>VLOOKUP(D379,clientes!$C$3:$D$60,2,FALSE)</f>
        <v>YPF SOCIEDAD ANONIMA</v>
      </c>
      <c r="F379" s="77" t="s">
        <v>22</v>
      </c>
      <c r="G379" s="73" t="str">
        <f>VLOOKUP(F379,'[2]Lista de Produtos CLASSIFICAÇÃO'!$E$103:$F$114,2,FALSE)</f>
        <v>Metanol</v>
      </c>
      <c r="H379" s="78">
        <v>6900</v>
      </c>
    </row>
    <row r="380" spans="1:8" x14ac:dyDescent="0.25">
      <c r="A380" s="71">
        <v>2021</v>
      </c>
      <c r="B380" s="72" t="s">
        <v>212</v>
      </c>
      <c r="C380" s="73" t="s">
        <v>235</v>
      </c>
      <c r="D380" s="73" t="s">
        <v>173</v>
      </c>
      <c r="E380" s="73" t="str">
        <f>VLOOKUP(D380,clientes!$C$3:$D$60,2,FALSE)</f>
        <v>YPF SOCIEDAD ANONIMA</v>
      </c>
      <c r="F380" s="73" t="s">
        <v>22</v>
      </c>
      <c r="G380" s="73" t="str">
        <f>VLOOKUP(F380,'[2]Lista de Produtos CLASSIFICAÇÃO'!$E$103:$F$114,2,FALSE)</f>
        <v>Metanol</v>
      </c>
      <c r="H380" s="74">
        <v>6900</v>
      </c>
    </row>
    <row r="381" spans="1:8" x14ac:dyDescent="0.25">
      <c r="A381" s="75">
        <v>2021</v>
      </c>
      <c r="B381" s="76" t="s">
        <v>213</v>
      </c>
      <c r="C381" s="77" t="s">
        <v>235</v>
      </c>
      <c r="D381" s="77" t="s">
        <v>173</v>
      </c>
      <c r="E381" s="73" t="str">
        <f>VLOOKUP(D381,clientes!$C$3:$D$60,2,FALSE)</f>
        <v>YPF SOCIEDAD ANONIMA</v>
      </c>
      <c r="F381" s="77" t="s">
        <v>22</v>
      </c>
      <c r="G381" s="73" t="str">
        <f>VLOOKUP(F381,'[2]Lista de Produtos CLASSIFICAÇÃO'!$E$103:$F$114,2,FALSE)</f>
        <v>Metanol</v>
      </c>
      <c r="H381" s="78">
        <v>6900</v>
      </c>
    </row>
    <row r="382" spans="1:8" x14ac:dyDescent="0.25">
      <c r="A382" s="71">
        <v>2021</v>
      </c>
      <c r="B382" s="72" t="s">
        <v>214</v>
      </c>
      <c r="C382" s="73" t="s">
        <v>235</v>
      </c>
      <c r="D382" s="73" t="s">
        <v>173</v>
      </c>
      <c r="E382" s="73" t="str">
        <f>VLOOKUP(D382,clientes!$C$3:$D$60,2,FALSE)</f>
        <v>YPF SOCIEDAD ANONIMA</v>
      </c>
      <c r="F382" s="73" t="s">
        <v>22</v>
      </c>
      <c r="G382" s="73" t="str">
        <f>VLOOKUP(F382,'[2]Lista de Produtos CLASSIFICAÇÃO'!$E$103:$F$114,2,FALSE)</f>
        <v>Metanol</v>
      </c>
      <c r="H382" s="74">
        <v>6900</v>
      </c>
    </row>
    <row r="383" spans="1:8" x14ac:dyDescent="0.25">
      <c r="A383" s="75">
        <v>2021</v>
      </c>
      <c r="B383" s="76" t="s">
        <v>215</v>
      </c>
      <c r="C383" s="77" t="s">
        <v>235</v>
      </c>
      <c r="D383" s="77" t="s">
        <v>173</v>
      </c>
      <c r="E383" s="73" t="str">
        <f>VLOOKUP(D383,clientes!$C$3:$D$60,2,FALSE)</f>
        <v>YPF SOCIEDAD ANONIMA</v>
      </c>
      <c r="F383" s="77" t="s">
        <v>22</v>
      </c>
      <c r="G383" s="73" t="str">
        <f>VLOOKUP(F383,'[2]Lista de Produtos CLASSIFICAÇÃO'!$E$103:$F$114,2,FALSE)</f>
        <v>Metanol</v>
      </c>
      <c r="H383" s="78">
        <v>6900</v>
      </c>
    </row>
    <row r="384" spans="1:8" x14ac:dyDescent="0.25">
      <c r="A384" s="71">
        <v>2021</v>
      </c>
      <c r="B384" s="72" t="s">
        <v>230</v>
      </c>
      <c r="C384" s="73" t="s">
        <v>235</v>
      </c>
      <c r="D384" s="73" t="s">
        <v>173</v>
      </c>
      <c r="E384" s="73" t="str">
        <f>VLOOKUP(D384,clientes!$C$3:$D$60,2,FALSE)</f>
        <v>YPF SOCIEDAD ANONIMA</v>
      </c>
      <c r="F384" s="73" t="s">
        <v>22</v>
      </c>
      <c r="G384" s="73" t="str">
        <f>VLOOKUP(F384,'[2]Lista de Produtos CLASSIFICAÇÃO'!$E$103:$F$114,2,FALSE)</f>
        <v>Metanol</v>
      </c>
      <c r="H384" s="74">
        <v>6900</v>
      </c>
    </row>
    <row r="385" spans="1:8" x14ac:dyDescent="0.25">
      <c r="A385" s="75">
        <v>2021</v>
      </c>
      <c r="B385" s="76" t="s">
        <v>231</v>
      </c>
      <c r="C385" s="77" t="s">
        <v>235</v>
      </c>
      <c r="D385" s="77" t="s">
        <v>173</v>
      </c>
      <c r="E385" s="73" t="str">
        <f>VLOOKUP(D385,clientes!$C$3:$D$60,2,FALSE)</f>
        <v>YPF SOCIEDAD ANONIMA</v>
      </c>
      <c r="F385" s="77" t="s">
        <v>22</v>
      </c>
      <c r="G385" s="73" t="str">
        <f>VLOOKUP(F385,'[2]Lista de Produtos CLASSIFICAÇÃO'!$E$103:$F$114,2,FALSE)</f>
        <v>Metanol</v>
      </c>
      <c r="H385" s="78">
        <v>6900</v>
      </c>
    </row>
    <row r="386" spans="1:8" x14ac:dyDescent="0.25">
      <c r="A386" s="71">
        <v>2022</v>
      </c>
      <c r="B386" s="72" t="s">
        <v>226</v>
      </c>
      <c r="C386" s="73" t="s">
        <v>232</v>
      </c>
      <c r="D386" s="73" t="s">
        <v>175</v>
      </c>
      <c r="E386" s="73" t="str">
        <f>VLOOKUP(D386,clientes!$C$3:$D$60,2,FALSE)</f>
        <v>AAK DO BRASIL</v>
      </c>
      <c r="F386" s="73" t="s">
        <v>123</v>
      </c>
      <c r="G386" s="73" t="str">
        <f>VLOOKUP(F386,'[2]Lista de Produtos CLASSIFICAÇÃO'!$E$103:$F$114,2,FALSE)</f>
        <v>Aquecidos</v>
      </c>
      <c r="H386" s="74">
        <v>6486</v>
      </c>
    </row>
    <row r="387" spans="1:8" x14ac:dyDescent="0.25">
      <c r="A387" s="75">
        <v>2022</v>
      </c>
      <c r="B387" s="76" t="s">
        <v>227</v>
      </c>
      <c r="C387" s="77" t="s">
        <v>232</v>
      </c>
      <c r="D387" s="77" t="s">
        <v>175</v>
      </c>
      <c r="E387" s="73" t="str">
        <f>VLOOKUP(D387,clientes!$C$3:$D$60,2,FALSE)</f>
        <v>AAK DO BRASIL</v>
      </c>
      <c r="F387" s="77" t="s">
        <v>123</v>
      </c>
      <c r="G387" s="73" t="str">
        <f>VLOOKUP(F387,'[2]Lista de Produtos CLASSIFICAÇÃO'!$E$103:$F$114,2,FALSE)</f>
        <v>Aquecidos</v>
      </c>
      <c r="H387" s="78">
        <v>6486</v>
      </c>
    </row>
    <row r="388" spans="1:8" x14ac:dyDescent="0.25">
      <c r="A388" s="71">
        <v>2022</v>
      </c>
      <c r="B388" s="72" t="s">
        <v>228</v>
      </c>
      <c r="C388" s="73" t="s">
        <v>232</v>
      </c>
      <c r="D388" s="73" t="s">
        <v>175</v>
      </c>
      <c r="E388" s="73" t="str">
        <f>VLOOKUP(D388,clientes!$C$3:$D$60,2,FALSE)</f>
        <v>AAK DO BRASIL</v>
      </c>
      <c r="F388" s="73" t="s">
        <v>123</v>
      </c>
      <c r="G388" s="73" t="str">
        <f>VLOOKUP(F388,'[2]Lista de Produtos CLASSIFICAÇÃO'!$E$103:$F$114,2,FALSE)</f>
        <v>Aquecidos</v>
      </c>
      <c r="H388" s="74">
        <v>6486</v>
      </c>
    </row>
    <row r="389" spans="1:8" x14ac:dyDescent="0.25">
      <c r="A389" s="75">
        <v>2022</v>
      </c>
      <c r="B389" s="76" t="s">
        <v>229</v>
      </c>
      <c r="C389" s="77" t="s">
        <v>232</v>
      </c>
      <c r="D389" s="77" t="s">
        <v>175</v>
      </c>
      <c r="E389" s="73" t="str">
        <f>VLOOKUP(D389,clientes!$C$3:$D$60,2,FALSE)</f>
        <v>AAK DO BRASIL</v>
      </c>
      <c r="F389" s="77" t="s">
        <v>123</v>
      </c>
      <c r="G389" s="73" t="str">
        <f>VLOOKUP(F389,'[2]Lista de Produtos CLASSIFICAÇÃO'!$E$103:$F$114,2,FALSE)</f>
        <v>Aquecidos</v>
      </c>
      <c r="H389" s="78">
        <v>6486</v>
      </c>
    </row>
    <row r="390" spans="1:8" x14ac:dyDescent="0.25">
      <c r="A390" s="71">
        <v>2022</v>
      </c>
      <c r="B390" s="72" t="s">
        <v>210</v>
      </c>
      <c r="C390" s="73" t="s">
        <v>232</v>
      </c>
      <c r="D390" s="73" t="s">
        <v>175</v>
      </c>
      <c r="E390" s="73" t="str">
        <f>VLOOKUP(D390,clientes!$C$3:$D$60,2,FALSE)</f>
        <v>AAK DO BRASIL</v>
      </c>
      <c r="F390" s="73" t="s">
        <v>123</v>
      </c>
      <c r="G390" s="73" t="str">
        <f>VLOOKUP(F390,'[2]Lista de Produtos CLASSIFICAÇÃO'!$E$103:$F$114,2,FALSE)</f>
        <v>Aquecidos</v>
      </c>
      <c r="H390" s="74">
        <v>6486</v>
      </c>
    </row>
    <row r="391" spans="1:8" x14ac:dyDescent="0.25">
      <c r="A391" s="75">
        <v>2022</v>
      </c>
      <c r="B391" s="76" t="s">
        <v>211</v>
      </c>
      <c r="C391" s="77" t="s">
        <v>232</v>
      </c>
      <c r="D391" s="77" t="s">
        <v>175</v>
      </c>
      <c r="E391" s="73" t="str">
        <f>VLOOKUP(D391,clientes!$C$3:$D$60,2,FALSE)</f>
        <v>AAK DO BRASIL</v>
      </c>
      <c r="F391" s="77" t="s">
        <v>123</v>
      </c>
      <c r="G391" s="73" t="str">
        <f>VLOOKUP(F391,'[2]Lista de Produtos CLASSIFICAÇÃO'!$E$103:$F$114,2,FALSE)</f>
        <v>Aquecidos</v>
      </c>
      <c r="H391" s="78">
        <v>6486</v>
      </c>
    </row>
    <row r="392" spans="1:8" x14ac:dyDescent="0.25">
      <c r="A392" s="71">
        <v>2022</v>
      </c>
      <c r="B392" s="72" t="s">
        <v>212</v>
      </c>
      <c r="C392" s="73" t="s">
        <v>232</v>
      </c>
      <c r="D392" s="73" t="s">
        <v>175</v>
      </c>
      <c r="E392" s="73" t="str">
        <f>VLOOKUP(D392,clientes!$C$3:$D$60,2,FALSE)</f>
        <v>AAK DO BRASIL</v>
      </c>
      <c r="F392" s="73" t="s">
        <v>123</v>
      </c>
      <c r="G392" s="73" t="str">
        <f>VLOOKUP(F392,'[2]Lista de Produtos CLASSIFICAÇÃO'!$E$103:$F$114,2,FALSE)</f>
        <v>Aquecidos</v>
      </c>
      <c r="H392" s="74">
        <v>6486</v>
      </c>
    </row>
    <row r="393" spans="1:8" x14ac:dyDescent="0.25">
      <c r="A393" s="75">
        <v>2022</v>
      </c>
      <c r="B393" s="76" t="s">
        <v>213</v>
      </c>
      <c r="C393" s="77" t="s">
        <v>232</v>
      </c>
      <c r="D393" s="77" t="s">
        <v>175</v>
      </c>
      <c r="E393" s="73" t="str">
        <f>VLOOKUP(D393,clientes!$C$3:$D$60,2,FALSE)</f>
        <v>AAK DO BRASIL</v>
      </c>
      <c r="F393" s="77" t="s">
        <v>123</v>
      </c>
      <c r="G393" s="73" t="str">
        <f>VLOOKUP(F393,'[2]Lista de Produtos CLASSIFICAÇÃO'!$E$103:$F$114,2,FALSE)</f>
        <v>Aquecidos</v>
      </c>
      <c r="H393" s="78">
        <v>6486</v>
      </c>
    </row>
    <row r="394" spans="1:8" x14ac:dyDescent="0.25">
      <c r="A394" s="71">
        <v>2022</v>
      </c>
      <c r="B394" s="72" t="s">
        <v>214</v>
      </c>
      <c r="C394" s="73" t="s">
        <v>232</v>
      </c>
      <c r="D394" s="73" t="s">
        <v>175</v>
      </c>
      <c r="E394" s="73" t="str">
        <f>VLOOKUP(D394,clientes!$C$3:$D$60,2,FALSE)</f>
        <v>AAK DO BRASIL</v>
      </c>
      <c r="F394" s="73" t="s">
        <v>123</v>
      </c>
      <c r="G394" s="73" t="str">
        <f>VLOOKUP(F394,'[2]Lista de Produtos CLASSIFICAÇÃO'!$E$103:$F$114,2,FALSE)</f>
        <v>Aquecidos</v>
      </c>
      <c r="H394" s="74">
        <v>6486</v>
      </c>
    </row>
    <row r="395" spans="1:8" x14ac:dyDescent="0.25">
      <c r="A395" s="75">
        <v>2022</v>
      </c>
      <c r="B395" s="76" t="s">
        <v>215</v>
      </c>
      <c r="C395" s="77" t="s">
        <v>232</v>
      </c>
      <c r="D395" s="77" t="s">
        <v>175</v>
      </c>
      <c r="E395" s="73" t="str">
        <f>VLOOKUP(D395,clientes!$C$3:$D$60,2,FALSE)</f>
        <v>AAK DO BRASIL</v>
      </c>
      <c r="F395" s="77" t="s">
        <v>123</v>
      </c>
      <c r="G395" s="73" t="str">
        <f>VLOOKUP(F395,'[2]Lista de Produtos CLASSIFICAÇÃO'!$E$103:$F$114,2,FALSE)</f>
        <v>Aquecidos</v>
      </c>
      <c r="H395" s="78">
        <v>6486</v>
      </c>
    </row>
    <row r="396" spans="1:8" x14ac:dyDescent="0.25">
      <c r="A396" s="71">
        <v>2022</v>
      </c>
      <c r="B396" s="72" t="s">
        <v>230</v>
      </c>
      <c r="C396" s="73" t="s">
        <v>232</v>
      </c>
      <c r="D396" s="73" t="s">
        <v>175</v>
      </c>
      <c r="E396" s="73" t="str">
        <f>VLOOKUP(D396,clientes!$C$3:$D$60,2,FALSE)</f>
        <v>AAK DO BRASIL</v>
      </c>
      <c r="F396" s="73" t="s">
        <v>123</v>
      </c>
      <c r="G396" s="73" t="str">
        <f>VLOOKUP(F396,'[2]Lista de Produtos CLASSIFICAÇÃO'!$E$103:$F$114,2,FALSE)</f>
        <v>Aquecidos</v>
      </c>
      <c r="H396" s="74">
        <v>6486</v>
      </c>
    </row>
    <row r="397" spans="1:8" x14ac:dyDescent="0.25">
      <c r="A397" s="75">
        <v>2022</v>
      </c>
      <c r="B397" s="76" t="s">
        <v>231</v>
      </c>
      <c r="C397" s="77" t="s">
        <v>232</v>
      </c>
      <c r="D397" s="77" t="s">
        <v>175</v>
      </c>
      <c r="E397" s="73" t="str">
        <f>VLOOKUP(D397,clientes!$C$3:$D$60,2,FALSE)</f>
        <v>AAK DO BRASIL</v>
      </c>
      <c r="F397" s="77" t="s">
        <v>123</v>
      </c>
      <c r="G397" s="73" t="str">
        <f>VLOOKUP(F397,'[2]Lista de Produtos CLASSIFICAÇÃO'!$E$103:$F$114,2,FALSE)</f>
        <v>Aquecidos</v>
      </c>
      <c r="H397" s="78">
        <v>6486</v>
      </c>
    </row>
    <row r="398" spans="1:8" x14ac:dyDescent="0.25">
      <c r="A398" s="71">
        <v>2022</v>
      </c>
      <c r="B398" s="72" t="s">
        <v>226</v>
      </c>
      <c r="C398" s="73" t="s">
        <v>225</v>
      </c>
      <c r="D398" s="73" t="s">
        <v>157</v>
      </c>
      <c r="E398" s="73" t="str">
        <f>VLOOKUP(D398,clientes!$C$3:$D$60,2,FALSE)</f>
        <v>ADM</v>
      </c>
      <c r="F398" s="73" t="s">
        <v>122</v>
      </c>
      <c r="G398" s="73" t="str">
        <f>VLOOKUP(F398,'[2]Lista de Produtos CLASSIFICAÇÃO'!$E$103:$F$114,2,FALSE)</f>
        <v>Óleo Vegetal</v>
      </c>
      <c r="H398" s="74">
        <v>1586</v>
      </c>
    </row>
    <row r="399" spans="1:8" x14ac:dyDescent="0.25">
      <c r="A399" s="75">
        <v>2022</v>
      </c>
      <c r="B399" s="76" t="s">
        <v>227</v>
      </c>
      <c r="C399" s="77" t="s">
        <v>225</v>
      </c>
      <c r="D399" s="77" t="s">
        <v>157</v>
      </c>
      <c r="E399" s="73" t="str">
        <f>VLOOKUP(D399,clientes!$C$3:$D$60,2,FALSE)</f>
        <v>ADM</v>
      </c>
      <c r="F399" s="77" t="s">
        <v>122</v>
      </c>
      <c r="G399" s="73" t="str">
        <f>VLOOKUP(F399,'[2]Lista de Produtos CLASSIFICAÇÃO'!$E$103:$F$114,2,FALSE)</f>
        <v>Óleo Vegetal</v>
      </c>
      <c r="H399" s="78">
        <v>1586</v>
      </c>
    </row>
    <row r="400" spans="1:8" x14ac:dyDescent="0.25">
      <c r="A400" s="71">
        <v>2022</v>
      </c>
      <c r="B400" s="72" t="s">
        <v>228</v>
      </c>
      <c r="C400" s="73" t="s">
        <v>225</v>
      </c>
      <c r="D400" s="73" t="s">
        <v>157</v>
      </c>
      <c r="E400" s="73" t="str">
        <f>VLOOKUP(D400,clientes!$C$3:$D$60,2,FALSE)</f>
        <v>ADM</v>
      </c>
      <c r="F400" s="73" t="s">
        <v>122</v>
      </c>
      <c r="G400" s="73" t="str">
        <f>VLOOKUP(F400,'[2]Lista de Produtos CLASSIFICAÇÃO'!$E$103:$F$114,2,FALSE)</f>
        <v>Óleo Vegetal</v>
      </c>
      <c r="H400" s="74">
        <v>1586</v>
      </c>
    </row>
    <row r="401" spans="1:8" x14ac:dyDescent="0.25">
      <c r="A401" s="75">
        <v>2022</v>
      </c>
      <c r="B401" s="76" t="s">
        <v>229</v>
      </c>
      <c r="C401" s="77" t="s">
        <v>225</v>
      </c>
      <c r="D401" s="77" t="s">
        <v>157</v>
      </c>
      <c r="E401" s="73" t="str">
        <f>VLOOKUP(D401,clientes!$C$3:$D$60,2,FALSE)</f>
        <v>ADM</v>
      </c>
      <c r="F401" s="77" t="s">
        <v>122</v>
      </c>
      <c r="G401" s="73" t="str">
        <f>VLOOKUP(F401,'[2]Lista de Produtos CLASSIFICAÇÃO'!$E$103:$F$114,2,FALSE)</f>
        <v>Óleo Vegetal</v>
      </c>
      <c r="H401" s="78">
        <v>1586</v>
      </c>
    </row>
    <row r="402" spans="1:8" x14ac:dyDescent="0.25">
      <c r="A402" s="71">
        <v>2022</v>
      </c>
      <c r="B402" s="72" t="s">
        <v>210</v>
      </c>
      <c r="C402" s="73" t="s">
        <v>225</v>
      </c>
      <c r="D402" s="73" t="s">
        <v>157</v>
      </c>
      <c r="E402" s="73" t="str">
        <f>VLOOKUP(D402,clientes!$C$3:$D$60,2,FALSE)</f>
        <v>ADM</v>
      </c>
      <c r="F402" s="73" t="s">
        <v>122</v>
      </c>
      <c r="G402" s="73" t="str">
        <f>VLOOKUP(F402,'[2]Lista de Produtos CLASSIFICAÇÃO'!$E$103:$F$114,2,FALSE)</f>
        <v>Óleo Vegetal</v>
      </c>
      <c r="H402" s="74">
        <v>1586</v>
      </c>
    </row>
    <row r="403" spans="1:8" x14ac:dyDescent="0.25">
      <c r="A403" s="75">
        <v>2022</v>
      </c>
      <c r="B403" s="76" t="s">
        <v>211</v>
      </c>
      <c r="C403" s="77" t="s">
        <v>225</v>
      </c>
      <c r="D403" s="77" t="s">
        <v>157</v>
      </c>
      <c r="E403" s="73" t="str">
        <f>VLOOKUP(D403,clientes!$C$3:$D$60,2,FALSE)</f>
        <v>ADM</v>
      </c>
      <c r="F403" s="77" t="s">
        <v>122</v>
      </c>
      <c r="G403" s="73" t="str">
        <f>VLOOKUP(F403,'[2]Lista de Produtos CLASSIFICAÇÃO'!$E$103:$F$114,2,FALSE)</f>
        <v>Óleo Vegetal</v>
      </c>
      <c r="H403" s="78">
        <v>1586</v>
      </c>
    </row>
    <row r="404" spans="1:8" x14ac:dyDescent="0.25">
      <c r="A404" s="71">
        <v>2022</v>
      </c>
      <c r="B404" s="72" t="s">
        <v>212</v>
      </c>
      <c r="C404" s="73" t="s">
        <v>225</v>
      </c>
      <c r="D404" s="73" t="s">
        <v>157</v>
      </c>
      <c r="E404" s="73" t="str">
        <f>VLOOKUP(D404,clientes!$C$3:$D$60,2,FALSE)</f>
        <v>ADM</v>
      </c>
      <c r="F404" s="73" t="s">
        <v>122</v>
      </c>
      <c r="G404" s="73" t="str">
        <f>VLOOKUP(F404,'[2]Lista de Produtos CLASSIFICAÇÃO'!$E$103:$F$114,2,FALSE)</f>
        <v>Óleo Vegetal</v>
      </c>
      <c r="H404" s="74">
        <v>1586</v>
      </c>
    </row>
    <row r="405" spans="1:8" x14ac:dyDescent="0.25">
      <c r="A405" s="75">
        <v>2022</v>
      </c>
      <c r="B405" s="76" t="s">
        <v>213</v>
      </c>
      <c r="C405" s="77" t="s">
        <v>225</v>
      </c>
      <c r="D405" s="77" t="s">
        <v>157</v>
      </c>
      <c r="E405" s="73" t="str">
        <f>VLOOKUP(D405,clientes!$C$3:$D$60,2,FALSE)</f>
        <v>ADM</v>
      </c>
      <c r="F405" s="77" t="s">
        <v>122</v>
      </c>
      <c r="G405" s="73" t="str">
        <f>VLOOKUP(F405,'[2]Lista de Produtos CLASSIFICAÇÃO'!$E$103:$F$114,2,FALSE)</f>
        <v>Óleo Vegetal</v>
      </c>
      <c r="H405" s="78">
        <v>1586</v>
      </c>
    </row>
    <row r="406" spans="1:8" x14ac:dyDescent="0.25">
      <c r="A406" s="71">
        <v>2022</v>
      </c>
      <c r="B406" s="72" t="s">
        <v>214</v>
      </c>
      <c r="C406" s="73" t="s">
        <v>225</v>
      </c>
      <c r="D406" s="73" t="s">
        <v>157</v>
      </c>
      <c r="E406" s="73" t="str">
        <f>VLOOKUP(D406,clientes!$C$3:$D$60,2,FALSE)</f>
        <v>ADM</v>
      </c>
      <c r="F406" s="73" t="s">
        <v>122</v>
      </c>
      <c r="G406" s="73" t="str">
        <f>VLOOKUP(F406,'[2]Lista de Produtos CLASSIFICAÇÃO'!$E$103:$F$114,2,FALSE)</f>
        <v>Óleo Vegetal</v>
      </c>
      <c r="H406" s="74">
        <v>1586</v>
      </c>
    </row>
    <row r="407" spans="1:8" x14ac:dyDescent="0.25">
      <c r="A407" s="75">
        <v>2022</v>
      </c>
      <c r="B407" s="76" t="s">
        <v>215</v>
      </c>
      <c r="C407" s="77" t="s">
        <v>225</v>
      </c>
      <c r="D407" s="77" t="s">
        <v>157</v>
      </c>
      <c r="E407" s="73" t="str">
        <f>VLOOKUP(D407,clientes!$C$3:$D$60,2,FALSE)</f>
        <v>ADM</v>
      </c>
      <c r="F407" s="77" t="s">
        <v>122</v>
      </c>
      <c r="G407" s="73" t="str">
        <f>VLOOKUP(F407,'[2]Lista de Produtos CLASSIFICAÇÃO'!$E$103:$F$114,2,FALSE)</f>
        <v>Óleo Vegetal</v>
      </c>
      <c r="H407" s="78">
        <v>1586</v>
      </c>
    </row>
    <row r="408" spans="1:8" x14ac:dyDescent="0.25">
      <c r="A408" s="71">
        <v>2022</v>
      </c>
      <c r="B408" s="72" t="s">
        <v>230</v>
      </c>
      <c r="C408" s="73" t="s">
        <v>225</v>
      </c>
      <c r="D408" s="73" t="s">
        <v>157</v>
      </c>
      <c r="E408" s="73" t="str">
        <f>VLOOKUP(D408,clientes!$C$3:$D$60,2,FALSE)</f>
        <v>ADM</v>
      </c>
      <c r="F408" s="73" t="s">
        <v>122</v>
      </c>
      <c r="G408" s="73" t="str">
        <f>VLOOKUP(F408,'[2]Lista de Produtos CLASSIFICAÇÃO'!$E$103:$F$114,2,FALSE)</f>
        <v>Óleo Vegetal</v>
      </c>
      <c r="H408" s="74">
        <v>1586</v>
      </c>
    </row>
    <row r="409" spans="1:8" x14ac:dyDescent="0.25">
      <c r="A409" s="75">
        <v>2022</v>
      </c>
      <c r="B409" s="76" t="s">
        <v>231</v>
      </c>
      <c r="C409" s="77" t="s">
        <v>225</v>
      </c>
      <c r="D409" s="77" t="s">
        <v>157</v>
      </c>
      <c r="E409" s="73" t="str">
        <f>VLOOKUP(D409,clientes!$C$3:$D$60,2,FALSE)</f>
        <v>ADM</v>
      </c>
      <c r="F409" s="77" t="s">
        <v>122</v>
      </c>
      <c r="G409" s="73" t="str">
        <f>VLOOKUP(F409,'[2]Lista de Produtos CLASSIFICAÇÃO'!$E$103:$F$114,2,FALSE)</f>
        <v>Óleo Vegetal</v>
      </c>
      <c r="H409" s="78">
        <v>1586</v>
      </c>
    </row>
    <row r="410" spans="1:8" x14ac:dyDescent="0.25">
      <c r="A410" s="71">
        <v>2022</v>
      </c>
      <c r="B410" s="72" t="s">
        <v>226</v>
      </c>
      <c r="C410" s="73" t="s">
        <v>225</v>
      </c>
      <c r="D410" s="73" t="s">
        <v>155</v>
      </c>
      <c r="E410" s="73" t="str">
        <f>VLOOKUP(D410,clientes!$C$3:$D$60,2,FALSE)</f>
        <v>ADISSEO</v>
      </c>
      <c r="F410" s="73" t="s">
        <v>16</v>
      </c>
      <c r="G410" s="73" t="str">
        <f>VLOOKUP(F410,'[2]Lista de Produtos CLASSIFICAÇÃO'!$E$103:$F$114,2,FALSE)</f>
        <v>Outros</v>
      </c>
      <c r="H410" s="74">
        <v>8200</v>
      </c>
    </row>
    <row r="411" spans="1:8" x14ac:dyDescent="0.25">
      <c r="A411" s="75">
        <v>2022</v>
      </c>
      <c r="B411" s="76" t="s">
        <v>227</v>
      </c>
      <c r="C411" s="77" t="s">
        <v>225</v>
      </c>
      <c r="D411" s="77" t="s">
        <v>155</v>
      </c>
      <c r="E411" s="73" t="str">
        <f>VLOOKUP(D411,clientes!$C$3:$D$60,2,FALSE)</f>
        <v>ADISSEO</v>
      </c>
      <c r="F411" s="77" t="s">
        <v>16</v>
      </c>
      <c r="G411" s="73" t="str">
        <f>VLOOKUP(F411,'[2]Lista de Produtos CLASSIFICAÇÃO'!$E$103:$F$114,2,FALSE)</f>
        <v>Outros</v>
      </c>
      <c r="H411" s="78">
        <v>8200</v>
      </c>
    </row>
    <row r="412" spans="1:8" x14ac:dyDescent="0.25">
      <c r="A412" s="71">
        <v>2022</v>
      </c>
      <c r="B412" s="72" t="s">
        <v>228</v>
      </c>
      <c r="C412" s="73" t="s">
        <v>225</v>
      </c>
      <c r="D412" s="73" t="s">
        <v>155</v>
      </c>
      <c r="E412" s="73" t="str">
        <f>VLOOKUP(D412,clientes!$C$3:$D$60,2,FALSE)</f>
        <v>ADISSEO</v>
      </c>
      <c r="F412" s="73" t="s">
        <v>16</v>
      </c>
      <c r="G412" s="73" t="str">
        <f>VLOOKUP(F412,'[2]Lista de Produtos CLASSIFICAÇÃO'!$E$103:$F$114,2,FALSE)</f>
        <v>Outros</v>
      </c>
      <c r="H412" s="74">
        <v>8200</v>
      </c>
    </row>
    <row r="413" spans="1:8" x14ac:dyDescent="0.25">
      <c r="A413" s="75">
        <v>2022</v>
      </c>
      <c r="B413" s="76" t="s">
        <v>229</v>
      </c>
      <c r="C413" s="77" t="s">
        <v>225</v>
      </c>
      <c r="D413" s="77" t="s">
        <v>155</v>
      </c>
      <c r="E413" s="73" t="str">
        <f>VLOOKUP(D413,clientes!$C$3:$D$60,2,FALSE)</f>
        <v>ADISSEO</v>
      </c>
      <c r="F413" s="77" t="s">
        <v>16</v>
      </c>
      <c r="G413" s="73" t="str">
        <f>VLOOKUP(F413,'[2]Lista de Produtos CLASSIFICAÇÃO'!$E$103:$F$114,2,FALSE)</f>
        <v>Outros</v>
      </c>
      <c r="H413" s="78">
        <v>8200</v>
      </c>
    </row>
    <row r="414" spans="1:8" x14ac:dyDescent="0.25">
      <c r="A414" s="71">
        <v>2022</v>
      </c>
      <c r="B414" s="72" t="s">
        <v>210</v>
      </c>
      <c r="C414" s="73" t="s">
        <v>225</v>
      </c>
      <c r="D414" s="73" t="s">
        <v>155</v>
      </c>
      <c r="E414" s="73" t="str">
        <f>VLOOKUP(D414,clientes!$C$3:$D$60,2,FALSE)</f>
        <v>ADISSEO</v>
      </c>
      <c r="F414" s="73" t="s">
        <v>16</v>
      </c>
      <c r="G414" s="73" t="str">
        <f>VLOOKUP(F414,'[2]Lista de Produtos CLASSIFICAÇÃO'!$E$103:$F$114,2,FALSE)</f>
        <v>Outros</v>
      </c>
      <c r="H414" s="74">
        <v>8200</v>
      </c>
    </row>
    <row r="415" spans="1:8" x14ac:dyDescent="0.25">
      <c r="A415" s="75">
        <v>2022</v>
      </c>
      <c r="B415" s="76" t="s">
        <v>211</v>
      </c>
      <c r="C415" s="77" t="s">
        <v>225</v>
      </c>
      <c r="D415" s="77" t="s">
        <v>155</v>
      </c>
      <c r="E415" s="73" t="str">
        <f>VLOOKUP(D415,clientes!$C$3:$D$60,2,FALSE)</f>
        <v>ADISSEO</v>
      </c>
      <c r="F415" s="77" t="s">
        <v>16</v>
      </c>
      <c r="G415" s="73" t="str">
        <f>VLOOKUP(F415,'[2]Lista de Produtos CLASSIFICAÇÃO'!$E$103:$F$114,2,FALSE)</f>
        <v>Outros</v>
      </c>
      <c r="H415" s="78">
        <v>8200</v>
      </c>
    </row>
    <row r="416" spans="1:8" x14ac:dyDescent="0.25">
      <c r="A416" s="71">
        <v>2022</v>
      </c>
      <c r="B416" s="72" t="s">
        <v>212</v>
      </c>
      <c r="C416" s="73" t="s">
        <v>225</v>
      </c>
      <c r="D416" s="73" t="s">
        <v>155</v>
      </c>
      <c r="E416" s="73" t="str">
        <f>VLOOKUP(D416,clientes!$C$3:$D$60,2,FALSE)</f>
        <v>ADISSEO</v>
      </c>
      <c r="F416" s="73" t="s">
        <v>16</v>
      </c>
      <c r="G416" s="73" t="str">
        <f>VLOOKUP(F416,'[2]Lista de Produtos CLASSIFICAÇÃO'!$E$103:$F$114,2,FALSE)</f>
        <v>Outros</v>
      </c>
      <c r="H416" s="74">
        <v>8200</v>
      </c>
    </row>
    <row r="417" spans="1:8" x14ac:dyDescent="0.25">
      <c r="A417" s="75">
        <v>2022</v>
      </c>
      <c r="B417" s="76" t="s">
        <v>213</v>
      </c>
      <c r="C417" s="77" t="s">
        <v>225</v>
      </c>
      <c r="D417" s="77" t="s">
        <v>155</v>
      </c>
      <c r="E417" s="73" t="str">
        <f>VLOOKUP(D417,clientes!$C$3:$D$60,2,FALSE)</f>
        <v>ADISSEO</v>
      </c>
      <c r="F417" s="77" t="s">
        <v>16</v>
      </c>
      <c r="G417" s="73" t="str">
        <f>VLOOKUP(F417,'[2]Lista de Produtos CLASSIFICAÇÃO'!$E$103:$F$114,2,FALSE)</f>
        <v>Outros</v>
      </c>
      <c r="H417" s="78">
        <v>8200</v>
      </c>
    </row>
    <row r="418" spans="1:8" x14ac:dyDescent="0.25">
      <c r="A418" s="71">
        <v>2022</v>
      </c>
      <c r="B418" s="72" t="s">
        <v>214</v>
      </c>
      <c r="C418" s="73" t="s">
        <v>225</v>
      </c>
      <c r="D418" s="73" t="s">
        <v>155</v>
      </c>
      <c r="E418" s="73" t="str">
        <f>VLOOKUP(D418,clientes!$C$3:$D$60,2,FALSE)</f>
        <v>ADISSEO</v>
      </c>
      <c r="F418" s="73" t="s">
        <v>16</v>
      </c>
      <c r="G418" s="73" t="str">
        <f>VLOOKUP(F418,'[2]Lista de Produtos CLASSIFICAÇÃO'!$E$103:$F$114,2,FALSE)</f>
        <v>Outros</v>
      </c>
      <c r="H418" s="74">
        <v>8200</v>
      </c>
    </row>
    <row r="419" spans="1:8" x14ac:dyDescent="0.25">
      <c r="A419" s="75">
        <v>2022</v>
      </c>
      <c r="B419" s="76" t="s">
        <v>215</v>
      </c>
      <c r="C419" s="77" t="s">
        <v>225</v>
      </c>
      <c r="D419" s="77" t="s">
        <v>155</v>
      </c>
      <c r="E419" s="73" t="str">
        <f>VLOOKUP(D419,clientes!$C$3:$D$60,2,FALSE)</f>
        <v>ADISSEO</v>
      </c>
      <c r="F419" s="77" t="s">
        <v>16</v>
      </c>
      <c r="G419" s="73" t="str">
        <f>VLOOKUP(F419,'[2]Lista de Produtos CLASSIFICAÇÃO'!$E$103:$F$114,2,FALSE)</f>
        <v>Outros</v>
      </c>
      <c r="H419" s="78">
        <v>8200</v>
      </c>
    </row>
    <row r="420" spans="1:8" x14ac:dyDescent="0.25">
      <c r="A420" s="71">
        <v>2022</v>
      </c>
      <c r="B420" s="72" t="s">
        <v>230</v>
      </c>
      <c r="C420" s="73" t="s">
        <v>225</v>
      </c>
      <c r="D420" s="73" t="s">
        <v>155</v>
      </c>
      <c r="E420" s="73" t="str">
        <f>VLOOKUP(D420,clientes!$C$3:$D$60,2,FALSE)</f>
        <v>ADISSEO</v>
      </c>
      <c r="F420" s="73" t="s">
        <v>16</v>
      </c>
      <c r="G420" s="73" t="str">
        <f>VLOOKUP(F420,'[2]Lista de Produtos CLASSIFICAÇÃO'!$E$103:$F$114,2,FALSE)</f>
        <v>Outros</v>
      </c>
      <c r="H420" s="74">
        <v>8200</v>
      </c>
    </row>
    <row r="421" spans="1:8" x14ac:dyDescent="0.25">
      <c r="A421" s="75">
        <v>2022</v>
      </c>
      <c r="B421" s="76" t="s">
        <v>231</v>
      </c>
      <c r="C421" s="77" t="s">
        <v>225</v>
      </c>
      <c r="D421" s="77" t="s">
        <v>155</v>
      </c>
      <c r="E421" s="73" t="str">
        <f>VLOOKUP(D421,clientes!$C$3:$D$60,2,FALSE)</f>
        <v>ADISSEO</v>
      </c>
      <c r="F421" s="77" t="s">
        <v>16</v>
      </c>
      <c r="G421" s="73" t="str">
        <f>VLOOKUP(F421,'[2]Lista de Produtos CLASSIFICAÇÃO'!$E$103:$F$114,2,FALSE)</f>
        <v>Outros</v>
      </c>
      <c r="H421" s="78">
        <v>8200</v>
      </c>
    </row>
    <row r="422" spans="1:8" x14ac:dyDescent="0.25">
      <c r="A422" s="71">
        <v>2022</v>
      </c>
      <c r="B422" s="72" t="s">
        <v>226</v>
      </c>
      <c r="C422" s="73" t="s">
        <v>225</v>
      </c>
      <c r="D422" s="73" t="s">
        <v>199</v>
      </c>
      <c r="E422" s="73" t="str">
        <f>VLOOKUP(D422,clientes!$C$3:$D$60,2,FALSE)</f>
        <v>ADISSEO</v>
      </c>
      <c r="F422" s="73" t="s">
        <v>16</v>
      </c>
      <c r="G422" s="73" t="str">
        <f>VLOOKUP(F422,'[2]Lista de Produtos CLASSIFICAÇÃO'!$E$103:$F$114,2,FALSE)</f>
        <v>Outros</v>
      </c>
      <c r="H422" s="74">
        <v>0</v>
      </c>
    </row>
    <row r="423" spans="1:8" x14ac:dyDescent="0.25">
      <c r="A423" s="75">
        <v>2022</v>
      </c>
      <c r="B423" s="76" t="s">
        <v>227</v>
      </c>
      <c r="C423" s="77" t="s">
        <v>225</v>
      </c>
      <c r="D423" s="77" t="s">
        <v>199</v>
      </c>
      <c r="E423" s="73" t="str">
        <f>VLOOKUP(D423,clientes!$C$3:$D$60,2,FALSE)</f>
        <v>ADISSEO</v>
      </c>
      <c r="F423" s="77" t="s">
        <v>16</v>
      </c>
      <c r="G423" s="73" t="str">
        <f>VLOOKUP(F423,'[2]Lista de Produtos CLASSIFICAÇÃO'!$E$103:$F$114,2,FALSE)</f>
        <v>Outros</v>
      </c>
      <c r="H423" s="78">
        <v>0</v>
      </c>
    </row>
    <row r="424" spans="1:8" x14ac:dyDescent="0.25">
      <c r="A424" s="71">
        <v>2022</v>
      </c>
      <c r="B424" s="72" t="s">
        <v>228</v>
      </c>
      <c r="C424" s="73" t="s">
        <v>225</v>
      </c>
      <c r="D424" s="73" t="s">
        <v>199</v>
      </c>
      <c r="E424" s="73" t="str">
        <f>VLOOKUP(D424,clientes!$C$3:$D$60,2,FALSE)</f>
        <v>ADISSEO</v>
      </c>
      <c r="F424" s="73" t="s">
        <v>16</v>
      </c>
      <c r="G424" s="73" t="str">
        <f>VLOOKUP(F424,'[2]Lista de Produtos CLASSIFICAÇÃO'!$E$103:$F$114,2,FALSE)</f>
        <v>Outros</v>
      </c>
      <c r="H424" s="74">
        <v>0</v>
      </c>
    </row>
    <row r="425" spans="1:8" x14ac:dyDescent="0.25">
      <c r="A425" s="75">
        <v>2022</v>
      </c>
      <c r="B425" s="76" t="s">
        <v>229</v>
      </c>
      <c r="C425" s="77" t="s">
        <v>225</v>
      </c>
      <c r="D425" s="77" t="s">
        <v>199</v>
      </c>
      <c r="E425" s="73" t="str">
        <f>VLOOKUP(D425,clientes!$C$3:$D$60,2,FALSE)</f>
        <v>ADISSEO</v>
      </c>
      <c r="F425" s="77" t="s">
        <v>16</v>
      </c>
      <c r="G425" s="73" t="str">
        <f>VLOOKUP(F425,'[2]Lista de Produtos CLASSIFICAÇÃO'!$E$103:$F$114,2,FALSE)</f>
        <v>Outros</v>
      </c>
      <c r="H425" s="78">
        <v>0</v>
      </c>
    </row>
    <row r="426" spans="1:8" x14ac:dyDescent="0.25">
      <c r="A426" s="71">
        <v>2022</v>
      </c>
      <c r="B426" s="72" t="s">
        <v>210</v>
      </c>
      <c r="C426" s="73" t="s">
        <v>225</v>
      </c>
      <c r="D426" s="73" t="s">
        <v>199</v>
      </c>
      <c r="E426" s="73" t="str">
        <f>VLOOKUP(D426,clientes!$C$3:$D$60,2,FALSE)</f>
        <v>ADISSEO</v>
      </c>
      <c r="F426" s="73" t="s">
        <v>16</v>
      </c>
      <c r="G426" s="73" t="str">
        <f>VLOOKUP(F426,'[2]Lista de Produtos CLASSIFICAÇÃO'!$E$103:$F$114,2,FALSE)</f>
        <v>Outros</v>
      </c>
      <c r="H426" s="74">
        <v>0</v>
      </c>
    </row>
    <row r="427" spans="1:8" x14ac:dyDescent="0.25">
      <c r="A427" s="75">
        <v>2022</v>
      </c>
      <c r="B427" s="76" t="s">
        <v>211</v>
      </c>
      <c r="C427" s="77" t="s">
        <v>225</v>
      </c>
      <c r="D427" s="77" t="s">
        <v>199</v>
      </c>
      <c r="E427" s="73" t="str">
        <f>VLOOKUP(D427,clientes!$C$3:$D$60,2,FALSE)</f>
        <v>ADISSEO</v>
      </c>
      <c r="F427" s="77" t="s">
        <v>16</v>
      </c>
      <c r="G427" s="73" t="str">
        <f>VLOOKUP(F427,'[2]Lista de Produtos CLASSIFICAÇÃO'!$E$103:$F$114,2,FALSE)</f>
        <v>Outros</v>
      </c>
      <c r="H427" s="78">
        <v>0</v>
      </c>
    </row>
    <row r="428" spans="1:8" x14ac:dyDescent="0.25">
      <c r="A428" s="71">
        <v>2022</v>
      </c>
      <c r="B428" s="72" t="s">
        <v>212</v>
      </c>
      <c r="C428" s="73" t="s">
        <v>225</v>
      </c>
      <c r="D428" s="73" t="s">
        <v>199</v>
      </c>
      <c r="E428" s="73" t="str">
        <f>VLOOKUP(D428,clientes!$C$3:$D$60,2,FALSE)</f>
        <v>ADISSEO</v>
      </c>
      <c r="F428" s="73" t="s">
        <v>16</v>
      </c>
      <c r="G428" s="73" t="str">
        <f>VLOOKUP(F428,'[2]Lista de Produtos CLASSIFICAÇÃO'!$E$103:$F$114,2,FALSE)</f>
        <v>Outros</v>
      </c>
      <c r="H428" s="74">
        <v>0</v>
      </c>
    </row>
    <row r="429" spans="1:8" x14ac:dyDescent="0.25">
      <c r="A429" s="75">
        <v>2022</v>
      </c>
      <c r="B429" s="76" t="s">
        <v>213</v>
      </c>
      <c r="C429" s="77" t="s">
        <v>225</v>
      </c>
      <c r="D429" s="77" t="s">
        <v>199</v>
      </c>
      <c r="E429" s="73" t="str">
        <f>VLOOKUP(D429,clientes!$C$3:$D$60,2,FALSE)</f>
        <v>ADISSEO</v>
      </c>
      <c r="F429" s="77" t="s">
        <v>16</v>
      </c>
      <c r="G429" s="73" t="str">
        <f>VLOOKUP(F429,'[2]Lista de Produtos CLASSIFICAÇÃO'!$E$103:$F$114,2,FALSE)</f>
        <v>Outros</v>
      </c>
      <c r="H429" s="78">
        <v>0</v>
      </c>
    </row>
    <row r="430" spans="1:8" x14ac:dyDescent="0.25">
      <c r="A430" s="71">
        <v>2022</v>
      </c>
      <c r="B430" s="72" t="s">
        <v>214</v>
      </c>
      <c r="C430" s="73" t="s">
        <v>225</v>
      </c>
      <c r="D430" s="73" t="s">
        <v>199</v>
      </c>
      <c r="E430" s="73" t="str">
        <f>VLOOKUP(D430,clientes!$C$3:$D$60,2,FALSE)</f>
        <v>ADISSEO</v>
      </c>
      <c r="F430" s="73" t="s">
        <v>16</v>
      </c>
      <c r="G430" s="73" t="str">
        <f>VLOOKUP(F430,'[2]Lista de Produtos CLASSIFICAÇÃO'!$E$103:$F$114,2,FALSE)</f>
        <v>Outros</v>
      </c>
      <c r="H430" s="74">
        <v>0</v>
      </c>
    </row>
    <row r="431" spans="1:8" x14ac:dyDescent="0.25">
      <c r="A431" s="75">
        <v>2022</v>
      </c>
      <c r="B431" s="76" t="s">
        <v>215</v>
      </c>
      <c r="C431" s="77" t="s">
        <v>225</v>
      </c>
      <c r="D431" s="77" t="s">
        <v>199</v>
      </c>
      <c r="E431" s="73" t="str">
        <f>VLOOKUP(D431,clientes!$C$3:$D$60,2,FALSE)</f>
        <v>ADISSEO</v>
      </c>
      <c r="F431" s="77" t="s">
        <v>16</v>
      </c>
      <c r="G431" s="73" t="str">
        <f>VLOOKUP(F431,'[2]Lista de Produtos CLASSIFICAÇÃO'!$E$103:$F$114,2,FALSE)</f>
        <v>Outros</v>
      </c>
      <c r="H431" s="78">
        <v>0</v>
      </c>
    </row>
    <row r="432" spans="1:8" x14ac:dyDescent="0.25">
      <c r="A432" s="71">
        <v>2022</v>
      </c>
      <c r="B432" s="72" t="s">
        <v>230</v>
      </c>
      <c r="C432" s="73" t="s">
        <v>225</v>
      </c>
      <c r="D432" s="73" t="s">
        <v>199</v>
      </c>
      <c r="E432" s="73" t="str">
        <f>VLOOKUP(D432,clientes!$C$3:$D$60,2,FALSE)</f>
        <v>ADISSEO</v>
      </c>
      <c r="F432" s="73" t="s">
        <v>16</v>
      </c>
      <c r="G432" s="73" t="str">
        <f>VLOOKUP(F432,'[2]Lista de Produtos CLASSIFICAÇÃO'!$E$103:$F$114,2,FALSE)</f>
        <v>Outros</v>
      </c>
      <c r="H432" s="74">
        <v>0</v>
      </c>
    </row>
    <row r="433" spans="1:8" x14ac:dyDescent="0.25">
      <c r="A433" s="75">
        <v>2022</v>
      </c>
      <c r="B433" s="76" t="s">
        <v>231</v>
      </c>
      <c r="C433" s="77" t="s">
        <v>225</v>
      </c>
      <c r="D433" s="77" t="s">
        <v>199</v>
      </c>
      <c r="E433" s="73" t="str">
        <f>VLOOKUP(D433,clientes!$C$3:$D$60,2,FALSE)</f>
        <v>ADISSEO</v>
      </c>
      <c r="F433" s="77" t="s">
        <v>16</v>
      </c>
      <c r="G433" s="73" t="str">
        <f>VLOOKUP(F433,'[2]Lista de Produtos CLASSIFICAÇÃO'!$E$103:$F$114,2,FALSE)</f>
        <v>Outros</v>
      </c>
      <c r="H433" s="78">
        <v>0</v>
      </c>
    </row>
    <row r="434" spans="1:8" x14ac:dyDescent="0.25">
      <c r="A434" s="71">
        <v>2022</v>
      </c>
      <c r="B434" s="72" t="s">
        <v>226</v>
      </c>
      <c r="C434" s="73" t="s">
        <v>232</v>
      </c>
      <c r="D434" s="73" t="s">
        <v>176</v>
      </c>
      <c r="E434" s="73" t="str">
        <f>VLOOKUP(D434,clientes!$C$3:$D$60,2,FALSE)</f>
        <v>AGROPALMA</v>
      </c>
      <c r="F434" s="73" t="s">
        <v>123</v>
      </c>
      <c r="G434" s="73" t="str">
        <f>VLOOKUP(F434,'[2]Lista de Produtos CLASSIFICAÇÃO'!$E$103:$F$114,2,FALSE)</f>
        <v>Aquecidos</v>
      </c>
      <c r="H434" s="74">
        <v>5000</v>
      </c>
    </row>
    <row r="435" spans="1:8" x14ac:dyDescent="0.25">
      <c r="A435" s="75">
        <v>2022</v>
      </c>
      <c r="B435" s="76" t="s">
        <v>227</v>
      </c>
      <c r="C435" s="77" t="s">
        <v>232</v>
      </c>
      <c r="D435" s="77" t="s">
        <v>176</v>
      </c>
      <c r="E435" s="73" t="str">
        <f>VLOOKUP(D435,clientes!$C$3:$D$60,2,FALSE)</f>
        <v>AGROPALMA</v>
      </c>
      <c r="F435" s="77" t="s">
        <v>123</v>
      </c>
      <c r="G435" s="73" t="str">
        <f>VLOOKUP(F435,'[2]Lista de Produtos CLASSIFICAÇÃO'!$E$103:$F$114,2,FALSE)</f>
        <v>Aquecidos</v>
      </c>
      <c r="H435" s="78">
        <v>5000</v>
      </c>
    </row>
    <row r="436" spans="1:8" x14ac:dyDescent="0.25">
      <c r="A436" s="71">
        <v>2022</v>
      </c>
      <c r="B436" s="72" t="s">
        <v>228</v>
      </c>
      <c r="C436" s="73" t="s">
        <v>232</v>
      </c>
      <c r="D436" s="73" t="s">
        <v>176</v>
      </c>
      <c r="E436" s="73" t="str">
        <f>VLOOKUP(D436,clientes!$C$3:$D$60,2,FALSE)</f>
        <v>AGROPALMA</v>
      </c>
      <c r="F436" s="73" t="s">
        <v>123</v>
      </c>
      <c r="G436" s="73" t="str">
        <f>VLOOKUP(F436,'[2]Lista de Produtos CLASSIFICAÇÃO'!$E$103:$F$114,2,FALSE)</f>
        <v>Aquecidos</v>
      </c>
      <c r="H436" s="74">
        <v>5000</v>
      </c>
    </row>
    <row r="437" spans="1:8" x14ac:dyDescent="0.25">
      <c r="A437" s="75">
        <v>2022</v>
      </c>
      <c r="B437" s="76" t="s">
        <v>229</v>
      </c>
      <c r="C437" s="77" t="s">
        <v>232</v>
      </c>
      <c r="D437" s="77" t="s">
        <v>176</v>
      </c>
      <c r="E437" s="73" t="str">
        <f>VLOOKUP(D437,clientes!$C$3:$D$60,2,FALSE)</f>
        <v>AGROPALMA</v>
      </c>
      <c r="F437" s="77" t="s">
        <v>123</v>
      </c>
      <c r="G437" s="73" t="str">
        <f>VLOOKUP(F437,'[2]Lista de Produtos CLASSIFICAÇÃO'!$E$103:$F$114,2,FALSE)</f>
        <v>Aquecidos</v>
      </c>
      <c r="H437" s="78">
        <v>5000</v>
      </c>
    </row>
    <row r="438" spans="1:8" x14ac:dyDescent="0.25">
      <c r="A438" s="71">
        <v>2022</v>
      </c>
      <c r="B438" s="72" t="s">
        <v>210</v>
      </c>
      <c r="C438" s="73" t="s">
        <v>232</v>
      </c>
      <c r="D438" s="73" t="s">
        <v>176</v>
      </c>
      <c r="E438" s="73" t="str">
        <f>VLOOKUP(D438,clientes!$C$3:$D$60,2,FALSE)</f>
        <v>AGROPALMA</v>
      </c>
      <c r="F438" s="73" t="s">
        <v>123</v>
      </c>
      <c r="G438" s="73" t="str">
        <f>VLOOKUP(F438,'[2]Lista de Produtos CLASSIFICAÇÃO'!$E$103:$F$114,2,FALSE)</f>
        <v>Aquecidos</v>
      </c>
      <c r="H438" s="74">
        <v>5000</v>
      </c>
    </row>
    <row r="439" spans="1:8" x14ac:dyDescent="0.25">
      <c r="A439" s="75">
        <v>2022</v>
      </c>
      <c r="B439" s="76" t="s">
        <v>211</v>
      </c>
      <c r="C439" s="77" t="s">
        <v>232</v>
      </c>
      <c r="D439" s="77" t="s">
        <v>176</v>
      </c>
      <c r="E439" s="73" t="str">
        <f>VLOOKUP(D439,clientes!$C$3:$D$60,2,FALSE)</f>
        <v>AGROPALMA</v>
      </c>
      <c r="F439" s="77" t="s">
        <v>123</v>
      </c>
      <c r="G439" s="73" t="str">
        <f>VLOOKUP(F439,'[2]Lista de Produtos CLASSIFICAÇÃO'!$E$103:$F$114,2,FALSE)</f>
        <v>Aquecidos</v>
      </c>
      <c r="H439" s="78">
        <v>5000</v>
      </c>
    </row>
    <row r="440" spans="1:8" x14ac:dyDescent="0.25">
      <c r="A440" s="71">
        <v>2022</v>
      </c>
      <c r="B440" s="72" t="s">
        <v>212</v>
      </c>
      <c r="C440" s="73" t="s">
        <v>232</v>
      </c>
      <c r="D440" s="73" t="s">
        <v>176</v>
      </c>
      <c r="E440" s="73" t="str">
        <f>VLOOKUP(D440,clientes!$C$3:$D$60,2,FALSE)</f>
        <v>AGROPALMA</v>
      </c>
      <c r="F440" s="73" t="s">
        <v>123</v>
      </c>
      <c r="G440" s="73" t="str">
        <f>VLOOKUP(F440,'[2]Lista de Produtos CLASSIFICAÇÃO'!$E$103:$F$114,2,FALSE)</f>
        <v>Aquecidos</v>
      </c>
      <c r="H440" s="74">
        <v>5000</v>
      </c>
    </row>
    <row r="441" spans="1:8" x14ac:dyDescent="0.25">
      <c r="A441" s="75">
        <v>2022</v>
      </c>
      <c r="B441" s="76" t="s">
        <v>213</v>
      </c>
      <c r="C441" s="77" t="s">
        <v>232</v>
      </c>
      <c r="D441" s="77" t="s">
        <v>176</v>
      </c>
      <c r="E441" s="73" t="str">
        <f>VLOOKUP(D441,clientes!$C$3:$D$60,2,FALSE)</f>
        <v>AGROPALMA</v>
      </c>
      <c r="F441" s="77" t="s">
        <v>123</v>
      </c>
      <c r="G441" s="73" t="str">
        <f>VLOOKUP(F441,'[2]Lista de Produtos CLASSIFICAÇÃO'!$E$103:$F$114,2,FALSE)</f>
        <v>Aquecidos</v>
      </c>
      <c r="H441" s="78">
        <v>5000</v>
      </c>
    </row>
    <row r="442" spans="1:8" x14ac:dyDescent="0.25">
      <c r="A442" s="71">
        <v>2022</v>
      </c>
      <c r="B442" s="72" t="s">
        <v>214</v>
      </c>
      <c r="C442" s="73" t="s">
        <v>232</v>
      </c>
      <c r="D442" s="73" t="s">
        <v>176</v>
      </c>
      <c r="E442" s="73" t="str">
        <f>VLOOKUP(D442,clientes!$C$3:$D$60,2,FALSE)</f>
        <v>AGROPALMA</v>
      </c>
      <c r="F442" s="73" t="s">
        <v>123</v>
      </c>
      <c r="G442" s="73" t="str">
        <f>VLOOKUP(F442,'[2]Lista de Produtos CLASSIFICAÇÃO'!$E$103:$F$114,2,FALSE)</f>
        <v>Aquecidos</v>
      </c>
      <c r="H442" s="74">
        <v>5000</v>
      </c>
    </row>
    <row r="443" spans="1:8" x14ac:dyDescent="0.25">
      <c r="A443" s="75">
        <v>2022</v>
      </c>
      <c r="B443" s="76" t="s">
        <v>215</v>
      </c>
      <c r="C443" s="77" t="s">
        <v>232</v>
      </c>
      <c r="D443" s="77" t="s">
        <v>176</v>
      </c>
      <c r="E443" s="73" t="str">
        <f>VLOOKUP(D443,clientes!$C$3:$D$60,2,FALSE)</f>
        <v>AGROPALMA</v>
      </c>
      <c r="F443" s="77" t="s">
        <v>123</v>
      </c>
      <c r="G443" s="73" t="str">
        <f>VLOOKUP(F443,'[2]Lista de Produtos CLASSIFICAÇÃO'!$E$103:$F$114,2,FALSE)</f>
        <v>Aquecidos</v>
      </c>
      <c r="H443" s="78">
        <v>5000</v>
      </c>
    </row>
    <row r="444" spans="1:8" x14ac:dyDescent="0.25">
      <c r="A444" s="71">
        <v>2022</v>
      </c>
      <c r="B444" s="72" t="s">
        <v>230</v>
      </c>
      <c r="C444" s="73" t="s">
        <v>232</v>
      </c>
      <c r="D444" s="73" t="s">
        <v>176</v>
      </c>
      <c r="E444" s="73" t="str">
        <f>VLOOKUP(D444,clientes!$C$3:$D$60,2,FALSE)</f>
        <v>AGROPALMA</v>
      </c>
      <c r="F444" s="73" t="s">
        <v>123</v>
      </c>
      <c r="G444" s="73" t="str">
        <f>VLOOKUP(F444,'[2]Lista de Produtos CLASSIFICAÇÃO'!$E$103:$F$114,2,FALSE)</f>
        <v>Aquecidos</v>
      </c>
      <c r="H444" s="74">
        <v>5000</v>
      </c>
    </row>
    <row r="445" spans="1:8" x14ac:dyDescent="0.25">
      <c r="A445" s="75">
        <v>2022</v>
      </c>
      <c r="B445" s="76" t="s">
        <v>231</v>
      </c>
      <c r="C445" s="77" t="s">
        <v>232</v>
      </c>
      <c r="D445" s="77" t="s">
        <v>176</v>
      </c>
      <c r="E445" s="73" t="str">
        <f>VLOOKUP(D445,clientes!$C$3:$D$60,2,FALSE)</f>
        <v>AGROPALMA</v>
      </c>
      <c r="F445" s="77" t="s">
        <v>123</v>
      </c>
      <c r="G445" s="73" t="str">
        <f>VLOOKUP(F445,'[2]Lista de Produtos CLASSIFICAÇÃO'!$E$103:$F$114,2,FALSE)</f>
        <v>Aquecidos</v>
      </c>
      <c r="H445" s="78">
        <v>5000</v>
      </c>
    </row>
    <row r="446" spans="1:8" x14ac:dyDescent="0.25">
      <c r="A446" s="71">
        <v>2022</v>
      </c>
      <c r="B446" s="72" t="s">
        <v>226</v>
      </c>
      <c r="C446" s="73" t="s">
        <v>232</v>
      </c>
      <c r="D446" s="73" t="s">
        <v>165</v>
      </c>
      <c r="E446" s="73" t="str">
        <f>VLOOKUP(D446,clientes!$C$3:$D$60,2,FALSE)</f>
        <v>BRF</v>
      </c>
      <c r="F446" s="73" t="s">
        <v>123</v>
      </c>
      <c r="G446" s="73" t="str">
        <f>VLOOKUP(F446,'[2]Lista de Produtos CLASSIFICAÇÃO'!$E$103:$F$114,2,FALSE)</f>
        <v>Aquecidos</v>
      </c>
      <c r="H446" s="74">
        <v>12000</v>
      </c>
    </row>
    <row r="447" spans="1:8" x14ac:dyDescent="0.25">
      <c r="A447" s="75">
        <v>2022</v>
      </c>
      <c r="B447" s="76" t="s">
        <v>227</v>
      </c>
      <c r="C447" s="77" t="s">
        <v>232</v>
      </c>
      <c r="D447" s="77" t="s">
        <v>165</v>
      </c>
      <c r="E447" s="73" t="str">
        <f>VLOOKUP(D447,clientes!$C$3:$D$60,2,FALSE)</f>
        <v>BRF</v>
      </c>
      <c r="F447" s="77" t="s">
        <v>123</v>
      </c>
      <c r="G447" s="73" t="str">
        <f>VLOOKUP(F447,'[2]Lista de Produtos CLASSIFICAÇÃO'!$E$103:$F$114,2,FALSE)</f>
        <v>Aquecidos</v>
      </c>
      <c r="H447" s="78">
        <v>12000</v>
      </c>
    </row>
    <row r="448" spans="1:8" x14ac:dyDescent="0.25">
      <c r="A448" s="71">
        <v>2022</v>
      </c>
      <c r="B448" s="72" t="s">
        <v>228</v>
      </c>
      <c r="C448" s="73" t="s">
        <v>232</v>
      </c>
      <c r="D448" s="73" t="s">
        <v>165</v>
      </c>
      <c r="E448" s="73" t="str">
        <f>VLOOKUP(D448,clientes!$C$3:$D$60,2,FALSE)</f>
        <v>BRF</v>
      </c>
      <c r="F448" s="73" t="s">
        <v>123</v>
      </c>
      <c r="G448" s="73" t="str">
        <f>VLOOKUP(F448,'[2]Lista de Produtos CLASSIFICAÇÃO'!$E$103:$F$114,2,FALSE)</f>
        <v>Aquecidos</v>
      </c>
      <c r="H448" s="74">
        <v>12000</v>
      </c>
    </row>
    <row r="449" spans="1:8" x14ac:dyDescent="0.25">
      <c r="A449" s="75">
        <v>2022</v>
      </c>
      <c r="B449" s="76" t="s">
        <v>229</v>
      </c>
      <c r="C449" s="77" t="s">
        <v>232</v>
      </c>
      <c r="D449" s="77" t="s">
        <v>165</v>
      </c>
      <c r="E449" s="73" t="str">
        <f>VLOOKUP(D449,clientes!$C$3:$D$60,2,FALSE)</f>
        <v>BRF</v>
      </c>
      <c r="F449" s="77" t="s">
        <v>123</v>
      </c>
      <c r="G449" s="73" t="str">
        <f>VLOOKUP(F449,'[2]Lista de Produtos CLASSIFICAÇÃO'!$E$103:$F$114,2,FALSE)</f>
        <v>Aquecidos</v>
      </c>
      <c r="H449" s="78">
        <v>12000</v>
      </c>
    </row>
    <row r="450" spans="1:8" x14ac:dyDescent="0.25">
      <c r="A450" s="71">
        <v>2022</v>
      </c>
      <c r="B450" s="72" t="s">
        <v>210</v>
      </c>
      <c r="C450" s="73" t="s">
        <v>232</v>
      </c>
      <c r="D450" s="73" t="s">
        <v>165</v>
      </c>
      <c r="E450" s="73" t="str">
        <f>VLOOKUP(D450,clientes!$C$3:$D$60,2,FALSE)</f>
        <v>BRF</v>
      </c>
      <c r="F450" s="73" t="s">
        <v>123</v>
      </c>
      <c r="G450" s="73" t="str">
        <f>VLOOKUP(F450,'[2]Lista de Produtos CLASSIFICAÇÃO'!$E$103:$F$114,2,FALSE)</f>
        <v>Aquecidos</v>
      </c>
      <c r="H450" s="74">
        <v>12000</v>
      </c>
    </row>
    <row r="451" spans="1:8" x14ac:dyDescent="0.25">
      <c r="A451" s="75">
        <v>2022</v>
      </c>
      <c r="B451" s="76" t="s">
        <v>211</v>
      </c>
      <c r="C451" s="77" t="s">
        <v>232</v>
      </c>
      <c r="D451" s="77" t="s">
        <v>165</v>
      </c>
      <c r="E451" s="73" t="str">
        <f>VLOOKUP(D451,clientes!$C$3:$D$60,2,FALSE)</f>
        <v>BRF</v>
      </c>
      <c r="F451" s="77" t="s">
        <v>123</v>
      </c>
      <c r="G451" s="73" t="str">
        <f>VLOOKUP(F451,'[2]Lista de Produtos CLASSIFICAÇÃO'!$E$103:$F$114,2,FALSE)</f>
        <v>Aquecidos</v>
      </c>
      <c r="H451" s="78">
        <v>12000</v>
      </c>
    </row>
    <row r="452" spans="1:8" x14ac:dyDescent="0.25">
      <c r="A452" s="71">
        <v>2022</v>
      </c>
      <c r="B452" s="72" t="s">
        <v>212</v>
      </c>
      <c r="C452" s="73" t="s">
        <v>232</v>
      </c>
      <c r="D452" s="73" t="s">
        <v>165</v>
      </c>
      <c r="E452" s="73" t="str">
        <f>VLOOKUP(D452,clientes!$C$3:$D$60,2,FALSE)</f>
        <v>BRF</v>
      </c>
      <c r="F452" s="73" t="s">
        <v>123</v>
      </c>
      <c r="G452" s="73" t="str">
        <f>VLOOKUP(F452,'[2]Lista de Produtos CLASSIFICAÇÃO'!$E$103:$F$114,2,FALSE)</f>
        <v>Aquecidos</v>
      </c>
      <c r="H452" s="74">
        <v>12000</v>
      </c>
    </row>
    <row r="453" spans="1:8" x14ac:dyDescent="0.25">
      <c r="A453" s="75">
        <v>2022</v>
      </c>
      <c r="B453" s="76" t="s">
        <v>213</v>
      </c>
      <c r="C453" s="77" t="s">
        <v>232</v>
      </c>
      <c r="D453" s="77" t="s">
        <v>165</v>
      </c>
      <c r="E453" s="73" t="str">
        <f>VLOOKUP(D453,clientes!$C$3:$D$60,2,FALSE)</f>
        <v>BRF</v>
      </c>
      <c r="F453" s="77" t="s">
        <v>123</v>
      </c>
      <c r="G453" s="73" t="str">
        <f>VLOOKUP(F453,'[2]Lista de Produtos CLASSIFICAÇÃO'!$E$103:$F$114,2,FALSE)</f>
        <v>Aquecidos</v>
      </c>
      <c r="H453" s="78">
        <v>12000</v>
      </c>
    </row>
    <row r="454" spans="1:8" x14ac:dyDescent="0.25">
      <c r="A454" s="71">
        <v>2022</v>
      </c>
      <c r="B454" s="72" t="s">
        <v>214</v>
      </c>
      <c r="C454" s="73" t="s">
        <v>232</v>
      </c>
      <c r="D454" s="73" t="s">
        <v>165</v>
      </c>
      <c r="E454" s="73" t="str">
        <f>VLOOKUP(D454,clientes!$C$3:$D$60,2,FALSE)</f>
        <v>BRF</v>
      </c>
      <c r="F454" s="73" t="s">
        <v>123</v>
      </c>
      <c r="G454" s="73" t="str">
        <f>VLOOKUP(F454,'[2]Lista de Produtos CLASSIFICAÇÃO'!$E$103:$F$114,2,FALSE)</f>
        <v>Aquecidos</v>
      </c>
      <c r="H454" s="74">
        <v>12000</v>
      </c>
    </row>
    <row r="455" spans="1:8" x14ac:dyDescent="0.25">
      <c r="A455" s="75">
        <v>2022</v>
      </c>
      <c r="B455" s="76" t="s">
        <v>215</v>
      </c>
      <c r="C455" s="77" t="s">
        <v>232</v>
      </c>
      <c r="D455" s="77" t="s">
        <v>165</v>
      </c>
      <c r="E455" s="73" t="str">
        <f>VLOOKUP(D455,clientes!$C$3:$D$60,2,FALSE)</f>
        <v>BRF</v>
      </c>
      <c r="F455" s="77" t="s">
        <v>123</v>
      </c>
      <c r="G455" s="73" t="str">
        <f>VLOOKUP(F455,'[2]Lista de Produtos CLASSIFICAÇÃO'!$E$103:$F$114,2,FALSE)</f>
        <v>Aquecidos</v>
      </c>
      <c r="H455" s="78">
        <v>12000</v>
      </c>
    </row>
    <row r="456" spans="1:8" x14ac:dyDescent="0.25">
      <c r="A456" s="71">
        <v>2022</v>
      </c>
      <c r="B456" s="72" t="s">
        <v>230</v>
      </c>
      <c r="C456" s="73" t="s">
        <v>232</v>
      </c>
      <c r="D456" s="73" t="s">
        <v>165</v>
      </c>
      <c r="E456" s="73" t="str">
        <f>VLOOKUP(D456,clientes!$C$3:$D$60,2,FALSE)</f>
        <v>BRF</v>
      </c>
      <c r="F456" s="73" t="s">
        <v>123</v>
      </c>
      <c r="G456" s="73" t="str">
        <f>VLOOKUP(F456,'[2]Lista de Produtos CLASSIFICAÇÃO'!$E$103:$F$114,2,FALSE)</f>
        <v>Aquecidos</v>
      </c>
      <c r="H456" s="74">
        <v>12000</v>
      </c>
    </row>
    <row r="457" spans="1:8" x14ac:dyDescent="0.25">
      <c r="A457" s="75">
        <v>2022</v>
      </c>
      <c r="B457" s="76" t="s">
        <v>231</v>
      </c>
      <c r="C457" s="77" t="s">
        <v>232</v>
      </c>
      <c r="D457" s="77" t="s">
        <v>165</v>
      </c>
      <c r="E457" s="73" t="str">
        <f>VLOOKUP(D457,clientes!$C$3:$D$60,2,FALSE)</f>
        <v>BRF</v>
      </c>
      <c r="F457" s="77" t="s">
        <v>123</v>
      </c>
      <c r="G457" s="73" t="str">
        <f>VLOOKUP(F457,'[2]Lista de Produtos CLASSIFICAÇÃO'!$E$103:$F$114,2,FALSE)</f>
        <v>Aquecidos</v>
      </c>
      <c r="H457" s="78">
        <v>12000</v>
      </c>
    </row>
    <row r="458" spans="1:8" x14ac:dyDescent="0.25">
      <c r="A458" s="71">
        <v>2022</v>
      </c>
      <c r="B458" s="72" t="s">
        <v>226</v>
      </c>
      <c r="C458" s="73" t="s">
        <v>225</v>
      </c>
      <c r="D458" s="73" t="s">
        <v>177</v>
      </c>
      <c r="E458" s="73" t="str">
        <f>VLOOKUP(D458,clientes!$C$3:$D$60,2,FALSE)</f>
        <v>BRENNTAG</v>
      </c>
      <c r="F458" s="73" t="s">
        <v>115</v>
      </c>
      <c r="G458" s="73" t="str">
        <f>VLOOKUP(F458,'[2]Lista de Produtos CLASSIFICAÇÃO'!$E$103:$F$114,2,FALSE)</f>
        <v>Soda Caustica</v>
      </c>
      <c r="H458" s="74">
        <v>4333</v>
      </c>
    </row>
    <row r="459" spans="1:8" x14ac:dyDescent="0.25">
      <c r="A459" s="75">
        <v>2022</v>
      </c>
      <c r="B459" s="76" t="s">
        <v>227</v>
      </c>
      <c r="C459" s="77" t="s">
        <v>225</v>
      </c>
      <c r="D459" s="77" t="s">
        <v>177</v>
      </c>
      <c r="E459" s="73" t="str">
        <f>VLOOKUP(D459,clientes!$C$3:$D$60,2,FALSE)</f>
        <v>BRENNTAG</v>
      </c>
      <c r="F459" s="77" t="s">
        <v>115</v>
      </c>
      <c r="G459" s="73" t="str">
        <f>VLOOKUP(F459,'[2]Lista de Produtos CLASSIFICAÇÃO'!$E$103:$F$114,2,FALSE)</f>
        <v>Soda Caustica</v>
      </c>
      <c r="H459" s="78">
        <v>4333</v>
      </c>
    </row>
    <row r="460" spans="1:8" x14ac:dyDescent="0.25">
      <c r="A460" s="71">
        <v>2022</v>
      </c>
      <c r="B460" s="72" t="s">
        <v>228</v>
      </c>
      <c r="C460" s="73" t="s">
        <v>225</v>
      </c>
      <c r="D460" s="73" t="s">
        <v>177</v>
      </c>
      <c r="E460" s="73" t="str">
        <f>VLOOKUP(D460,clientes!$C$3:$D$60,2,FALSE)</f>
        <v>BRENNTAG</v>
      </c>
      <c r="F460" s="73" t="s">
        <v>115</v>
      </c>
      <c r="G460" s="73" t="str">
        <f>VLOOKUP(F460,'[2]Lista de Produtos CLASSIFICAÇÃO'!$E$103:$F$114,2,FALSE)</f>
        <v>Soda Caustica</v>
      </c>
      <c r="H460" s="74">
        <v>4333</v>
      </c>
    </row>
    <row r="461" spans="1:8" x14ac:dyDescent="0.25">
      <c r="A461" s="75">
        <v>2022</v>
      </c>
      <c r="B461" s="76" t="s">
        <v>229</v>
      </c>
      <c r="C461" s="77" t="s">
        <v>225</v>
      </c>
      <c r="D461" s="77" t="s">
        <v>177</v>
      </c>
      <c r="E461" s="73" t="str">
        <f>VLOOKUP(D461,clientes!$C$3:$D$60,2,FALSE)</f>
        <v>BRENNTAG</v>
      </c>
      <c r="F461" s="77" t="s">
        <v>115</v>
      </c>
      <c r="G461" s="73" t="str">
        <f>VLOOKUP(F461,'[2]Lista de Produtos CLASSIFICAÇÃO'!$E$103:$F$114,2,FALSE)</f>
        <v>Soda Caustica</v>
      </c>
      <c r="H461" s="78">
        <v>4333</v>
      </c>
    </row>
    <row r="462" spans="1:8" x14ac:dyDescent="0.25">
      <c r="A462" s="71">
        <v>2022</v>
      </c>
      <c r="B462" s="72" t="s">
        <v>210</v>
      </c>
      <c r="C462" s="73" t="s">
        <v>225</v>
      </c>
      <c r="D462" s="73" t="s">
        <v>177</v>
      </c>
      <c r="E462" s="73" t="str">
        <f>VLOOKUP(D462,clientes!$C$3:$D$60,2,FALSE)</f>
        <v>BRENNTAG</v>
      </c>
      <c r="F462" s="73" t="s">
        <v>115</v>
      </c>
      <c r="G462" s="73" t="str">
        <f>VLOOKUP(F462,'[2]Lista de Produtos CLASSIFICAÇÃO'!$E$103:$F$114,2,FALSE)</f>
        <v>Soda Caustica</v>
      </c>
      <c r="H462" s="74">
        <v>4333</v>
      </c>
    </row>
    <row r="463" spans="1:8" x14ac:dyDescent="0.25">
      <c r="A463" s="75">
        <v>2022</v>
      </c>
      <c r="B463" s="76" t="s">
        <v>211</v>
      </c>
      <c r="C463" s="77" t="s">
        <v>225</v>
      </c>
      <c r="D463" s="77" t="s">
        <v>177</v>
      </c>
      <c r="E463" s="73" t="str">
        <f>VLOOKUP(D463,clientes!$C$3:$D$60,2,FALSE)</f>
        <v>BRENNTAG</v>
      </c>
      <c r="F463" s="77" t="s">
        <v>115</v>
      </c>
      <c r="G463" s="73" t="str">
        <f>VLOOKUP(F463,'[2]Lista de Produtos CLASSIFICAÇÃO'!$E$103:$F$114,2,FALSE)</f>
        <v>Soda Caustica</v>
      </c>
      <c r="H463" s="78">
        <v>4333</v>
      </c>
    </row>
    <row r="464" spans="1:8" x14ac:dyDescent="0.25">
      <c r="A464" s="71">
        <v>2022</v>
      </c>
      <c r="B464" s="72" t="s">
        <v>212</v>
      </c>
      <c r="C464" s="73" t="s">
        <v>225</v>
      </c>
      <c r="D464" s="73" t="s">
        <v>177</v>
      </c>
      <c r="E464" s="73" t="str">
        <f>VLOOKUP(D464,clientes!$C$3:$D$60,2,FALSE)</f>
        <v>BRENNTAG</v>
      </c>
      <c r="F464" s="73" t="s">
        <v>115</v>
      </c>
      <c r="G464" s="73" t="str">
        <f>VLOOKUP(F464,'[2]Lista de Produtos CLASSIFICAÇÃO'!$E$103:$F$114,2,FALSE)</f>
        <v>Soda Caustica</v>
      </c>
      <c r="H464" s="74">
        <v>4333</v>
      </c>
    </row>
    <row r="465" spans="1:8" x14ac:dyDescent="0.25">
      <c r="A465" s="75">
        <v>2022</v>
      </c>
      <c r="B465" s="76" t="s">
        <v>213</v>
      </c>
      <c r="C465" s="77" t="s">
        <v>225</v>
      </c>
      <c r="D465" s="77" t="s">
        <v>177</v>
      </c>
      <c r="E465" s="73" t="str">
        <f>VLOOKUP(D465,clientes!$C$3:$D$60,2,FALSE)</f>
        <v>BRENNTAG</v>
      </c>
      <c r="F465" s="77" t="s">
        <v>115</v>
      </c>
      <c r="G465" s="73" t="str">
        <f>VLOOKUP(F465,'[2]Lista de Produtos CLASSIFICAÇÃO'!$E$103:$F$114,2,FALSE)</f>
        <v>Soda Caustica</v>
      </c>
      <c r="H465" s="78">
        <v>4333</v>
      </c>
    </row>
    <row r="466" spans="1:8" x14ac:dyDescent="0.25">
      <c r="A466" s="71">
        <v>2022</v>
      </c>
      <c r="B466" s="72" t="s">
        <v>214</v>
      </c>
      <c r="C466" s="73" t="s">
        <v>225</v>
      </c>
      <c r="D466" s="73" t="s">
        <v>177</v>
      </c>
      <c r="E466" s="73" t="str">
        <f>VLOOKUP(D466,clientes!$C$3:$D$60,2,FALSE)</f>
        <v>BRENNTAG</v>
      </c>
      <c r="F466" s="73" t="s">
        <v>115</v>
      </c>
      <c r="G466" s="73" t="str">
        <f>VLOOKUP(F466,'[2]Lista de Produtos CLASSIFICAÇÃO'!$E$103:$F$114,2,FALSE)</f>
        <v>Soda Caustica</v>
      </c>
      <c r="H466" s="74">
        <v>4333</v>
      </c>
    </row>
    <row r="467" spans="1:8" x14ac:dyDescent="0.25">
      <c r="A467" s="75">
        <v>2022</v>
      </c>
      <c r="B467" s="76" t="s">
        <v>215</v>
      </c>
      <c r="C467" s="77" t="s">
        <v>225</v>
      </c>
      <c r="D467" s="77" t="s">
        <v>177</v>
      </c>
      <c r="E467" s="73" t="str">
        <f>VLOOKUP(D467,clientes!$C$3:$D$60,2,FALSE)</f>
        <v>BRENNTAG</v>
      </c>
      <c r="F467" s="77" t="s">
        <v>115</v>
      </c>
      <c r="G467" s="73" t="str">
        <f>VLOOKUP(F467,'[2]Lista de Produtos CLASSIFICAÇÃO'!$E$103:$F$114,2,FALSE)</f>
        <v>Soda Caustica</v>
      </c>
      <c r="H467" s="78">
        <v>4333</v>
      </c>
    </row>
    <row r="468" spans="1:8" x14ac:dyDescent="0.25">
      <c r="A468" s="71">
        <v>2022</v>
      </c>
      <c r="B468" s="72" t="s">
        <v>230</v>
      </c>
      <c r="C468" s="73" t="s">
        <v>225</v>
      </c>
      <c r="D468" s="73" t="s">
        <v>177</v>
      </c>
      <c r="E468" s="73" t="str">
        <f>VLOOKUP(D468,clientes!$C$3:$D$60,2,FALSE)</f>
        <v>BRENNTAG</v>
      </c>
      <c r="F468" s="73" t="s">
        <v>115</v>
      </c>
      <c r="G468" s="73" t="str">
        <f>VLOOKUP(F468,'[2]Lista de Produtos CLASSIFICAÇÃO'!$E$103:$F$114,2,FALSE)</f>
        <v>Soda Caustica</v>
      </c>
      <c r="H468" s="74">
        <v>4333</v>
      </c>
    </row>
    <row r="469" spans="1:8" x14ac:dyDescent="0.25">
      <c r="A469" s="75">
        <v>2022</v>
      </c>
      <c r="B469" s="76" t="s">
        <v>231</v>
      </c>
      <c r="C469" s="77" t="s">
        <v>225</v>
      </c>
      <c r="D469" s="77" t="s">
        <v>177</v>
      </c>
      <c r="E469" s="73" t="str">
        <f>VLOOKUP(D469,clientes!$C$3:$D$60,2,FALSE)</f>
        <v>BRENNTAG</v>
      </c>
      <c r="F469" s="77" t="s">
        <v>115</v>
      </c>
      <c r="G469" s="73" t="str">
        <f>VLOOKUP(F469,'[2]Lista de Produtos CLASSIFICAÇÃO'!$E$103:$F$114,2,FALSE)</f>
        <v>Soda Caustica</v>
      </c>
      <c r="H469" s="78">
        <v>4333</v>
      </c>
    </row>
    <row r="470" spans="1:8" x14ac:dyDescent="0.25">
      <c r="A470" s="71">
        <v>2022</v>
      </c>
      <c r="B470" s="72" t="s">
        <v>226</v>
      </c>
      <c r="C470" s="73" t="s">
        <v>232</v>
      </c>
      <c r="D470" s="73" t="s">
        <v>166</v>
      </c>
      <c r="E470" s="73" t="str">
        <f>VLOOKUP(D470,clientes!$C$3:$D$60,2,FALSE)</f>
        <v>CARGILL</v>
      </c>
      <c r="F470" s="73" t="s">
        <v>123</v>
      </c>
      <c r="G470" s="73" t="str">
        <f>VLOOKUP(F470,'[2]Lista de Produtos CLASSIFICAÇÃO'!$E$103:$F$114,2,FALSE)</f>
        <v>Aquecidos</v>
      </c>
      <c r="H470" s="74">
        <v>8367</v>
      </c>
    </row>
    <row r="471" spans="1:8" x14ac:dyDescent="0.25">
      <c r="A471" s="75">
        <v>2022</v>
      </c>
      <c r="B471" s="76" t="s">
        <v>227</v>
      </c>
      <c r="C471" s="77" t="s">
        <v>232</v>
      </c>
      <c r="D471" s="77" t="s">
        <v>166</v>
      </c>
      <c r="E471" s="73" t="str">
        <f>VLOOKUP(D471,clientes!$C$3:$D$60,2,FALSE)</f>
        <v>CARGILL</v>
      </c>
      <c r="F471" s="77" t="s">
        <v>123</v>
      </c>
      <c r="G471" s="73" t="str">
        <f>VLOOKUP(F471,'[2]Lista de Produtos CLASSIFICAÇÃO'!$E$103:$F$114,2,FALSE)</f>
        <v>Aquecidos</v>
      </c>
      <c r="H471" s="78">
        <v>8367</v>
      </c>
    </row>
    <row r="472" spans="1:8" x14ac:dyDescent="0.25">
      <c r="A472" s="71">
        <v>2022</v>
      </c>
      <c r="B472" s="72" t="s">
        <v>228</v>
      </c>
      <c r="C472" s="73" t="s">
        <v>232</v>
      </c>
      <c r="D472" s="73" t="s">
        <v>166</v>
      </c>
      <c r="E472" s="73" t="str">
        <f>VLOOKUP(D472,clientes!$C$3:$D$60,2,FALSE)</f>
        <v>CARGILL</v>
      </c>
      <c r="F472" s="73" t="s">
        <v>123</v>
      </c>
      <c r="G472" s="73" t="str">
        <f>VLOOKUP(F472,'[2]Lista de Produtos CLASSIFICAÇÃO'!$E$103:$F$114,2,FALSE)</f>
        <v>Aquecidos</v>
      </c>
      <c r="H472" s="74">
        <v>8367</v>
      </c>
    </row>
    <row r="473" spans="1:8" x14ac:dyDescent="0.25">
      <c r="A473" s="75">
        <v>2022</v>
      </c>
      <c r="B473" s="76" t="s">
        <v>229</v>
      </c>
      <c r="C473" s="77" t="s">
        <v>232</v>
      </c>
      <c r="D473" s="77" t="s">
        <v>166</v>
      </c>
      <c r="E473" s="73" t="str">
        <f>VLOOKUP(D473,clientes!$C$3:$D$60,2,FALSE)</f>
        <v>CARGILL</v>
      </c>
      <c r="F473" s="77" t="s">
        <v>123</v>
      </c>
      <c r="G473" s="73" t="str">
        <f>VLOOKUP(F473,'[2]Lista de Produtos CLASSIFICAÇÃO'!$E$103:$F$114,2,FALSE)</f>
        <v>Aquecidos</v>
      </c>
      <c r="H473" s="78">
        <v>8367</v>
      </c>
    </row>
    <row r="474" spans="1:8" x14ac:dyDescent="0.25">
      <c r="A474" s="71">
        <v>2022</v>
      </c>
      <c r="B474" s="72" t="s">
        <v>210</v>
      </c>
      <c r="C474" s="73" t="s">
        <v>232</v>
      </c>
      <c r="D474" s="73" t="s">
        <v>166</v>
      </c>
      <c r="E474" s="73" t="str">
        <f>VLOOKUP(D474,clientes!$C$3:$D$60,2,FALSE)</f>
        <v>CARGILL</v>
      </c>
      <c r="F474" s="73" t="s">
        <v>123</v>
      </c>
      <c r="G474" s="73" t="str">
        <f>VLOOKUP(F474,'[2]Lista de Produtos CLASSIFICAÇÃO'!$E$103:$F$114,2,FALSE)</f>
        <v>Aquecidos</v>
      </c>
      <c r="H474" s="74">
        <v>8367</v>
      </c>
    </row>
    <row r="475" spans="1:8" x14ac:dyDescent="0.25">
      <c r="A475" s="75">
        <v>2022</v>
      </c>
      <c r="B475" s="76" t="s">
        <v>211</v>
      </c>
      <c r="C475" s="77" t="s">
        <v>232</v>
      </c>
      <c r="D475" s="77" t="s">
        <v>166</v>
      </c>
      <c r="E475" s="73" t="str">
        <f>VLOOKUP(D475,clientes!$C$3:$D$60,2,FALSE)</f>
        <v>CARGILL</v>
      </c>
      <c r="F475" s="77" t="s">
        <v>123</v>
      </c>
      <c r="G475" s="73" t="str">
        <f>VLOOKUP(F475,'[2]Lista de Produtos CLASSIFICAÇÃO'!$E$103:$F$114,2,FALSE)</f>
        <v>Aquecidos</v>
      </c>
      <c r="H475" s="78">
        <v>8367</v>
      </c>
    </row>
    <row r="476" spans="1:8" x14ac:dyDescent="0.25">
      <c r="A476" s="71">
        <v>2022</v>
      </c>
      <c r="B476" s="72" t="s">
        <v>212</v>
      </c>
      <c r="C476" s="73" t="s">
        <v>232</v>
      </c>
      <c r="D476" s="73" t="s">
        <v>166</v>
      </c>
      <c r="E476" s="73" t="str">
        <f>VLOOKUP(D476,clientes!$C$3:$D$60,2,FALSE)</f>
        <v>CARGILL</v>
      </c>
      <c r="F476" s="73" t="s">
        <v>123</v>
      </c>
      <c r="G476" s="73" t="str">
        <f>VLOOKUP(F476,'[2]Lista de Produtos CLASSIFICAÇÃO'!$E$103:$F$114,2,FALSE)</f>
        <v>Aquecidos</v>
      </c>
      <c r="H476" s="74">
        <v>8367</v>
      </c>
    </row>
    <row r="477" spans="1:8" x14ac:dyDescent="0.25">
      <c r="A477" s="75">
        <v>2022</v>
      </c>
      <c r="B477" s="76" t="s">
        <v>213</v>
      </c>
      <c r="C477" s="77" t="s">
        <v>232</v>
      </c>
      <c r="D477" s="77" t="s">
        <v>166</v>
      </c>
      <c r="E477" s="73" t="str">
        <f>VLOOKUP(D477,clientes!$C$3:$D$60,2,FALSE)</f>
        <v>CARGILL</v>
      </c>
      <c r="F477" s="77" t="s">
        <v>123</v>
      </c>
      <c r="G477" s="73" t="str">
        <f>VLOOKUP(F477,'[2]Lista de Produtos CLASSIFICAÇÃO'!$E$103:$F$114,2,FALSE)</f>
        <v>Aquecidos</v>
      </c>
      <c r="H477" s="78">
        <v>8367</v>
      </c>
    </row>
    <row r="478" spans="1:8" x14ac:dyDescent="0.25">
      <c r="A478" s="71">
        <v>2022</v>
      </c>
      <c r="B478" s="72" t="s">
        <v>214</v>
      </c>
      <c r="C478" s="73" t="s">
        <v>232</v>
      </c>
      <c r="D478" s="73" t="s">
        <v>166</v>
      </c>
      <c r="E478" s="73" t="str">
        <f>VLOOKUP(D478,clientes!$C$3:$D$60,2,FALSE)</f>
        <v>CARGILL</v>
      </c>
      <c r="F478" s="73" t="s">
        <v>123</v>
      </c>
      <c r="G478" s="73" t="str">
        <f>VLOOKUP(F478,'[2]Lista de Produtos CLASSIFICAÇÃO'!$E$103:$F$114,2,FALSE)</f>
        <v>Aquecidos</v>
      </c>
      <c r="H478" s="74">
        <v>8367</v>
      </c>
    </row>
    <row r="479" spans="1:8" x14ac:dyDescent="0.25">
      <c r="A479" s="75">
        <v>2022</v>
      </c>
      <c r="B479" s="76" t="s">
        <v>215</v>
      </c>
      <c r="C479" s="77" t="s">
        <v>232</v>
      </c>
      <c r="D479" s="77" t="s">
        <v>166</v>
      </c>
      <c r="E479" s="73" t="str">
        <f>VLOOKUP(D479,clientes!$C$3:$D$60,2,FALSE)</f>
        <v>CARGILL</v>
      </c>
      <c r="F479" s="77" t="s">
        <v>123</v>
      </c>
      <c r="G479" s="73" t="str">
        <f>VLOOKUP(F479,'[2]Lista de Produtos CLASSIFICAÇÃO'!$E$103:$F$114,2,FALSE)</f>
        <v>Aquecidos</v>
      </c>
      <c r="H479" s="78">
        <v>8367</v>
      </c>
    </row>
    <row r="480" spans="1:8" x14ac:dyDescent="0.25">
      <c r="A480" s="71">
        <v>2022</v>
      </c>
      <c r="B480" s="72" t="s">
        <v>230</v>
      </c>
      <c r="C480" s="73" t="s">
        <v>232</v>
      </c>
      <c r="D480" s="73" t="s">
        <v>166</v>
      </c>
      <c r="E480" s="73" t="str">
        <f>VLOOKUP(D480,clientes!$C$3:$D$60,2,FALSE)</f>
        <v>CARGILL</v>
      </c>
      <c r="F480" s="73" t="s">
        <v>123</v>
      </c>
      <c r="G480" s="73" t="str">
        <f>VLOOKUP(F480,'[2]Lista de Produtos CLASSIFICAÇÃO'!$E$103:$F$114,2,FALSE)</f>
        <v>Aquecidos</v>
      </c>
      <c r="H480" s="74">
        <v>8367</v>
      </c>
    </row>
    <row r="481" spans="1:8" x14ac:dyDescent="0.25">
      <c r="A481" s="75">
        <v>2022</v>
      </c>
      <c r="B481" s="76" t="s">
        <v>231</v>
      </c>
      <c r="C481" s="77" t="s">
        <v>232</v>
      </c>
      <c r="D481" s="77" t="s">
        <v>166</v>
      </c>
      <c r="E481" s="73" t="str">
        <f>VLOOKUP(D481,clientes!$C$3:$D$60,2,FALSE)</f>
        <v>CARGILL</v>
      </c>
      <c r="F481" s="77" t="s">
        <v>123</v>
      </c>
      <c r="G481" s="73" t="str">
        <f>VLOOKUP(F481,'[2]Lista de Produtos CLASSIFICAÇÃO'!$E$103:$F$114,2,FALSE)</f>
        <v>Aquecidos</v>
      </c>
      <c r="H481" s="78">
        <v>8367</v>
      </c>
    </row>
    <row r="482" spans="1:8" x14ac:dyDescent="0.25">
      <c r="A482" s="71">
        <v>2022</v>
      </c>
      <c r="B482" s="72" t="s">
        <v>226</v>
      </c>
      <c r="C482" s="73" t="s">
        <v>232</v>
      </c>
      <c r="D482" s="73" t="s">
        <v>166</v>
      </c>
      <c r="E482" s="73" t="str">
        <f>VLOOKUP(D482,clientes!$C$3:$D$60,2,FALSE)</f>
        <v>CARGILL</v>
      </c>
      <c r="F482" s="73" t="s">
        <v>122</v>
      </c>
      <c r="G482" s="73" t="str">
        <f>VLOOKUP(F482,'[2]Lista de Produtos CLASSIFICAÇÃO'!$E$103:$F$114,2,FALSE)</f>
        <v>Óleo Vegetal</v>
      </c>
      <c r="H482" s="74">
        <v>5520</v>
      </c>
    </row>
    <row r="483" spans="1:8" x14ac:dyDescent="0.25">
      <c r="A483" s="75">
        <v>2022</v>
      </c>
      <c r="B483" s="76" t="s">
        <v>227</v>
      </c>
      <c r="C483" s="77" t="s">
        <v>232</v>
      </c>
      <c r="D483" s="77" t="s">
        <v>166</v>
      </c>
      <c r="E483" s="73" t="str">
        <f>VLOOKUP(D483,clientes!$C$3:$D$60,2,FALSE)</f>
        <v>CARGILL</v>
      </c>
      <c r="F483" s="77" t="s">
        <v>122</v>
      </c>
      <c r="G483" s="73" t="str">
        <f>VLOOKUP(F483,'[2]Lista de Produtos CLASSIFICAÇÃO'!$E$103:$F$114,2,FALSE)</f>
        <v>Óleo Vegetal</v>
      </c>
      <c r="H483" s="78">
        <v>5520</v>
      </c>
    </row>
    <row r="484" spans="1:8" x14ac:dyDescent="0.25">
      <c r="A484" s="71">
        <v>2022</v>
      </c>
      <c r="B484" s="72" t="s">
        <v>228</v>
      </c>
      <c r="C484" s="73" t="s">
        <v>232</v>
      </c>
      <c r="D484" s="73" t="s">
        <v>166</v>
      </c>
      <c r="E484" s="73" t="str">
        <f>VLOOKUP(D484,clientes!$C$3:$D$60,2,FALSE)</f>
        <v>CARGILL</v>
      </c>
      <c r="F484" s="73" t="s">
        <v>122</v>
      </c>
      <c r="G484" s="73" t="str">
        <f>VLOOKUP(F484,'[2]Lista de Produtos CLASSIFICAÇÃO'!$E$103:$F$114,2,FALSE)</f>
        <v>Óleo Vegetal</v>
      </c>
      <c r="H484" s="74">
        <v>5520</v>
      </c>
    </row>
    <row r="485" spans="1:8" x14ac:dyDescent="0.25">
      <c r="A485" s="75">
        <v>2022</v>
      </c>
      <c r="B485" s="76" t="s">
        <v>229</v>
      </c>
      <c r="C485" s="77" t="s">
        <v>232</v>
      </c>
      <c r="D485" s="77" t="s">
        <v>166</v>
      </c>
      <c r="E485" s="73" t="str">
        <f>VLOOKUP(D485,clientes!$C$3:$D$60,2,FALSE)</f>
        <v>CARGILL</v>
      </c>
      <c r="F485" s="77" t="s">
        <v>122</v>
      </c>
      <c r="G485" s="73" t="str">
        <f>VLOOKUP(F485,'[2]Lista de Produtos CLASSIFICAÇÃO'!$E$103:$F$114,2,FALSE)</f>
        <v>Óleo Vegetal</v>
      </c>
      <c r="H485" s="78">
        <v>5520</v>
      </c>
    </row>
    <row r="486" spans="1:8" x14ac:dyDescent="0.25">
      <c r="A486" s="71">
        <v>2022</v>
      </c>
      <c r="B486" s="72" t="s">
        <v>210</v>
      </c>
      <c r="C486" s="73" t="s">
        <v>232</v>
      </c>
      <c r="D486" s="73" t="s">
        <v>166</v>
      </c>
      <c r="E486" s="73" t="str">
        <f>VLOOKUP(D486,clientes!$C$3:$D$60,2,FALSE)</f>
        <v>CARGILL</v>
      </c>
      <c r="F486" s="73" t="s">
        <v>122</v>
      </c>
      <c r="G486" s="73" t="str">
        <f>VLOOKUP(F486,'[2]Lista de Produtos CLASSIFICAÇÃO'!$E$103:$F$114,2,FALSE)</f>
        <v>Óleo Vegetal</v>
      </c>
      <c r="H486" s="74">
        <v>5520</v>
      </c>
    </row>
    <row r="487" spans="1:8" x14ac:dyDescent="0.25">
      <c r="A487" s="75">
        <v>2022</v>
      </c>
      <c r="B487" s="76" t="s">
        <v>211</v>
      </c>
      <c r="C487" s="77" t="s">
        <v>232</v>
      </c>
      <c r="D487" s="77" t="s">
        <v>166</v>
      </c>
      <c r="E487" s="73" t="str">
        <f>VLOOKUP(D487,clientes!$C$3:$D$60,2,FALSE)</f>
        <v>CARGILL</v>
      </c>
      <c r="F487" s="77" t="s">
        <v>122</v>
      </c>
      <c r="G487" s="73" t="str">
        <f>VLOOKUP(F487,'[2]Lista de Produtos CLASSIFICAÇÃO'!$E$103:$F$114,2,FALSE)</f>
        <v>Óleo Vegetal</v>
      </c>
      <c r="H487" s="78">
        <v>5520</v>
      </c>
    </row>
    <row r="488" spans="1:8" x14ac:dyDescent="0.25">
      <c r="A488" s="71">
        <v>2022</v>
      </c>
      <c r="B488" s="72" t="s">
        <v>212</v>
      </c>
      <c r="C488" s="73" t="s">
        <v>232</v>
      </c>
      <c r="D488" s="73" t="s">
        <v>166</v>
      </c>
      <c r="E488" s="73" t="str">
        <f>VLOOKUP(D488,clientes!$C$3:$D$60,2,FALSE)</f>
        <v>CARGILL</v>
      </c>
      <c r="F488" s="73" t="s">
        <v>122</v>
      </c>
      <c r="G488" s="73" t="str">
        <f>VLOOKUP(F488,'[2]Lista de Produtos CLASSIFICAÇÃO'!$E$103:$F$114,2,FALSE)</f>
        <v>Óleo Vegetal</v>
      </c>
      <c r="H488" s="74">
        <v>5520</v>
      </c>
    </row>
    <row r="489" spans="1:8" x14ac:dyDescent="0.25">
      <c r="A489" s="75">
        <v>2022</v>
      </c>
      <c r="B489" s="76" t="s">
        <v>213</v>
      </c>
      <c r="C489" s="77" t="s">
        <v>232</v>
      </c>
      <c r="D489" s="77" t="s">
        <v>166</v>
      </c>
      <c r="E489" s="73" t="str">
        <f>VLOOKUP(D489,clientes!$C$3:$D$60,2,FALSE)</f>
        <v>CARGILL</v>
      </c>
      <c r="F489" s="77" t="s">
        <v>122</v>
      </c>
      <c r="G489" s="73" t="str">
        <f>VLOOKUP(F489,'[2]Lista de Produtos CLASSIFICAÇÃO'!$E$103:$F$114,2,FALSE)</f>
        <v>Óleo Vegetal</v>
      </c>
      <c r="H489" s="78">
        <v>5520</v>
      </c>
    </row>
    <row r="490" spans="1:8" x14ac:dyDescent="0.25">
      <c r="A490" s="71">
        <v>2022</v>
      </c>
      <c r="B490" s="72" t="s">
        <v>214</v>
      </c>
      <c r="C490" s="73" t="s">
        <v>232</v>
      </c>
      <c r="D490" s="73" t="s">
        <v>166</v>
      </c>
      <c r="E490" s="73" t="str">
        <f>VLOOKUP(D490,clientes!$C$3:$D$60,2,FALSE)</f>
        <v>CARGILL</v>
      </c>
      <c r="F490" s="73" t="s">
        <v>122</v>
      </c>
      <c r="G490" s="73" t="str">
        <f>VLOOKUP(F490,'[2]Lista de Produtos CLASSIFICAÇÃO'!$E$103:$F$114,2,FALSE)</f>
        <v>Óleo Vegetal</v>
      </c>
      <c r="H490" s="74">
        <v>5520</v>
      </c>
    </row>
    <row r="491" spans="1:8" x14ac:dyDescent="0.25">
      <c r="A491" s="75">
        <v>2022</v>
      </c>
      <c r="B491" s="76" t="s">
        <v>215</v>
      </c>
      <c r="C491" s="77" t="s">
        <v>232</v>
      </c>
      <c r="D491" s="77" t="s">
        <v>166</v>
      </c>
      <c r="E491" s="73" t="str">
        <f>VLOOKUP(D491,clientes!$C$3:$D$60,2,FALSE)</f>
        <v>CARGILL</v>
      </c>
      <c r="F491" s="77" t="s">
        <v>122</v>
      </c>
      <c r="G491" s="73" t="str">
        <f>VLOOKUP(F491,'[2]Lista de Produtos CLASSIFICAÇÃO'!$E$103:$F$114,2,FALSE)</f>
        <v>Óleo Vegetal</v>
      </c>
      <c r="H491" s="78">
        <v>5520</v>
      </c>
    </row>
    <row r="492" spans="1:8" x14ac:dyDescent="0.25">
      <c r="A492" s="71">
        <v>2022</v>
      </c>
      <c r="B492" s="72" t="s">
        <v>230</v>
      </c>
      <c r="C492" s="73" t="s">
        <v>232</v>
      </c>
      <c r="D492" s="73" t="s">
        <v>166</v>
      </c>
      <c r="E492" s="73" t="str">
        <f>VLOOKUP(D492,clientes!$C$3:$D$60,2,FALSE)</f>
        <v>CARGILL</v>
      </c>
      <c r="F492" s="73" t="s">
        <v>122</v>
      </c>
      <c r="G492" s="73" t="str">
        <f>VLOOKUP(F492,'[2]Lista de Produtos CLASSIFICAÇÃO'!$E$103:$F$114,2,FALSE)</f>
        <v>Óleo Vegetal</v>
      </c>
      <c r="H492" s="74">
        <v>5520</v>
      </c>
    </row>
    <row r="493" spans="1:8" x14ac:dyDescent="0.25">
      <c r="A493" s="75">
        <v>2022</v>
      </c>
      <c r="B493" s="76" t="s">
        <v>231</v>
      </c>
      <c r="C493" s="77" t="s">
        <v>232</v>
      </c>
      <c r="D493" s="77" t="s">
        <v>166</v>
      </c>
      <c r="E493" s="73" t="str">
        <f>VLOOKUP(D493,clientes!$C$3:$D$60,2,FALSE)</f>
        <v>CARGILL</v>
      </c>
      <c r="F493" s="77" t="s">
        <v>122</v>
      </c>
      <c r="G493" s="73" t="str">
        <f>VLOOKUP(F493,'[2]Lista de Produtos CLASSIFICAÇÃO'!$E$103:$F$114,2,FALSE)</f>
        <v>Óleo Vegetal</v>
      </c>
      <c r="H493" s="78">
        <v>5520</v>
      </c>
    </row>
    <row r="494" spans="1:8" x14ac:dyDescent="0.25">
      <c r="A494" s="71">
        <v>2022</v>
      </c>
      <c r="B494" s="72" t="s">
        <v>226</v>
      </c>
      <c r="C494" s="73" t="s">
        <v>232</v>
      </c>
      <c r="D494" s="73" t="s">
        <v>174</v>
      </c>
      <c r="E494" s="73" t="str">
        <f>VLOOKUP(D494,clientes!$C$3:$D$60,2,FALSE)</f>
        <v>CELENA</v>
      </c>
      <c r="F494" s="73" t="s">
        <v>123</v>
      </c>
      <c r="G494" s="73" t="str">
        <f>VLOOKUP(F494,'[2]Lista de Produtos CLASSIFICAÇÃO'!$E$103:$F$114,2,FALSE)</f>
        <v>Aquecidos</v>
      </c>
      <c r="H494" s="74">
        <v>12000</v>
      </c>
    </row>
    <row r="495" spans="1:8" x14ac:dyDescent="0.25">
      <c r="A495" s="75">
        <v>2022</v>
      </c>
      <c r="B495" s="76" t="s">
        <v>227</v>
      </c>
      <c r="C495" s="77" t="s">
        <v>232</v>
      </c>
      <c r="D495" s="77" t="s">
        <v>174</v>
      </c>
      <c r="E495" s="73" t="str">
        <f>VLOOKUP(D495,clientes!$C$3:$D$60,2,FALSE)</f>
        <v>CELENA</v>
      </c>
      <c r="F495" s="77" t="s">
        <v>123</v>
      </c>
      <c r="G495" s="73" t="str">
        <f>VLOOKUP(F495,'[2]Lista de Produtos CLASSIFICAÇÃO'!$E$103:$F$114,2,FALSE)</f>
        <v>Aquecidos</v>
      </c>
      <c r="H495" s="78">
        <v>12000</v>
      </c>
    </row>
    <row r="496" spans="1:8" x14ac:dyDescent="0.25">
      <c r="A496" s="71">
        <v>2022</v>
      </c>
      <c r="B496" s="72" t="s">
        <v>228</v>
      </c>
      <c r="C496" s="73" t="s">
        <v>232</v>
      </c>
      <c r="D496" s="73" t="s">
        <v>174</v>
      </c>
      <c r="E496" s="73" t="str">
        <f>VLOOKUP(D496,clientes!$C$3:$D$60,2,FALSE)</f>
        <v>CELENA</v>
      </c>
      <c r="F496" s="73" t="s">
        <v>123</v>
      </c>
      <c r="G496" s="73" t="str">
        <f>VLOOKUP(F496,'[2]Lista de Produtos CLASSIFICAÇÃO'!$E$103:$F$114,2,FALSE)</f>
        <v>Aquecidos</v>
      </c>
      <c r="H496" s="74">
        <v>12000</v>
      </c>
    </row>
    <row r="497" spans="1:8" x14ac:dyDescent="0.25">
      <c r="A497" s="75">
        <v>2022</v>
      </c>
      <c r="B497" s="76" t="s">
        <v>229</v>
      </c>
      <c r="C497" s="77" t="s">
        <v>232</v>
      </c>
      <c r="D497" s="77" t="s">
        <v>174</v>
      </c>
      <c r="E497" s="73" t="str">
        <f>VLOOKUP(D497,clientes!$C$3:$D$60,2,FALSE)</f>
        <v>CELENA</v>
      </c>
      <c r="F497" s="77" t="s">
        <v>123</v>
      </c>
      <c r="G497" s="73" t="str">
        <f>VLOOKUP(F497,'[2]Lista de Produtos CLASSIFICAÇÃO'!$E$103:$F$114,2,FALSE)</f>
        <v>Aquecidos</v>
      </c>
      <c r="H497" s="78">
        <v>12000</v>
      </c>
    </row>
    <row r="498" spans="1:8" x14ac:dyDescent="0.25">
      <c r="A498" s="71">
        <v>2022</v>
      </c>
      <c r="B498" s="72" t="s">
        <v>210</v>
      </c>
      <c r="C498" s="73" t="s">
        <v>232</v>
      </c>
      <c r="D498" s="73" t="s">
        <v>174</v>
      </c>
      <c r="E498" s="73" t="str">
        <f>VLOOKUP(D498,clientes!$C$3:$D$60,2,FALSE)</f>
        <v>CELENA</v>
      </c>
      <c r="F498" s="73" t="s">
        <v>123</v>
      </c>
      <c r="G498" s="73" t="str">
        <f>VLOOKUP(F498,'[2]Lista de Produtos CLASSIFICAÇÃO'!$E$103:$F$114,2,FALSE)</f>
        <v>Aquecidos</v>
      </c>
      <c r="H498" s="74">
        <v>12000</v>
      </c>
    </row>
    <row r="499" spans="1:8" x14ac:dyDescent="0.25">
      <c r="A499" s="75">
        <v>2022</v>
      </c>
      <c r="B499" s="76" t="s">
        <v>211</v>
      </c>
      <c r="C499" s="77" t="s">
        <v>232</v>
      </c>
      <c r="D499" s="77" t="s">
        <v>174</v>
      </c>
      <c r="E499" s="73" t="str">
        <f>VLOOKUP(D499,clientes!$C$3:$D$60,2,FALSE)</f>
        <v>CELENA</v>
      </c>
      <c r="F499" s="77" t="s">
        <v>123</v>
      </c>
      <c r="G499" s="73" t="str">
        <f>VLOOKUP(F499,'[2]Lista de Produtos CLASSIFICAÇÃO'!$E$103:$F$114,2,FALSE)</f>
        <v>Aquecidos</v>
      </c>
      <c r="H499" s="78">
        <v>12000</v>
      </c>
    </row>
    <row r="500" spans="1:8" x14ac:dyDescent="0.25">
      <c r="A500" s="71">
        <v>2022</v>
      </c>
      <c r="B500" s="72" t="s">
        <v>212</v>
      </c>
      <c r="C500" s="73" t="s">
        <v>232</v>
      </c>
      <c r="D500" s="73" t="s">
        <v>174</v>
      </c>
      <c r="E500" s="73" t="str">
        <f>VLOOKUP(D500,clientes!$C$3:$D$60,2,FALSE)</f>
        <v>CELENA</v>
      </c>
      <c r="F500" s="73" t="s">
        <v>123</v>
      </c>
      <c r="G500" s="73" t="str">
        <f>VLOOKUP(F500,'[2]Lista de Produtos CLASSIFICAÇÃO'!$E$103:$F$114,2,FALSE)</f>
        <v>Aquecidos</v>
      </c>
      <c r="H500" s="74">
        <v>12000</v>
      </c>
    </row>
    <row r="501" spans="1:8" x14ac:dyDescent="0.25">
      <c r="A501" s="75">
        <v>2022</v>
      </c>
      <c r="B501" s="76" t="s">
        <v>213</v>
      </c>
      <c r="C501" s="77" t="s">
        <v>232</v>
      </c>
      <c r="D501" s="77" t="s">
        <v>174</v>
      </c>
      <c r="E501" s="73" t="str">
        <f>VLOOKUP(D501,clientes!$C$3:$D$60,2,FALSE)</f>
        <v>CELENA</v>
      </c>
      <c r="F501" s="77" t="s">
        <v>123</v>
      </c>
      <c r="G501" s="73" t="str">
        <f>VLOOKUP(F501,'[2]Lista de Produtos CLASSIFICAÇÃO'!$E$103:$F$114,2,FALSE)</f>
        <v>Aquecidos</v>
      </c>
      <c r="H501" s="78">
        <v>12000</v>
      </c>
    </row>
    <row r="502" spans="1:8" x14ac:dyDescent="0.25">
      <c r="A502" s="71">
        <v>2022</v>
      </c>
      <c r="B502" s="72" t="s">
        <v>214</v>
      </c>
      <c r="C502" s="73" t="s">
        <v>232</v>
      </c>
      <c r="D502" s="73" t="s">
        <v>174</v>
      </c>
      <c r="E502" s="73" t="str">
        <f>VLOOKUP(D502,clientes!$C$3:$D$60,2,FALSE)</f>
        <v>CELENA</v>
      </c>
      <c r="F502" s="73" t="s">
        <v>123</v>
      </c>
      <c r="G502" s="73" t="str">
        <f>VLOOKUP(F502,'[2]Lista de Produtos CLASSIFICAÇÃO'!$E$103:$F$114,2,FALSE)</f>
        <v>Aquecidos</v>
      </c>
      <c r="H502" s="74">
        <v>12000</v>
      </c>
    </row>
    <row r="503" spans="1:8" x14ac:dyDescent="0.25">
      <c r="A503" s="75">
        <v>2022</v>
      </c>
      <c r="B503" s="76" t="s">
        <v>215</v>
      </c>
      <c r="C503" s="77" t="s">
        <v>232</v>
      </c>
      <c r="D503" s="77" t="s">
        <v>174</v>
      </c>
      <c r="E503" s="73" t="str">
        <f>VLOOKUP(D503,clientes!$C$3:$D$60,2,FALSE)</f>
        <v>CELENA</v>
      </c>
      <c r="F503" s="77" t="s">
        <v>123</v>
      </c>
      <c r="G503" s="73" t="str">
        <f>VLOOKUP(F503,'[2]Lista de Produtos CLASSIFICAÇÃO'!$E$103:$F$114,2,FALSE)</f>
        <v>Aquecidos</v>
      </c>
      <c r="H503" s="78">
        <v>12000</v>
      </c>
    </row>
    <row r="504" spans="1:8" x14ac:dyDescent="0.25">
      <c r="A504" s="71">
        <v>2022</v>
      </c>
      <c r="B504" s="72" t="s">
        <v>230</v>
      </c>
      <c r="C504" s="73" t="s">
        <v>232</v>
      </c>
      <c r="D504" s="73" t="s">
        <v>174</v>
      </c>
      <c r="E504" s="73" t="str">
        <f>VLOOKUP(D504,clientes!$C$3:$D$60,2,FALSE)</f>
        <v>CELENA</v>
      </c>
      <c r="F504" s="73" t="s">
        <v>123</v>
      </c>
      <c r="G504" s="73" t="str">
        <f>VLOOKUP(F504,'[2]Lista de Produtos CLASSIFICAÇÃO'!$E$103:$F$114,2,FALSE)</f>
        <v>Aquecidos</v>
      </c>
      <c r="H504" s="74">
        <v>12000</v>
      </c>
    </row>
    <row r="505" spans="1:8" x14ac:dyDescent="0.25">
      <c r="A505" s="75">
        <v>2022</v>
      </c>
      <c r="B505" s="76" t="s">
        <v>231</v>
      </c>
      <c r="C505" s="77" t="s">
        <v>232</v>
      </c>
      <c r="D505" s="77" t="s">
        <v>174</v>
      </c>
      <c r="E505" s="73" t="str">
        <f>VLOOKUP(D505,clientes!$C$3:$D$60,2,FALSE)</f>
        <v>CELENA</v>
      </c>
      <c r="F505" s="77" t="s">
        <v>123</v>
      </c>
      <c r="G505" s="73" t="str">
        <f>VLOOKUP(F505,'[2]Lista de Produtos CLASSIFICAÇÃO'!$E$103:$F$114,2,FALSE)</f>
        <v>Aquecidos</v>
      </c>
      <c r="H505" s="78">
        <v>12000</v>
      </c>
    </row>
    <row r="506" spans="1:8" x14ac:dyDescent="0.25">
      <c r="A506" s="71">
        <v>2022</v>
      </c>
      <c r="B506" s="72" t="s">
        <v>226</v>
      </c>
      <c r="C506" s="73" t="s">
        <v>225</v>
      </c>
      <c r="D506" s="73" t="s">
        <v>204</v>
      </c>
      <c r="E506" s="73" t="str">
        <f>VLOOKUP(D506,clientes!$C$3:$D$60,2,FALSE)</f>
        <v>COPAPE</v>
      </c>
      <c r="F506" s="73" t="s">
        <v>59</v>
      </c>
      <c r="G506" s="73" t="e">
        <f>VLOOKUP(F506,'[2]Lista de Produtos CLASSIFICAÇÃO'!$E$103:$F$114,2,FALSE)</f>
        <v>#N/A</v>
      </c>
      <c r="H506" s="74">
        <v>10283</v>
      </c>
    </row>
    <row r="507" spans="1:8" x14ac:dyDescent="0.25">
      <c r="A507" s="75">
        <v>2022</v>
      </c>
      <c r="B507" s="76" t="s">
        <v>227</v>
      </c>
      <c r="C507" s="77" t="s">
        <v>225</v>
      </c>
      <c r="D507" s="77" t="s">
        <v>204</v>
      </c>
      <c r="E507" s="73" t="str">
        <f>VLOOKUP(D507,clientes!$C$3:$D$60,2,FALSE)</f>
        <v>COPAPE</v>
      </c>
      <c r="F507" s="77" t="s">
        <v>59</v>
      </c>
      <c r="G507" s="73" t="e">
        <f>VLOOKUP(F507,'[2]Lista de Produtos CLASSIFICAÇÃO'!$E$103:$F$114,2,FALSE)</f>
        <v>#N/A</v>
      </c>
      <c r="H507" s="78">
        <v>10283</v>
      </c>
    </row>
    <row r="508" spans="1:8" x14ac:dyDescent="0.25">
      <c r="A508" s="71">
        <v>2022</v>
      </c>
      <c r="B508" s="72" t="s">
        <v>228</v>
      </c>
      <c r="C508" s="73" t="s">
        <v>225</v>
      </c>
      <c r="D508" s="73" t="s">
        <v>204</v>
      </c>
      <c r="E508" s="73" t="str">
        <f>VLOOKUP(D508,clientes!$C$3:$D$60,2,FALSE)</f>
        <v>COPAPE</v>
      </c>
      <c r="F508" s="73" t="s">
        <v>59</v>
      </c>
      <c r="G508" s="73" t="e">
        <f>VLOOKUP(F508,'[2]Lista de Produtos CLASSIFICAÇÃO'!$E$103:$F$114,2,FALSE)</f>
        <v>#N/A</v>
      </c>
      <c r="H508" s="74">
        <v>10283</v>
      </c>
    </row>
    <row r="509" spans="1:8" x14ac:dyDescent="0.25">
      <c r="A509" s="75">
        <v>2022</v>
      </c>
      <c r="B509" s="76" t="s">
        <v>229</v>
      </c>
      <c r="C509" s="77" t="s">
        <v>225</v>
      </c>
      <c r="D509" s="77" t="s">
        <v>204</v>
      </c>
      <c r="E509" s="73" t="str">
        <f>VLOOKUP(D509,clientes!$C$3:$D$60,2,FALSE)</f>
        <v>COPAPE</v>
      </c>
      <c r="F509" s="77" t="s">
        <v>59</v>
      </c>
      <c r="G509" s="73" t="e">
        <f>VLOOKUP(F509,'[2]Lista de Produtos CLASSIFICAÇÃO'!$E$103:$F$114,2,FALSE)</f>
        <v>#N/A</v>
      </c>
      <c r="H509" s="78">
        <v>0</v>
      </c>
    </row>
    <row r="510" spans="1:8" x14ac:dyDescent="0.25">
      <c r="A510" s="71">
        <v>2022</v>
      </c>
      <c r="B510" s="72" t="s">
        <v>210</v>
      </c>
      <c r="C510" s="73" t="s">
        <v>225</v>
      </c>
      <c r="D510" s="73" t="s">
        <v>204</v>
      </c>
      <c r="E510" s="73" t="str">
        <f>VLOOKUP(D510,clientes!$C$3:$D$60,2,FALSE)</f>
        <v>COPAPE</v>
      </c>
      <c r="F510" s="73" t="s">
        <v>59</v>
      </c>
      <c r="G510" s="73" t="e">
        <f>VLOOKUP(F510,'[2]Lista de Produtos CLASSIFICAÇÃO'!$E$103:$F$114,2,FALSE)</f>
        <v>#N/A</v>
      </c>
      <c r="H510" s="74">
        <v>0</v>
      </c>
    </row>
    <row r="511" spans="1:8" x14ac:dyDescent="0.25">
      <c r="A511" s="75">
        <v>2022</v>
      </c>
      <c r="B511" s="76" t="s">
        <v>211</v>
      </c>
      <c r="C511" s="77" t="s">
        <v>225</v>
      </c>
      <c r="D511" s="77" t="s">
        <v>204</v>
      </c>
      <c r="E511" s="73" t="str">
        <f>VLOOKUP(D511,clientes!$C$3:$D$60,2,FALSE)</f>
        <v>COPAPE</v>
      </c>
      <c r="F511" s="77" t="s">
        <v>59</v>
      </c>
      <c r="G511" s="73" t="e">
        <f>VLOOKUP(F511,'[2]Lista de Produtos CLASSIFICAÇÃO'!$E$103:$F$114,2,FALSE)</f>
        <v>#N/A</v>
      </c>
      <c r="H511" s="78">
        <v>0</v>
      </c>
    </row>
    <row r="512" spans="1:8" x14ac:dyDescent="0.25">
      <c r="A512" s="71">
        <v>2022</v>
      </c>
      <c r="B512" s="72" t="s">
        <v>212</v>
      </c>
      <c r="C512" s="73" t="s">
        <v>225</v>
      </c>
      <c r="D512" s="73" t="s">
        <v>204</v>
      </c>
      <c r="E512" s="73" t="str">
        <f>VLOOKUP(D512,clientes!$C$3:$D$60,2,FALSE)</f>
        <v>COPAPE</v>
      </c>
      <c r="F512" s="73" t="s">
        <v>59</v>
      </c>
      <c r="G512" s="73" t="e">
        <f>VLOOKUP(F512,'[2]Lista de Produtos CLASSIFICAÇÃO'!$E$103:$F$114,2,FALSE)</f>
        <v>#N/A</v>
      </c>
      <c r="H512" s="74">
        <v>0</v>
      </c>
    </row>
    <row r="513" spans="1:8" x14ac:dyDescent="0.25">
      <c r="A513" s="75">
        <v>2022</v>
      </c>
      <c r="B513" s="76" t="s">
        <v>213</v>
      </c>
      <c r="C513" s="77" t="s">
        <v>225</v>
      </c>
      <c r="D513" s="77" t="s">
        <v>204</v>
      </c>
      <c r="E513" s="73" t="str">
        <f>VLOOKUP(D513,clientes!$C$3:$D$60,2,FALSE)</f>
        <v>COPAPE</v>
      </c>
      <c r="F513" s="77" t="s">
        <v>59</v>
      </c>
      <c r="G513" s="73" t="e">
        <f>VLOOKUP(F513,'[2]Lista de Produtos CLASSIFICAÇÃO'!$E$103:$F$114,2,FALSE)</f>
        <v>#N/A</v>
      </c>
      <c r="H513" s="78">
        <v>0</v>
      </c>
    </row>
    <row r="514" spans="1:8" x14ac:dyDescent="0.25">
      <c r="A514" s="71">
        <v>2022</v>
      </c>
      <c r="B514" s="72" t="s">
        <v>214</v>
      </c>
      <c r="C514" s="73" t="s">
        <v>225</v>
      </c>
      <c r="D514" s="73" t="s">
        <v>204</v>
      </c>
      <c r="E514" s="73" t="str">
        <f>VLOOKUP(D514,clientes!$C$3:$D$60,2,FALSE)</f>
        <v>COPAPE</v>
      </c>
      <c r="F514" s="73" t="s">
        <v>59</v>
      </c>
      <c r="G514" s="73" t="e">
        <f>VLOOKUP(F514,'[2]Lista de Produtos CLASSIFICAÇÃO'!$E$103:$F$114,2,FALSE)</f>
        <v>#N/A</v>
      </c>
      <c r="H514" s="74">
        <v>0</v>
      </c>
    </row>
    <row r="515" spans="1:8" x14ac:dyDescent="0.25">
      <c r="A515" s="75">
        <v>2022</v>
      </c>
      <c r="B515" s="76" t="s">
        <v>215</v>
      </c>
      <c r="C515" s="77" t="s">
        <v>225</v>
      </c>
      <c r="D515" s="77" t="s">
        <v>204</v>
      </c>
      <c r="E515" s="73" t="str">
        <f>VLOOKUP(D515,clientes!$C$3:$D$60,2,FALSE)</f>
        <v>COPAPE</v>
      </c>
      <c r="F515" s="77" t="s">
        <v>59</v>
      </c>
      <c r="G515" s="73" t="e">
        <f>VLOOKUP(F515,'[2]Lista de Produtos CLASSIFICAÇÃO'!$E$103:$F$114,2,FALSE)</f>
        <v>#N/A</v>
      </c>
      <c r="H515" s="78">
        <v>0</v>
      </c>
    </row>
    <row r="516" spans="1:8" x14ac:dyDescent="0.25">
      <c r="A516" s="71">
        <v>2022</v>
      </c>
      <c r="B516" s="72" t="s">
        <v>230</v>
      </c>
      <c r="C516" s="73" t="s">
        <v>225</v>
      </c>
      <c r="D516" s="73" t="s">
        <v>204</v>
      </c>
      <c r="E516" s="73" t="str">
        <f>VLOOKUP(D516,clientes!$C$3:$D$60,2,FALSE)</f>
        <v>COPAPE</v>
      </c>
      <c r="F516" s="73" t="s">
        <v>59</v>
      </c>
      <c r="G516" s="73" t="e">
        <f>VLOOKUP(F516,'[2]Lista de Produtos CLASSIFICAÇÃO'!$E$103:$F$114,2,FALSE)</f>
        <v>#N/A</v>
      </c>
      <c r="H516" s="74">
        <v>0</v>
      </c>
    </row>
    <row r="517" spans="1:8" x14ac:dyDescent="0.25">
      <c r="A517" s="75">
        <v>2022</v>
      </c>
      <c r="B517" s="76" t="s">
        <v>231</v>
      </c>
      <c r="C517" s="77" t="s">
        <v>225</v>
      </c>
      <c r="D517" s="77" t="s">
        <v>204</v>
      </c>
      <c r="E517" s="73" t="str">
        <f>VLOOKUP(D517,clientes!$C$3:$D$60,2,FALSE)</f>
        <v>COPAPE</v>
      </c>
      <c r="F517" s="77" t="s">
        <v>59</v>
      </c>
      <c r="G517" s="73" t="e">
        <f>VLOOKUP(F517,'[2]Lista de Produtos CLASSIFICAÇÃO'!$E$103:$F$114,2,FALSE)</f>
        <v>#N/A</v>
      </c>
      <c r="H517" s="78">
        <v>0</v>
      </c>
    </row>
    <row r="518" spans="1:8" x14ac:dyDescent="0.25">
      <c r="A518" s="71">
        <v>2022</v>
      </c>
      <c r="B518" s="72" t="s">
        <v>226</v>
      </c>
      <c r="C518" s="73" t="s">
        <v>225</v>
      </c>
      <c r="D518" s="73" t="s">
        <v>197</v>
      </c>
      <c r="E518" s="73" t="str">
        <f>VLOOKUP(D518,clientes!$C$3:$D$60,2,FALSE)</f>
        <v>DRT</v>
      </c>
      <c r="F518" s="73" t="s">
        <v>85</v>
      </c>
      <c r="G518" s="73" t="e">
        <f>VLOOKUP(F518,'[2]Lista de Produtos CLASSIFICAÇÃO'!$E$103:$F$114,2,FALSE)</f>
        <v>#N/A</v>
      </c>
      <c r="H518" s="74">
        <v>1700</v>
      </c>
    </row>
    <row r="519" spans="1:8" x14ac:dyDescent="0.25">
      <c r="A519" s="75">
        <v>2022</v>
      </c>
      <c r="B519" s="76" t="s">
        <v>227</v>
      </c>
      <c r="C519" s="77" t="s">
        <v>225</v>
      </c>
      <c r="D519" s="77" t="s">
        <v>197</v>
      </c>
      <c r="E519" s="73" t="str">
        <f>VLOOKUP(D519,clientes!$C$3:$D$60,2,FALSE)</f>
        <v>DRT</v>
      </c>
      <c r="F519" s="77" t="s">
        <v>85</v>
      </c>
      <c r="G519" s="73" t="e">
        <f>VLOOKUP(F519,'[2]Lista de Produtos CLASSIFICAÇÃO'!$E$103:$F$114,2,FALSE)</f>
        <v>#N/A</v>
      </c>
      <c r="H519" s="78">
        <v>1700</v>
      </c>
    </row>
    <row r="520" spans="1:8" x14ac:dyDescent="0.25">
      <c r="A520" s="71">
        <v>2022</v>
      </c>
      <c r="B520" s="72" t="s">
        <v>228</v>
      </c>
      <c r="C520" s="73" t="s">
        <v>225</v>
      </c>
      <c r="D520" s="73" t="s">
        <v>197</v>
      </c>
      <c r="E520" s="73" t="str">
        <f>VLOOKUP(D520,clientes!$C$3:$D$60,2,FALSE)</f>
        <v>DRT</v>
      </c>
      <c r="F520" s="73" t="s">
        <v>85</v>
      </c>
      <c r="G520" s="73" t="e">
        <f>VLOOKUP(F520,'[2]Lista de Produtos CLASSIFICAÇÃO'!$E$103:$F$114,2,FALSE)</f>
        <v>#N/A</v>
      </c>
      <c r="H520" s="74">
        <v>1700</v>
      </c>
    </row>
    <row r="521" spans="1:8" x14ac:dyDescent="0.25">
      <c r="A521" s="75">
        <v>2022</v>
      </c>
      <c r="B521" s="76" t="s">
        <v>229</v>
      </c>
      <c r="C521" s="77" t="s">
        <v>225</v>
      </c>
      <c r="D521" s="77" t="s">
        <v>197</v>
      </c>
      <c r="E521" s="73" t="str">
        <f>VLOOKUP(D521,clientes!$C$3:$D$60,2,FALSE)</f>
        <v>DRT</v>
      </c>
      <c r="F521" s="77" t="s">
        <v>85</v>
      </c>
      <c r="G521" s="73" t="e">
        <f>VLOOKUP(F521,'[2]Lista de Produtos CLASSIFICAÇÃO'!$E$103:$F$114,2,FALSE)</f>
        <v>#N/A</v>
      </c>
      <c r="H521" s="78">
        <v>1700</v>
      </c>
    </row>
    <row r="522" spans="1:8" x14ac:dyDescent="0.25">
      <c r="A522" s="71">
        <v>2022</v>
      </c>
      <c r="B522" s="72" t="s">
        <v>210</v>
      </c>
      <c r="C522" s="73" t="s">
        <v>225</v>
      </c>
      <c r="D522" s="73" t="s">
        <v>197</v>
      </c>
      <c r="E522" s="73" t="str">
        <f>VLOOKUP(D522,clientes!$C$3:$D$60,2,FALSE)</f>
        <v>DRT</v>
      </c>
      <c r="F522" s="73" t="s">
        <v>85</v>
      </c>
      <c r="G522" s="73" t="e">
        <f>VLOOKUP(F522,'[2]Lista de Produtos CLASSIFICAÇÃO'!$E$103:$F$114,2,FALSE)</f>
        <v>#N/A</v>
      </c>
      <c r="H522" s="74">
        <v>1700</v>
      </c>
    </row>
    <row r="523" spans="1:8" x14ac:dyDescent="0.25">
      <c r="A523" s="75">
        <v>2022</v>
      </c>
      <c r="B523" s="76" t="s">
        <v>211</v>
      </c>
      <c r="C523" s="77" t="s">
        <v>225</v>
      </c>
      <c r="D523" s="77" t="s">
        <v>197</v>
      </c>
      <c r="E523" s="73" t="str">
        <f>VLOOKUP(D523,clientes!$C$3:$D$60,2,FALSE)</f>
        <v>DRT</v>
      </c>
      <c r="F523" s="77" t="s">
        <v>85</v>
      </c>
      <c r="G523" s="73" t="e">
        <f>VLOOKUP(F523,'[2]Lista de Produtos CLASSIFICAÇÃO'!$E$103:$F$114,2,FALSE)</f>
        <v>#N/A</v>
      </c>
      <c r="H523" s="78">
        <v>1700</v>
      </c>
    </row>
    <row r="524" spans="1:8" x14ac:dyDescent="0.25">
      <c r="A524" s="71">
        <v>2022</v>
      </c>
      <c r="B524" s="72" t="s">
        <v>212</v>
      </c>
      <c r="C524" s="73" t="s">
        <v>225</v>
      </c>
      <c r="D524" s="73" t="s">
        <v>197</v>
      </c>
      <c r="E524" s="73" t="str">
        <f>VLOOKUP(D524,clientes!$C$3:$D$60,2,FALSE)</f>
        <v>DRT</v>
      </c>
      <c r="F524" s="73" t="s">
        <v>85</v>
      </c>
      <c r="G524" s="73" t="e">
        <f>VLOOKUP(F524,'[2]Lista de Produtos CLASSIFICAÇÃO'!$E$103:$F$114,2,FALSE)</f>
        <v>#N/A</v>
      </c>
      <c r="H524" s="74">
        <v>1700</v>
      </c>
    </row>
    <row r="525" spans="1:8" x14ac:dyDescent="0.25">
      <c r="A525" s="75">
        <v>2022</v>
      </c>
      <c r="B525" s="76" t="s">
        <v>213</v>
      </c>
      <c r="C525" s="77" t="s">
        <v>225</v>
      </c>
      <c r="D525" s="77" t="s">
        <v>197</v>
      </c>
      <c r="E525" s="73" t="str">
        <f>VLOOKUP(D525,clientes!$C$3:$D$60,2,FALSE)</f>
        <v>DRT</v>
      </c>
      <c r="F525" s="77" t="s">
        <v>85</v>
      </c>
      <c r="G525" s="73" t="e">
        <f>VLOOKUP(F525,'[2]Lista de Produtos CLASSIFICAÇÃO'!$E$103:$F$114,2,FALSE)</f>
        <v>#N/A</v>
      </c>
      <c r="H525" s="78">
        <v>1700</v>
      </c>
    </row>
    <row r="526" spans="1:8" x14ac:dyDescent="0.25">
      <c r="A526" s="71">
        <v>2022</v>
      </c>
      <c r="B526" s="72" t="s">
        <v>214</v>
      </c>
      <c r="C526" s="73" t="s">
        <v>225</v>
      </c>
      <c r="D526" s="73" t="s">
        <v>197</v>
      </c>
      <c r="E526" s="73" t="str">
        <f>VLOOKUP(D526,clientes!$C$3:$D$60,2,FALSE)</f>
        <v>DRT</v>
      </c>
      <c r="F526" s="73" t="s">
        <v>85</v>
      </c>
      <c r="G526" s="73" t="e">
        <f>VLOOKUP(F526,'[2]Lista de Produtos CLASSIFICAÇÃO'!$E$103:$F$114,2,FALSE)</f>
        <v>#N/A</v>
      </c>
      <c r="H526" s="74">
        <v>1700</v>
      </c>
    </row>
    <row r="527" spans="1:8" x14ac:dyDescent="0.25">
      <c r="A527" s="75">
        <v>2022</v>
      </c>
      <c r="B527" s="76" t="s">
        <v>215</v>
      </c>
      <c r="C527" s="77" t="s">
        <v>225</v>
      </c>
      <c r="D527" s="77" t="s">
        <v>197</v>
      </c>
      <c r="E527" s="73" t="str">
        <f>VLOOKUP(D527,clientes!$C$3:$D$60,2,FALSE)</f>
        <v>DRT</v>
      </c>
      <c r="F527" s="77" t="s">
        <v>85</v>
      </c>
      <c r="G527" s="73" t="e">
        <f>VLOOKUP(F527,'[2]Lista de Produtos CLASSIFICAÇÃO'!$E$103:$F$114,2,FALSE)</f>
        <v>#N/A</v>
      </c>
      <c r="H527" s="78">
        <v>1700</v>
      </c>
    </row>
    <row r="528" spans="1:8" x14ac:dyDescent="0.25">
      <c r="A528" s="71">
        <v>2022</v>
      </c>
      <c r="B528" s="72" t="s">
        <v>230</v>
      </c>
      <c r="C528" s="73" t="s">
        <v>225</v>
      </c>
      <c r="D528" s="73" t="s">
        <v>197</v>
      </c>
      <c r="E528" s="73" t="str">
        <f>VLOOKUP(D528,clientes!$C$3:$D$60,2,FALSE)</f>
        <v>DRT</v>
      </c>
      <c r="F528" s="73" t="s">
        <v>85</v>
      </c>
      <c r="G528" s="73" t="e">
        <f>VLOOKUP(F528,'[2]Lista de Produtos CLASSIFICAÇÃO'!$E$103:$F$114,2,FALSE)</f>
        <v>#N/A</v>
      </c>
      <c r="H528" s="74">
        <v>1700</v>
      </c>
    </row>
    <row r="529" spans="1:8" x14ac:dyDescent="0.25">
      <c r="A529" s="75">
        <v>2022</v>
      </c>
      <c r="B529" s="76" t="s">
        <v>231</v>
      </c>
      <c r="C529" s="77" t="s">
        <v>225</v>
      </c>
      <c r="D529" s="77" t="s">
        <v>197</v>
      </c>
      <c r="E529" s="73" t="str">
        <f>VLOOKUP(D529,clientes!$C$3:$D$60,2,FALSE)</f>
        <v>DRT</v>
      </c>
      <c r="F529" s="77" t="s">
        <v>85</v>
      </c>
      <c r="G529" s="73" t="e">
        <f>VLOOKUP(F529,'[2]Lista de Produtos CLASSIFICAÇÃO'!$E$103:$F$114,2,FALSE)</f>
        <v>#N/A</v>
      </c>
      <c r="H529" s="78">
        <v>1700</v>
      </c>
    </row>
    <row r="530" spans="1:8" x14ac:dyDescent="0.25">
      <c r="A530" s="71">
        <v>2022</v>
      </c>
      <c r="B530" s="72" t="s">
        <v>226</v>
      </c>
      <c r="C530" s="73" t="s">
        <v>225</v>
      </c>
      <c r="D530" s="73" t="s">
        <v>172</v>
      </c>
      <c r="E530" s="73" t="str">
        <f>VLOOKUP(D530,clientes!$C$3:$D$60,2,FALSE)</f>
        <v>EVONIK</v>
      </c>
      <c r="F530" s="73" t="s">
        <v>124</v>
      </c>
      <c r="G530" s="73" t="str">
        <f>VLOOKUP(F530,'[2]Lista de Produtos CLASSIFICAÇÃO'!$E$103:$F$114,2,FALSE)</f>
        <v>Outros</v>
      </c>
      <c r="H530" s="74">
        <v>2602</v>
      </c>
    </row>
    <row r="531" spans="1:8" x14ac:dyDescent="0.25">
      <c r="A531" s="75">
        <v>2022</v>
      </c>
      <c r="B531" s="76" t="s">
        <v>227</v>
      </c>
      <c r="C531" s="77" t="s">
        <v>225</v>
      </c>
      <c r="D531" s="77" t="s">
        <v>172</v>
      </c>
      <c r="E531" s="73" t="str">
        <f>VLOOKUP(D531,clientes!$C$3:$D$60,2,FALSE)</f>
        <v>EVONIK</v>
      </c>
      <c r="F531" s="77" t="s">
        <v>124</v>
      </c>
      <c r="G531" s="73" t="str">
        <f>VLOOKUP(F531,'[2]Lista de Produtos CLASSIFICAÇÃO'!$E$103:$F$114,2,FALSE)</f>
        <v>Outros</v>
      </c>
      <c r="H531" s="78">
        <v>2602</v>
      </c>
    </row>
    <row r="532" spans="1:8" x14ac:dyDescent="0.25">
      <c r="A532" s="71">
        <v>2022</v>
      </c>
      <c r="B532" s="72" t="s">
        <v>228</v>
      </c>
      <c r="C532" s="73" t="s">
        <v>225</v>
      </c>
      <c r="D532" s="73" t="s">
        <v>172</v>
      </c>
      <c r="E532" s="73" t="str">
        <f>VLOOKUP(D532,clientes!$C$3:$D$60,2,FALSE)</f>
        <v>EVONIK</v>
      </c>
      <c r="F532" s="73" t="s">
        <v>124</v>
      </c>
      <c r="G532" s="73" t="str">
        <f>VLOOKUP(F532,'[2]Lista de Produtos CLASSIFICAÇÃO'!$E$103:$F$114,2,FALSE)</f>
        <v>Outros</v>
      </c>
      <c r="H532" s="74">
        <v>2602</v>
      </c>
    </row>
    <row r="533" spans="1:8" x14ac:dyDescent="0.25">
      <c r="A533" s="75">
        <v>2022</v>
      </c>
      <c r="B533" s="76" t="s">
        <v>229</v>
      </c>
      <c r="C533" s="77" t="s">
        <v>225</v>
      </c>
      <c r="D533" s="77" t="s">
        <v>172</v>
      </c>
      <c r="E533" s="73" t="str">
        <f>VLOOKUP(D533,clientes!$C$3:$D$60,2,FALSE)</f>
        <v>EVONIK</v>
      </c>
      <c r="F533" s="77" t="s">
        <v>124</v>
      </c>
      <c r="G533" s="73" t="str">
        <f>VLOOKUP(F533,'[2]Lista de Produtos CLASSIFICAÇÃO'!$E$103:$F$114,2,FALSE)</f>
        <v>Outros</v>
      </c>
      <c r="H533" s="78">
        <v>2602</v>
      </c>
    </row>
    <row r="534" spans="1:8" x14ac:dyDescent="0.25">
      <c r="A534" s="71">
        <v>2022</v>
      </c>
      <c r="B534" s="72" t="s">
        <v>210</v>
      </c>
      <c r="C534" s="73" t="s">
        <v>225</v>
      </c>
      <c r="D534" s="73" t="s">
        <v>172</v>
      </c>
      <c r="E534" s="73" t="str">
        <f>VLOOKUP(D534,clientes!$C$3:$D$60,2,FALSE)</f>
        <v>EVONIK</v>
      </c>
      <c r="F534" s="73" t="s">
        <v>124</v>
      </c>
      <c r="G534" s="73" t="str">
        <f>VLOOKUP(F534,'[2]Lista de Produtos CLASSIFICAÇÃO'!$E$103:$F$114,2,FALSE)</f>
        <v>Outros</v>
      </c>
      <c r="H534" s="74">
        <v>2602</v>
      </c>
    </row>
    <row r="535" spans="1:8" x14ac:dyDescent="0.25">
      <c r="A535" s="75">
        <v>2022</v>
      </c>
      <c r="B535" s="76" t="s">
        <v>211</v>
      </c>
      <c r="C535" s="77" t="s">
        <v>225</v>
      </c>
      <c r="D535" s="77" t="s">
        <v>172</v>
      </c>
      <c r="E535" s="73" t="str">
        <f>VLOOKUP(D535,clientes!$C$3:$D$60,2,FALSE)</f>
        <v>EVONIK</v>
      </c>
      <c r="F535" s="77" t="s">
        <v>124</v>
      </c>
      <c r="G535" s="73" t="str">
        <f>VLOOKUP(F535,'[2]Lista de Produtos CLASSIFICAÇÃO'!$E$103:$F$114,2,FALSE)</f>
        <v>Outros</v>
      </c>
      <c r="H535" s="78">
        <v>2602</v>
      </c>
    </row>
    <row r="536" spans="1:8" x14ac:dyDescent="0.25">
      <c r="A536" s="71">
        <v>2022</v>
      </c>
      <c r="B536" s="72" t="s">
        <v>212</v>
      </c>
      <c r="C536" s="73" t="s">
        <v>225</v>
      </c>
      <c r="D536" s="73" t="s">
        <v>172</v>
      </c>
      <c r="E536" s="73" t="str">
        <f>VLOOKUP(D536,clientes!$C$3:$D$60,2,FALSE)</f>
        <v>EVONIK</v>
      </c>
      <c r="F536" s="73" t="s">
        <v>124</v>
      </c>
      <c r="G536" s="73" t="str">
        <f>VLOOKUP(F536,'[2]Lista de Produtos CLASSIFICAÇÃO'!$E$103:$F$114,2,FALSE)</f>
        <v>Outros</v>
      </c>
      <c r="H536" s="74">
        <v>2602</v>
      </c>
    </row>
    <row r="537" spans="1:8" x14ac:dyDescent="0.25">
      <c r="A537" s="75">
        <v>2022</v>
      </c>
      <c r="B537" s="76" t="s">
        <v>213</v>
      </c>
      <c r="C537" s="77" t="s">
        <v>225</v>
      </c>
      <c r="D537" s="77" t="s">
        <v>172</v>
      </c>
      <c r="E537" s="73" t="str">
        <f>VLOOKUP(D537,clientes!$C$3:$D$60,2,FALSE)</f>
        <v>EVONIK</v>
      </c>
      <c r="F537" s="77" t="s">
        <v>124</v>
      </c>
      <c r="G537" s="73" t="str">
        <f>VLOOKUP(F537,'[2]Lista de Produtos CLASSIFICAÇÃO'!$E$103:$F$114,2,FALSE)</f>
        <v>Outros</v>
      </c>
      <c r="H537" s="78">
        <v>2602</v>
      </c>
    </row>
    <row r="538" spans="1:8" x14ac:dyDescent="0.25">
      <c r="A538" s="71">
        <v>2022</v>
      </c>
      <c r="B538" s="72" t="s">
        <v>214</v>
      </c>
      <c r="C538" s="73" t="s">
        <v>225</v>
      </c>
      <c r="D538" s="73" t="s">
        <v>172</v>
      </c>
      <c r="E538" s="73" t="str">
        <f>VLOOKUP(D538,clientes!$C$3:$D$60,2,FALSE)</f>
        <v>EVONIK</v>
      </c>
      <c r="F538" s="73" t="s">
        <v>124</v>
      </c>
      <c r="G538" s="73" t="str">
        <f>VLOOKUP(F538,'[2]Lista de Produtos CLASSIFICAÇÃO'!$E$103:$F$114,2,FALSE)</f>
        <v>Outros</v>
      </c>
      <c r="H538" s="74">
        <v>2602</v>
      </c>
    </row>
    <row r="539" spans="1:8" x14ac:dyDescent="0.25">
      <c r="A539" s="75">
        <v>2022</v>
      </c>
      <c r="B539" s="76" t="s">
        <v>215</v>
      </c>
      <c r="C539" s="77" t="s">
        <v>225</v>
      </c>
      <c r="D539" s="77" t="s">
        <v>172</v>
      </c>
      <c r="E539" s="73" t="str">
        <f>VLOOKUP(D539,clientes!$C$3:$D$60,2,FALSE)</f>
        <v>EVONIK</v>
      </c>
      <c r="F539" s="77" t="s">
        <v>124</v>
      </c>
      <c r="G539" s="73" t="str">
        <f>VLOOKUP(F539,'[2]Lista de Produtos CLASSIFICAÇÃO'!$E$103:$F$114,2,FALSE)</f>
        <v>Outros</v>
      </c>
      <c r="H539" s="78">
        <v>2602</v>
      </c>
    </row>
    <row r="540" spans="1:8" x14ac:dyDescent="0.25">
      <c r="A540" s="71">
        <v>2022</v>
      </c>
      <c r="B540" s="72" t="s">
        <v>230</v>
      </c>
      <c r="C540" s="73" t="s">
        <v>225</v>
      </c>
      <c r="D540" s="73" t="s">
        <v>172</v>
      </c>
      <c r="E540" s="73" t="str">
        <f>VLOOKUP(D540,clientes!$C$3:$D$60,2,FALSE)</f>
        <v>EVONIK</v>
      </c>
      <c r="F540" s="73" t="s">
        <v>124</v>
      </c>
      <c r="G540" s="73" t="str">
        <f>VLOOKUP(F540,'[2]Lista de Produtos CLASSIFICAÇÃO'!$E$103:$F$114,2,FALSE)</f>
        <v>Outros</v>
      </c>
      <c r="H540" s="74">
        <v>2602</v>
      </c>
    </row>
    <row r="541" spans="1:8" x14ac:dyDescent="0.25">
      <c r="A541" s="75">
        <v>2022</v>
      </c>
      <c r="B541" s="76" t="s">
        <v>231</v>
      </c>
      <c r="C541" s="77" t="s">
        <v>225</v>
      </c>
      <c r="D541" s="77" t="s">
        <v>172</v>
      </c>
      <c r="E541" s="73" t="str">
        <f>VLOOKUP(D541,clientes!$C$3:$D$60,2,FALSE)</f>
        <v>EVONIK</v>
      </c>
      <c r="F541" s="77" t="s">
        <v>124</v>
      </c>
      <c r="G541" s="73" t="str">
        <f>VLOOKUP(F541,'[2]Lista de Produtos CLASSIFICAÇÃO'!$E$103:$F$114,2,FALSE)</f>
        <v>Outros</v>
      </c>
      <c r="H541" s="78">
        <v>2602</v>
      </c>
    </row>
    <row r="542" spans="1:8" x14ac:dyDescent="0.25">
      <c r="A542" s="71">
        <v>2022</v>
      </c>
      <c r="B542" s="72" t="s">
        <v>226</v>
      </c>
      <c r="C542" s="73" t="s">
        <v>225</v>
      </c>
      <c r="D542" s="73" t="s">
        <v>203</v>
      </c>
      <c r="E542" s="73" t="str">
        <f>VLOOKUP(D542,clientes!$C$3:$D$60,2,FALSE)</f>
        <v>GTM</v>
      </c>
      <c r="F542" s="73" t="s">
        <v>124</v>
      </c>
      <c r="G542" s="73" t="str">
        <f>VLOOKUP(F542,'[2]Lista de Produtos CLASSIFICAÇÃO'!$E$103:$F$114,2,FALSE)</f>
        <v>Outros</v>
      </c>
      <c r="H542" s="74">
        <v>0</v>
      </c>
    </row>
    <row r="543" spans="1:8" x14ac:dyDescent="0.25">
      <c r="A543" s="75">
        <v>2022</v>
      </c>
      <c r="B543" s="76" t="s">
        <v>227</v>
      </c>
      <c r="C543" s="77" t="s">
        <v>225</v>
      </c>
      <c r="D543" s="77" t="s">
        <v>203</v>
      </c>
      <c r="E543" s="73" t="str">
        <f>VLOOKUP(D543,clientes!$C$3:$D$60,2,FALSE)</f>
        <v>GTM</v>
      </c>
      <c r="F543" s="77" t="s">
        <v>124</v>
      </c>
      <c r="G543" s="73" t="str">
        <f>VLOOKUP(F543,'[2]Lista de Produtos CLASSIFICAÇÃO'!$E$103:$F$114,2,FALSE)</f>
        <v>Outros</v>
      </c>
      <c r="H543" s="78">
        <v>1700</v>
      </c>
    </row>
    <row r="544" spans="1:8" x14ac:dyDescent="0.25">
      <c r="A544" s="71">
        <v>2022</v>
      </c>
      <c r="B544" s="72" t="s">
        <v>228</v>
      </c>
      <c r="C544" s="73" t="s">
        <v>225</v>
      </c>
      <c r="D544" s="73" t="s">
        <v>203</v>
      </c>
      <c r="E544" s="73" t="str">
        <f>VLOOKUP(D544,clientes!$C$3:$D$60,2,FALSE)</f>
        <v>GTM</v>
      </c>
      <c r="F544" s="73" t="s">
        <v>124</v>
      </c>
      <c r="G544" s="73" t="str">
        <f>VLOOKUP(F544,'[2]Lista de Produtos CLASSIFICAÇÃO'!$E$103:$F$114,2,FALSE)</f>
        <v>Outros</v>
      </c>
      <c r="H544" s="74">
        <v>1700</v>
      </c>
    </row>
    <row r="545" spans="1:8" x14ac:dyDescent="0.25">
      <c r="A545" s="75">
        <v>2022</v>
      </c>
      <c r="B545" s="76" t="s">
        <v>229</v>
      </c>
      <c r="C545" s="77" t="s">
        <v>225</v>
      </c>
      <c r="D545" s="77" t="s">
        <v>203</v>
      </c>
      <c r="E545" s="73" t="str">
        <f>VLOOKUP(D545,clientes!$C$3:$D$60,2,FALSE)</f>
        <v>GTM</v>
      </c>
      <c r="F545" s="77" t="s">
        <v>124</v>
      </c>
      <c r="G545" s="73" t="str">
        <f>VLOOKUP(F545,'[2]Lista de Produtos CLASSIFICAÇÃO'!$E$103:$F$114,2,FALSE)</f>
        <v>Outros</v>
      </c>
      <c r="H545" s="78">
        <v>1700</v>
      </c>
    </row>
    <row r="546" spans="1:8" x14ac:dyDescent="0.25">
      <c r="A546" s="71">
        <v>2022</v>
      </c>
      <c r="B546" s="72" t="s">
        <v>210</v>
      </c>
      <c r="C546" s="73" t="s">
        <v>225</v>
      </c>
      <c r="D546" s="73" t="s">
        <v>203</v>
      </c>
      <c r="E546" s="73" t="str">
        <f>VLOOKUP(D546,clientes!$C$3:$D$60,2,FALSE)</f>
        <v>GTM</v>
      </c>
      <c r="F546" s="73" t="s">
        <v>124</v>
      </c>
      <c r="G546" s="73" t="str">
        <f>VLOOKUP(F546,'[2]Lista de Produtos CLASSIFICAÇÃO'!$E$103:$F$114,2,FALSE)</f>
        <v>Outros</v>
      </c>
      <c r="H546" s="74">
        <v>1700</v>
      </c>
    </row>
    <row r="547" spans="1:8" x14ac:dyDescent="0.25">
      <c r="A547" s="75">
        <v>2022</v>
      </c>
      <c r="B547" s="76" t="s">
        <v>211</v>
      </c>
      <c r="C547" s="77" t="s">
        <v>225</v>
      </c>
      <c r="D547" s="77" t="s">
        <v>203</v>
      </c>
      <c r="E547" s="73" t="str">
        <f>VLOOKUP(D547,clientes!$C$3:$D$60,2,FALSE)</f>
        <v>GTM</v>
      </c>
      <c r="F547" s="77" t="s">
        <v>124</v>
      </c>
      <c r="G547" s="73" t="str">
        <f>VLOOKUP(F547,'[2]Lista de Produtos CLASSIFICAÇÃO'!$E$103:$F$114,2,FALSE)</f>
        <v>Outros</v>
      </c>
      <c r="H547" s="78">
        <v>1700</v>
      </c>
    </row>
    <row r="548" spans="1:8" x14ac:dyDescent="0.25">
      <c r="A548" s="71">
        <v>2022</v>
      </c>
      <c r="B548" s="72" t="s">
        <v>212</v>
      </c>
      <c r="C548" s="73" t="s">
        <v>225</v>
      </c>
      <c r="D548" s="73" t="s">
        <v>203</v>
      </c>
      <c r="E548" s="73" t="str">
        <f>VLOOKUP(D548,clientes!$C$3:$D$60,2,FALSE)</f>
        <v>GTM</v>
      </c>
      <c r="F548" s="73" t="s">
        <v>124</v>
      </c>
      <c r="G548" s="73" t="str">
        <f>VLOOKUP(F548,'[2]Lista de Produtos CLASSIFICAÇÃO'!$E$103:$F$114,2,FALSE)</f>
        <v>Outros</v>
      </c>
      <c r="H548" s="74">
        <v>1700</v>
      </c>
    </row>
    <row r="549" spans="1:8" x14ac:dyDescent="0.25">
      <c r="A549" s="75">
        <v>2022</v>
      </c>
      <c r="B549" s="76" t="s">
        <v>213</v>
      </c>
      <c r="C549" s="77" t="s">
        <v>225</v>
      </c>
      <c r="D549" s="77" t="s">
        <v>203</v>
      </c>
      <c r="E549" s="73" t="str">
        <f>VLOOKUP(D549,clientes!$C$3:$D$60,2,FALSE)</f>
        <v>GTM</v>
      </c>
      <c r="F549" s="77" t="s">
        <v>124</v>
      </c>
      <c r="G549" s="73" t="str">
        <f>VLOOKUP(F549,'[2]Lista de Produtos CLASSIFICAÇÃO'!$E$103:$F$114,2,FALSE)</f>
        <v>Outros</v>
      </c>
      <c r="H549" s="78">
        <v>1700</v>
      </c>
    </row>
    <row r="550" spans="1:8" x14ac:dyDescent="0.25">
      <c r="A550" s="71">
        <v>2022</v>
      </c>
      <c r="B550" s="72" t="s">
        <v>214</v>
      </c>
      <c r="C550" s="73" t="s">
        <v>225</v>
      </c>
      <c r="D550" s="73" t="s">
        <v>203</v>
      </c>
      <c r="E550" s="73" t="str">
        <f>VLOOKUP(D550,clientes!$C$3:$D$60,2,FALSE)</f>
        <v>GTM</v>
      </c>
      <c r="F550" s="73" t="s">
        <v>124</v>
      </c>
      <c r="G550" s="73" t="str">
        <f>VLOOKUP(F550,'[2]Lista de Produtos CLASSIFICAÇÃO'!$E$103:$F$114,2,FALSE)</f>
        <v>Outros</v>
      </c>
      <c r="H550" s="74">
        <v>1700</v>
      </c>
    </row>
    <row r="551" spans="1:8" x14ac:dyDescent="0.25">
      <c r="A551" s="75">
        <v>2022</v>
      </c>
      <c r="B551" s="76" t="s">
        <v>215</v>
      </c>
      <c r="C551" s="77" t="s">
        <v>225</v>
      </c>
      <c r="D551" s="77" t="s">
        <v>203</v>
      </c>
      <c r="E551" s="73" t="str">
        <f>VLOOKUP(D551,clientes!$C$3:$D$60,2,FALSE)</f>
        <v>GTM</v>
      </c>
      <c r="F551" s="77" t="s">
        <v>124</v>
      </c>
      <c r="G551" s="73" t="str">
        <f>VLOOKUP(F551,'[2]Lista de Produtos CLASSIFICAÇÃO'!$E$103:$F$114,2,FALSE)</f>
        <v>Outros</v>
      </c>
      <c r="H551" s="78">
        <v>1700</v>
      </c>
    </row>
    <row r="552" spans="1:8" x14ac:dyDescent="0.25">
      <c r="A552" s="71">
        <v>2022</v>
      </c>
      <c r="B552" s="72" t="s">
        <v>230</v>
      </c>
      <c r="C552" s="73" t="s">
        <v>225</v>
      </c>
      <c r="D552" s="73" t="s">
        <v>203</v>
      </c>
      <c r="E552" s="73" t="str">
        <f>VLOOKUP(D552,clientes!$C$3:$D$60,2,FALSE)</f>
        <v>GTM</v>
      </c>
      <c r="F552" s="73" t="s">
        <v>124</v>
      </c>
      <c r="G552" s="73" t="str">
        <f>VLOOKUP(F552,'[2]Lista de Produtos CLASSIFICAÇÃO'!$E$103:$F$114,2,FALSE)</f>
        <v>Outros</v>
      </c>
      <c r="H552" s="74">
        <v>1700</v>
      </c>
    </row>
    <row r="553" spans="1:8" x14ac:dyDescent="0.25">
      <c r="A553" s="75">
        <v>2022</v>
      </c>
      <c r="B553" s="76" t="s">
        <v>231</v>
      </c>
      <c r="C553" s="77" t="s">
        <v>225</v>
      </c>
      <c r="D553" s="77" t="s">
        <v>203</v>
      </c>
      <c r="E553" s="73" t="str">
        <f>VLOOKUP(D553,clientes!$C$3:$D$60,2,FALSE)</f>
        <v>GTM</v>
      </c>
      <c r="F553" s="77" t="s">
        <v>124</v>
      </c>
      <c r="G553" s="73" t="str">
        <f>VLOOKUP(F553,'[2]Lista de Produtos CLASSIFICAÇÃO'!$E$103:$F$114,2,FALSE)</f>
        <v>Outros</v>
      </c>
      <c r="H553" s="78">
        <v>1700</v>
      </c>
    </row>
    <row r="554" spans="1:8" x14ac:dyDescent="0.25">
      <c r="A554" s="71">
        <v>2022</v>
      </c>
      <c r="B554" s="72" t="s">
        <v>226</v>
      </c>
      <c r="C554" s="73" t="s">
        <v>225</v>
      </c>
      <c r="D554" s="73" t="s">
        <v>200</v>
      </c>
      <c r="E554" s="73" t="str">
        <f>VLOOKUP(D554,clientes!$C$3:$D$60,2,FALSE)</f>
        <v>GREENENERGY</v>
      </c>
      <c r="F554" s="73" t="s">
        <v>120</v>
      </c>
      <c r="G554" s="73" t="str">
        <f>VLOOKUP(F554,'[2]Lista de Produtos CLASSIFICAÇÃO'!$E$103:$F$114,2,FALSE)</f>
        <v>Derivados</v>
      </c>
      <c r="H554" s="74">
        <v>15000</v>
      </c>
    </row>
    <row r="555" spans="1:8" x14ac:dyDescent="0.25">
      <c r="A555" s="75">
        <v>2022</v>
      </c>
      <c r="B555" s="76" t="s">
        <v>227</v>
      </c>
      <c r="C555" s="77" t="s">
        <v>225</v>
      </c>
      <c r="D555" s="77" t="s">
        <v>200</v>
      </c>
      <c r="E555" s="73" t="str">
        <f>VLOOKUP(D555,clientes!$C$3:$D$60,2,FALSE)</f>
        <v>GREENENERGY</v>
      </c>
      <c r="F555" s="77" t="s">
        <v>120</v>
      </c>
      <c r="G555" s="73" t="str">
        <f>VLOOKUP(F555,'[2]Lista de Produtos CLASSIFICAÇÃO'!$E$103:$F$114,2,FALSE)</f>
        <v>Derivados</v>
      </c>
      <c r="H555" s="78">
        <v>15000</v>
      </c>
    </row>
    <row r="556" spans="1:8" x14ac:dyDescent="0.25">
      <c r="A556" s="71">
        <v>2022</v>
      </c>
      <c r="B556" s="72" t="s">
        <v>228</v>
      </c>
      <c r="C556" s="73" t="s">
        <v>225</v>
      </c>
      <c r="D556" s="73" t="s">
        <v>200</v>
      </c>
      <c r="E556" s="73" t="str">
        <f>VLOOKUP(D556,clientes!$C$3:$D$60,2,FALSE)</f>
        <v>GREENENERGY</v>
      </c>
      <c r="F556" s="73" t="s">
        <v>120</v>
      </c>
      <c r="G556" s="73" t="str">
        <f>VLOOKUP(F556,'[2]Lista de Produtos CLASSIFICAÇÃO'!$E$103:$F$114,2,FALSE)</f>
        <v>Derivados</v>
      </c>
      <c r="H556" s="74">
        <v>15000</v>
      </c>
    </row>
    <row r="557" spans="1:8" x14ac:dyDescent="0.25">
      <c r="A557" s="75">
        <v>2022</v>
      </c>
      <c r="B557" s="76" t="s">
        <v>229</v>
      </c>
      <c r="C557" s="77" t="s">
        <v>225</v>
      </c>
      <c r="D557" s="77" t="s">
        <v>200</v>
      </c>
      <c r="E557" s="73" t="str">
        <f>VLOOKUP(D557,clientes!$C$3:$D$60,2,FALSE)</f>
        <v>GREENENERGY</v>
      </c>
      <c r="F557" s="77" t="s">
        <v>120</v>
      </c>
      <c r="G557" s="73" t="str">
        <f>VLOOKUP(F557,'[2]Lista de Produtos CLASSIFICAÇÃO'!$E$103:$F$114,2,FALSE)</f>
        <v>Derivados</v>
      </c>
      <c r="H557" s="78">
        <v>15000</v>
      </c>
    </row>
    <row r="558" spans="1:8" x14ac:dyDescent="0.25">
      <c r="A558" s="71">
        <v>2022</v>
      </c>
      <c r="B558" s="72" t="s">
        <v>210</v>
      </c>
      <c r="C558" s="73" t="s">
        <v>225</v>
      </c>
      <c r="D558" s="73" t="s">
        <v>200</v>
      </c>
      <c r="E558" s="73" t="str">
        <f>VLOOKUP(D558,clientes!$C$3:$D$60,2,FALSE)</f>
        <v>GREENENERGY</v>
      </c>
      <c r="F558" s="73" t="s">
        <v>120</v>
      </c>
      <c r="G558" s="73" t="str">
        <f>VLOOKUP(F558,'[2]Lista de Produtos CLASSIFICAÇÃO'!$E$103:$F$114,2,FALSE)</f>
        <v>Derivados</v>
      </c>
      <c r="H558" s="74">
        <v>15000</v>
      </c>
    </row>
    <row r="559" spans="1:8" x14ac:dyDescent="0.25">
      <c r="A559" s="75">
        <v>2022</v>
      </c>
      <c r="B559" s="76" t="s">
        <v>211</v>
      </c>
      <c r="C559" s="77" t="s">
        <v>225</v>
      </c>
      <c r="D559" s="77" t="s">
        <v>200</v>
      </c>
      <c r="E559" s="73" t="str">
        <f>VLOOKUP(D559,clientes!$C$3:$D$60,2,FALSE)</f>
        <v>GREENENERGY</v>
      </c>
      <c r="F559" s="77" t="s">
        <v>120</v>
      </c>
      <c r="G559" s="73" t="str">
        <f>VLOOKUP(F559,'[2]Lista de Produtos CLASSIFICAÇÃO'!$E$103:$F$114,2,FALSE)</f>
        <v>Derivados</v>
      </c>
      <c r="H559" s="78">
        <v>15000</v>
      </c>
    </row>
    <row r="560" spans="1:8" x14ac:dyDescent="0.25">
      <c r="A560" s="71">
        <v>2022</v>
      </c>
      <c r="B560" s="72" t="s">
        <v>212</v>
      </c>
      <c r="C560" s="73" t="s">
        <v>225</v>
      </c>
      <c r="D560" s="73" t="s">
        <v>200</v>
      </c>
      <c r="E560" s="73" t="str">
        <f>VLOOKUP(D560,clientes!$C$3:$D$60,2,FALSE)</f>
        <v>GREENENERGY</v>
      </c>
      <c r="F560" s="73" t="s">
        <v>120</v>
      </c>
      <c r="G560" s="73" t="str">
        <f>VLOOKUP(F560,'[2]Lista de Produtos CLASSIFICAÇÃO'!$E$103:$F$114,2,FALSE)</f>
        <v>Derivados</v>
      </c>
      <c r="H560" s="74">
        <v>15000</v>
      </c>
    </row>
    <row r="561" spans="1:8" x14ac:dyDescent="0.25">
      <c r="A561" s="75">
        <v>2022</v>
      </c>
      <c r="B561" s="76" t="s">
        <v>213</v>
      </c>
      <c r="C561" s="77" t="s">
        <v>225</v>
      </c>
      <c r="D561" s="77" t="s">
        <v>200</v>
      </c>
      <c r="E561" s="73" t="str">
        <f>VLOOKUP(D561,clientes!$C$3:$D$60,2,FALSE)</f>
        <v>GREENENERGY</v>
      </c>
      <c r="F561" s="77" t="s">
        <v>120</v>
      </c>
      <c r="G561" s="73" t="str">
        <f>VLOOKUP(F561,'[2]Lista de Produtos CLASSIFICAÇÃO'!$E$103:$F$114,2,FALSE)</f>
        <v>Derivados</v>
      </c>
      <c r="H561" s="78">
        <v>15000</v>
      </c>
    </row>
    <row r="562" spans="1:8" x14ac:dyDescent="0.25">
      <c r="A562" s="71">
        <v>2022</v>
      </c>
      <c r="B562" s="72" t="s">
        <v>214</v>
      </c>
      <c r="C562" s="73" t="s">
        <v>225</v>
      </c>
      <c r="D562" s="73" t="s">
        <v>200</v>
      </c>
      <c r="E562" s="73" t="str">
        <f>VLOOKUP(D562,clientes!$C$3:$D$60,2,FALSE)</f>
        <v>GREENENERGY</v>
      </c>
      <c r="F562" s="73" t="s">
        <v>120</v>
      </c>
      <c r="G562" s="73" t="str">
        <f>VLOOKUP(F562,'[2]Lista de Produtos CLASSIFICAÇÃO'!$E$103:$F$114,2,FALSE)</f>
        <v>Derivados</v>
      </c>
      <c r="H562" s="74">
        <v>15000</v>
      </c>
    </row>
    <row r="563" spans="1:8" x14ac:dyDescent="0.25">
      <c r="A563" s="75">
        <v>2022</v>
      </c>
      <c r="B563" s="76" t="s">
        <v>215</v>
      </c>
      <c r="C563" s="77" t="s">
        <v>225</v>
      </c>
      <c r="D563" s="77" t="s">
        <v>200</v>
      </c>
      <c r="E563" s="73" t="str">
        <f>VLOOKUP(D563,clientes!$C$3:$D$60,2,FALSE)</f>
        <v>GREENENERGY</v>
      </c>
      <c r="F563" s="77" t="s">
        <v>120</v>
      </c>
      <c r="G563" s="73" t="str">
        <f>VLOOKUP(F563,'[2]Lista de Produtos CLASSIFICAÇÃO'!$E$103:$F$114,2,FALSE)</f>
        <v>Derivados</v>
      </c>
      <c r="H563" s="78">
        <v>15000</v>
      </c>
    </row>
    <row r="564" spans="1:8" x14ac:dyDescent="0.25">
      <c r="A564" s="71">
        <v>2022</v>
      </c>
      <c r="B564" s="72" t="s">
        <v>230</v>
      </c>
      <c r="C564" s="73" t="s">
        <v>225</v>
      </c>
      <c r="D564" s="73" t="s">
        <v>200</v>
      </c>
      <c r="E564" s="73" t="str">
        <f>VLOOKUP(D564,clientes!$C$3:$D$60,2,FALSE)</f>
        <v>GREENENERGY</v>
      </c>
      <c r="F564" s="73" t="s">
        <v>120</v>
      </c>
      <c r="G564" s="73" t="str">
        <f>VLOOKUP(F564,'[2]Lista de Produtos CLASSIFICAÇÃO'!$E$103:$F$114,2,FALSE)</f>
        <v>Derivados</v>
      </c>
      <c r="H564" s="74">
        <v>15000</v>
      </c>
    </row>
    <row r="565" spans="1:8" x14ac:dyDescent="0.25">
      <c r="A565" s="75">
        <v>2022</v>
      </c>
      <c r="B565" s="76" t="s">
        <v>231</v>
      </c>
      <c r="C565" s="77" t="s">
        <v>225</v>
      </c>
      <c r="D565" s="77" t="s">
        <v>200</v>
      </c>
      <c r="E565" s="73" t="str">
        <f>VLOOKUP(D565,clientes!$C$3:$D$60,2,FALSE)</f>
        <v>GREENENERGY</v>
      </c>
      <c r="F565" s="77" t="s">
        <v>120</v>
      </c>
      <c r="G565" s="73" t="str">
        <f>VLOOKUP(F565,'[2]Lista de Produtos CLASSIFICAÇÃO'!$E$103:$F$114,2,FALSE)</f>
        <v>Derivados</v>
      </c>
      <c r="H565" s="78">
        <v>15000</v>
      </c>
    </row>
    <row r="566" spans="1:8" x14ac:dyDescent="0.25">
      <c r="A566" s="71">
        <v>2022</v>
      </c>
      <c r="B566" s="72" t="s">
        <v>226</v>
      </c>
      <c r="C566" s="73" t="s">
        <v>233</v>
      </c>
      <c r="D566" s="73" t="s">
        <v>158</v>
      </c>
      <c r="E566" s="73" t="str">
        <f>VLOOKUP(D566,clientes!$C$3:$D$60,2,FALSE)</f>
        <v>IPIRANGA</v>
      </c>
      <c r="F566" s="73" t="s">
        <v>120</v>
      </c>
      <c r="G566" s="73" t="str">
        <f>VLOOKUP(F566,'[2]Lista de Produtos CLASSIFICAÇÃO'!$E$103:$F$114,2,FALSE)</f>
        <v>Derivados</v>
      </c>
      <c r="H566" s="74">
        <v>91000</v>
      </c>
    </row>
    <row r="567" spans="1:8" x14ac:dyDescent="0.25">
      <c r="A567" s="75">
        <v>2022</v>
      </c>
      <c r="B567" s="76" t="s">
        <v>227</v>
      </c>
      <c r="C567" s="77" t="s">
        <v>233</v>
      </c>
      <c r="D567" s="77" t="s">
        <v>158</v>
      </c>
      <c r="E567" s="73" t="str">
        <f>VLOOKUP(D567,clientes!$C$3:$D$60,2,FALSE)</f>
        <v>IPIRANGA</v>
      </c>
      <c r="F567" s="77" t="s">
        <v>120</v>
      </c>
      <c r="G567" s="73" t="str">
        <f>VLOOKUP(F567,'[2]Lista de Produtos CLASSIFICAÇÃO'!$E$103:$F$114,2,FALSE)</f>
        <v>Derivados</v>
      </c>
      <c r="H567" s="78">
        <v>91000</v>
      </c>
    </row>
    <row r="568" spans="1:8" x14ac:dyDescent="0.25">
      <c r="A568" s="71">
        <v>2022</v>
      </c>
      <c r="B568" s="72" t="s">
        <v>228</v>
      </c>
      <c r="C568" s="73" t="s">
        <v>233</v>
      </c>
      <c r="D568" s="73" t="s">
        <v>158</v>
      </c>
      <c r="E568" s="73" t="str">
        <f>VLOOKUP(D568,clientes!$C$3:$D$60,2,FALSE)</f>
        <v>IPIRANGA</v>
      </c>
      <c r="F568" s="73" t="s">
        <v>120</v>
      </c>
      <c r="G568" s="73" t="str">
        <f>VLOOKUP(F568,'[2]Lista de Produtos CLASSIFICAÇÃO'!$E$103:$F$114,2,FALSE)</f>
        <v>Derivados</v>
      </c>
      <c r="H568" s="74">
        <v>91000</v>
      </c>
    </row>
    <row r="569" spans="1:8" x14ac:dyDescent="0.25">
      <c r="A569" s="75">
        <v>2022</v>
      </c>
      <c r="B569" s="76" t="s">
        <v>229</v>
      </c>
      <c r="C569" s="77" t="s">
        <v>233</v>
      </c>
      <c r="D569" s="77" t="s">
        <v>158</v>
      </c>
      <c r="E569" s="73" t="str">
        <f>VLOOKUP(D569,clientes!$C$3:$D$60,2,FALSE)</f>
        <v>IPIRANGA</v>
      </c>
      <c r="F569" s="77" t="s">
        <v>120</v>
      </c>
      <c r="G569" s="73" t="str">
        <f>VLOOKUP(F569,'[2]Lista de Produtos CLASSIFICAÇÃO'!$E$103:$F$114,2,FALSE)</f>
        <v>Derivados</v>
      </c>
      <c r="H569" s="78">
        <v>91000</v>
      </c>
    </row>
    <row r="570" spans="1:8" x14ac:dyDescent="0.25">
      <c r="A570" s="71">
        <v>2022</v>
      </c>
      <c r="B570" s="72" t="s">
        <v>210</v>
      </c>
      <c r="C570" s="73" t="s">
        <v>233</v>
      </c>
      <c r="D570" s="73" t="s">
        <v>158</v>
      </c>
      <c r="E570" s="73" t="str">
        <f>VLOOKUP(D570,clientes!$C$3:$D$60,2,FALSE)</f>
        <v>IPIRANGA</v>
      </c>
      <c r="F570" s="73" t="s">
        <v>120</v>
      </c>
      <c r="G570" s="73" t="str">
        <f>VLOOKUP(F570,'[2]Lista de Produtos CLASSIFICAÇÃO'!$E$103:$F$114,2,FALSE)</f>
        <v>Derivados</v>
      </c>
      <c r="H570" s="74">
        <v>91000</v>
      </c>
    </row>
    <row r="571" spans="1:8" x14ac:dyDescent="0.25">
      <c r="A571" s="75">
        <v>2022</v>
      </c>
      <c r="B571" s="76" t="s">
        <v>211</v>
      </c>
      <c r="C571" s="77" t="s">
        <v>233</v>
      </c>
      <c r="D571" s="77" t="s">
        <v>158</v>
      </c>
      <c r="E571" s="73" t="str">
        <f>VLOOKUP(D571,clientes!$C$3:$D$60,2,FALSE)</f>
        <v>IPIRANGA</v>
      </c>
      <c r="F571" s="77" t="s">
        <v>120</v>
      </c>
      <c r="G571" s="73" t="str">
        <f>VLOOKUP(F571,'[2]Lista de Produtos CLASSIFICAÇÃO'!$E$103:$F$114,2,FALSE)</f>
        <v>Derivados</v>
      </c>
      <c r="H571" s="78">
        <v>91000</v>
      </c>
    </row>
    <row r="572" spans="1:8" x14ac:dyDescent="0.25">
      <c r="A572" s="71">
        <v>2022</v>
      </c>
      <c r="B572" s="72" t="s">
        <v>212</v>
      </c>
      <c r="C572" s="73" t="s">
        <v>233</v>
      </c>
      <c r="D572" s="73" t="s">
        <v>158</v>
      </c>
      <c r="E572" s="73" t="str">
        <f>VLOOKUP(D572,clientes!$C$3:$D$60,2,FALSE)</f>
        <v>IPIRANGA</v>
      </c>
      <c r="F572" s="73" t="s">
        <v>120</v>
      </c>
      <c r="G572" s="73" t="str">
        <f>VLOOKUP(F572,'[2]Lista de Produtos CLASSIFICAÇÃO'!$E$103:$F$114,2,FALSE)</f>
        <v>Derivados</v>
      </c>
      <c r="H572" s="74">
        <v>91000</v>
      </c>
    </row>
    <row r="573" spans="1:8" x14ac:dyDescent="0.25">
      <c r="A573" s="75">
        <v>2022</v>
      </c>
      <c r="B573" s="76" t="s">
        <v>213</v>
      </c>
      <c r="C573" s="77" t="s">
        <v>233</v>
      </c>
      <c r="D573" s="77" t="s">
        <v>158</v>
      </c>
      <c r="E573" s="73" t="str">
        <f>VLOOKUP(D573,clientes!$C$3:$D$60,2,FALSE)</f>
        <v>IPIRANGA</v>
      </c>
      <c r="F573" s="77" t="s">
        <v>120</v>
      </c>
      <c r="G573" s="73" t="str">
        <f>VLOOKUP(F573,'[2]Lista de Produtos CLASSIFICAÇÃO'!$E$103:$F$114,2,FALSE)</f>
        <v>Derivados</v>
      </c>
      <c r="H573" s="78">
        <v>91000</v>
      </c>
    </row>
    <row r="574" spans="1:8" x14ac:dyDescent="0.25">
      <c r="A574" s="71">
        <v>2022</v>
      </c>
      <c r="B574" s="72" t="s">
        <v>214</v>
      </c>
      <c r="C574" s="73" t="s">
        <v>233</v>
      </c>
      <c r="D574" s="73" t="s">
        <v>158</v>
      </c>
      <c r="E574" s="73" t="str">
        <f>VLOOKUP(D574,clientes!$C$3:$D$60,2,FALSE)</f>
        <v>IPIRANGA</v>
      </c>
      <c r="F574" s="73" t="s">
        <v>120</v>
      </c>
      <c r="G574" s="73" t="str">
        <f>VLOOKUP(F574,'[2]Lista de Produtos CLASSIFICAÇÃO'!$E$103:$F$114,2,FALSE)</f>
        <v>Derivados</v>
      </c>
      <c r="H574" s="74">
        <v>91000</v>
      </c>
    </row>
    <row r="575" spans="1:8" x14ac:dyDescent="0.25">
      <c r="A575" s="75">
        <v>2022</v>
      </c>
      <c r="B575" s="76" t="s">
        <v>215</v>
      </c>
      <c r="C575" s="77" t="s">
        <v>233</v>
      </c>
      <c r="D575" s="77" t="s">
        <v>158</v>
      </c>
      <c r="E575" s="73" t="str">
        <f>VLOOKUP(D575,clientes!$C$3:$D$60,2,FALSE)</f>
        <v>IPIRANGA</v>
      </c>
      <c r="F575" s="77" t="s">
        <v>120</v>
      </c>
      <c r="G575" s="73" t="str">
        <f>VLOOKUP(F575,'[2]Lista de Produtos CLASSIFICAÇÃO'!$E$103:$F$114,2,FALSE)</f>
        <v>Derivados</v>
      </c>
      <c r="H575" s="78">
        <v>91000</v>
      </c>
    </row>
    <row r="576" spans="1:8" x14ac:dyDescent="0.25">
      <c r="A576" s="71">
        <v>2022</v>
      </c>
      <c r="B576" s="72" t="s">
        <v>230</v>
      </c>
      <c r="C576" s="73" t="s">
        <v>233</v>
      </c>
      <c r="D576" s="73" t="s">
        <v>158</v>
      </c>
      <c r="E576" s="73" t="str">
        <f>VLOOKUP(D576,clientes!$C$3:$D$60,2,FALSE)</f>
        <v>IPIRANGA</v>
      </c>
      <c r="F576" s="73" t="s">
        <v>120</v>
      </c>
      <c r="G576" s="73" t="str">
        <f>VLOOKUP(F576,'[2]Lista de Produtos CLASSIFICAÇÃO'!$E$103:$F$114,2,FALSE)</f>
        <v>Derivados</v>
      </c>
      <c r="H576" s="74">
        <v>91000</v>
      </c>
    </row>
    <row r="577" spans="1:8" x14ac:dyDescent="0.25">
      <c r="A577" s="75">
        <v>2022</v>
      </c>
      <c r="B577" s="76" t="s">
        <v>231</v>
      </c>
      <c r="C577" s="77" t="s">
        <v>233</v>
      </c>
      <c r="D577" s="77" t="s">
        <v>158</v>
      </c>
      <c r="E577" s="73" t="str">
        <f>VLOOKUP(D577,clientes!$C$3:$D$60,2,FALSE)</f>
        <v>IPIRANGA</v>
      </c>
      <c r="F577" s="77" t="s">
        <v>120</v>
      </c>
      <c r="G577" s="73" t="str">
        <f>VLOOKUP(F577,'[2]Lista de Produtos CLASSIFICAÇÃO'!$E$103:$F$114,2,FALSE)</f>
        <v>Derivados</v>
      </c>
      <c r="H577" s="78">
        <v>91000</v>
      </c>
    </row>
    <row r="578" spans="1:8" x14ac:dyDescent="0.25">
      <c r="A578" s="71">
        <v>2022</v>
      </c>
      <c r="B578" s="72" t="s">
        <v>226</v>
      </c>
      <c r="C578" s="73" t="s">
        <v>232</v>
      </c>
      <c r="D578" s="73" t="s">
        <v>162</v>
      </c>
      <c r="E578" s="73" t="str">
        <f>VLOOKUP(D578,clientes!$C$3:$D$60,2,FALSE)</f>
        <v>JBS</v>
      </c>
      <c r="F578" s="73" t="s">
        <v>123</v>
      </c>
      <c r="G578" s="73" t="str">
        <f>VLOOKUP(F578,'[2]Lista de Produtos CLASSIFICAÇÃO'!$E$103:$F$114,2,FALSE)</f>
        <v>Aquecidos</v>
      </c>
      <c r="H578" s="74">
        <v>5617</v>
      </c>
    </row>
    <row r="579" spans="1:8" x14ac:dyDescent="0.25">
      <c r="A579" s="75">
        <v>2022</v>
      </c>
      <c r="B579" s="76" t="s">
        <v>227</v>
      </c>
      <c r="C579" s="77" t="s">
        <v>232</v>
      </c>
      <c r="D579" s="77" t="s">
        <v>162</v>
      </c>
      <c r="E579" s="73" t="str">
        <f>VLOOKUP(D579,clientes!$C$3:$D$60,2,FALSE)</f>
        <v>JBS</v>
      </c>
      <c r="F579" s="77" t="s">
        <v>123</v>
      </c>
      <c r="G579" s="73" t="str">
        <f>VLOOKUP(F579,'[2]Lista de Produtos CLASSIFICAÇÃO'!$E$103:$F$114,2,FALSE)</f>
        <v>Aquecidos</v>
      </c>
      <c r="H579" s="78">
        <v>5617</v>
      </c>
    </row>
    <row r="580" spans="1:8" x14ac:dyDescent="0.25">
      <c r="A580" s="71">
        <v>2022</v>
      </c>
      <c r="B580" s="72" t="s">
        <v>228</v>
      </c>
      <c r="C580" s="73" t="s">
        <v>232</v>
      </c>
      <c r="D580" s="73" t="s">
        <v>162</v>
      </c>
      <c r="E580" s="73" t="str">
        <f>VLOOKUP(D580,clientes!$C$3:$D$60,2,FALSE)</f>
        <v>JBS</v>
      </c>
      <c r="F580" s="73" t="s">
        <v>123</v>
      </c>
      <c r="G580" s="73" t="str">
        <f>VLOOKUP(F580,'[2]Lista de Produtos CLASSIFICAÇÃO'!$E$103:$F$114,2,FALSE)</f>
        <v>Aquecidos</v>
      </c>
      <c r="H580" s="74">
        <v>5617</v>
      </c>
    </row>
    <row r="581" spans="1:8" x14ac:dyDescent="0.25">
      <c r="A581" s="75">
        <v>2022</v>
      </c>
      <c r="B581" s="76" t="s">
        <v>229</v>
      </c>
      <c r="C581" s="77" t="s">
        <v>232</v>
      </c>
      <c r="D581" s="77" t="s">
        <v>162</v>
      </c>
      <c r="E581" s="73" t="str">
        <f>VLOOKUP(D581,clientes!$C$3:$D$60,2,FALSE)</f>
        <v>JBS</v>
      </c>
      <c r="F581" s="77" t="s">
        <v>123</v>
      </c>
      <c r="G581" s="73" t="str">
        <f>VLOOKUP(F581,'[2]Lista de Produtos CLASSIFICAÇÃO'!$E$103:$F$114,2,FALSE)</f>
        <v>Aquecidos</v>
      </c>
      <c r="H581" s="78">
        <v>5617</v>
      </c>
    </row>
    <row r="582" spans="1:8" x14ac:dyDescent="0.25">
      <c r="A582" s="71">
        <v>2022</v>
      </c>
      <c r="B582" s="72" t="s">
        <v>210</v>
      </c>
      <c r="C582" s="73" t="s">
        <v>232</v>
      </c>
      <c r="D582" s="73" t="s">
        <v>162</v>
      </c>
      <c r="E582" s="73" t="str">
        <f>VLOOKUP(D582,clientes!$C$3:$D$60,2,FALSE)</f>
        <v>JBS</v>
      </c>
      <c r="F582" s="73" t="s">
        <v>123</v>
      </c>
      <c r="G582" s="73" t="str">
        <f>VLOOKUP(F582,'[2]Lista de Produtos CLASSIFICAÇÃO'!$E$103:$F$114,2,FALSE)</f>
        <v>Aquecidos</v>
      </c>
      <c r="H582" s="74">
        <v>5617</v>
      </c>
    </row>
    <row r="583" spans="1:8" x14ac:dyDescent="0.25">
      <c r="A583" s="75">
        <v>2022</v>
      </c>
      <c r="B583" s="76" t="s">
        <v>211</v>
      </c>
      <c r="C583" s="77" t="s">
        <v>232</v>
      </c>
      <c r="D583" s="77" t="s">
        <v>162</v>
      </c>
      <c r="E583" s="73" t="str">
        <f>VLOOKUP(D583,clientes!$C$3:$D$60,2,FALSE)</f>
        <v>JBS</v>
      </c>
      <c r="F583" s="77" t="s">
        <v>123</v>
      </c>
      <c r="G583" s="73" t="str">
        <f>VLOOKUP(F583,'[2]Lista de Produtos CLASSIFICAÇÃO'!$E$103:$F$114,2,FALSE)</f>
        <v>Aquecidos</v>
      </c>
      <c r="H583" s="78">
        <v>5617</v>
      </c>
    </row>
    <row r="584" spans="1:8" x14ac:dyDescent="0.25">
      <c r="A584" s="71">
        <v>2022</v>
      </c>
      <c r="B584" s="72" t="s">
        <v>212</v>
      </c>
      <c r="C584" s="73" t="s">
        <v>232</v>
      </c>
      <c r="D584" s="73" t="s">
        <v>162</v>
      </c>
      <c r="E584" s="73" t="str">
        <f>VLOOKUP(D584,clientes!$C$3:$D$60,2,FALSE)</f>
        <v>JBS</v>
      </c>
      <c r="F584" s="73" t="s">
        <v>123</v>
      </c>
      <c r="G584" s="73" t="str">
        <f>VLOOKUP(F584,'[2]Lista de Produtos CLASSIFICAÇÃO'!$E$103:$F$114,2,FALSE)</f>
        <v>Aquecidos</v>
      </c>
      <c r="H584" s="74">
        <v>5617</v>
      </c>
    </row>
    <row r="585" spans="1:8" x14ac:dyDescent="0.25">
      <c r="A585" s="75">
        <v>2022</v>
      </c>
      <c r="B585" s="76" t="s">
        <v>213</v>
      </c>
      <c r="C585" s="77" t="s">
        <v>232</v>
      </c>
      <c r="D585" s="77" t="s">
        <v>162</v>
      </c>
      <c r="E585" s="73" t="str">
        <f>VLOOKUP(D585,clientes!$C$3:$D$60,2,FALSE)</f>
        <v>JBS</v>
      </c>
      <c r="F585" s="77" t="s">
        <v>123</v>
      </c>
      <c r="G585" s="73" t="str">
        <f>VLOOKUP(F585,'[2]Lista de Produtos CLASSIFICAÇÃO'!$E$103:$F$114,2,FALSE)</f>
        <v>Aquecidos</v>
      </c>
      <c r="H585" s="78">
        <v>5617</v>
      </c>
    </row>
    <row r="586" spans="1:8" x14ac:dyDescent="0.25">
      <c r="A586" s="71">
        <v>2022</v>
      </c>
      <c r="B586" s="72" t="s">
        <v>214</v>
      </c>
      <c r="C586" s="73" t="s">
        <v>232</v>
      </c>
      <c r="D586" s="73" t="s">
        <v>162</v>
      </c>
      <c r="E586" s="73" t="str">
        <f>VLOOKUP(D586,clientes!$C$3:$D$60,2,FALSE)</f>
        <v>JBS</v>
      </c>
      <c r="F586" s="73" t="s">
        <v>123</v>
      </c>
      <c r="G586" s="73" t="str">
        <f>VLOOKUP(F586,'[2]Lista de Produtos CLASSIFICAÇÃO'!$E$103:$F$114,2,FALSE)</f>
        <v>Aquecidos</v>
      </c>
      <c r="H586" s="74">
        <v>5617</v>
      </c>
    </row>
    <row r="587" spans="1:8" x14ac:dyDescent="0.25">
      <c r="A587" s="75">
        <v>2022</v>
      </c>
      <c r="B587" s="76" t="s">
        <v>215</v>
      </c>
      <c r="C587" s="77" t="s">
        <v>232</v>
      </c>
      <c r="D587" s="77" t="s">
        <v>162</v>
      </c>
      <c r="E587" s="73" t="str">
        <f>VLOOKUP(D587,clientes!$C$3:$D$60,2,FALSE)</f>
        <v>JBS</v>
      </c>
      <c r="F587" s="77" t="s">
        <v>123</v>
      </c>
      <c r="G587" s="73" t="str">
        <f>VLOOKUP(F587,'[2]Lista de Produtos CLASSIFICAÇÃO'!$E$103:$F$114,2,FALSE)</f>
        <v>Aquecidos</v>
      </c>
      <c r="H587" s="78">
        <v>5617</v>
      </c>
    </row>
    <row r="588" spans="1:8" x14ac:dyDescent="0.25">
      <c r="A588" s="71">
        <v>2022</v>
      </c>
      <c r="B588" s="72" t="s">
        <v>230</v>
      </c>
      <c r="C588" s="73" t="s">
        <v>232</v>
      </c>
      <c r="D588" s="73" t="s">
        <v>162</v>
      </c>
      <c r="E588" s="73" t="str">
        <f>VLOOKUP(D588,clientes!$C$3:$D$60,2,FALSE)</f>
        <v>JBS</v>
      </c>
      <c r="F588" s="73" t="s">
        <v>123</v>
      </c>
      <c r="G588" s="73" t="str">
        <f>VLOOKUP(F588,'[2]Lista de Produtos CLASSIFICAÇÃO'!$E$103:$F$114,2,FALSE)</f>
        <v>Aquecidos</v>
      </c>
      <c r="H588" s="74">
        <v>5617</v>
      </c>
    </row>
    <row r="589" spans="1:8" x14ac:dyDescent="0.25">
      <c r="A589" s="75">
        <v>2022</v>
      </c>
      <c r="B589" s="76" t="s">
        <v>231</v>
      </c>
      <c r="C589" s="77" t="s">
        <v>232</v>
      </c>
      <c r="D589" s="77" t="s">
        <v>162</v>
      </c>
      <c r="E589" s="73" t="str">
        <f>VLOOKUP(D589,clientes!$C$3:$D$60,2,FALSE)</f>
        <v>JBS</v>
      </c>
      <c r="F589" s="77" t="s">
        <v>123</v>
      </c>
      <c r="G589" s="73" t="str">
        <f>VLOOKUP(F589,'[2]Lista de Produtos CLASSIFICAÇÃO'!$E$103:$F$114,2,FALSE)</f>
        <v>Aquecidos</v>
      </c>
      <c r="H589" s="78">
        <v>5617</v>
      </c>
    </row>
    <row r="590" spans="1:8" x14ac:dyDescent="0.25">
      <c r="A590" s="71">
        <v>2022</v>
      </c>
      <c r="B590" s="72" t="s">
        <v>226</v>
      </c>
      <c r="C590" s="73" t="s">
        <v>225</v>
      </c>
      <c r="D590" s="73" t="s">
        <v>162</v>
      </c>
      <c r="E590" s="73" t="str">
        <f>VLOOKUP(D590,clientes!$C$3:$D$60,2,FALSE)</f>
        <v>JBS</v>
      </c>
      <c r="F590" s="73" t="s">
        <v>115</v>
      </c>
      <c r="G590" s="73" t="str">
        <f>VLOOKUP(F590,'[2]Lista de Produtos CLASSIFICAÇÃO'!$E$103:$F$114,2,FALSE)</f>
        <v>Soda Caustica</v>
      </c>
      <c r="H590" s="74">
        <v>2200</v>
      </c>
    </row>
    <row r="591" spans="1:8" x14ac:dyDescent="0.25">
      <c r="A591" s="75">
        <v>2022</v>
      </c>
      <c r="B591" s="76" t="s">
        <v>227</v>
      </c>
      <c r="C591" s="77" t="s">
        <v>225</v>
      </c>
      <c r="D591" s="77" t="s">
        <v>162</v>
      </c>
      <c r="E591" s="73" t="str">
        <f>VLOOKUP(D591,clientes!$C$3:$D$60,2,FALSE)</f>
        <v>JBS</v>
      </c>
      <c r="F591" s="77" t="s">
        <v>115</v>
      </c>
      <c r="G591" s="73" t="str">
        <f>VLOOKUP(F591,'[2]Lista de Produtos CLASSIFICAÇÃO'!$E$103:$F$114,2,FALSE)</f>
        <v>Soda Caustica</v>
      </c>
      <c r="H591" s="78">
        <v>2200</v>
      </c>
    </row>
    <row r="592" spans="1:8" x14ac:dyDescent="0.25">
      <c r="A592" s="71">
        <v>2022</v>
      </c>
      <c r="B592" s="72" t="s">
        <v>228</v>
      </c>
      <c r="C592" s="73" t="s">
        <v>225</v>
      </c>
      <c r="D592" s="73" t="s">
        <v>162</v>
      </c>
      <c r="E592" s="73" t="str">
        <f>VLOOKUP(D592,clientes!$C$3:$D$60,2,FALSE)</f>
        <v>JBS</v>
      </c>
      <c r="F592" s="73" t="s">
        <v>115</v>
      </c>
      <c r="G592" s="73" t="str">
        <f>VLOOKUP(F592,'[2]Lista de Produtos CLASSIFICAÇÃO'!$E$103:$F$114,2,FALSE)</f>
        <v>Soda Caustica</v>
      </c>
      <c r="H592" s="74">
        <v>2200</v>
      </c>
    </row>
    <row r="593" spans="1:8" x14ac:dyDescent="0.25">
      <c r="A593" s="75">
        <v>2022</v>
      </c>
      <c r="B593" s="76" t="s">
        <v>229</v>
      </c>
      <c r="C593" s="77" t="s">
        <v>225</v>
      </c>
      <c r="D593" s="77" t="s">
        <v>162</v>
      </c>
      <c r="E593" s="73" t="str">
        <f>VLOOKUP(D593,clientes!$C$3:$D$60,2,FALSE)</f>
        <v>JBS</v>
      </c>
      <c r="F593" s="77" t="s">
        <v>115</v>
      </c>
      <c r="G593" s="73" t="str">
        <f>VLOOKUP(F593,'[2]Lista de Produtos CLASSIFICAÇÃO'!$E$103:$F$114,2,FALSE)</f>
        <v>Soda Caustica</v>
      </c>
      <c r="H593" s="78">
        <v>2200</v>
      </c>
    </row>
    <row r="594" spans="1:8" x14ac:dyDescent="0.25">
      <c r="A594" s="71">
        <v>2022</v>
      </c>
      <c r="B594" s="72" t="s">
        <v>210</v>
      </c>
      <c r="C594" s="73" t="s">
        <v>225</v>
      </c>
      <c r="D594" s="73" t="s">
        <v>162</v>
      </c>
      <c r="E594" s="73" t="str">
        <f>VLOOKUP(D594,clientes!$C$3:$D$60,2,FALSE)</f>
        <v>JBS</v>
      </c>
      <c r="F594" s="73" t="s">
        <v>115</v>
      </c>
      <c r="G594" s="73" t="str">
        <f>VLOOKUP(F594,'[2]Lista de Produtos CLASSIFICAÇÃO'!$E$103:$F$114,2,FALSE)</f>
        <v>Soda Caustica</v>
      </c>
      <c r="H594" s="74">
        <v>2200</v>
      </c>
    </row>
    <row r="595" spans="1:8" x14ac:dyDescent="0.25">
      <c r="A595" s="75">
        <v>2022</v>
      </c>
      <c r="B595" s="76" t="s">
        <v>211</v>
      </c>
      <c r="C595" s="77" t="s">
        <v>225</v>
      </c>
      <c r="D595" s="77" t="s">
        <v>162</v>
      </c>
      <c r="E595" s="73" t="str">
        <f>VLOOKUP(D595,clientes!$C$3:$D$60,2,FALSE)</f>
        <v>JBS</v>
      </c>
      <c r="F595" s="77" t="s">
        <v>115</v>
      </c>
      <c r="G595" s="73" t="str">
        <f>VLOOKUP(F595,'[2]Lista de Produtos CLASSIFICAÇÃO'!$E$103:$F$114,2,FALSE)</f>
        <v>Soda Caustica</v>
      </c>
      <c r="H595" s="78">
        <v>2200</v>
      </c>
    </row>
    <row r="596" spans="1:8" x14ac:dyDescent="0.25">
      <c r="A596" s="71">
        <v>2022</v>
      </c>
      <c r="B596" s="72" t="s">
        <v>212</v>
      </c>
      <c r="C596" s="73" t="s">
        <v>225</v>
      </c>
      <c r="D596" s="73" t="s">
        <v>162</v>
      </c>
      <c r="E596" s="73" t="str">
        <f>VLOOKUP(D596,clientes!$C$3:$D$60,2,FALSE)</f>
        <v>JBS</v>
      </c>
      <c r="F596" s="73" t="s">
        <v>115</v>
      </c>
      <c r="G596" s="73" t="str">
        <f>VLOOKUP(F596,'[2]Lista de Produtos CLASSIFICAÇÃO'!$E$103:$F$114,2,FALSE)</f>
        <v>Soda Caustica</v>
      </c>
      <c r="H596" s="74">
        <v>2200</v>
      </c>
    </row>
    <row r="597" spans="1:8" x14ac:dyDescent="0.25">
      <c r="A597" s="75">
        <v>2022</v>
      </c>
      <c r="B597" s="76" t="s">
        <v>213</v>
      </c>
      <c r="C597" s="77" t="s">
        <v>225</v>
      </c>
      <c r="D597" s="77" t="s">
        <v>162</v>
      </c>
      <c r="E597" s="73" t="str">
        <f>VLOOKUP(D597,clientes!$C$3:$D$60,2,FALSE)</f>
        <v>JBS</v>
      </c>
      <c r="F597" s="77" t="s">
        <v>115</v>
      </c>
      <c r="G597" s="73" t="str">
        <f>VLOOKUP(F597,'[2]Lista de Produtos CLASSIFICAÇÃO'!$E$103:$F$114,2,FALSE)</f>
        <v>Soda Caustica</v>
      </c>
      <c r="H597" s="78">
        <v>2200</v>
      </c>
    </row>
    <row r="598" spans="1:8" x14ac:dyDescent="0.25">
      <c r="A598" s="71">
        <v>2022</v>
      </c>
      <c r="B598" s="72" t="s">
        <v>214</v>
      </c>
      <c r="C598" s="73" t="s">
        <v>225</v>
      </c>
      <c r="D598" s="73" t="s">
        <v>162</v>
      </c>
      <c r="E598" s="73" t="str">
        <f>VLOOKUP(D598,clientes!$C$3:$D$60,2,FALSE)</f>
        <v>JBS</v>
      </c>
      <c r="F598" s="73" t="s">
        <v>115</v>
      </c>
      <c r="G598" s="73" t="str">
        <f>VLOOKUP(F598,'[2]Lista de Produtos CLASSIFICAÇÃO'!$E$103:$F$114,2,FALSE)</f>
        <v>Soda Caustica</v>
      </c>
      <c r="H598" s="74">
        <v>2200</v>
      </c>
    </row>
    <row r="599" spans="1:8" x14ac:dyDescent="0.25">
      <c r="A599" s="75">
        <v>2022</v>
      </c>
      <c r="B599" s="76" t="s">
        <v>215</v>
      </c>
      <c r="C599" s="77" t="s">
        <v>225</v>
      </c>
      <c r="D599" s="77" t="s">
        <v>162</v>
      </c>
      <c r="E599" s="73" t="str">
        <f>VLOOKUP(D599,clientes!$C$3:$D$60,2,FALSE)</f>
        <v>JBS</v>
      </c>
      <c r="F599" s="77" t="s">
        <v>115</v>
      </c>
      <c r="G599" s="73" t="str">
        <f>VLOOKUP(F599,'[2]Lista de Produtos CLASSIFICAÇÃO'!$E$103:$F$114,2,FALSE)</f>
        <v>Soda Caustica</v>
      </c>
      <c r="H599" s="78">
        <v>2200</v>
      </c>
    </row>
    <row r="600" spans="1:8" x14ac:dyDescent="0.25">
      <c r="A600" s="71">
        <v>2022</v>
      </c>
      <c r="B600" s="72" t="s">
        <v>230</v>
      </c>
      <c r="C600" s="73" t="s">
        <v>225</v>
      </c>
      <c r="D600" s="73" t="s">
        <v>162</v>
      </c>
      <c r="E600" s="73" t="str">
        <f>VLOOKUP(D600,clientes!$C$3:$D$60,2,FALSE)</f>
        <v>JBS</v>
      </c>
      <c r="F600" s="73" t="s">
        <v>115</v>
      </c>
      <c r="G600" s="73" t="str">
        <f>VLOOKUP(F600,'[2]Lista de Produtos CLASSIFICAÇÃO'!$E$103:$F$114,2,FALSE)</f>
        <v>Soda Caustica</v>
      </c>
      <c r="H600" s="74">
        <v>2200</v>
      </c>
    </row>
    <row r="601" spans="1:8" x14ac:dyDescent="0.25">
      <c r="A601" s="75">
        <v>2022</v>
      </c>
      <c r="B601" s="76" t="s">
        <v>231</v>
      </c>
      <c r="C601" s="77" t="s">
        <v>225</v>
      </c>
      <c r="D601" s="77" t="s">
        <v>162</v>
      </c>
      <c r="E601" s="73" t="str">
        <f>VLOOKUP(D601,clientes!$C$3:$D$60,2,FALSE)</f>
        <v>JBS</v>
      </c>
      <c r="F601" s="77" t="s">
        <v>115</v>
      </c>
      <c r="G601" s="73" t="str">
        <f>VLOOKUP(F601,'[2]Lista de Produtos CLASSIFICAÇÃO'!$E$103:$F$114,2,FALSE)</f>
        <v>Soda Caustica</v>
      </c>
      <c r="H601" s="78">
        <v>2200</v>
      </c>
    </row>
    <row r="602" spans="1:8" x14ac:dyDescent="0.25">
      <c r="A602" s="71">
        <v>2022</v>
      </c>
      <c r="B602" s="72" t="s">
        <v>226</v>
      </c>
      <c r="C602" s="73" t="s">
        <v>234</v>
      </c>
      <c r="D602" s="73" t="s">
        <v>169</v>
      </c>
      <c r="E602" s="73" t="str">
        <f>VLOOKUP(D602,clientes!$C$3:$D$60,2,FALSE)</f>
        <v>METHANEX</v>
      </c>
      <c r="F602" s="73" t="s">
        <v>22</v>
      </c>
      <c r="G602" s="73" t="str">
        <f>VLOOKUP(F602,'[2]Lista de Produtos CLASSIFICAÇÃO'!$E$103:$F$114,2,FALSE)</f>
        <v>Metanol</v>
      </c>
      <c r="H602" s="74">
        <v>94000</v>
      </c>
    </row>
    <row r="603" spans="1:8" x14ac:dyDescent="0.25">
      <c r="A603" s="75">
        <v>2022</v>
      </c>
      <c r="B603" s="76" t="s">
        <v>227</v>
      </c>
      <c r="C603" s="77" t="s">
        <v>234</v>
      </c>
      <c r="D603" s="77" t="s">
        <v>169</v>
      </c>
      <c r="E603" s="73" t="str">
        <f>VLOOKUP(D603,clientes!$C$3:$D$60,2,FALSE)</f>
        <v>METHANEX</v>
      </c>
      <c r="F603" s="77" t="s">
        <v>22</v>
      </c>
      <c r="G603" s="73" t="str">
        <f>VLOOKUP(F603,'[2]Lista de Produtos CLASSIFICAÇÃO'!$E$103:$F$114,2,FALSE)</f>
        <v>Metanol</v>
      </c>
      <c r="H603" s="78">
        <v>94000</v>
      </c>
    </row>
    <row r="604" spans="1:8" x14ac:dyDescent="0.25">
      <c r="A604" s="71">
        <v>2022</v>
      </c>
      <c r="B604" s="72" t="s">
        <v>228</v>
      </c>
      <c r="C604" s="73" t="s">
        <v>234</v>
      </c>
      <c r="D604" s="73" t="s">
        <v>169</v>
      </c>
      <c r="E604" s="73" t="str">
        <f>VLOOKUP(D604,clientes!$C$3:$D$60,2,FALSE)</f>
        <v>METHANEX</v>
      </c>
      <c r="F604" s="73" t="s">
        <v>22</v>
      </c>
      <c r="G604" s="73" t="str">
        <f>VLOOKUP(F604,'[2]Lista de Produtos CLASSIFICAÇÃO'!$E$103:$F$114,2,FALSE)</f>
        <v>Metanol</v>
      </c>
      <c r="H604" s="74">
        <v>94000</v>
      </c>
    </row>
    <row r="605" spans="1:8" x14ac:dyDescent="0.25">
      <c r="A605" s="75">
        <v>2022</v>
      </c>
      <c r="B605" s="76" t="s">
        <v>229</v>
      </c>
      <c r="C605" s="77" t="s">
        <v>234</v>
      </c>
      <c r="D605" s="77" t="s">
        <v>169</v>
      </c>
      <c r="E605" s="73" t="str">
        <f>VLOOKUP(D605,clientes!$C$3:$D$60,2,FALSE)</f>
        <v>METHANEX</v>
      </c>
      <c r="F605" s="77" t="s">
        <v>22</v>
      </c>
      <c r="G605" s="73" t="str">
        <f>VLOOKUP(F605,'[2]Lista de Produtos CLASSIFICAÇÃO'!$E$103:$F$114,2,FALSE)</f>
        <v>Metanol</v>
      </c>
      <c r="H605" s="78">
        <v>94000</v>
      </c>
    </row>
    <row r="606" spans="1:8" x14ac:dyDescent="0.25">
      <c r="A606" s="71">
        <v>2022</v>
      </c>
      <c r="B606" s="72" t="s">
        <v>210</v>
      </c>
      <c r="C606" s="73" t="s">
        <v>234</v>
      </c>
      <c r="D606" s="73" t="s">
        <v>169</v>
      </c>
      <c r="E606" s="73" t="str">
        <f>VLOOKUP(D606,clientes!$C$3:$D$60,2,FALSE)</f>
        <v>METHANEX</v>
      </c>
      <c r="F606" s="73" t="s">
        <v>22</v>
      </c>
      <c r="G606" s="73" t="str">
        <f>VLOOKUP(F606,'[2]Lista de Produtos CLASSIFICAÇÃO'!$E$103:$F$114,2,FALSE)</f>
        <v>Metanol</v>
      </c>
      <c r="H606" s="74">
        <v>94000</v>
      </c>
    </row>
    <row r="607" spans="1:8" x14ac:dyDescent="0.25">
      <c r="A607" s="75">
        <v>2022</v>
      </c>
      <c r="B607" s="76" t="s">
        <v>211</v>
      </c>
      <c r="C607" s="77" t="s">
        <v>234</v>
      </c>
      <c r="D607" s="77" t="s">
        <v>169</v>
      </c>
      <c r="E607" s="73" t="str">
        <f>VLOOKUP(D607,clientes!$C$3:$D$60,2,FALSE)</f>
        <v>METHANEX</v>
      </c>
      <c r="F607" s="77" t="s">
        <v>22</v>
      </c>
      <c r="G607" s="73" t="str">
        <f>VLOOKUP(F607,'[2]Lista de Produtos CLASSIFICAÇÃO'!$E$103:$F$114,2,FALSE)</f>
        <v>Metanol</v>
      </c>
      <c r="H607" s="78">
        <v>94000</v>
      </c>
    </row>
    <row r="608" spans="1:8" x14ac:dyDescent="0.25">
      <c r="A608" s="71">
        <v>2022</v>
      </c>
      <c r="B608" s="72" t="s">
        <v>212</v>
      </c>
      <c r="C608" s="73" t="s">
        <v>234</v>
      </c>
      <c r="D608" s="73" t="s">
        <v>169</v>
      </c>
      <c r="E608" s="73" t="str">
        <f>VLOOKUP(D608,clientes!$C$3:$D$60,2,FALSE)</f>
        <v>METHANEX</v>
      </c>
      <c r="F608" s="73" t="s">
        <v>22</v>
      </c>
      <c r="G608" s="73" t="str">
        <f>VLOOKUP(F608,'[2]Lista de Produtos CLASSIFICAÇÃO'!$E$103:$F$114,2,FALSE)</f>
        <v>Metanol</v>
      </c>
      <c r="H608" s="74">
        <v>94000</v>
      </c>
    </row>
    <row r="609" spans="1:8" x14ac:dyDescent="0.25">
      <c r="A609" s="75">
        <v>2022</v>
      </c>
      <c r="B609" s="76" t="s">
        <v>213</v>
      </c>
      <c r="C609" s="77" t="s">
        <v>234</v>
      </c>
      <c r="D609" s="77" t="s">
        <v>169</v>
      </c>
      <c r="E609" s="73" t="str">
        <f>VLOOKUP(D609,clientes!$C$3:$D$60,2,FALSE)</f>
        <v>METHANEX</v>
      </c>
      <c r="F609" s="77" t="s">
        <v>22</v>
      </c>
      <c r="G609" s="73" t="str">
        <f>VLOOKUP(F609,'[2]Lista de Produtos CLASSIFICAÇÃO'!$E$103:$F$114,2,FALSE)</f>
        <v>Metanol</v>
      </c>
      <c r="H609" s="78">
        <v>94000</v>
      </c>
    </row>
    <row r="610" spans="1:8" x14ac:dyDescent="0.25">
      <c r="A610" s="71">
        <v>2022</v>
      </c>
      <c r="B610" s="72" t="s">
        <v>214</v>
      </c>
      <c r="C610" s="73" t="s">
        <v>234</v>
      </c>
      <c r="D610" s="73" t="s">
        <v>169</v>
      </c>
      <c r="E610" s="73" t="str">
        <f>VLOOKUP(D610,clientes!$C$3:$D$60,2,FALSE)</f>
        <v>METHANEX</v>
      </c>
      <c r="F610" s="73" t="s">
        <v>22</v>
      </c>
      <c r="G610" s="73" t="str">
        <f>VLOOKUP(F610,'[2]Lista de Produtos CLASSIFICAÇÃO'!$E$103:$F$114,2,FALSE)</f>
        <v>Metanol</v>
      </c>
      <c r="H610" s="74">
        <v>94000</v>
      </c>
    </row>
    <row r="611" spans="1:8" x14ac:dyDescent="0.25">
      <c r="A611" s="75">
        <v>2022</v>
      </c>
      <c r="B611" s="76" t="s">
        <v>215</v>
      </c>
      <c r="C611" s="77" t="s">
        <v>234</v>
      </c>
      <c r="D611" s="77" t="s">
        <v>169</v>
      </c>
      <c r="E611" s="73" t="str">
        <f>VLOOKUP(D611,clientes!$C$3:$D$60,2,FALSE)</f>
        <v>METHANEX</v>
      </c>
      <c r="F611" s="77" t="s">
        <v>22</v>
      </c>
      <c r="G611" s="73" t="str">
        <f>VLOOKUP(F611,'[2]Lista de Produtos CLASSIFICAÇÃO'!$E$103:$F$114,2,FALSE)</f>
        <v>Metanol</v>
      </c>
      <c r="H611" s="78">
        <v>94000</v>
      </c>
    </row>
    <row r="612" spans="1:8" x14ac:dyDescent="0.25">
      <c r="A612" s="71">
        <v>2022</v>
      </c>
      <c r="B612" s="72" t="s">
        <v>230</v>
      </c>
      <c r="C612" s="73" t="s">
        <v>234</v>
      </c>
      <c r="D612" s="73" t="s">
        <v>169</v>
      </c>
      <c r="E612" s="73" t="str">
        <f>VLOOKUP(D612,clientes!$C$3:$D$60,2,FALSE)</f>
        <v>METHANEX</v>
      </c>
      <c r="F612" s="73" t="s">
        <v>22</v>
      </c>
      <c r="G612" s="73" t="str">
        <f>VLOOKUP(F612,'[2]Lista de Produtos CLASSIFICAÇÃO'!$E$103:$F$114,2,FALSE)</f>
        <v>Metanol</v>
      </c>
      <c r="H612" s="74">
        <v>94000</v>
      </c>
    </row>
    <row r="613" spans="1:8" x14ac:dyDescent="0.25">
      <c r="A613" s="75">
        <v>2022</v>
      </c>
      <c r="B613" s="76" t="s">
        <v>231</v>
      </c>
      <c r="C613" s="77" t="s">
        <v>234</v>
      </c>
      <c r="D613" s="77" t="s">
        <v>169</v>
      </c>
      <c r="E613" s="73" t="str">
        <f>VLOOKUP(D613,clientes!$C$3:$D$60,2,FALSE)</f>
        <v>METHANEX</v>
      </c>
      <c r="F613" s="77" t="s">
        <v>22</v>
      </c>
      <c r="G613" s="73" t="str">
        <f>VLOOKUP(F613,'[2]Lista de Produtos CLASSIFICAÇÃO'!$E$103:$F$114,2,FALSE)</f>
        <v>Metanol</v>
      </c>
      <c r="H613" s="78">
        <v>94000</v>
      </c>
    </row>
    <row r="614" spans="1:8" x14ac:dyDescent="0.25">
      <c r="A614" s="71">
        <v>2022</v>
      </c>
      <c r="B614" s="72" t="s">
        <v>226</v>
      </c>
      <c r="C614" s="73" t="s">
        <v>234</v>
      </c>
      <c r="D614" s="73" t="s">
        <v>170</v>
      </c>
      <c r="E614" s="73" t="str">
        <f>VLOOKUP(D614,clientes!$C$3:$D$60,2,FALSE)</f>
        <v>MITSUBISHI</v>
      </c>
      <c r="F614" s="73" t="s">
        <v>22</v>
      </c>
      <c r="G614" s="73" t="str">
        <f>VLOOKUP(F614,'[2]Lista de Produtos CLASSIFICAÇÃO'!$E$103:$F$114,2,FALSE)</f>
        <v>Metanol</v>
      </c>
      <c r="H614" s="74">
        <v>42000</v>
      </c>
    </row>
    <row r="615" spans="1:8" x14ac:dyDescent="0.25">
      <c r="A615" s="75">
        <v>2022</v>
      </c>
      <c r="B615" s="76" t="s">
        <v>227</v>
      </c>
      <c r="C615" s="77" t="s">
        <v>234</v>
      </c>
      <c r="D615" s="77" t="s">
        <v>170</v>
      </c>
      <c r="E615" s="73" t="str">
        <f>VLOOKUP(D615,clientes!$C$3:$D$60,2,FALSE)</f>
        <v>MITSUBISHI</v>
      </c>
      <c r="F615" s="77" t="s">
        <v>22</v>
      </c>
      <c r="G615" s="73" t="str">
        <f>VLOOKUP(F615,'[2]Lista de Produtos CLASSIFICAÇÃO'!$E$103:$F$114,2,FALSE)</f>
        <v>Metanol</v>
      </c>
      <c r="H615" s="78">
        <v>42000</v>
      </c>
    </row>
    <row r="616" spans="1:8" x14ac:dyDescent="0.25">
      <c r="A616" s="71">
        <v>2022</v>
      </c>
      <c r="B616" s="72" t="s">
        <v>228</v>
      </c>
      <c r="C616" s="73" t="s">
        <v>234</v>
      </c>
      <c r="D616" s="73" t="s">
        <v>170</v>
      </c>
      <c r="E616" s="73" t="str">
        <f>VLOOKUP(D616,clientes!$C$3:$D$60,2,FALSE)</f>
        <v>MITSUBISHI</v>
      </c>
      <c r="F616" s="73" t="s">
        <v>22</v>
      </c>
      <c r="G616" s="73" t="str">
        <f>VLOOKUP(F616,'[2]Lista de Produtos CLASSIFICAÇÃO'!$E$103:$F$114,2,FALSE)</f>
        <v>Metanol</v>
      </c>
      <c r="H616" s="74">
        <v>42000</v>
      </c>
    </row>
    <row r="617" spans="1:8" x14ac:dyDescent="0.25">
      <c r="A617" s="75">
        <v>2022</v>
      </c>
      <c r="B617" s="76" t="s">
        <v>229</v>
      </c>
      <c r="C617" s="77" t="s">
        <v>234</v>
      </c>
      <c r="D617" s="77" t="s">
        <v>170</v>
      </c>
      <c r="E617" s="73" t="str">
        <f>VLOOKUP(D617,clientes!$C$3:$D$60,2,FALSE)</f>
        <v>MITSUBISHI</v>
      </c>
      <c r="F617" s="77" t="s">
        <v>22</v>
      </c>
      <c r="G617" s="73" t="str">
        <f>VLOOKUP(F617,'[2]Lista de Produtos CLASSIFICAÇÃO'!$E$103:$F$114,2,FALSE)</f>
        <v>Metanol</v>
      </c>
      <c r="H617" s="78">
        <v>42000</v>
      </c>
    </row>
    <row r="618" spans="1:8" x14ac:dyDescent="0.25">
      <c r="A618" s="71">
        <v>2022</v>
      </c>
      <c r="B618" s="72" t="s">
        <v>210</v>
      </c>
      <c r="C618" s="73" t="s">
        <v>234</v>
      </c>
      <c r="D618" s="73" t="s">
        <v>170</v>
      </c>
      <c r="E618" s="73" t="str">
        <f>VLOOKUP(D618,clientes!$C$3:$D$60,2,FALSE)</f>
        <v>MITSUBISHI</v>
      </c>
      <c r="F618" s="73" t="s">
        <v>22</v>
      </c>
      <c r="G618" s="73" t="str">
        <f>VLOOKUP(F618,'[2]Lista de Produtos CLASSIFICAÇÃO'!$E$103:$F$114,2,FALSE)</f>
        <v>Metanol</v>
      </c>
      <c r="H618" s="74">
        <v>42000</v>
      </c>
    </row>
    <row r="619" spans="1:8" x14ac:dyDescent="0.25">
      <c r="A619" s="75">
        <v>2022</v>
      </c>
      <c r="B619" s="76" t="s">
        <v>211</v>
      </c>
      <c r="C619" s="77" t="s">
        <v>234</v>
      </c>
      <c r="D619" s="77" t="s">
        <v>170</v>
      </c>
      <c r="E619" s="73" t="str">
        <f>VLOOKUP(D619,clientes!$C$3:$D$60,2,FALSE)</f>
        <v>MITSUBISHI</v>
      </c>
      <c r="F619" s="77" t="s">
        <v>22</v>
      </c>
      <c r="G619" s="73" t="str">
        <f>VLOOKUP(F619,'[2]Lista de Produtos CLASSIFICAÇÃO'!$E$103:$F$114,2,FALSE)</f>
        <v>Metanol</v>
      </c>
      <c r="H619" s="78">
        <v>42000</v>
      </c>
    </row>
    <row r="620" spans="1:8" x14ac:dyDescent="0.25">
      <c r="A620" s="71">
        <v>2022</v>
      </c>
      <c r="B620" s="72" t="s">
        <v>212</v>
      </c>
      <c r="C620" s="73" t="s">
        <v>234</v>
      </c>
      <c r="D620" s="73" t="s">
        <v>170</v>
      </c>
      <c r="E620" s="73" t="str">
        <f>VLOOKUP(D620,clientes!$C$3:$D$60,2,FALSE)</f>
        <v>MITSUBISHI</v>
      </c>
      <c r="F620" s="73" t="s">
        <v>22</v>
      </c>
      <c r="G620" s="73" t="str">
        <f>VLOOKUP(F620,'[2]Lista de Produtos CLASSIFICAÇÃO'!$E$103:$F$114,2,FALSE)</f>
        <v>Metanol</v>
      </c>
      <c r="H620" s="74">
        <v>42000</v>
      </c>
    </row>
    <row r="621" spans="1:8" x14ac:dyDescent="0.25">
      <c r="A621" s="75">
        <v>2022</v>
      </c>
      <c r="B621" s="76" t="s">
        <v>213</v>
      </c>
      <c r="C621" s="77" t="s">
        <v>234</v>
      </c>
      <c r="D621" s="77" t="s">
        <v>170</v>
      </c>
      <c r="E621" s="73" t="str">
        <f>VLOOKUP(D621,clientes!$C$3:$D$60,2,FALSE)</f>
        <v>MITSUBISHI</v>
      </c>
      <c r="F621" s="77" t="s">
        <v>22</v>
      </c>
      <c r="G621" s="73" t="str">
        <f>VLOOKUP(F621,'[2]Lista de Produtos CLASSIFICAÇÃO'!$E$103:$F$114,2,FALSE)</f>
        <v>Metanol</v>
      </c>
      <c r="H621" s="78">
        <v>42000</v>
      </c>
    </row>
    <row r="622" spans="1:8" x14ac:dyDescent="0.25">
      <c r="A622" s="71">
        <v>2022</v>
      </c>
      <c r="B622" s="72" t="s">
        <v>214</v>
      </c>
      <c r="C622" s="73" t="s">
        <v>234</v>
      </c>
      <c r="D622" s="73" t="s">
        <v>170</v>
      </c>
      <c r="E622" s="73" t="str">
        <f>VLOOKUP(D622,clientes!$C$3:$D$60,2,FALSE)</f>
        <v>MITSUBISHI</v>
      </c>
      <c r="F622" s="73" t="s">
        <v>22</v>
      </c>
      <c r="G622" s="73" t="str">
        <f>VLOOKUP(F622,'[2]Lista de Produtos CLASSIFICAÇÃO'!$E$103:$F$114,2,FALSE)</f>
        <v>Metanol</v>
      </c>
      <c r="H622" s="74">
        <v>42000</v>
      </c>
    </row>
    <row r="623" spans="1:8" x14ac:dyDescent="0.25">
      <c r="A623" s="75">
        <v>2022</v>
      </c>
      <c r="B623" s="76" t="s">
        <v>215</v>
      </c>
      <c r="C623" s="77" t="s">
        <v>234</v>
      </c>
      <c r="D623" s="77" t="s">
        <v>170</v>
      </c>
      <c r="E623" s="73" t="str">
        <f>VLOOKUP(D623,clientes!$C$3:$D$60,2,FALSE)</f>
        <v>MITSUBISHI</v>
      </c>
      <c r="F623" s="77" t="s">
        <v>22</v>
      </c>
      <c r="G623" s="73" t="str">
        <f>VLOOKUP(F623,'[2]Lista de Produtos CLASSIFICAÇÃO'!$E$103:$F$114,2,FALSE)</f>
        <v>Metanol</v>
      </c>
      <c r="H623" s="78">
        <v>42000</v>
      </c>
    </row>
    <row r="624" spans="1:8" x14ac:dyDescent="0.25">
      <c r="A624" s="71">
        <v>2022</v>
      </c>
      <c r="B624" s="72" t="s">
        <v>230</v>
      </c>
      <c r="C624" s="73" t="s">
        <v>234</v>
      </c>
      <c r="D624" s="73" t="s">
        <v>170</v>
      </c>
      <c r="E624" s="73" t="str">
        <f>VLOOKUP(D624,clientes!$C$3:$D$60,2,FALSE)</f>
        <v>MITSUBISHI</v>
      </c>
      <c r="F624" s="73" t="s">
        <v>22</v>
      </c>
      <c r="G624" s="73" t="str">
        <f>VLOOKUP(F624,'[2]Lista de Produtos CLASSIFICAÇÃO'!$E$103:$F$114,2,FALSE)</f>
        <v>Metanol</v>
      </c>
      <c r="H624" s="74">
        <v>42000</v>
      </c>
    </row>
    <row r="625" spans="1:8" x14ac:dyDescent="0.25">
      <c r="A625" s="75">
        <v>2022</v>
      </c>
      <c r="B625" s="76" t="s">
        <v>231</v>
      </c>
      <c r="C625" s="77" t="s">
        <v>234</v>
      </c>
      <c r="D625" s="77" t="s">
        <v>170</v>
      </c>
      <c r="E625" s="73" t="str">
        <f>VLOOKUP(D625,clientes!$C$3:$D$60,2,FALSE)</f>
        <v>MITSUBISHI</v>
      </c>
      <c r="F625" s="77" t="s">
        <v>22</v>
      </c>
      <c r="G625" s="73" t="str">
        <f>VLOOKUP(F625,'[2]Lista de Produtos CLASSIFICAÇÃO'!$E$103:$F$114,2,FALSE)</f>
        <v>Metanol</v>
      </c>
      <c r="H625" s="78">
        <v>42000</v>
      </c>
    </row>
    <row r="626" spans="1:8" x14ac:dyDescent="0.25">
      <c r="A626" s="71">
        <v>2022</v>
      </c>
      <c r="B626" s="72" t="s">
        <v>226</v>
      </c>
      <c r="C626" s="73" t="s">
        <v>225</v>
      </c>
      <c r="D626" s="73" t="s">
        <v>178</v>
      </c>
      <c r="E626" s="73" t="str">
        <f>VLOOKUP(D626,clientes!$C$3:$D$60,2,FALSE)</f>
        <v>OLIN BLUE CUBE</v>
      </c>
      <c r="F626" s="73" t="s">
        <v>115</v>
      </c>
      <c r="G626" s="73" t="str">
        <f>VLOOKUP(F626,'[2]Lista de Produtos CLASSIFICAÇÃO'!$E$103:$F$114,2,FALSE)</f>
        <v>Soda Caustica</v>
      </c>
      <c r="H626" s="74">
        <v>0</v>
      </c>
    </row>
    <row r="627" spans="1:8" x14ac:dyDescent="0.25">
      <c r="A627" s="75">
        <v>2022</v>
      </c>
      <c r="B627" s="76" t="s">
        <v>227</v>
      </c>
      <c r="C627" s="77" t="s">
        <v>225</v>
      </c>
      <c r="D627" s="77" t="s">
        <v>178</v>
      </c>
      <c r="E627" s="73" t="str">
        <f>VLOOKUP(D627,clientes!$C$3:$D$60,2,FALSE)</f>
        <v>OLIN BLUE CUBE</v>
      </c>
      <c r="F627" s="77" t="s">
        <v>115</v>
      </c>
      <c r="G627" s="73" t="str">
        <f>VLOOKUP(F627,'[2]Lista de Produtos CLASSIFICAÇÃO'!$E$103:$F$114,2,FALSE)</f>
        <v>Soda Caustica</v>
      </c>
      <c r="H627" s="78">
        <v>12000</v>
      </c>
    </row>
    <row r="628" spans="1:8" x14ac:dyDescent="0.25">
      <c r="A628" s="71">
        <v>2022</v>
      </c>
      <c r="B628" s="72" t="s">
        <v>228</v>
      </c>
      <c r="C628" s="73" t="s">
        <v>225</v>
      </c>
      <c r="D628" s="73" t="s">
        <v>178</v>
      </c>
      <c r="E628" s="73" t="str">
        <f>VLOOKUP(D628,clientes!$C$3:$D$60,2,FALSE)</f>
        <v>OLIN BLUE CUBE</v>
      </c>
      <c r="F628" s="73" t="s">
        <v>115</v>
      </c>
      <c r="G628" s="73" t="str">
        <f>VLOOKUP(F628,'[2]Lista de Produtos CLASSIFICAÇÃO'!$E$103:$F$114,2,FALSE)</f>
        <v>Soda Caustica</v>
      </c>
      <c r="H628" s="74">
        <v>12000</v>
      </c>
    </row>
    <row r="629" spans="1:8" x14ac:dyDescent="0.25">
      <c r="A629" s="75">
        <v>2022</v>
      </c>
      <c r="B629" s="76" t="s">
        <v>229</v>
      </c>
      <c r="C629" s="77" t="s">
        <v>225</v>
      </c>
      <c r="D629" s="77" t="s">
        <v>178</v>
      </c>
      <c r="E629" s="73" t="str">
        <f>VLOOKUP(D629,clientes!$C$3:$D$60,2,FALSE)</f>
        <v>OLIN BLUE CUBE</v>
      </c>
      <c r="F629" s="77" t="s">
        <v>115</v>
      </c>
      <c r="G629" s="73" t="str">
        <f>VLOOKUP(F629,'[2]Lista de Produtos CLASSIFICAÇÃO'!$E$103:$F$114,2,FALSE)</f>
        <v>Soda Caustica</v>
      </c>
      <c r="H629" s="78">
        <v>12000</v>
      </c>
    </row>
    <row r="630" spans="1:8" x14ac:dyDescent="0.25">
      <c r="A630" s="71">
        <v>2022</v>
      </c>
      <c r="B630" s="72" t="s">
        <v>210</v>
      </c>
      <c r="C630" s="73" t="s">
        <v>225</v>
      </c>
      <c r="D630" s="73" t="s">
        <v>178</v>
      </c>
      <c r="E630" s="73" t="str">
        <f>VLOOKUP(D630,clientes!$C$3:$D$60,2,FALSE)</f>
        <v>OLIN BLUE CUBE</v>
      </c>
      <c r="F630" s="73" t="s">
        <v>115</v>
      </c>
      <c r="G630" s="73" t="str">
        <f>VLOOKUP(F630,'[2]Lista de Produtos CLASSIFICAÇÃO'!$E$103:$F$114,2,FALSE)</f>
        <v>Soda Caustica</v>
      </c>
      <c r="H630" s="74">
        <v>12000</v>
      </c>
    </row>
    <row r="631" spans="1:8" x14ac:dyDescent="0.25">
      <c r="A631" s="75">
        <v>2022</v>
      </c>
      <c r="B631" s="76" t="s">
        <v>211</v>
      </c>
      <c r="C631" s="77" t="s">
        <v>225</v>
      </c>
      <c r="D631" s="77" t="s">
        <v>178</v>
      </c>
      <c r="E631" s="73" t="str">
        <f>VLOOKUP(D631,clientes!$C$3:$D$60,2,FALSE)</f>
        <v>OLIN BLUE CUBE</v>
      </c>
      <c r="F631" s="77" t="s">
        <v>115</v>
      </c>
      <c r="G631" s="73" t="str">
        <f>VLOOKUP(F631,'[2]Lista de Produtos CLASSIFICAÇÃO'!$E$103:$F$114,2,FALSE)</f>
        <v>Soda Caustica</v>
      </c>
      <c r="H631" s="78">
        <v>12000</v>
      </c>
    </row>
    <row r="632" spans="1:8" x14ac:dyDescent="0.25">
      <c r="A632" s="71">
        <v>2022</v>
      </c>
      <c r="B632" s="72" t="s">
        <v>212</v>
      </c>
      <c r="C632" s="73" t="s">
        <v>225</v>
      </c>
      <c r="D632" s="73" t="s">
        <v>178</v>
      </c>
      <c r="E632" s="73" t="str">
        <f>VLOOKUP(D632,clientes!$C$3:$D$60,2,FALSE)</f>
        <v>OLIN BLUE CUBE</v>
      </c>
      <c r="F632" s="73" t="s">
        <v>115</v>
      </c>
      <c r="G632" s="73" t="str">
        <f>VLOOKUP(F632,'[2]Lista de Produtos CLASSIFICAÇÃO'!$E$103:$F$114,2,FALSE)</f>
        <v>Soda Caustica</v>
      </c>
      <c r="H632" s="74">
        <v>12000</v>
      </c>
    </row>
    <row r="633" spans="1:8" x14ac:dyDescent="0.25">
      <c r="A633" s="75">
        <v>2022</v>
      </c>
      <c r="B633" s="76" t="s">
        <v>213</v>
      </c>
      <c r="C633" s="77" t="s">
        <v>225</v>
      </c>
      <c r="D633" s="77" t="s">
        <v>178</v>
      </c>
      <c r="E633" s="73" t="str">
        <f>VLOOKUP(D633,clientes!$C$3:$D$60,2,FALSE)</f>
        <v>OLIN BLUE CUBE</v>
      </c>
      <c r="F633" s="77" t="s">
        <v>115</v>
      </c>
      <c r="G633" s="73" t="str">
        <f>VLOOKUP(F633,'[2]Lista de Produtos CLASSIFICAÇÃO'!$E$103:$F$114,2,FALSE)</f>
        <v>Soda Caustica</v>
      </c>
      <c r="H633" s="78">
        <v>12000</v>
      </c>
    </row>
    <row r="634" spans="1:8" x14ac:dyDescent="0.25">
      <c r="A634" s="71">
        <v>2022</v>
      </c>
      <c r="B634" s="72" t="s">
        <v>214</v>
      </c>
      <c r="C634" s="73" t="s">
        <v>225</v>
      </c>
      <c r="D634" s="73" t="s">
        <v>178</v>
      </c>
      <c r="E634" s="73" t="str">
        <f>VLOOKUP(D634,clientes!$C$3:$D$60,2,FALSE)</f>
        <v>OLIN BLUE CUBE</v>
      </c>
      <c r="F634" s="73" t="s">
        <v>115</v>
      </c>
      <c r="G634" s="73" t="str">
        <f>VLOOKUP(F634,'[2]Lista de Produtos CLASSIFICAÇÃO'!$E$103:$F$114,2,FALSE)</f>
        <v>Soda Caustica</v>
      </c>
      <c r="H634" s="74">
        <v>12000</v>
      </c>
    </row>
    <row r="635" spans="1:8" x14ac:dyDescent="0.25">
      <c r="A635" s="75">
        <v>2022</v>
      </c>
      <c r="B635" s="76" t="s">
        <v>215</v>
      </c>
      <c r="C635" s="77" t="s">
        <v>225</v>
      </c>
      <c r="D635" s="77" t="s">
        <v>178</v>
      </c>
      <c r="E635" s="73" t="str">
        <f>VLOOKUP(D635,clientes!$C$3:$D$60,2,FALSE)</f>
        <v>OLIN BLUE CUBE</v>
      </c>
      <c r="F635" s="77" t="s">
        <v>115</v>
      </c>
      <c r="G635" s="73" t="str">
        <f>VLOOKUP(F635,'[2]Lista de Produtos CLASSIFICAÇÃO'!$E$103:$F$114,2,FALSE)</f>
        <v>Soda Caustica</v>
      </c>
      <c r="H635" s="78">
        <v>12000</v>
      </c>
    </row>
    <row r="636" spans="1:8" x14ac:dyDescent="0.25">
      <c r="A636" s="71">
        <v>2022</v>
      </c>
      <c r="B636" s="72" t="s">
        <v>230</v>
      </c>
      <c r="C636" s="73" t="s">
        <v>225</v>
      </c>
      <c r="D636" s="73" t="s">
        <v>178</v>
      </c>
      <c r="E636" s="73" t="str">
        <f>VLOOKUP(D636,clientes!$C$3:$D$60,2,FALSE)</f>
        <v>OLIN BLUE CUBE</v>
      </c>
      <c r="F636" s="73" t="s">
        <v>115</v>
      </c>
      <c r="G636" s="73" t="str">
        <f>VLOOKUP(F636,'[2]Lista de Produtos CLASSIFICAÇÃO'!$E$103:$F$114,2,FALSE)</f>
        <v>Soda Caustica</v>
      </c>
      <c r="H636" s="74">
        <v>12000</v>
      </c>
    </row>
    <row r="637" spans="1:8" x14ac:dyDescent="0.25">
      <c r="A637" s="75">
        <v>2022</v>
      </c>
      <c r="B637" s="76" t="s">
        <v>231</v>
      </c>
      <c r="C637" s="77" t="s">
        <v>225</v>
      </c>
      <c r="D637" s="77" t="s">
        <v>178</v>
      </c>
      <c r="E637" s="73" t="str">
        <f>VLOOKUP(D637,clientes!$C$3:$D$60,2,FALSE)</f>
        <v>OLIN BLUE CUBE</v>
      </c>
      <c r="F637" s="77" t="s">
        <v>115</v>
      </c>
      <c r="G637" s="73" t="str">
        <f>VLOOKUP(F637,'[2]Lista de Produtos CLASSIFICAÇÃO'!$E$103:$F$114,2,FALSE)</f>
        <v>Soda Caustica</v>
      </c>
      <c r="H637" s="78">
        <v>12000</v>
      </c>
    </row>
    <row r="638" spans="1:8" x14ac:dyDescent="0.25">
      <c r="A638" s="71">
        <v>2022</v>
      </c>
      <c r="B638" s="72" t="s">
        <v>226</v>
      </c>
      <c r="C638" s="73" t="s">
        <v>232</v>
      </c>
      <c r="D638" s="73" t="s">
        <v>167</v>
      </c>
      <c r="E638" s="73" t="str">
        <f>VLOOKUP(D638,clientes!$C$3:$D$60,2,FALSE)</f>
        <v>POOL</v>
      </c>
      <c r="F638" s="73" t="s">
        <v>122</v>
      </c>
      <c r="G638" s="73" t="str">
        <f>VLOOKUP(F638,'[2]Lista de Produtos CLASSIFICAÇÃO'!$E$103:$F$114,2,FALSE)</f>
        <v>Óleo Vegetal</v>
      </c>
      <c r="H638" s="74">
        <v>54347</v>
      </c>
    </row>
    <row r="639" spans="1:8" x14ac:dyDescent="0.25">
      <c r="A639" s="75">
        <v>2022</v>
      </c>
      <c r="B639" s="76" t="s">
        <v>227</v>
      </c>
      <c r="C639" s="77" t="s">
        <v>232</v>
      </c>
      <c r="D639" s="77" t="s">
        <v>167</v>
      </c>
      <c r="E639" s="73" t="str">
        <f>VLOOKUP(D639,clientes!$C$3:$D$60,2,FALSE)</f>
        <v>POOL</v>
      </c>
      <c r="F639" s="77" t="s">
        <v>122</v>
      </c>
      <c r="G639" s="73" t="str">
        <f>VLOOKUP(F639,'[2]Lista de Produtos CLASSIFICAÇÃO'!$E$103:$F$114,2,FALSE)</f>
        <v>Óleo Vegetal</v>
      </c>
      <c r="H639" s="78">
        <v>76086</v>
      </c>
    </row>
    <row r="640" spans="1:8" x14ac:dyDescent="0.25">
      <c r="A640" s="71">
        <v>2022</v>
      </c>
      <c r="B640" s="72" t="s">
        <v>228</v>
      </c>
      <c r="C640" s="73" t="s">
        <v>232</v>
      </c>
      <c r="D640" s="73" t="s">
        <v>167</v>
      </c>
      <c r="E640" s="73" t="str">
        <f>VLOOKUP(D640,clientes!$C$3:$D$60,2,FALSE)</f>
        <v>POOL</v>
      </c>
      <c r="F640" s="73" t="s">
        <v>122</v>
      </c>
      <c r="G640" s="73" t="str">
        <f>VLOOKUP(F640,'[2]Lista de Produtos CLASSIFICAÇÃO'!$E$103:$F$114,2,FALSE)</f>
        <v>Óleo Vegetal</v>
      </c>
      <c r="H640" s="74">
        <v>97826</v>
      </c>
    </row>
    <row r="641" spans="1:8" x14ac:dyDescent="0.25">
      <c r="A641" s="75">
        <v>2022</v>
      </c>
      <c r="B641" s="76" t="s">
        <v>229</v>
      </c>
      <c r="C641" s="77" t="s">
        <v>232</v>
      </c>
      <c r="D641" s="77" t="s">
        <v>167</v>
      </c>
      <c r="E641" s="73" t="str">
        <f>VLOOKUP(D641,clientes!$C$3:$D$60,2,FALSE)</f>
        <v>POOL</v>
      </c>
      <c r="F641" s="77" t="s">
        <v>122</v>
      </c>
      <c r="G641" s="73" t="str">
        <f>VLOOKUP(F641,'[2]Lista de Produtos CLASSIFICAÇÃO'!$E$103:$F$114,2,FALSE)</f>
        <v>Óleo Vegetal</v>
      </c>
      <c r="H641" s="78">
        <v>130434</v>
      </c>
    </row>
    <row r="642" spans="1:8" x14ac:dyDescent="0.25">
      <c r="A642" s="71">
        <v>2022</v>
      </c>
      <c r="B642" s="72" t="s">
        <v>210</v>
      </c>
      <c r="C642" s="73" t="s">
        <v>232</v>
      </c>
      <c r="D642" s="73" t="s">
        <v>167</v>
      </c>
      <c r="E642" s="73" t="str">
        <f>VLOOKUP(D642,clientes!$C$3:$D$60,2,FALSE)</f>
        <v>POOL</v>
      </c>
      <c r="F642" s="73" t="s">
        <v>122</v>
      </c>
      <c r="G642" s="73" t="str">
        <f>VLOOKUP(F642,'[2]Lista de Produtos CLASSIFICAÇÃO'!$E$103:$F$114,2,FALSE)</f>
        <v>Óleo Vegetal</v>
      </c>
      <c r="H642" s="74">
        <v>130434</v>
      </c>
    </row>
    <row r="643" spans="1:8" x14ac:dyDescent="0.25">
      <c r="A643" s="75">
        <v>2022</v>
      </c>
      <c r="B643" s="76" t="s">
        <v>211</v>
      </c>
      <c r="C643" s="77" t="s">
        <v>232</v>
      </c>
      <c r="D643" s="77" t="s">
        <v>167</v>
      </c>
      <c r="E643" s="73" t="str">
        <f>VLOOKUP(D643,clientes!$C$3:$D$60,2,FALSE)</f>
        <v>POOL</v>
      </c>
      <c r="F643" s="77" t="s">
        <v>122</v>
      </c>
      <c r="G643" s="73" t="str">
        <f>VLOOKUP(F643,'[2]Lista de Produtos CLASSIFICAÇÃO'!$E$103:$F$114,2,FALSE)</f>
        <v>Óleo Vegetal</v>
      </c>
      <c r="H643" s="78">
        <v>130434</v>
      </c>
    </row>
    <row r="644" spans="1:8" x14ac:dyDescent="0.25">
      <c r="A644" s="71">
        <v>2022</v>
      </c>
      <c r="B644" s="72" t="s">
        <v>212</v>
      </c>
      <c r="C644" s="73" t="s">
        <v>232</v>
      </c>
      <c r="D644" s="73" t="s">
        <v>167</v>
      </c>
      <c r="E644" s="73" t="str">
        <f>VLOOKUP(D644,clientes!$C$3:$D$60,2,FALSE)</f>
        <v>POOL</v>
      </c>
      <c r="F644" s="73" t="s">
        <v>122</v>
      </c>
      <c r="G644" s="73" t="str">
        <f>VLOOKUP(F644,'[2]Lista de Produtos CLASSIFICAÇÃO'!$E$103:$F$114,2,FALSE)</f>
        <v>Óleo Vegetal</v>
      </c>
      <c r="H644" s="74">
        <v>130434</v>
      </c>
    </row>
    <row r="645" spans="1:8" x14ac:dyDescent="0.25">
      <c r="A645" s="75">
        <v>2022</v>
      </c>
      <c r="B645" s="76" t="s">
        <v>213</v>
      </c>
      <c r="C645" s="77" t="s">
        <v>232</v>
      </c>
      <c r="D645" s="77" t="s">
        <v>167</v>
      </c>
      <c r="E645" s="73" t="str">
        <f>VLOOKUP(D645,clientes!$C$3:$D$60,2,FALSE)</f>
        <v>POOL</v>
      </c>
      <c r="F645" s="77" t="s">
        <v>122</v>
      </c>
      <c r="G645" s="73" t="str">
        <f>VLOOKUP(F645,'[2]Lista de Produtos CLASSIFICAÇÃO'!$E$103:$F$114,2,FALSE)</f>
        <v>Óleo Vegetal</v>
      </c>
      <c r="H645" s="78">
        <v>119565</v>
      </c>
    </row>
    <row r="646" spans="1:8" x14ac:dyDescent="0.25">
      <c r="A646" s="71">
        <v>2022</v>
      </c>
      <c r="B646" s="72" t="s">
        <v>214</v>
      </c>
      <c r="C646" s="73" t="s">
        <v>232</v>
      </c>
      <c r="D646" s="73" t="s">
        <v>167</v>
      </c>
      <c r="E646" s="73" t="str">
        <f>VLOOKUP(D646,clientes!$C$3:$D$60,2,FALSE)</f>
        <v>POOL</v>
      </c>
      <c r="F646" s="73" t="s">
        <v>122</v>
      </c>
      <c r="G646" s="73" t="str">
        <f>VLOOKUP(F646,'[2]Lista de Produtos CLASSIFICAÇÃO'!$E$103:$F$114,2,FALSE)</f>
        <v>Óleo Vegetal</v>
      </c>
      <c r="H646" s="74">
        <v>76086</v>
      </c>
    </row>
    <row r="647" spans="1:8" x14ac:dyDescent="0.25">
      <c r="A647" s="75">
        <v>2022</v>
      </c>
      <c r="B647" s="76" t="s">
        <v>215</v>
      </c>
      <c r="C647" s="77" t="s">
        <v>232</v>
      </c>
      <c r="D647" s="77" t="s">
        <v>167</v>
      </c>
      <c r="E647" s="73" t="str">
        <f>VLOOKUP(D647,clientes!$C$3:$D$60,2,FALSE)</f>
        <v>POOL</v>
      </c>
      <c r="F647" s="77" t="s">
        <v>122</v>
      </c>
      <c r="G647" s="73" t="str">
        <f>VLOOKUP(F647,'[2]Lista de Produtos CLASSIFICAÇÃO'!$E$103:$F$114,2,FALSE)</f>
        <v>Óleo Vegetal</v>
      </c>
      <c r="H647" s="78">
        <v>76086</v>
      </c>
    </row>
    <row r="648" spans="1:8" x14ac:dyDescent="0.25">
      <c r="A648" s="71">
        <v>2022</v>
      </c>
      <c r="B648" s="72" t="s">
        <v>230</v>
      </c>
      <c r="C648" s="73" t="s">
        <v>232</v>
      </c>
      <c r="D648" s="73" t="s">
        <v>167</v>
      </c>
      <c r="E648" s="73" t="str">
        <f>VLOOKUP(D648,clientes!$C$3:$D$60,2,FALSE)</f>
        <v>POOL</v>
      </c>
      <c r="F648" s="73" t="s">
        <v>122</v>
      </c>
      <c r="G648" s="73" t="str">
        <f>VLOOKUP(F648,'[2]Lista de Produtos CLASSIFICAÇÃO'!$E$103:$F$114,2,FALSE)</f>
        <v>Óleo Vegetal</v>
      </c>
      <c r="H648" s="74">
        <v>76086</v>
      </c>
    </row>
    <row r="649" spans="1:8" x14ac:dyDescent="0.25">
      <c r="A649" s="75">
        <v>2022</v>
      </c>
      <c r="B649" s="76" t="s">
        <v>231</v>
      </c>
      <c r="C649" s="77" t="s">
        <v>232</v>
      </c>
      <c r="D649" s="77" t="s">
        <v>167</v>
      </c>
      <c r="E649" s="73" t="str">
        <f>VLOOKUP(D649,clientes!$C$3:$D$60,2,FALSE)</f>
        <v>POOL</v>
      </c>
      <c r="F649" s="77" t="s">
        <v>122</v>
      </c>
      <c r="G649" s="73" t="str">
        <f>VLOOKUP(F649,'[2]Lista de Produtos CLASSIFICAÇÃO'!$E$103:$F$114,2,FALSE)</f>
        <v>Óleo Vegetal</v>
      </c>
      <c r="H649" s="78">
        <v>76086</v>
      </c>
    </row>
    <row r="650" spans="1:8" x14ac:dyDescent="0.25">
      <c r="A650" s="71">
        <v>2022</v>
      </c>
      <c r="B650" s="72" t="s">
        <v>226</v>
      </c>
      <c r="C650" s="73" t="s">
        <v>232</v>
      </c>
      <c r="D650" s="73" t="s">
        <v>168</v>
      </c>
      <c r="E650" s="73" t="str">
        <f>VLOOKUP(D650,clientes!$C$3:$D$60,2,FALSE)</f>
        <v>POOL EXCEDENTE</v>
      </c>
      <c r="F650" s="73" t="s">
        <v>122</v>
      </c>
      <c r="G650" s="73" t="str">
        <f>VLOOKUP(F650,'[2]Lista de Produtos CLASSIFICAÇÃO'!$E$103:$F$114,2,FALSE)</f>
        <v>Óleo Vegetal</v>
      </c>
      <c r="H650" s="74">
        <v>3000</v>
      </c>
    </row>
    <row r="651" spans="1:8" x14ac:dyDescent="0.25">
      <c r="A651" s="75">
        <v>2022</v>
      </c>
      <c r="B651" s="76" t="s">
        <v>227</v>
      </c>
      <c r="C651" s="77" t="s">
        <v>232</v>
      </c>
      <c r="D651" s="77" t="s">
        <v>168</v>
      </c>
      <c r="E651" s="73" t="str">
        <f>VLOOKUP(D651,clientes!$C$3:$D$60,2,FALSE)</f>
        <v>POOL EXCEDENTE</v>
      </c>
      <c r="F651" s="77" t="s">
        <v>122</v>
      </c>
      <c r="G651" s="73" t="str">
        <f>VLOOKUP(F651,'[2]Lista de Produtos CLASSIFICAÇÃO'!$E$103:$F$114,2,FALSE)</f>
        <v>Óleo Vegetal</v>
      </c>
      <c r="H651" s="78">
        <v>3000</v>
      </c>
    </row>
    <row r="652" spans="1:8" x14ac:dyDescent="0.25">
      <c r="A652" s="71">
        <v>2022</v>
      </c>
      <c r="B652" s="72" t="s">
        <v>228</v>
      </c>
      <c r="C652" s="73" t="s">
        <v>232</v>
      </c>
      <c r="D652" s="73" t="s">
        <v>168</v>
      </c>
      <c r="E652" s="73" t="str">
        <f>VLOOKUP(D652,clientes!$C$3:$D$60,2,FALSE)</f>
        <v>POOL EXCEDENTE</v>
      </c>
      <c r="F652" s="73" t="s">
        <v>122</v>
      </c>
      <c r="G652" s="73" t="str">
        <f>VLOOKUP(F652,'[2]Lista de Produtos CLASSIFICAÇÃO'!$E$103:$F$114,2,FALSE)</f>
        <v>Óleo Vegetal</v>
      </c>
      <c r="H652" s="74">
        <v>3000</v>
      </c>
    </row>
    <row r="653" spans="1:8" x14ac:dyDescent="0.25">
      <c r="A653" s="75">
        <v>2022</v>
      </c>
      <c r="B653" s="76" t="s">
        <v>229</v>
      </c>
      <c r="C653" s="77" t="s">
        <v>232</v>
      </c>
      <c r="D653" s="77" t="s">
        <v>168</v>
      </c>
      <c r="E653" s="73" t="str">
        <f>VLOOKUP(D653,clientes!$C$3:$D$60,2,FALSE)</f>
        <v>POOL EXCEDENTE</v>
      </c>
      <c r="F653" s="77" t="s">
        <v>122</v>
      </c>
      <c r="G653" s="73" t="str">
        <f>VLOOKUP(F653,'[2]Lista de Produtos CLASSIFICAÇÃO'!$E$103:$F$114,2,FALSE)</f>
        <v>Óleo Vegetal</v>
      </c>
      <c r="H653" s="78">
        <v>3000</v>
      </c>
    </row>
    <row r="654" spans="1:8" x14ac:dyDescent="0.25">
      <c r="A654" s="71">
        <v>2022</v>
      </c>
      <c r="B654" s="72" t="s">
        <v>210</v>
      </c>
      <c r="C654" s="73" t="s">
        <v>232</v>
      </c>
      <c r="D654" s="73" t="s">
        <v>168</v>
      </c>
      <c r="E654" s="73" t="str">
        <f>VLOOKUP(D654,clientes!$C$3:$D$60,2,FALSE)</f>
        <v>POOL EXCEDENTE</v>
      </c>
      <c r="F654" s="73" t="s">
        <v>122</v>
      </c>
      <c r="G654" s="73" t="str">
        <f>VLOOKUP(F654,'[2]Lista de Produtos CLASSIFICAÇÃO'!$E$103:$F$114,2,FALSE)</f>
        <v>Óleo Vegetal</v>
      </c>
      <c r="H654" s="74">
        <v>3000</v>
      </c>
    </row>
    <row r="655" spans="1:8" x14ac:dyDescent="0.25">
      <c r="A655" s="75">
        <v>2022</v>
      </c>
      <c r="B655" s="76" t="s">
        <v>211</v>
      </c>
      <c r="C655" s="77" t="s">
        <v>232</v>
      </c>
      <c r="D655" s="77" t="s">
        <v>168</v>
      </c>
      <c r="E655" s="73" t="str">
        <f>VLOOKUP(D655,clientes!$C$3:$D$60,2,FALSE)</f>
        <v>POOL EXCEDENTE</v>
      </c>
      <c r="F655" s="77" t="s">
        <v>122</v>
      </c>
      <c r="G655" s="73" t="str">
        <f>VLOOKUP(F655,'[2]Lista de Produtos CLASSIFICAÇÃO'!$E$103:$F$114,2,FALSE)</f>
        <v>Óleo Vegetal</v>
      </c>
      <c r="H655" s="78">
        <v>3000</v>
      </c>
    </row>
    <row r="656" spans="1:8" x14ac:dyDescent="0.25">
      <c r="A656" s="71">
        <v>2022</v>
      </c>
      <c r="B656" s="72" t="s">
        <v>212</v>
      </c>
      <c r="C656" s="73" t="s">
        <v>232</v>
      </c>
      <c r="D656" s="73" t="s">
        <v>168</v>
      </c>
      <c r="E656" s="73" t="str">
        <f>VLOOKUP(D656,clientes!$C$3:$D$60,2,FALSE)</f>
        <v>POOL EXCEDENTE</v>
      </c>
      <c r="F656" s="73" t="s">
        <v>122</v>
      </c>
      <c r="G656" s="73" t="str">
        <f>VLOOKUP(F656,'[2]Lista de Produtos CLASSIFICAÇÃO'!$E$103:$F$114,2,FALSE)</f>
        <v>Óleo Vegetal</v>
      </c>
      <c r="H656" s="74">
        <v>3000</v>
      </c>
    </row>
    <row r="657" spans="1:8" x14ac:dyDescent="0.25">
      <c r="A657" s="75">
        <v>2022</v>
      </c>
      <c r="B657" s="76" t="s">
        <v>213</v>
      </c>
      <c r="C657" s="77" t="s">
        <v>232</v>
      </c>
      <c r="D657" s="77" t="s">
        <v>168</v>
      </c>
      <c r="E657" s="73" t="str">
        <f>VLOOKUP(D657,clientes!$C$3:$D$60,2,FALSE)</f>
        <v>POOL EXCEDENTE</v>
      </c>
      <c r="F657" s="77" t="s">
        <v>122</v>
      </c>
      <c r="G657" s="73" t="str">
        <f>VLOOKUP(F657,'[2]Lista de Produtos CLASSIFICAÇÃO'!$E$103:$F$114,2,FALSE)</f>
        <v>Óleo Vegetal</v>
      </c>
      <c r="H657" s="78">
        <v>3000</v>
      </c>
    </row>
    <row r="658" spans="1:8" x14ac:dyDescent="0.25">
      <c r="A658" s="71">
        <v>2022</v>
      </c>
      <c r="B658" s="72" t="s">
        <v>214</v>
      </c>
      <c r="C658" s="73" t="s">
        <v>232</v>
      </c>
      <c r="D658" s="73" t="s">
        <v>168</v>
      </c>
      <c r="E658" s="73" t="str">
        <f>VLOOKUP(D658,clientes!$C$3:$D$60,2,FALSE)</f>
        <v>POOL EXCEDENTE</v>
      </c>
      <c r="F658" s="73" t="s">
        <v>122</v>
      </c>
      <c r="G658" s="73" t="str">
        <f>VLOOKUP(F658,'[2]Lista de Produtos CLASSIFICAÇÃO'!$E$103:$F$114,2,FALSE)</f>
        <v>Óleo Vegetal</v>
      </c>
      <c r="H658" s="74">
        <v>3000</v>
      </c>
    </row>
    <row r="659" spans="1:8" x14ac:dyDescent="0.25">
      <c r="A659" s="75">
        <v>2022</v>
      </c>
      <c r="B659" s="76" t="s">
        <v>215</v>
      </c>
      <c r="C659" s="77" t="s">
        <v>232</v>
      </c>
      <c r="D659" s="77" t="s">
        <v>168</v>
      </c>
      <c r="E659" s="73" t="str">
        <f>VLOOKUP(D659,clientes!$C$3:$D$60,2,FALSE)</f>
        <v>POOL EXCEDENTE</v>
      </c>
      <c r="F659" s="77" t="s">
        <v>122</v>
      </c>
      <c r="G659" s="73" t="str">
        <f>VLOOKUP(F659,'[2]Lista de Produtos CLASSIFICAÇÃO'!$E$103:$F$114,2,FALSE)</f>
        <v>Óleo Vegetal</v>
      </c>
      <c r="H659" s="78">
        <v>3000</v>
      </c>
    </row>
    <row r="660" spans="1:8" x14ac:dyDescent="0.25">
      <c r="A660" s="71">
        <v>2022</v>
      </c>
      <c r="B660" s="72" t="s">
        <v>230</v>
      </c>
      <c r="C660" s="73" t="s">
        <v>232</v>
      </c>
      <c r="D660" s="73" t="s">
        <v>168</v>
      </c>
      <c r="E660" s="73" t="str">
        <f>VLOOKUP(D660,clientes!$C$3:$D$60,2,FALSE)</f>
        <v>POOL EXCEDENTE</v>
      </c>
      <c r="F660" s="73" t="s">
        <v>122</v>
      </c>
      <c r="G660" s="73" t="str">
        <f>VLOOKUP(F660,'[2]Lista de Produtos CLASSIFICAÇÃO'!$E$103:$F$114,2,FALSE)</f>
        <v>Óleo Vegetal</v>
      </c>
      <c r="H660" s="74">
        <v>3000</v>
      </c>
    </row>
    <row r="661" spans="1:8" x14ac:dyDescent="0.25">
      <c r="A661" s="75">
        <v>2022</v>
      </c>
      <c r="B661" s="76" t="s">
        <v>231</v>
      </c>
      <c r="C661" s="77" t="s">
        <v>232</v>
      </c>
      <c r="D661" s="77" t="s">
        <v>168</v>
      </c>
      <c r="E661" s="73" t="str">
        <f>VLOOKUP(D661,clientes!$C$3:$D$60,2,FALSE)</f>
        <v>POOL EXCEDENTE</v>
      </c>
      <c r="F661" s="77" t="s">
        <v>122</v>
      </c>
      <c r="G661" s="73" t="str">
        <f>VLOOKUP(F661,'[2]Lista de Produtos CLASSIFICAÇÃO'!$E$103:$F$114,2,FALSE)</f>
        <v>Óleo Vegetal</v>
      </c>
      <c r="H661" s="78">
        <v>3000</v>
      </c>
    </row>
    <row r="662" spans="1:8" x14ac:dyDescent="0.25">
      <c r="A662" s="71">
        <v>2022</v>
      </c>
      <c r="B662" s="72" t="s">
        <v>226</v>
      </c>
      <c r="C662" s="73" t="s">
        <v>233</v>
      </c>
      <c r="D662" s="73" t="s">
        <v>159</v>
      </c>
      <c r="E662" s="73" t="str">
        <f>VLOOKUP(D662,clientes!$C$3:$D$60,2,FALSE)</f>
        <v>RAIZEN</v>
      </c>
      <c r="F662" s="73" t="s">
        <v>120</v>
      </c>
      <c r="G662" s="73" t="str">
        <f>VLOOKUP(F662,'[2]Lista de Produtos CLASSIFICAÇÃO'!$E$103:$F$114,2,FALSE)</f>
        <v>Derivados</v>
      </c>
      <c r="H662" s="74">
        <v>40000</v>
      </c>
    </row>
    <row r="663" spans="1:8" x14ac:dyDescent="0.25">
      <c r="A663" s="75">
        <v>2022</v>
      </c>
      <c r="B663" s="76" t="s">
        <v>227</v>
      </c>
      <c r="C663" s="77" t="s">
        <v>233</v>
      </c>
      <c r="D663" s="77" t="s">
        <v>159</v>
      </c>
      <c r="E663" s="73" t="str">
        <f>VLOOKUP(D663,clientes!$C$3:$D$60,2,FALSE)</f>
        <v>RAIZEN</v>
      </c>
      <c r="F663" s="77" t="s">
        <v>120</v>
      </c>
      <c r="G663" s="73" t="str">
        <f>VLOOKUP(F663,'[2]Lista de Produtos CLASSIFICAÇÃO'!$E$103:$F$114,2,FALSE)</f>
        <v>Derivados</v>
      </c>
      <c r="H663" s="78">
        <v>40000</v>
      </c>
    </row>
    <row r="664" spans="1:8" x14ac:dyDescent="0.25">
      <c r="A664" s="71">
        <v>2022</v>
      </c>
      <c r="B664" s="72" t="s">
        <v>228</v>
      </c>
      <c r="C664" s="73" t="s">
        <v>233</v>
      </c>
      <c r="D664" s="73" t="s">
        <v>159</v>
      </c>
      <c r="E664" s="73" t="str">
        <f>VLOOKUP(D664,clientes!$C$3:$D$60,2,FALSE)</f>
        <v>RAIZEN</v>
      </c>
      <c r="F664" s="73" t="s">
        <v>120</v>
      </c>
      <c r="G664" s="73" t="str">
        <f>VLOOKUP(F664,'[2]Lista de Produtos CLASSIFICAÇÃO'!$E$103:$F$114,2,FALSE)</f>
        <v>Derivados</v>
      </c>
      <c r="H664" s="74">
        <v>40000</v>
      </c>
    </row>
    <row r="665" spans="1:8" x14ac:dyDescent="0.25">
      <c r="A665" s="75">
        <v>2022</v>
      </c>
      <c r="B665" s="76" t="s">
        <v>229</v>
      </c>
      <c r="C665" s="77" t="s">
        <v>233</v>
      </c>
      <c r="D665" s="77" t="s">
        <v>159</v>
      </c>
      <c r="E665" s="73" t="str">
        <f>VLOOKUP(D665,clientes!$C$3:$D$60,2,FALSE)</f>
        <v>RAIZEN</v>
      </c>
      <c r="F665" s="77" t="s">
        <v>120</v>
      </c>
      <c r="G665" s="73" t="str">
        <f>VLOOKUP(F665,'[2]Lista de Produtos CLASSIFICAÇÃO'!$E$103:$F$114,2,FALSE)</f>
        <v>Derivados</v>
      </c>
      <c r="H665" s="78">
        <v>40000</v>
      </c>
    </row>
    <row r="666" spans="1:8" x14ac:dyDescent="0.25">
      <c r="A666" s="71">
        <v>2022</v>
      </c>
      <c r="B666" s="72" t="s">
        <v>210</v>
      </c>
      <c r="C666" s="73" t="s">
        <v>233</v>
      </c>
      <c r="D666" s="73" t="s">
        <v>159</v>
      </c>
      <c r="E666" s="73" t="str">
        <f>VLOOKUP(D666,clientes!$C$3:$D$60,2,FALSE)</f>
        <v>RAIZEN</v>
      </c>
      <c r="F666" s="73" t="s">
        <v>120</v>
      </c>
      <c r="G666" s="73" t="str">
        <f>VLOOKUP(F666,'[2]Lista de Produtos CLASSIFICAÇÃO'!$E$103:$F$114,2,FALSE)</f>
        <v>Derivados</v>
      </c>
      <c r="H666" s="74">
        <v>40000</v>
      </c>
    </row>
    <row r="667" spans="1:8" x14ac:dyDescent="0.25">
      <c r="A667" s="75">
        <v>2022</v>
      </c>
      <c r="B667" s="76" t="s">
        <v>211</v>
      </c>
      <c r="C667" s="77" t="s">
        <v>233</v>
      </c>
      <c r="D667" s="77" t="s">
        <v>159</v>
      </c>
      <c r="E667" s="73" t="str">
        <f>VLOOKUP(D667,clientes!$C$3:$D$60,2,FALSE)</f>
        <v>RAIZEN</v>
      </c>
      <c r="F667" s="77" t="s">
        <v>120</v>
      </c>
      <c r="G667" s="73" t="str">
        <f>VLOOKUP(F667,'[2]Lista de Produtos CLASSIFICAÇÃO'!$E$103:$F$114,2,FALSE)</f>
        <v>Derivados</v>
      </c>
      <c r="H667" s="78">
        <v>40000</v>
      </c>
    </row>
    <row r="668" spans="1:8" x14ac:dyDescent="0.25">
      <c r="A668" s="71">
        <v>2022</v>
      </c>
      <c r="B668" s="72" t="s">
        <v>212</v>
      </c>
      <c r="C668" s="73" t="s">
        <v>233</v>
      </c>
      <c r="D668" s="73" t="s">
        <v>159</v>
      </c>
      <c r="E668" s="73" t="str">
        <f>VLOOKUP(D668,clientes!$C$3:$D$60,2,FALSE)</f>
        <v>RAIZEN</v>
      </c>
      <c r="F668" s="73" t="s">
        <v>120</v>
      </c>
      <c r="G668" s="73" t="str">
        <f>VLOOKUP(F668,'[2]Lista de Produtos CLASSIFICAÇÃO'!$E$103:$F$114,2,FALSE)</f>
        <v>Derivados</v>
      </c>
      <c r="H668" s="74">
        <v>40000</v>
      </c>
    </row>
    <row r="669" spans="1:8" x14ac:dyDescent="0.25">
      <c r="A669" s="75">
        <v>2022</v>
      </c>
      <c r="B669" s="76" t="s">
        <v>213</v>
      </c>
      <c r="C669" s="77" t="s">
        <v>233</v>
      </c>
      <c r="D669" s="77" t="s">
        <v>159</v>
      </c>
      <c r="E669" s="73" t="str">
        <f>VLOOKUP(D669,clientes!$C$3:$D$60,2,FALSE)</f>
        <v>RAIZEN</v>
      </c>
      <c r="F669" s="77" t="s">
        <v>120</v>
      </c>
      <c r="G669" s="73" t="str">
        <f>VLOOKUP(F669,'[2]Lista de Produtos CLASSIFICAÇÃO'!$E$103:$F$114,2,FALSE)</f>
        <v>Derivados</v>
      </c>
      <c r="H669" s="78">
        <v>40000</v>
      </c>
    </row>
    <row r="670" spans="1:8" x14ac:dyDescent="0.25">
      <c r="A670" s="71">
        <v>2022</v>
      </c>
      <c r="B670" s="72" t="s">
        <v>214</v>
      </c>
      <c r="C670" s="73" t="s">
        <v>233</v>
      </c>
      <c r="D670" s="73" t="s">
        <v>159</v>
      </c>
      <c r="E670" s="73" t="str">
        <f>VLOOKUP(D670,clientes!$C$3:$D$60,2,FALSE)</f>
        <v>RAIZEN</v>
      </c>
      <c r="F670" s="73" t="s">
        <v>120</v>
      </c>
      <c r="G670" s="73" t="str">
        <f>VLOOKUP(F670,'[2]Lista de Produtos CLASSIFICAÇÃO'!$E$103:$F$114,2,FALSE)</f>
        <v>Derivados</v>
      </c>
      <c r="H670" s="74">
        <v>40000</v>
      </c>
    </row>
    <row r="671" spans="1:8" x14ac:dyDescent="0.25">
      <c r="A671" s="75">
        <v>2022</v>
      </c>
      <c r="B671" s="76" t="s">
        <v>215</v>
      </c>
      <c r="C671" s="77" t="s">
        <v>233</v>
      </c>
      <c r="D671" s="77" t="s">
        <v>159</v>
      </c>
      <c r="E671" s="73" t="str">
        <f>VLOOKUP(D671,clientes!$C$3:$D$60,2,FALSE)</f>
        <v>RAIZEN</v>
      </c>
      <c r="F671" s="77" t="s">
        <v>120</v>
      </c>
      <c r="G671" s="73" t="str">
        <f>VLOOKUP(F671,'[2]Lista de Produtos CLASSIFICAÇÃO'!$E$103:$F$114,2,FALSE)</f>
        <v>Derivados</v>
      </c>
      <c r="H671" s="78">
        <v>40000</v>
      </c>
    </row>
    <row r="672" spans="1:8" x14ac:dyDescent="0.25">
      <c r="A672" s="71">
        <v>2022</v>
      </c>
      <c r="B672" s="72" t="s">
        <v>230</v>
      </c>
      <c r="C672" s="73" t="s">
        <v>233</v>
      </c>
      <c r="D672" s="73" t="s">
        <v>159</v>
      </c>
      <c r="E672" s="73" t="str">
        <f>VLOOKUP(D672,clientes!$C$3:$D$60,2,FALSE)</f>
        <v>RAIZEN</v>
      </c>
      <c r="F672" s="73" t="s">
        <v>120</v>
      </c>
      <c r="G672" s="73" t="str">
        <f>VLOOKUP(F672,'[2]Lista de Produtos CLASSIFICAÇÃO'!$E$103:$F$114,2,FALSE)</f>
        <v>Derivados</v>
      </c>
      <c r="H672" s="74">
        <v>40000</v>
      </c>
    </row>
    <row r="673" spans="1:8" x14ac:dyDescent="0.25">
      <c r="A673" s="75">
        <v>2022</v>
      </c>
      <c r="B673" s="76" t="s">
        <v>231</v>
      </c>
      <c r="C673" s="77" t="s">
        <v>233</v>
      </c>
      <c r="D673" s="77" t="s">
        <v>159</v>
      </c>
      <c r="E673" s="73" t="str">
        <f>VLOOKUP(D673,clientes!$C$3:$D$60,2,FALSE)</f>
        <v>RAIZEN</v>
      </c>
      <c r="F673" s="77" t="s">
        <v>120</v>
      </c>
      <c r="G673" s="73" t="str">
        <f>VLOOKUP(F673,'[2]Lista de Produtos CLASSIFICAÇÃO'!$E$103:$F$114,2,FALSE)</f>
        <v>Derivados</v>
      </c>
      <c r="H673" s="78">
        <v>40000</v>
      </c>
    </row>
    <row r="674" spans="1:8" x14ac:dyDescent="0.25">
      <c r="A674" s="71">
        <v>2022</v>
      </c>
      <c r="B674" s="72" t="s">
        <v>226</v>
      </c>
      <c r="C674" s="73" t="s">
        <v>235</v>
      </c>
      <c r="D674" s="73" t="s">
        <v>196</v>
      </c>
      <c r="E674" s="73" t="str">
        <f>VLOOKUP(D674,clientes!$C$3:$D$60,2,FALSE)</f>
        <v>SCC</v>
      </c>
      <c r="F674" s="73" t="s">
        <v>22</v>
      </c>
      <c r="G674" s="73" t="str">
        <f>VLOOKUP(F674,'[2]Lista de Produtos CLASSIFICAÇÃO'!$E$103:$F$114,2,FALSE)</f>
        <v>Metanol</v>
      </c>
      <c r="H674" s="74">
        <v>80000</v>
      </c>
    </row>
    <row r="675" spans="1:8" x14ac:dyDescent="0.25">
      <c r="A675" s="75">
        <v>2022</v>
      </c>
      <c r="B675" s="76" t="s">
        <v>226</v>
      </c>
      <c r="C675" s="77" t="s">
        <v>235</v>
      </c>
      <c r="D675" s="77" t="s">
        <v>196</v>
      </c>
      <c r="E675" s="73" t="str">
        <f>VLOOKUP(D675,clientes!$C$3:$D$60,2,FALSE)</f>
        <v>SCC</v>
      </c>
      <c r="F675" s="77" t="s">
        <v>22</v>
      </c>
      <c r="G675" s="73" t="str">
        <f>VLOOKUP(F675,'[2]Lista de Produtos CLASSIFICAÇÃO'!$E$103:$F$114,2,FALSE)</f>
        <v>Metanol</v>
      </c>
      <c r="H675" s="78">
        <v>0</v>
      </c>
    </row>
    <row r="676" spans="1:8" x14ac:dyDescent="0.25">
      <c r="A676" s="71">
        <v>2022</v>
      </c>
      <c r="B676" s="72" t="s">
        <v>227</v>
      </c>
      <c r="C676" s="73" t="s">
        <v>235</v>
      </c>
      <c r="D676" s="73" t="s">
        <v>196</v>
      </c>
      <c r="E676" s="73" t="str">
        <f>VLOOKUP(D676,clientes!$C$3:$D$60,2,FALSE)</f>
        <v>SCC</v>
      </c>
      <c r="F676" s="73" t="s">
        <v>22</v>
      </c>
      <c r="G676" s="73" t="str">
        <f>VLOOKUP(F676,'[2]Lista de Produtos CLASSIFICAÇÃO'!$E$103:$F$114,2,FALSE)</f>
        <v>Metanol</v>
      </c>
      <c r="H676" s="74">
        <v>80000</v>
      </c>
    </row>
    <row r="677" spans="1:8" x14ac:dyDescent="0.25">
      <c r="A677" s="75">
        <v>2022</v>
      </c>
      <c r="B677" s="76" t="s">
        <v>227</v>
      </c>
      <c r="C677" s="77" t="s">
        <v>235</v>
      </c>
      <c r="D677" s="77" t="s">
        <v>196</v>
      </c>
      <c r="E677" s="73" t="str">
        <f>VLOOKUP(D677,clientes!$C$3:$D$60,2,FALSE)</f>
        <v>SCC</v>
      </c>
      <c r="F677" s="77" t="s">
        <v>22</v>
      </c>
      <c r="G677" s="73" t="str">
        <f>VLOOKUP(F677,'[2]Lista de Produtos CLASSIFICAÇÃO'!$E$103:$F$114,2,FALSE)</f>
        <v>Metanol</v>
      </c>
      <c r="H677" s="78">
        <v>0</v>
      </c>
    </row>
    <row r="678" spans="1:8" x14ac:dyDescent="0.25">
      <c r="A678" s="71">
        <v>2022</v>
      </c>
      <c r="B678" s="72" t="s">
        <v>228</v>
      </c>
      <c r="C678" s="73" t="s">
        <v>235</v>
      </c>
      <c r="D678" s="73" t="s">
        <v>196</v>
      </c>
      <c r="E678" s="73" t="str">
        <f>VLOOKUP(D678,clientes!$C$3:$D$60,2,FALSE)</f>
        <v>SCC</v>
      </c>
      <c r="F678" s="73" t="s">
        <v>22</v>
      </c>
      <c r="G678" s="73" t="str">
        <f>VLOOKUP(F678,'[2]Lista de Produtos CLASSIFICAÇÃO'!$E$103:$F$114,2,FALSE)</f>
        <v>Metanol</v>
      </c>
      <c r="H678" s="74">
        <v>80000</v>
      </c>
    </row>
    <row r="679" spans="1:8" x14ac:dyDescent="0.25">
      <c r="A679" s="75">
        <v>2022</v>
      </c>
      <c r="B679" s="76" t="s">
        <v>228</v>
      </c>
      <c r="C679" s="77" t="s">
        <v>235</v>
      </c>
      <c r="D679" s="77" t="s">
        <v>196</v>
      </c>
      <c r="E679" s="73" t="str">
        <f>VLOOKUP(D679,clientes!$C$3:$D$60,2,FALSE)</f>
        <v>SCC</v>
      </c>
      <c r="F679" s="77" t="s">
        <v>22</v>
      </c>
      <c r="G679" s="73" t="str">
        <f>VLOOKUP(F679,'[2]Lista de Produtos CLASSIFICAÇÃO'!$E$103:$F$114,2,FALSE)</f>
        <v>Metanol</v>
      </c>
      <c r="H679" s="78">
        <v>0</v>
      </c>
    </row>
    <row r="680" spans="1:8" x14ac:dyDescent="0.25">
      <c r="A680" s="71">
        <v>2022</v>
      </c>
      <c r="B680" s="72" t="s">
        <v>229</v>
      </c>
      <c r="C680" s="73" t="s">
        <v>235</v>
      </c>
      <c r="D680" s="73" t="s">
        <v>196</v>
      </c>
      <c r="E680" s="73" t="str">
        <f>VLOOKUP(D680,clientes!$C$3:$D$60,2,FALSE)</f>
        <v>SCC</v>
      </c>
      <c r="F680" s="73" t="s">
        <v>22</v>
      </c>
      <c r="G680" s="73" t="str">
        <f>VLOOKUP(F680,'[2]Lista de Produtos CLASSIFICAÇÃO'!$E$103:$F$114,2,FALSE)</f>
        <v>Metanol</v>
      </c>
      <c r="H680" s="74">
        <v>80000</v>
      </c>
    </row>
    <row r="681" spans="1:8" x14ac:dyDescent="0.25">
      <c r="A681" s="75">
        <v>2022</v>
      </c>
      <c r="B681" s="76" t="s">
        <v>229</v>
      </c>
      <c r="C681" s="77" t="s">
        <v>235</v>
      </c>
      <c r="D681" s="77" t="s">
        <v>196</v>
      </c>
      <c r="E681" s="73" t="str">
        <f>VLOOKUP(D681,clientes!$C$3:$D$60,2,FALSE)</f>
        <v>SCC</v>
      </c>
      <c r="F681" s="77" t="s">
        <v>22</v>
      </c>
      <c r="G681" s="73" t="str">
        <f>VLOOKUP(F681,'[2]Lista de Produtos CLASSIFICAÇÃO'!$E$103:$F$114,2,FALSE)</f>
        <v>Metanol</v>
      </c>
      <c r="H681" s="78">
        <v>0</v>
      </c>
    </row>
    <row r="682" spans="1:8" x14ac:dyDescent="0.25">
      <c r="A682" s="71">
        <v>2022</v>
      </c>
      <c r="B682" s="72" t="s">
        <v>210</v>
      </c>
      <c r="C682" s="73" t="s">
        <v>235</v>
      </c>
      <c r="D682" s="73" t="s">
        <v>196</v>
      </c>
      <c r="E682" s="73" t="str">
        <f>VLOOKUP(D682,clientes!$C$3:$D$60,2,FALSE)</f>
        <v>SCC</v>
      </c>
      <c r="F682" s="73" t="s">
        <v>22</v>
      </c>
      <c r="G682" s="73" t="str">
        <f>VLOOKUP(F682,'[2]Lista de Produtos CLASSIFICAÇÃO'!$E$103:$F$114,2,FALSE)</f>
        <v>Metanol</v>
      </c>
      <c r="H682" s="74">
        <v>80000</v>
      </c>
    </row>
    <row r="683" spans="1:8" x14ac:dyDescent="0.25">
      <c r="A683" s="75">
        <v>2022</v>
      </c>
      <c r="B683" s="76" t="s">
        <v>210</v>
      </c>
      <c r="C683" s="77" t="s">
        <v>235</v>
      </c>
      <c r="D683" s="77" t="s">
        <v>196</v>
      </c>
      <c r="E683" s="73" t="str">
        <f>VLOOKUP(D683,clientes!$C$3:$D$60,2,FALSE)</f>
        <v>SCC</v>
      </c>
      <c r="F683" s="77" t="s">
        <v>22</v>
      </c>
      <c r="G683" s="73" t="str">
        <f>VLOOKUP(F683,'[2]Lista de Produtos CLASSIFICAÇÃO'!$E$103:$F$114,2,FALSE)</f>
        <v>Metanol</v>
      </c>
      <c r="H683" s="78">
        <v>0</v>
      </c>
    </row>
    <row r="684" spans="1:8" x14ac:dyDescent="0.25">
      <c r="A684" s="71">
        <v>2022</v>
      </c>
      <c r="B684" s="72" t="s">
        <v>211</v>
      </c>
      <c r="C684" s="73" t="s">
        <v>235</v>
      </c>
      <c r="D684" s="73" t="s">
        <v>196</v>
      </c>
      <c r="E684" s="73" t="str">
        <f>VLOOKUP(D684,clientes!$C$3:$D$60,2,FALSE)</f>
        <v>SCC</v>
      </c>
      <c r="F684" s="73" t="s">
        <v>22</v>
      </c>
      <c r="G684" s="73" t="str">
        <f>VLOOKUP(F684,'[2]Lista de Produtos CLASSIFICAÇÃO'!$E$103:$F$114,2,FALSE)</f>
        <v>Metanol</v>
      </c>
      <c r="H684" s="74">
        <v>80000</v>
      </c>
    </row>
    <row r="685" spans="1:8" x14ac:dyDescent="0.25">
      <c r="A685" s="75">
        <v>2022</v>
      </c>
      <c r="B685" s="76" t="s">
        <v>211</v>
      </c>
      <c r="C685" s="77" t="s">
        <v>235</v>
      </c>
      <c r="D685" s="77" t="s">
        <v>196</v>
      </c>
      <c r="E685" s="73" t="str">
        <f>VLOOKUP(D685,clientes!$C$3:$D$60,2,FALSE)</f>
        <v>SCC</v>
      </c>
      <c r="F685" s="77" t="s">
        <v>22</v>
      </c>
      <c r="G685" s="73" t="str">
        <f>VLOOKUP(F685,'[2]Lista de Produtos CLASSIFICAÇÃO'!$E$103:$F$114,2,FALSE)</f>
        <v>Metanol</v>
      </c>
      <c r="H685" s="78">
        <v>5000</v>
      </c>
    </row>
    <row r="686" spans="1:8" x14ac:dyDescent="0.25">
      <c r="A686" s="71">
        <v>2022</v>
      </c>
      <c r="B686" s="72" t="s">
        <v>212</v>
      </c>
      <c r="C686" s="73" t="s">
        <v>235</v>
      </c>
      <c r="D686" s="73" t="s">
        <v>196</v>
      </c>
      <c r="E686" s="73" t="str">
        <f>VLOOKUP(D686,clientes!$C$3:$D$60,2,FALSE)</f>
        <v>SCC</v>
      </c>
      <c r="F686" s="73" t="s">
        <v>22</v>
      </c>
      <c r="G686" s="73" t="str">
        <f>VLOOKUP(F686,'[2]Lista de Produtos CLASSIFICAÇÃO'!$E$103:$F$114,2,FALSE)</f>
        <v>Metanol</v>
      </c>
      <c r="H686" s="74">
        <v>80000</v>
      </c>
    </row>
    <row r="687" spans="1:8" x14ac:dyDescent="0.25">
      <c r="A687" s="75">
        <v>2022</v>
      </c>
      <c r="B687" s="76" t="s">
        <v>212</v>
      </c>
      <c r="C687" s="77" t="s">
        <v>235</v>
      </c>
      <c r="D687" s="77" t="s">
        <v>196</v>
      </c>
      <c r="E687" s="73" t="str">
        <f>VLOOKUP(D687,clientes!$C$3:$D$60,2,FALSE)</f>
        <v>SCC</v>
      </c>
      <c r="F687" s="77" t="s">
        <v>22</v>
      </c>
      <c r="G687" s="73" t="str">
        <f>VLOOKUP(F687,'[2]Lista de Produtos CLASSIFICAÇÃO'!$E$103:$F$114,2,FALSE)</f>
        <v>Metanol</v>
      </c>
      <c r="H687" s="78">
        <v>5000</v>
      </c>
    </row>
    <row r="688" spans="1:8" x14ac:dyDescent="0.25">
      <c r="A688" s="71">
        <v>2022</v>
      </c>
      <c r="B688" s="72" t="s">
        <v>213</v>
      </c>
      <c r="C688" s="73" t="s">
        <v>235</v>
      </c>
      <c r="D688" s="73" t="s">
        <v>196</v>
      </c>
      <c r="E688" s="73" t="str">
        <f>VLOOKUP(D688,clientes!$C$3:$D$60,2,FALSE)</f>
        <v>SCC</v>
      </c>
      <c r="F688" s="73" t="s">
        <v>22</v>
      </c>
      <c r="G688" s="73" t="str">
        <f>VLOOKUP(F688,'[2]Lista de Produtos CLASSIFICAÇÃO'!$E$103:$F$114,2,FALSE)</f>
        <v>Metanol</v>
      </c>
      <c r="H688" s="74">
        <v>80000</v>
      </c>
    </row>
    <row r="689" spans="1:8" x14ac:dyDescent="0.25">
      <c r="A689" s="75">
        <v>2022</v>
      </c>
      <c r="B689" s="76" t="s">
        <v>213</v>
      </c>
      <c r="C689" s="77" t="s">
        <v>235</v>
      </c>
      <c r="D689" s="77" t="s">
        <v>196</v>
      </c>
      <c r="E689" s="73" t="str">
        <f>VLOOKUP(D689,clientes!$C$3:$D$60,2,FALSE)</f>
        <v>SCC</v>
      </c>
      <c r="F689" s="77" t="s">
        <v>22</v>
      </c>
      <c r="G689" s="73" t="str">
        <f>VLOOKUP(F689,'[2]Lista de Produtos CLASSIFICAÇÃO'!$E$103:$F$114,2,FALSE)</f>
        <v>Metanol</v>
      </c>
      <c r="H689" s="78">
        <v>5000</v>
      </c>
    </row>
    <row r="690" spans="1:8" x14ac:dyDescent="0.25">
      <c r="A690" s="71">
        <v>2022</v>
      </c>
      <c r="B690" s="72" t="s">
        <v>214</v>
      </c>
      <c r="C690" s="73" t="s">
        <v>235</v>
      </c>
      <c r="D690" s="73" t="s">
        <v>196</v>
      </c>
      <c r="E690" s="73" t="str">
        <f>VLOOKUP(D690,clientes!$C$3:$D$60,2,FALSE)</f>
        <v>SCC</v>
      </c>
      <c r="F690" s="73" t="s">
        <v>22</v>
      </c>
      <c r="G690" s="73" t="str">
        <f>VLOOKUP(F690,'[2]Lista de Produtos CLASSIFICAÇÃO'!$E$103:$F$114,2,FALSE)</f>
        <v>Metanol</v>
      </c>
      <c r="H690" s="74">
        <v>80000</v>
      </c>
    </row>
    <row r="691" spans="1:8" x14ac:dyDescent="0.25">
      <c r="A691" s="75">
        <v>2022</v>
      </c>
      <c r="B691" s="76" t="s">
        <v>214</v>
      </c>
      <c r="C691" s="77" t="s">
        <v>235</v>
      </c>
      <c r="D691" s="77" t="s">
        <v>196</v>
      </c>
      <c r="E691" s="73" t="str">
        <f>VLOOKUP(D691,clientes!$C$3:$D$60,2,FALSE)</f>
        <v>SCC</v>
      </c>
      <c r="F691" s="77" t="s">
        <v>22</v>
      </c>
      <c r="G691" s="73" t="str">
        <f>VLOOKUP(F691,'[2]Lista de Produtos CLASSIFICAÇÃO'!$E$103:$F$114,2,FALSE)</f>
        <v>Metanol</v>
      </c>
      <c r="H691" s="78">
        <v>5000</v>
      </c>
    </row>
    <row r="692" spans="1:8" x14ac:dyDescent="0.25">
      <c r="A692" s="71">
        <v>2022</v>
      </c>
      <c r="B692" s="72" t="s">
        <v>215</v>
      </c>
      <c r="C692" s="73" t="s">
        <v>235</v>
      </c>
      <c r="D692" s="73" t="s">
        <v>196</v>
      </c>
      <c r="E692" s="73" t="str">
        <f>VLOOKUP(D692,clientes!$C$3:$D$60,2,FALSE)</f>
        <v>SCC</v>
      </c>
      <c r="F692" s="73" t="s">
        <v>22</v>
      </c>
      <c r="G692" s="73" t="str">
        <f>VLOOKUP(F692,'[2]Lista de Produtos CLASSIFICAÇÃO'!$E$103:$F$114,2,FALSE)</f>
        <v>Metanol</v>
      </c>
      <c r="H692" s="74">
        <v>80000</v>
      </c>
    </row>
    <row r="693" spans="1:8" x14ac:dyDescent="0.25">
      <c r="A693" s="75">
        <v>2022</v>
      </c>
      <c r="B693" s="76" t="s">
        <v>215</v>
      </c>
      <c r="C693" s="77" t="s">
        <v>235</v>
      </c>
      <c r="D693" s="77" t="s">
        <v>196</v>
      </c>
      <c r="E693" s="73" t="str">
        <f>VLOOKUP(D693,clientes!$C$3:$D$60,2,FALSE)</f>
        <v>SCC</v>
      </c>
      <c r="F693" s="77" t="s">
        <v>22</v>
      </c>
      <c r="G693" s="73" t="str">
        <f>VLOOKUP(F693,'[2]Lista de Produtos CLASSIFICAÇÃO'!$E$103:$F$114,2,FALSE)</f>
        <v>Metanol</v>
      </c>
      <c r="H693" s="78">
        <v>5000</v>
      </c>
    </row>
    <row r="694" spans="1:8" x14ac:dyDescent="0.25">
      <c r="A694" s="71">
        <v>2022</v>
      </c>
      <c r="B694" s="72" t="s">
        <v>230</v>
      </c>
      <c r="C694" s="73" t="s">
        <v>235</v>
      </c>
      <c r="D694" s="73" t="s">
        <v>196</v>
      </c>
      <c r="E694" s="73" t="str">
        <f>VLOOKUP(D694,clientes!$C$3:$D$60,2,FALSE)</f>
        <v>SCC</v>
      </c>
      <c r="F694" s="73" t="s">
        <v>22</v>
      </c>
      <c r="G694" s="73" t="str">
        <f>VLOOKUP(F694,'[2]Lista de Produtos CLASSIFICAÇÃO'!$E$103:$F$114,2,FALSE)</f>
        <v>Metanol</v>
      </c>
      <c r="H694" s="74">
        <v>80000</v>
      </c>
    </row>
    <row r="695" spans="1:8" x14ac:dyDescent="0.25">
      <c r="A695" s="75">
        <v>2022</v>
      </c>
      <c r="B695" s="76" t="s">
        <v>230</v>
      </c>
      <c r="C695" s="77" t="s">
        <v>235</v>
      </c>
      <c r="D695" s="77" t="s">
        <v>196</v>
      </c>
      <c r="E695" s="73" t="str">
        <f>VLOOKUP(D695,clientes!$C$3:$D$60,2,FALSE)</f>
        <v>SCC</v>
      </c>
      <c r="F695" s="77" t="s">
        <v>22</v>
      </c>
      <c r="G695" s="73" t="str">
        <f>VLOOKUP(F695,'[2]Lista de Produtos CLASSIFICAÇÃO'!$E$103:$F$114,2,FALSE)</f>
        <v>Metanol</v>
      </c>
      <c r="H695" s="78">
        <v>5000</v>
      </c>
    </row>
    <row r="696" spans="1:8" x14ac:dyDescent="0.25">
      <c r="A696" s="71">
        <v>2022</v>
      </c>
      <c r="B696" s="72" t="s">
        <v>231</v>
      </c>
      <c r="C696" s="73" t="s">
        <v>235</v>
      </c>
      <c r="D696" s="73" t="s">
        <v>196</v>
      </c>
      <c r="E696" s="73" t="str">
        <f>VLOOKUP(D696,clientes!$C$3:$D$60,2,FALSE)</f>
        <v>SCC</v>
      </c>
      <c r="F696" s="73" t="s">
        <v>22</v>
      </c>
      <c r="G696" s="73" t="str">
        <f>VLOOKUP(F696,'[2]Lista de Produtos CLASSIFICAÇÃO'!$E$103:$F$114,2,FALSE)</f>
        <v>Metanol</v>
      </c>
      <c r="H696" s="74">
        <v>80000</v>
      </c>
    </row>
    <row r="697" spans="1:8" x14ac:dyDescent="0.25">
      <c r="A697" s="75">
        <v>2022</v>
      </c>
      <c r="B697" s="76" t="s">
        <v>231</v>
      </c>
      <c r="C697" s="77" t="s">
        <v>235</v>
      </c>
      <c r="D697" s="77" t="s">
        <v>196</v>
      </c>
      <c r="E697" s="73" t="str">
        <f>VLOOKUP(D697,clientes!$C$3:$D$60,2,FALSE)</f>
        <v>SCC</v>
      </c>
      <c r="F697" s="77" t="s">
        <v>22</v>
      </c>
      <c r="G697" s="73" t="str">
        <f>VLOOKUP(F697,'[2]Lista de Produtos CLASSIFICAÇÃO'!$E$103:$F$114,2,FALSE)</f>
        <v>Metanol</v>
      </c>
      <c r="H697" s="78">
        <v>5000</v>
      </c>
    </row>
    <row r="698" spans="1:8" x14ac:dyDescent="0.25">
      <c r="A698" s="71">
        <v>2022</v>
      </c>
      <c r="B698" s="72" t="s">
        <v>226</v>
      </c>
      <c r="C698" s="73" t="s">
        <v>233</v>
      </c>
      <c r="D698" s="73" t="s">
        <v>161</v>
      </c>
      <c r="E698" s="73" t="str">
        <f>VLOOKUP(D698,clientes!$C$3:$D$60,2,FALSE)</f>
        <v>SUL PLATA</v>
      </c>
      <c r="F698" s="73" t="s">
        <v>120</v>
      </c>
      <c r="G698" s="73" t="str">
        <f>VLOOKUP(F698,'[2]Lista de Produtos CLASSIFICAÇÃO'!$E$103:$F$114,2,FALSE)</f>
        <v>Derivados</v>
      </c>
      <c r="H698" s="74">
        <v>35000</v>
      </c>
    </row>
    <row r="699" spans="1:8" x14ac:dyDescent="0.25">
      <c r="A699" s="75">
        <v>2022</v>
      </c>
      <c r="B699" s="76" t="s">
        <v>227</v>
      </c>
      <c r="C699" s="77" t="s">
        <v>233</v>
      </c>
      <c r="D699" s="77" t="s">
        <v>161</v>
      </c>
      <c r="E699" s="73" t="str">
        <f>VLOOKUP(D699,clientes!$C$3:$D$60,2,FALSE)</f>
        <v>SUL PLATA</v>
      </c>
      <c r="F699" s="77" t="s">
        <v>120</v>
      </c>
      <c r="G699" s="73" t="str">
        <f>VLOOKUP(F699,'[2]Lista de Produtos CLASSIFICAÇÃO'!$E$103:$F$114,2,FALSE)</f>
        <v>Derivados</v>
      </c>
      <c r="H699" s="78">
        <v>35000</v>
      </c>
    </row>
    <row r="700" spans="1:8" x14ac:dyDescent="0.25">
      <c r="A700" s="71">
        <v>2022</v>
      </c>
      <c r="B700" s="72" t="s">
        <v>228</v>
      </c>
      <c r="C700" s="73" t="s">
        <v>233</v>
      </c>
      <c r="D700" s="73" t="s">
        <v>161</v>
      </c>
      <c r="E700" s="73" t="str">
        <f>VLOOKUP(D700,clientes!$C$3:$D$60,2,FALSE)</f>
        <v>SUL PLATA</v>
      </c>
      <c r="F700" s="73" t="s">
        <v>120</v>
      </c>
      <c r="G700" s="73" t="str">
        <f>VLOOKUP(F700,'[2]Lista de Produtos CLASSIFICAÇÃO'!$E$103:$F$114,2,FALSE)</f>
        <v>Derivados</v>
      </c>
      <c r="H700" s="74">
        <v>35000</v>
      </c>
    </row>
    <row r="701" spans="1:8" x14ac:dyDescent="0.25">
      <c r="A701" s="75">
        <v>2022</v>
      </c>
      <c r="B701" s="76" t="s">
        <v>229</v>
      </c>
      <c r="C701" s="77" t="s">
        <v>233</v>
      </c>
      <c r="D701" s="77" t="s">
        <v>161</v>
      </c>
      <c r="E701" s="73" t="str">
        <f>VLOOKUP(D701,clientes!$C$3:$D$60,2,FALSE)</f>
        <v>SUL PLATA</v>
      </c>
      <c r="F701" s="77" t="s">
        <v>120</v>
      </c>
      <c r="G701" s="73" t="str">
        <f>VLOOKUP(F701,'[2]Lista de Produtos CLASSIFICAÇÃO'!$E$103:$F$114,2,FALSE)</f>
        <v>Derivados</v>
      </c>
      <c r="H701" s="78">
        <v>35000</v>
      </c>
    </row>
    <row r="702" spans="1:8" x14ac:dyDescent="0.25">
      <c r="A702" s="71">
        <v>2022</v>
      </c>
      <c r="B702" s="72" t="s">
        <v>210</v>
      </c>
      <c r="C702" s="73" t="s">
        <v>233</v>
      </c>
      <c r="D702" s="73" t="s">
        <v>161</v>
      </c>
      <c r="E702" s="73" t="str">
        <f>VLOOKUP(D702,clientes!$C$3:$D$60,2,FALSE)</f>
        <v>SUL PLATA</v>
      </c>
      <c r="F702" s="73" t="s">
        <v>120</v>
      </c>
      <c r="G702" s="73" t="str">
        <f>VLOOKUP(F702,'[2]Lista de Produtos CLASSIFICAÇÃO'!$E$103:$F$114,2,FALSE)</f>
        <v>Derivados</v>
      </c>
      <c r="H702" s="74">
        <v>35000</v>
      </c>
    </row>
    <row r="703" spans="1:8" x14ac:dyDescent="0.25">
      <c r="A703" s="75">
        <v>2022</v>
      </c>
      <c r="B703" s="76" t="s">
        <v>211</v>
      </c>
      <c r="C703" s="77" t="s">
        <v>233</v>
      </c>
      <c r="D703" s="77" t="s">
        <v>161</v>
      </c>
      <c r="E703" s="73" t="str">
        <f>VLOOKUP(D703,clientes!$C$3:$D$60,2,FALSE)</f>
        <v>SUL PLATA</v>
      </c>
      <c r="F703" s="77" t="s">
        <v>120</v>
      </c>
      <c r="G703" s="73" t="str">
        <f>VLOOKUP(F703,'[2]Lista de Produtos CLASSIFICAÇÃO'!$E$103:$F$114,2,FALSE)</f>
        <v>Derivados</v>
      </c>
      <c r="H703" s="78">
        <v>35000</v>
      </c>
    </row>
    <row r="704" spans="1:8" x14ac:dyDescent="0.25">
      <c r="A704" s="71">
        <v>2022</v>
      </c>
      <c r="B704" s="72" t="s">
        <v>212</v>
      </c>
      <c r="C704" s="73" t="s">
        <v>233</v>
      </c>
      <c r="D704" s="73" t="s">
        <v>161</v>
      </c>
      <c r="E704" s="73" t="str">
        <f>VLOOKUP(D704,clientes!$C$3:$D$60,2,FALSE)</f>
        <v>SUL PLATA</v>
      </c>
      <c r="F704" s="73" t="s">
        <v>120</v>
      </c>
      <c r="G704" s="73" t="str">
        <f>VLOOKUP(F704,'[2]Lista de Produtos CLASSIFICAÇÃO'!$E$103:$F$114,2,FALSE)</f>
        <v>Derivados</v>
      </c>
      <c r="H704" s="74">
        <v>35000</v>
      </c>
    </row>
    <row r="705" spans="1:8" x14ac:dyDescent="0.25">
      <c r="A705" s="75">
        <v>2022</v>
      </c>
      <c r="B705" s="76" t="s">
        <v>213</v>
      </c>
      <c r="C705" s="77" t="s">
        <v>233</v>
      </c>
      <c r="D705" s="77" t="s">
        <v>161</v>
      </c>
      <c r="E705" s="73" t="str">
        <f>VLOOKUP(D705,clientes!$C$3:$D$60,2,FALSE)</f>
        <v>SUL PLATA</v>
      </c>
      <c r="F705" s="77" t="s">
        <v>120</v>
      </c>
      <c r="G705" s="73" t="str">
        <f>VLOOKUP(F705,'[2]Lista de Produtos CLASSIFICAÇÃO'!$E$103:$F$114,2,FALSE)</f>
        <v>Derivados</v>
      </c>
      <c r="H705" s="78">
        <v>35000</v>
      </c>
    </row>
    <row r="706" spans="1:8" x14ac:dyDescent="0.25">
      <c r="A706" s="71">
        <v>2022</v>
      </c>
      <c r="B706" s="72" t="s">
        <v>214</v>
      </c>
      <c r="C706" s="73" t="s">
        <v>233</v>
      </c>
      <c r="D706" s="73" t="s">
        <v>161</v>
      </c>
      <c r="E706" s="73" t="str">
        <f>VLOOKUP(D706,clientes!$C$3:$D$60,2,FALSE)</f>
        <v>SUL PLATA</v>
      </c>
      <c r="F706" s="73" t="s">
        <v>120</v>
      </c>
      <c r="G706" s="73" t="str">
        <f>VLOOKUP(F706,'[2]Lista de Produtos CLASSIFICAÇÃO'!$E$103:$F$114,2,FALSE)</f>
        <v>Derivados</v>
      </c>
      <c r="H706" s="74">
        <v>35000</v>
      </c>
    </row>
    <row r="707" spans="1:8" x14ac:dyDescent="0.25">
      <c r="A707" s="75">
        <v>2022</v>
      </c>
      <c r="B707" s="76" t="s">
        <v>215</v>
      </c>
      <c r="C707" s="77" t="s">
        <v>233</v>
      </c>
      <c r="D707" s="77" t="s">
        <v>161</v>
      </c>
      <c r="E707" s="73" t="str">
        <f>VLOOKUP(D707,clientes!$C$3:$D$60,2,FALSE)</f>
        <v>SUL PLATA</v>
      </c>
      <c r="F707" s="77" t="s">
        <v>120</v>
      </c>
      <c r="G707" s="73" t="str">
        <f>VLOOKUP(F707,'[2]Lista de Produtos CLASSIFICAÇÃO'!$E$103:$F$114,2,FALSE)</f>
        <v>Derivados</v>
      </c>
      <c r="H707" s="78">
        <v>35000</v>
      </c>
    </row>
    <row r="708" spans="1:8" x14ac:dyDescent="0.25">
      <c r="A708" s="71">
        <v>2022</v>
      </c>
      <c r="B708" s="72" t="s">
        <v>230</v>
      </c>
      <c r="C708" s="73" t="s">
        <v>233</v>
      </c>
      <c r="D708" s="73" t="s">
        <v>161</v>
      </c>
      <c r="E708" s="73" t="str">
        <f>VLOOKUP(D708,clientes!$C$3:$D$60,2,FALSE)</f>
        <v>SUL PLATA</v>
      </c>
      <c r="F708" s="73" t="s">
        <v>120</v>
      </c>
      <c r="G708" s="73" t="str">
        <f>VLOOKUP(F708,'[2]Lista de Produtos CLASSIFICAÇÃO'!$E$103:$F$114,2,FALSE)</f>
        <v>Derivados</v>
      </c>
      <c r="H708" s="74">
        <v>35000</v>
      </c>
    </row>
    <row r="709" spans="1:8" x14ac:dyDescent="0.25">
      <c r="A709" s="75">
        <v>2022</v>
      </c>
      <c r="B709" s="76" t="s">
        <v>231</v>
      </c>
      <c r="C709" s="77" t="s">
        <v>233</v>
      </c>
      <c r="D709" s="77" t="s">
        <v>161</v>
      </c>
      <c r="E709" s="73" t="str">
        <f>VLOOKUP(D709,clientes!$C$3:$D$60,2,FALSE)</f>
        <v>SUL PLATA</v>
      </c>
      <c r="F709" s="77" t="s">
        <v>120</v>
      </c>
      <c r="G709" s="73" t="str">
        <f>VLOOKUP(F709,'[2]Lista de Produtos CLASSIFICAÇÃO'!$E$103:$F$114,2,FALSE)</f>
        <v>Derivados</v>
      </c>
      <c r="H709" s="78">
        <v>35000</v>
      </c>
    </row>
    <row r="710" spans="1:8" x14ac:dyDescent="0.25">
      <c r="A710" s="71">
        <v>2022</v>
      </c>
      <c r="B710" s="72" t="s">
        <v>226</v>
      </c>
      <c r="C710" s="73" t="s">
        <v>234</v>
      </c>
      <c r="D710" s="73" t="s">
        <v>198</v>
      </c>
      <c r="E710" s="73" t="str">
        <f>VLOOKUP(D710,clientes!$C$3:$D$60,2,FALSE)</f>
        <v>TEREOS / INPASA / GLENCORE</v>
      </c>
      <c r="F710" s="73" t="s">
        <v>121</v>
      </c>
      <c r="G710" s="73" t="str">
        <f>VLOOKUP(F710,'[2]Lista de Produtos CLASSIFICAÇÃO'!$E$103:$F$114,2,FALSE)</f>
        <v>Biocombustíveis</v>
      </c>
      <c r="H710" s="74">
        <v>0</v>
      </c>
    </row>
    <row r="711" spans="1:8" x14ac:dyDescent="0.25">
      <c r="A711" s="75">
        <v>2022</v>
      </c>
      <c r="B711" s="76" t="s">
        <v>227</v>
      </c>
      <c r="C711" s="77" t="s">
        <v>234</v>
      </c>
      <c r="D711" s="77" t="s">
        <v>198</v>
      </c>
      <c r="E711" s="73" t="str">
        <f>VLOOKUP(D711,clientes!$C$3:$D$60,2,FALSE)</f>
        <v>TEREOS / INPASA / GLENCORE</v>
      </c>
      <c r="F711" s="77" t="s">
        <v>121</v>
      </c>
      <c r="G711" s="73" t="str">
        <f>VLOOKUP(F711,'[2]Lista de Produtos CLASSIFICAÇÃO'!$E$103:$F$114,2,FALSE)</f>
        <v>Biocombustíveis</v>
      </c>
      <c r="H711" s="78">
        <v>0</v>
      </c>
    </row>
    <row r="712" spans="1:8" x14ac:dyDescent="0.25">
      <c r="A712" s="71">
        <v>2022</v>
      </c>
      <c r="B712" s="72" t="s">
        <v>228</v>
      </c>
      <c r="C712" s="73" t="s">
        <v>234</v>
      </c>
      <c r="D712" s="73" t="s">
        <v>198</v>
      </c>
      <c r="E712" s="73" t="str">
        <f>VLOOKUP(D712,clientes!$C$3:$D$60,2,FALSE)</f>
        <v>TEREOS / INPASA / GLENCORE</v>
      </c>
      <c r="F712" s="73" t="s">
        <v>121</v>
      </c>
      <c r="G712" s="73" t="str">
        <f>VLOOKUP(F712,'[2]Lista de Produtos CLASSIFICAÇÃO'!$E$103:$F$114,2,FALSE)</f>
        <v>Biocombustíveis</v>
      </c>
      <c r="H712" s="74">
        <v>0</v>
      </c>
    </row>
    <row r="713" spans="1:8" x14ac:dyDescent="0.25">
      <c r="A713" s="75">
        <v>2022</v>
      </c>
      <c r="B713" s="76" t="s">
        <v>229</v>
      </c>
      <c r="C713" s="77" t="s">
        <v>234</v>
      </c>
      <c r="D713" s="77" t="s">
        <v>198</v>
      </c>
      <c r="E713" s="73" t="str">
        <f>VLOOKUP(D713,clientes!$C$3:$D$60,2,FALSE)</f>
        <v>TEREOS / INPASA / GLENCORE</v>
      </c>
      <c r="F713" s="77" t="s">
        <v>121</v>
      </c>
      <c r="G713" s="73" t="str">
        <f>VLOOKUP(F713,'[2]Lista de Produtos CLASSIFICAÇÃO'!$E$103:$F$114,2,FALSE)</f>
        <v>Biocombustíveis</v>
      </c>
      <c r="H713" s="78">
        <v>0</v>
      </c>
    </row>
    <row r="714" spans="1:8" x14ac:dyDescent="0.25">
      <c r="A714" s="71">
        <v>2022</v>
      </c>
      <c r="B714" s="72" t="s">
        <v>210</v>
      </c>
      <c r="C714" s="73" t="s">
        <v>234</v>
      </c>
      <c r="D714" s="73" t="s">
        <v>198</v>
      </c>
      <c r="E714" s="73" t="str">
        <f>VLOOKUP(D714,clientes!$C$3:$D$60,2,FALSE)</f>
        <v>TEREOS / INPASA / GLENCORE</v>
      </c>
      <c r="F714" s="73" t="s">
        <v>121</v>
      </c>
      <c r="G714" s="73" t="str">
        <f>VLOOKUP(F714,'[2]Lista de Produtos CLASSIFICAÇÃO'!$E$103:$F$114,2,FALSE)</f>
        <v>Biocombustíveis</v>
      </c>
      <c r="H714" s="74">
        <v>0</v>
      </c>
    </row>
    <row r="715" spans="1:8" x14ac:dyDescent="0.25">
      <c r="A715" s="75">
        <v>2022</v>
      </c>
      <c r="B715" s="76" t="s">
        <v>211</v>
      </c>
      <c r="C715" s="77" t="s">
        <v>234</v>
      </c>
      <c r="D715" s="77" t="s">
        <v>198</v>
      </c>
      <c r="E715" s="73" t="str">
        <f>VLOOKUP(D715,clientes!$C$3:$D$60,2,FALSE)</f>
        <v>TEREOS / INPASA / GLENCORE</v>
      </c>
      <c r="F715" s="77" t="s">
        <v>121</v>
      </c>
      <c r="G715" s="73" t="str">
        <f>VLOOKUP(F715,'[2]Lista de Produtos CLASSIFICAÇÃO'!$E$103:$F$114,2,FALSE)</f>
        <v>Biocombustíveis</v>
      </c>
      <c r="H715" s="78">
        <v>10000</v>
      </c>
    </row>
    <row r="716" spans="1:8" x14ac:dyDescent="0.25">
      <c r="A716" s="71">
        <v>2022</v>
      </c>
      <c r="B716" s="72" t="s">
        <v>212</v>
      </c>
      <c r="C716" s="73" t="s">
        <v>234</v>
      </c>
      <c r="D716" s="73" t="s">
        <v>198</v>
      </c>
      <c r="E716" s="73" t="str">
        <f>VLOOKUP(D716,clientes!$C$3:$D$60,2,FALSE)</f>
        <v>TEREOS / INPASA / GLENCORE</v>
      </c>
      <c r="F716" s="73" t="s">
        <v>121</v>
      </c>
      <c r="G716" s="73" t="str">
        <f>VLOOKUP(F716,'[2]Lista de Produtos CLASSIFICAÇÃO'!$E$103:$F$114,2,FALSE)</f>
        <v>Biocombustíveis</v>
      </c>
      <c r="H716" s="74">
        <v>10000</v>
      </c>
    </row>
    <row r="717" spans="1:8" x14ac:dyDescent="0.25">
      <c r="A717" s="75">
        <v>2022</v>
      </c>
      <c r="B717" s="76" t="s">
        <v>213</v>
      </c>
      <c r="C717" s="77" t="s">
        <v>234</v>
      </c>
      <c r="D717" s="77" t="s">
        <v>198</v>
      </c>
      <c r="E717" s="73" t="str">
        <f>VLOOKUP(D717,clientes!$C$3:$D$60,2,FALSE)</f>
        <v>TEREOS / INPASA / GLENCORE</v>
      </c>
      <c r="F717" s="77" t="s">
        <v>121</v>
      </c>
      <c r="G717" s="73" t="str">
        <f>VLOOKUP(F717,'[2]Lista de Produtos CLASSIFICAÇÃO'!$E$103:$F$114,2,FALSE)</f>
        <v>Biocombustíveis</v>
      </c>
      <c r="H717" s="78">
        <v>10000</v>
      </c>
    </row>
    <row r="718" spans="1:8" x14ac:dyDescent="0.25">
      <c r="A718" s="71">
        <v>2022</v>
      </c>
      <c r="B718" s="72" t="s">
        <v>214</v>
      </c>
      <c r="C718" s="73" t="s">
        <v>234</v>
      </c>
      <c r="D718" s="73" t="s">
        <v>198</v>
      </c>
      <c r="E718" s="73" t="str">
        <f>VLOOKUP(D718,clientes!$C$3:$D$60,2,FALSE)</f>
        <v>TEREOS / INPASA / GLENCORE</v>
      </c>
      <c r="F718" s="73" t="s">
        <v>121</v>
      </c>
      <c r="G718" s="73" t="str">
        <f>VLOOKUP(F718,'[2]Lista de Produtos CLASSIFICAÇÃO'!$E$103:$F$114,2,FALSE)</f>
        <v>Biocombustíveis</v>
      </c>
      <c r="H718" s="74">
        <v>10000</v>
      </c>
    </row>
    <row r="719" spans="1:8" x14ac:dyDescent="0.25">
      <c r="A719" s="75">
        <v>2022</v>
      </c>
      <c r="B719" s="76" t="s">
        <v>215</v>
      </c>
      <c r="C719" s="77" t="s">
        <v>234</v>
      </c>
      <c r="D719" s="77" t="s">
        <v>198</v>
      </c>
      <c r="E719" s="73" t="str">
        <f>VLOOKUP(D719,clientes!$C$3:$D$60,2,FALSE)</f>
        <v>TEREOS / INPASA / GLENCORE</v>
      </c>
      <c r="F719" s="77" t="s">
        <v>121</v>
      </c>
      <c r="G719" s="73" t="str">
        <f>VLOOKUP(F719,'[2]Lista de Produtos CLASSIFICAÇÃO'!$E$103:$F$114,2,FALSE)</f>
        <v>Biocombustíveis</v>
      </c>
      <c r="H719" s="78">
        <v>10000</v>
      </c>
    </row>
    <row r="720" spans="1:8" x14ac:dyDescent="0.25">
      <c r="A720" s="71">
        <v>2022</v>
      </c>
      <c r="B720" s="72" t="s">
        <v>230</v>
      </c>
      <c r="C720" s="73" t="s">
        <v>234</v>
      </c>
      <c r="D720" s="73" t="s">
        <v>198</v>
      </c>
      <c r="E720" s="73" t="str">
        <f>VLOOKUP(D720,clientes!$C$3:$D$60,2,FALSE)</f>
        <v>TEREOS / INPASA / GLENCORE</v>
      </c>
      <c r="F720" s="73" t="s">
        <v>121</v>
      </c>
      <c r="G720" s="73" t="str">
        <f>VLOOKUP(F720,'[2]Lista de Produtos CLASSIFICAÇÃO'!$E$103:$F$114,2,FALSE)</f>
        <v>Biocombustíveis</v>
      </c>
      <c r="H720" s="74">
        <v>0</v>
      </c>
    </row>
    <row r="721" spans="1:8" x14ac:dyDescent="0.25">
      <c r="A721" s="75">
        <v>2022</v>
      </c>
      <c r="B721" s="76" t="s">
        <v>231</v>
      </c>
      <c r="C721" s="77" t="s">
        <v>234</v>
      </c>
      <c r="D721" s="77" t="s">
        <v>198</v>
      </c>
      <c r="E721" s="73" t="str">
        <f>VLOOKUP(D721,clientes!$C$3:$D$60,2,FALSE)</f>
        <v>TEREOS / INPASA / GLENCORE</v>
      </c>
      <c r="F721" s="77" t="s">
        <v>121</v>
      </c>
      <c r="G721" s="73" t="str">
        <f>VLOOKUP(F721,'[2]Lista de Produtos CLASSIFICAÇÃO'!$E$103:$F$114,2,FALSE)</f>
        <v>Biocombustíveis</v>
      </c>
      <c r="H721" s="78">
        <v>0</v>
      </c>
    </row>
    <row r="722" spans="1:8" x14ac:dyDescent="0.25">
      <c r="A722" s="71">
        <v>2022</v>
      </c>
      <c r="B722" s="72" t="s">
        <v>226</v>
      </c>
      <c r="C722" s="73" t="s">
        <v>225</v>
      </c>
      <c r="D722" s="73" t="s">
        <v>201</v>
      </c>
      <c r="E722" s="73" t="str">
        <f>VLOOKUP(D722,clientes!$C$3:$D$60,2,FALSE)</f>
        <v>TERRENA</v>
      </c>
      <c r="F722" s="73" t="s">
        <v>202</v>
      </c>
      <c r="G722" s="73" t="e">
        <f>VLOOKUP(F722,'[2]Lista de Produtos CLASSIFICAÇÃO'!$E$103:$F$114,2,FALSE)</f>
        <v>#N/A</v>
      </c>
      <c r="H722" s="74">
        <v>5000</v>
      </c>
    </row>
    <row r="723" spans="1:8" x14ac:dyDescent="0.25">
      <c r="A723" s="75">
        <v>2022</v>
      </c>
      <c r="B723" s="76" t="s">
        <v>227</v>
      </c>
      <c r="C723" s="77" t="s">
        <v>225</v>
      </c>
      <c r="D723" s="77" t="s">
        <v>201</v>
      </c>
      <c r="E723" s="73" t="str">
        <f>VLOOKUP(D723,clientes!$C$3:$D$60,2,FALSE)</f>
        <v>TERRENA</v>
      </c>
      <c r="F723" s="77" t="s">
        <v>202</v>
      </c>
      <c r="G723" s="73" t="e">
        <f>VLOOKUP(F723,'[2]Lista de Produtos CLASSIFICAÇÃO'!$E$103:$F$114,2,FALSE)</f>
        <v>#N/A</v>
      </c>
      <c r="H723" s="78">
        <v>5000</v>
      </c>
    </row>
    <row r="724" spans="1:8" x14ac:dyDescent="0.25">
      <c r="A724" s="71">
        <v>2022</v>
      </c>
      <c r="B724" s="72" t="s">
        <v>228</v>
      </c>
      <c r="C724" s="73" t="s">
        <v>225</v>
      </c>
      <c r="D724" s="73" t="s">
        <v>201</v>
      </c>
      <c r="E724" s="73" t="str">
        <f>VLOOKUP(D724,clientes!$C$3:$D$60,2,FALSE)</f>
        <v>TERRENA</v>
      </c>
      <c r="F724" s="73" t="s">
        <v>202</v>
      </c>
      <c r="G724" s="73" t="e">
        <f>VLOOKUP(F724,'[2]Lista de Produtos CLASSIFICAÇÃO'!$E$103:$F$114,2,FALSE)</f>
        <v>#N/A</v>
      </c>
      <c r="H724" s="74">
        <v>5000</v>
      </c>
    </row>
    <row r="725" spans="1:8" x14ac:dyDescent="0.25">
      <c r="A725" s="75">
        <v>2022</v>
      </c>
      <c r="B725" s="76" t="s">
        <v>229</v>
      </c>
      <c r="C725" s="77" t="s">
        <v>225</v>
      </c>
      <c r="D725" s="77" t="s">
        <v>201</v>
      </c>
      <c r="E725" s="73" t="str">
        <f>VLOOKUP(D725,clientes!$C$3:$D$60,2,FALSE)</f>
        <v>TERRENA</v>
      </c>
      <c r="F725" s="77" t="s">
        <v>202</v>
      </c>
      <c r="G725" s="73" t="e">
        <f>VLOOKUP(F725,'[2]Lista de Produtos CLASSIFICAÇÃO'!$E$103:$F$114,2,FALSE)</f>
        <v>#N/A</v>
      </c>
      <c r="H725" s="78">
        <v>5000</v>
      </c>
    </row>
    <row r="726" spans="1:8" x14ac:dyDescent="0.25">
      <c r="A726" s="71">
        <v>2022</v>
      </c>
      <c r="B726" s="72" t="s">
        <v>210</v>
      </c>
      <c r="C726" s="73" t="s">
        <v>225</v>
      </c>
      <c r="D726" s="73" t="s">
        <v>201</v>
      </c>
      <c r="E726" s="73" t="str">
        <f>VLOOKUP(D726,clientes!$C$3:$D$60,2,FALSE)</f>
        <v>TERRENA</v>
      </c>
      <c r="F726" s="73" t="s">
        <v>202</v>
      </c>
      <c r="G726" s="73" t="e">
        <f>VLOOKUP(F726,'[2]Lista de Produtos CLASSIFICAÇÃO'!$E$103:$F$114,2,FALSE)</f>
        <v>#N/A</v>
      </c>
      <c r="H726" s="74">
        <v>5000</v>
      </c>
    </row>
    <row r="727" spans="1:8" x14ac:dyDescent="0.25">
      <c r="A727" s="75">
        <v>2022</v>
      </c>
      <c r="B727" s="76" t="s">
        <v>211</v>
      </c>
      <c r="C727" s="77" t="s">
        <v>225</v>
      </c>
      <c r="D727" s="77" t="s">
        <v>201</v>
      </c>
      <c r="E727" s="73" t="str">
        <f>VLOOKUP(D727,clientes!$C$3:$D$60,2,FALSE)</f>
        <v>TERRENA</v>
      </c>
      <c r="F727" s="77" t="s">
        <v>202</v>
      </c>
      <c r="G727" s="73" t="e">
        <f>VLOOKUP(F727,'[2]Lista de Produtos CLASSIFICAÇÃO'!$E$103:$F$114,2,FALSE)</f>
        <v>#N/A</v>
      </c>
      <c r="H727" s="78">
        <v>5000</v>
      </c>
    </row>
    <row r="728" spans="1:8" x14ac:dyDescent="0.25">
      <c r="A728" s="71">
        <v>2022</v>
      </c>
      <c r="B728" s="72" t="s">
        <v>212</v>
      </c>
      <c r="C728" s="73" t="s">
        <v>225</v>
      </c>
      <c r="D728" s="73" t="s">
        <v>201</v>
      </c>
      <c r="E728" s="73" t="str">
        <f>VLOOKUP(D728,clientes!$C$3:$D$60,2,FALSE)</f>
        <v>TERRENA</v>
      </c>
      <c r="F728" s="73" t="s">
        <v>202</v>
      </c>
      <c r="G728" s="73" t="e">
        <f>VLOOKUP(F728,'[2]Lista de Produtos CLASSIFICAÇÃO'!$E$103:$F$114,2,FALSE)</f>
        <v>#N/A</v>
      </c>
      <c r="H728" s="74">
        <v>5000</v>
      </c>
    </row>
    <row r="729" spans="1:8" x14ac:dyDescent="0.25">
      <c r="A729" s="75">
        <v>2022</v>
      </c>
      <c r="B729" s="76" t="s">
        <v>213</v>
      </c>
      <c r="C729" s="77" t="s">
        <v>225</v>
      </c>
      <c r="D729" s="77" t="s">
        <v>201</v>
      </c>
      <c r="E729" s="73" t="str">
        <f>VLOOKUP(D729,clientes!$C$3:$D$60,2,FALSE)</f>
        <v>TERRENA</v>
      </c>
      <c r="F729" s="77" t="s">
        <v>202</v>
      </c>
      <c r="G729" s="73" t="e">
        <f>VLOOKUP(F729,'[2]Lista de Produtos CLASSIFICAÇÃO'!$E$103:$F$114,2,FALSE)</f>
        <v>#N/A</v>
      </c>
      <c r="H729" s="78">
        <v>5000</v>
      </c>
    </row>
    <row r="730" spans="1:8" x14ac:dyDescent="0.25">
      <c r="A730" s="71">
        <v>2022</v>
      </c>
      <c r="B730" s="72" t="s">
        <v>214</v>
      </c>
      <c r="C730" s="73" t="s">
        <v>225</v>
      </c>
      <c r="D730" s="73" t="s">
        <v>201</v>
      </c>
      <c r="E730" s="73" t="str">
        <f>VLOOKUP(D730,clientes!$C$3:$D$60,2,FALSE)</f>
        <v>TERRENA</v>
      </c>
      <c r="F730" s="73" t="s">
        <v>202</v>
      </c>
      <c r="G730" s="73" t="e">
        <f>VLOOKUP(F730,'[2]Lista de Produtos CLASSIFICAÇÃO'!$E$103:$F$114,2,FALSE)</f>
        <v>#N/A</v>
      </c>
      <c r="H730" s="74">
        <v>5000</v>
      </c>
    </row>
    <row r="731" spans="1:8" x14ac:dyDescent="0.25">
      <c r="A731" s="75">
        <v>2022</v>
      </c>
      <c r="B731" s="76" t="s">
        <v>215</v>
      </c>
      <c r="C731" s="77" t="s">
        <v>225</v>
      </c>
      <c r="D731" s="77" t="s">
        <v>201</v>
      </c>
      <c r="E731" s="73" t="str">
        <f>VLOOKUP(D731,clientes!$C$3:$D$60,2,FALSE)</f>
        <v>TERRENA</v>
      </c>
      <c r="F731" s="77" t="s">
        <v>202</v>
      </c>
      <c r="G731" s="73" t="e">
        <f>VLOOKUP(F731,'[2]Lista de Produtos CLASSIFICAÇÃO'!$E$103:$F$114,2,FALSE)</f>
        <v>#N/A</v>
      </c>
      <c r="H731" s="78">
        <v>5000</v>
      </c>
    </row>
    <row r="732" spans="1:8" x14ac:dyDescent="0.25">
      <c r="A732" s="71">
        <v>2022</v>
      </c>
      <c r="B732" s="72" t="s">
        <v>230</v>
      </c>
      <c r="C732" s="73" t="s">
        <v>225</v>
      </c>
      <c r="D732" s="73" t="s">
        <v>201</v>
      </c>
      <c r="E732" s="73" t="str">
        <f>VLOOKUP(D732,clientes!$C$3:$D$60,2,FALSE)</f>
        <v>TERRENA</v>
      </c>
      <c r="F732" s="73" t="s">
        <v>202</v>
      </c>
      <c r="G732" s="73" t="e">
        <f>VLOOKUP(F732,'[2]Lista de Produtos CLASSIFICAÇÃO'!$E$103:$F$114,2,FALSE)</f>
        <v>#N/A</v>
      </c>
      <c r="H732" s="74">
        <v>5000</v>
      </c>
    </row>
    <row r="733" spans="1:8" x14ac:dyDescent="0.25">
      <c r="A733" s="75">
        <v>2022</v>
      </c>
      <c r="B733" s="76" t="s">
        <v>231</v>
      </c>
      <c r="C733" s="77" t="s">
        <v>225</v>
      </c>
      <c r="D733" s="77" t="s">
        <v>201</v>
      </c>
      <c r="E733" s="73" t="str">
        <f>VLOOKUP(D733,clientes!$C$3:$D$60,2,FALSE)</f>
        <v>TERRENA</v>
      </c>
      <c r="F733" s="77" t="s">
        <v>202</v>
      </c>
      <c r="G733" s="73" t="e">
        <f>VLOOKUP(F733,'[2]Lista de Produtos CLASSIFICAÇÃO'!$E$103:$F$114,2,FALSE)</f>
        <v>#N/A</v>
      </c>
      <c r="H733" s="78">
        <v>5000</v>
      </c>
    </row>
    <row r="734" spans="1:8" x14ac:dyDescent="0.25">
      <c r="A734" s="71">
        <v>2022</v>
      </c>
      <c r="B734" s="72" t="s">
        <v>226</v>
      </c>
      <c r="C734" s="73" t="s">
        <v>225</v>
      </c>
      <c r="D734" s="73" t="s">
        <v>163</v>
      </c>
      <c r="E734" s="73" t="str">
        <f>VLOOKUP(D734,clientes!$C$3:$D$60,2,FALSE)</f>
        <v>TRICON ENERGY</v>
      </c>
      <c r="F734" s="73" t="s">
        <v>115</v>
      </c>
      <c r="G734" s="73" t="str">
        <f>VLOOKUP(F734,'[2]Lista de Produtos CLASSIFICAÇÃO'!$E$103:$F$114,2,FALSE)</f>
        <v>Soda Caustica</v>
      </c>
      <c r="H734" s="74">
        <v>8000</v>
      </c>
    </row>
    <row r="735" spans="1:8" x14ac:dyDescent="0.25">
      <c r="A735" s="75">
        <v>2022</v>
      </c>
      <c r="B735" s="76" t="s">
        <v>227</v>
      </c>
      <c r="C735" s="77" t="s">
        <v>225</v>
      </c>
      <c r="D735" s="77" t="s">
        <v>163</v>
      </c>
      <c r="E735" s="73" t="str">
        <f>VLOOKUP(D735,clientes!$C$3:$D$60,2,FALSE)</f>
        <v>TRICON ENERGY</v>
      </c>
      <c r="F735" s="77" t="s">
        <v>115</v>
      </c>
      <c r="G735" s="73" t="str">
        <f>VLOOKUP(F735,'[2]Lista de Produtos CLASSIFICAÇÃO'!$E$103:$F$114,2,FALSE)</f>
        <v>Soda Caustica</v>
      </c>
      <c r="H735" s="78">
        <v>8000</v>
      </c>
    </row>
    <row r="736" spans="1:8" x14ac:dyDescent="0.25">
      <c r="A736" s="71">
        <v>2022</v>
      </c>
      <c r="B736" s="72" t="s">
        <v>228</v>
      </c>
      <c r="C736" s="73" t="s">
        <v>225</v>
      </c>
      <c r="D736" s="73" t="s">
        <v>163</v>
      </c>
      <c r="E736" s="73" t="str">
        <f>VLOOKUP(D736,clientes!$C$3:$D$60,2,FALSE)</f>
        <v>TRICON ENERGY</v>
      </c>
      <c r="F736" s="73" t="s">
        <v>115</v>
      </c>
      <c r="G736" s="73" t="str">
        <f>VLOOKUP(F736,'[2]Lista de Produtos CLASSIFICAÇÃO'!$E$103:$F$114,2,FALSE)</f>
        <v>Soda Caustica</v>
      </c>
      <c r="H736" s="74">
        <v>8000</v>
      </c>
    </row>
    <row r="737" spans="1:8" x14ac:dyDescent="0.25">
      <c r="A737" s="75">
        <v>2022</v>
      </c>
      <c r="B737" s="76" t="s">
        <v>229</v>
      </c>
      <c r="C737" s="77" t="s">
        <v>225</v>
      </c>
      <c r="D737" s="77" t="s">
        <v>163</v>
      </c>
      <c r="E737" s="73" t="str">
        <f>VLOOKUP(D737,clientes!$C$3:$D$60,2,FALSE)</f>
        <v>TRICON ENERGY</v>
      </c>
      <c r="F737" s="77" t="s">
        <v>115</v>
      </c>
      <c r="G737" s="73" t="str">
        <f>VLOOKUP(F737,'[2]Lista de Produtos CLASSIFICAÇÃO'!$E$103:$F$114,2,FALSE)</f>
        <v>Soda Caustica</v>
      </c>
      <c r="H737" s="78">
        <v>8000</v>
      </c>
    </row>
    <row r="738" spans="1:8" x14ac:dyDescent="0.25">
      <c r="A738" s="71">
        <v>2022</v>
      </c>
      <c r="B738" s="72" t="s">
        <v>210</v>
      </c>
      <c r="C738" s="73" t="s">
        <v>225</v>
      </c>
      <c r="D738" s="73" t="s">
        <v>163</v>
      </c>
      <c r="E738" s="73" t="str">
        <f>VLOOKUP(D738,clientes!$C$3:$D$60,2,FALSE)</f>
        <v>TRICON ENERGY</v>
      </c>
      <c r="F738" s="73" t="s">
        <v>115</v>
      </c>
      <c r="G738" s="73" t="str">
        <f>VLOOKUP(F738,'[2]Lista de Produtos CLASSIFICAÇÃO'!$E$103:$F$114,2,FALSE)</f>
        <v>Soda Caustica</v>
      </c>
      <c r="H738" s="74">
        <v>8000</v>
      </c>
    </row>
    <row r="739" spans="1:8" x14ac:dyDescent="0.25">
      <c r="A739" s="75">
        <v>2022</v>
      </c>
      <c r="B739" s="76" t="s">
        <v>211</v>
      </c>
      <c r="C739" s="77" t="s">
        <v>225</v>
      </c>
      <c r="D739" s="77" t="s">
        <v>163</v>
      </c>
      <c r="E739" s="73" t="str">
        <f>VLOOKUP(D739,clientes!$C$3:$D$60,2,FALSE)</f>
        <v>TRICON ENERGY</v>
      </c>
      <c r="F739" s="77" t="s">
        <v>115</v>
      </c>
      <c r="G739" s="73" t="str">
        <f>VLOOKUP(F739,'[2]Lista de Produtos CLASSIFICAÇÃO'!$E$103:$F$114,2,FALSE)</f>
        <v>Soda Caustica</v>
      </c>
      <c r="H739" s="78">
        <v>8000</v>
      </c>
    </row>
    <row r="740" spans="1:8" x14ac:dyDescent="0.25">
      <c r="A740" s="71">
        <v>2022</v>
      </c>
      <c r="B740" s="72" t="s">
        <v>212</v>
      </c>
      <c r="C740" s="73" t="s">
        <v>225</v>
      </c>
      <c r="D740" s="73" t="s">
        <v>163</v>
      </c>
      <c r="E740" s="73" t="str">
        <f>VLOOKUP(D740,clientes!$C$3:$D$60,2,FALSE)</f>
        <v>TRICON ENERGY</v>
      </c>
      <c r="F740" s="73" t="s">
        <v>115</v>
      </c>
      <c r="G740" s="73" t="str">
        <f>VLOOKUP(F740,'[2]Lista de Produtos CLASSIFICAÇÃO'!$E$103:$F$114,2,FALSE)</f>
        <v>Soda Caustica</v>
      </c>
      <c r="H740" s="74">
        <v>8000</v>
      </c>
    </row>
    <row r="741" spans="1:8" x14ac:dyDescent="0.25">
      <c r="A741" s="75">
        <v>2022</v>
      </c>
      <c r="B741" s="76" t="s">
        <v>213</v>
      </c>
      <c r="C741" s="77" t="s">
        <v>225</v>
      </c>
      <c r="D741" s="77" t="s">
        <v>163</v>
      </c>
      <c r="E741" s="73" t="str">
        <f>VLOOKUP(D741,clientes!$C$3:$D$60,2,FALSE)</f>
        <v>TRICON ENERGY</v>
      </c>
      <c r="F741" s="77" t="s">
        <v>115</v>
      </c>
      <c r="G741" s="73" t="str">
        <f>VLOOKUP(F741,'[2]Lista de Produtos CLASSIFICAÇÃO'!$E$103:$F$114,2,FALSE)</f>
        <v>Soda Caustica</v>
      </c>
      <c r="H741" s="78">
        <v>8000</v>
      </c>
    </row>
    <row r="742" spans="1:8" x14ac:dyDescent="0.25">
      <c r="A742" s="71">
        <v>2022</v>
      </c>
      <c r="B742" s="72" t="s">
        <v>214</v>
      </c>
      <c r="C742" s="73" t="s">
        <v>225</v>
      </c>
      <c r="D742" s="73" t="s">
        <v>163</v>
      </c>
      <c r="E742" s="73" t="str">
        <f>VLOOKUP(D742,clientes!$C$3:$D$60,2,FALSE)</f>
        <v>TRICON ENERGY</v>
      </c>
      <c r="F742" s="73" t="s">
        <v>115</v>
      </c>
      <c r="G742" s="73" t="str">
        <f>VLOOKUP(F742,'[2]Lista de Produtos CLASSIFICAÇÃO'!$E$103:$F$114,2,FALSE)</f>
        <v>Soda Caustica</v>
      </c>
      <c r="H742" s="74">
        <v>8000</v>
      </c>
    </row>
    <row r="743" spans="1:8" x14ac:dyDescent="0.25">
      <c r="A743" s="75">
        <v>2022</v>
      </c>
      <c r="B743" s="76" t="s">
        <v>215</v>
      </c>
      <c r="C743" s="77" t="s">
        <v>225</v>
      </c>
      <c r="D743" s="77" t="s">
        <v>163</v>
      </c>
      <c r="E743" s="73" t="str">
        <f>VLOOKUP(D743,clientes!$C$3:$D$60,2,FALSE)</f>
        <v>TRICON ENERGY</v>
      </c>
      <c r="F743" s="77" t="s">
        <v>115</v>
      </c>
      <c r="G743" s="73" t="str">
        <f>VLOOKUP(F743,'[2]Lista de Produtos CLASSIFICAÇÃO'!$E$103:$F$114,2,FALSE)</f>
        <v>Soda Caustica</v>
      </c>
      <c r="H743" s="78">
        <v>8000</v>
      </c>
    </row>
    <row r="744" spans="1:8" x14ac:dyDescent="0.25">
      <c r="A744" s="71">
        <v>2022</v>
      </c>
      <c r="B744" s="72" t="s">
        <v>230</v>
      </c>
      <c r="C744" s="73" t="s">
        <v>225</v>
      </c>
      <c r="D744" s="73" t="s">
        <v>163</v>
      </c>
      <c r="E744" s="73" t="str">
        <f>VLOOKUP(D744,clientes!$C$3:$D$60,2,FALSE)</f>
        <v>TRICON ENERGY</v>
      </c>
      <c r="F744" s="73" t="s">
        <v>115</v>
      </c>
      <c r="G744" s="73" t="str">
        <f>VLOOKUP(F744,'[2]Lista de Produtos CLASSIFICAÇÃO'!$E$103:$F$114,2,FALSE)</f>
        <v>Soda Caustica</v>
      </c>
      <c r="H744" s="74">
        <v>8000</v>
      </c>
    </row>
    <row r="745" spans="1:8" x14ac:dyDescent="0.25">
      <c r="A745" s="75">
        <v>2022</v>
      </c>
      <c r="B745" s="76" t="s">
        <v>231</v>
      </c>
      <c r="C745" s="77" t="s">
        <v>225</v>
      </c>
      <c r="D745" s="77" t="s">
        <v>163</v>
      </c>
      <c r="E745" s="73" t="str">
        <f>VLOOKUP(D745,clientes!$C$3:$D$60,2,FALSE)</f>
        <v>TRICON ENERGY</v>
      </c>
      <c r="F745" s="77" t="s">
        <v>115</v>
      </c>
      <c r="G745" s="73" t="str">
        <f>VLOOKUP(F745,'[2]Lista de Produtos CLASSIFICAÇÃO'!$E$103:$F$114,2,FALSE)</f>
        <v>Soda Caustica</v>
      </c>
      <c r="H745" s="78">
        <v>8000</v>
      </c>
    </row>
    <row r="746" spans="1:8" x14ac:dyDescent="0.25">
      <c r="A746" s="71">
        <v>2022</v>
      </c>
      <c r="B746" s="72" t="s">
        <v>226</v>
      </c>
      <c r="C746" s="73" t="s">
        <v>235</v>
      </c>
      <c r="D746" s="73" t="s">
        <v>173</v>
      </c>
      <c r="E746" s="73" t="str">
        <f>VLOOKUP(D746,clientes!$C$3:$D$60,2,FALSE)</f>
        <v>YPF SOCIEDAD ANONIMA</v>
      </c>
      <c r="F746" s="73" t="s">
        <v>22</v>
      </c>
      <c r="G746" s="73" t="str">
        <f>VLOOKUP(F746,'[2]Lista de Produtos CLASSIFICAÇÃO'!$E$103:$F$114,2,FALSE)</f>
        <v>Metanol</v>
      </c>
      <c r="H746" s="74">
        <v>6900</v>
      </c>
    </row>
    <row r="747" spans="1:8" x14ac:dyDescent="0.25">
      <c r="A747" s="75">
        <v>2022</v>
      </c>
      <c r="B747" s="76" t="s">
        <v>227</v>
      </c>
      <c r="C747" s="77" t="s">
        <v>235</v>
      </c>
      <c r="D747" s="77" t="s">
        <v>173</v>
      </c>
      <c r="E747" s="73" t="str">
        <f>VLOOKUP(D747,clientes!$C$3:$D$60,2,FALSE)</f>
        <v>YPF SOCIEDAD ANONIMA</v>
      </c>
      <c r="F747" s="77" t="s">
        <v>22</v>
      </c>
      <c r="G747" s="73" t="str">
        <f>VLOOKUP(F747,'[2]Lista de Produtos CLASSIFICAÇÃO'!$E$103:$F$114,2,FALSE)</f>
        <v>Metanol</v>
      </c>
      <c r="H747" s="78">
        <v>6900</v>
      </c>
    </row>
    <row r="748" spans="1:8" x14ac:dyDescent="0.25">
      <c r="A748" s="71">
        <v>2022</v>
      </c>
      <c r="B748" s="72" t="s">
        <v>228</v>
      </c>
      <c r="C748" s="73" t="s">
        <v>235</v>
      </c>
      <c r="D748" s="73" t="s">
        <v>173</v>
      </c>
      <c r="E748" s="73" t="str">
        <f>VLOOKUP(D748,clientes!$C$3:$D$60,2,FALSE)</f>
        <v>YPF SOCIEDAD ANONIMA</v>
      </c>
      <c r="F748" s="73" t="s">
        <v>22</v>
      </c>
      <c r="G748" s="73" t="str">
        <f>VLOOKUP(F748,'[2]Lista de Produtos CLASSIFICAÇÃO'!$E$103:$F$114,2,FALSE)</f>
        <v>Metanol</v>
      </c>
      <c r="H748" s="74">
        <v>6900</v>
      </c>
    </row>
    <row r="749" spans="1:8" x14ac:dyDescent="0.25">
      <c r="A749" s="75">
        <v>2022</v>
      </c>
      <c r="B749" s="76" t="s">
        <v>229</v>
      </c>
      <c r="C749" s="77" t="s">
        <v>235</v>
      </c>
      <c r="D749" s="77" t="s">
        <v>173</v>
      </c>
      <c r="E749" s="73" t="str">
        <f>VLOOKUP(D749,clientes!$C$3:$D$60,2,FALSE)</f>
        <v>YPF SOCIEDAD ANONIMA</v>
      </c>
      <c r="F749" s="77" t="s">
        <v>22</v>
      </c>
      <c r="G749" s="73" t="str">
        <f>VLOOKUP(F749,'[2]Lista de Produtos CLASSIFICAÇÃO'!$E$103:$F$114,2,FALSE)</f>
        <v>Metanol</v>
      </c>
      <c r="H749" s="78">
        <v>6900</v>
      </c>
    </row>
    <row r="750" spans="1:8" x14ac:dyDescent="0.25">
      <c r="A750" s="71">
        <v>2022</v>
      </c>
      <c r="B750" s="72" t="s">
        <v>210</v>
      </c>
      <c r="C750" s="73" t="s">
        <v>235</v>
      </c>
      <c r="D750" s="73" t="s">
        <v>173</v>
      </c>
      <c r="E750" s="73" t="str">
        <f>VLOOKUP(D750,clientes!$C$3:$D$60,2,FALSE)</f>
        <v>YPF SOCIEDAD ANONIMA</v>
      </c>
      <c r="F750" s="73" t="s">
        <v>22</v>
      </c>
      <c r="G750" s="73" t="str">
        <f>VLOOKUP(F750,'[2]Lista de Produtos CLASSIFICAÇÃO'!$E$103:$F$114,2,FALSE)</f>
        <v>Metanol</v>
      </c>
      <c r="H750" s="74">
        <v>6900</v>
      </c>
    </row>
    <row r="751" spans="1:8" x14ac:dyDescent="0.25">
      <c r="A751" s="75">
        <v>2022</v>
      </c>
      <c r="B751" s="76" t="s">
        <v>211</v>
      </c>
      <c r="C751" s="77" t="s">
        <v>235</v>
      </c>
      <c r="D751" s="77" t="s">
        <v>173</v>
      </c>
      <c r="E751" s="73" t="str">
        <f>VLOOKUP(D751,clientes!$C$3:$D$60,2,FALSE)</f>
        <v>YPF SOCIEDAD ANONIMA</v>
      </c>
      <c r="F751" s="77" t="s">
        <v>22</v>
      </c>
      <c r="G751" s="73" t="str">
        <f>VLOOKUP(F751,'[2]Lista de Produtos CLASSIFICAÇÃO'!$E$103:$F$114,2,FALSE)</f>
        <v>Metanol</v>
      </c>
      <c r="H751" s="78">
        <v>6900</v>
      </c>
    </row>
    <row r="752" spans="1:8" x14ac:dyDescent="0.25">
      <c r="A752" s="71">
        <v>2022</v>
      </c>
      <c r="B752" s="72" t="s">
        <v>212</v>
      </c>
      <c r="C752" s="73" t="s">
        <v>235</v>
      </c>
      <c r="D752" s="73" t="s">
        <v>173</v>
      </c>
      <c r="E752" s="73" t="str">
        <f>VLOOKUP(D752,clientes!$C$3:$D$60,2,FALSE)</f>
        <v>YPF SOCIEDAD ANONIMA</v>
      </c>
      <c r="F752" s="73" t="s">
        <v>22</v>
      </c>
      <c r="G752" s="73" t="str">
        <f>VLOOKUP(F752,'[2]Lista de Produtos CLASSIFICAÇÃO'!$E$103:$F$114,2,FALSE)</f>
        <v>Metanol</v>
      </c>
      <c r="H752" s="74">
        <v>6900</v>
      </c>
    </row>
    <row r="753" spans="1:8" x14ac:dyDescent="0.25">
      <c r="A753" s="75">
        <v>2022</v>
      </c>
      <c r="B753" s="76" t="s">
        <v>213</v>
      </c>
      <c r="C753" s="77" t="s">
        <v>235</v>
      </c>
      <c r="D753" s="77" t="s">
        <v>173</v>
      </c>
      <c r="E753" s="73" t="str">
        <f>VLOOKUP(D753,clientes!$C$3:$D$60,2,FALSE)</f>
        <v>YPF SOCIEDAD ANONIMA</v>
      </c>
      <c r="F753" s="77" t="s">
        <v>22</v>
      </c>
      <c r="G753" s="73" t="str">
        <f>VLOOKUP(F753,'[2]Lista de Produtos CLASSIFICAÇÃO'!$E$103:$F$114,2,FALSE)</f>
        <v>Metanol</v>
      </c>
      <c r="H753" s="78">
        <v>6900</v>
      </c>
    </row>
    <row r="754" spans="1:8" x14ac:dyDescent="0.25">
      <c r="A754" s="71">
        <v>2022</v>
      </c>
      <c r="B754" s="72" t="s">
        <v>214</v>
      </c>
      <c r="C754" s="73" t="s">
        <v>235</v>
      </c>
      <c r="D754" s="73" t="s">
        <v>173</v>
      </c>
      <c r="E754" s="73" t="str">
        <f>VLOOKUP(D754,clientes!$C$3:$D$60,2,FALSE)</f>
        <v>YPF SOCIEDAD ANONIMA</v>
      </c>
      <c r="F754" s="73" t="s">
        <v>22</v>
      </c>
      <c r="G754" s="73" t="str">
        <f>VLOOKUP(F754,'[2]Lista de Produtos CLASSIFICAÇÃO'!$E$103:$F$114,2,FALSE)</f>
        <v>Metanol</v>
      </c>
      <c r="H754" s="74">
        <v>6900</v>
      </c>
    </row>
    <row r="755" spans="1:8" x14ac:dyDescent="0.25">
      <c r="A755" s="75">
        <v>2022</v>
      </c>
      <c r="B755" s="76" t="s">
        <v>215</v>
      </c>
      <c r="C755" s="77" t="s">
        <v>235</v>
      </c>
      <c r="D755" s="77" t="s">
        <v>173</v>
      </c>
      <c r="E755" s="73" t="str">
        <f>VLOOKUP(D755,clientes!$C$3:$D$60,2,FALSE)</f>
        <v>YPF SOCIEDAD ANONIMA</v>
      </c>
      <c r="F755" s="77" t="s">
        <v>22</v>
      </c>
      <c r="G755" s="73" t="str">
        <f>VLOOKUP(F755,'[2]Lista de Produtos CLASSIFICAÇÃO'!$E$103:$F$114,2,FALSE)</f>
        <v>Metanol</v>
      </c>
      <c r="H755" s="78">
        <v>6900</v>
      </c>
    </row>
    <row r="756" spans="1:8" x14ac:dyDescent="0.25">
      <c r="A756" s="71">
        <v>2022</v>
      </c>
      <c r="B756" s="72" t="s">
        <v>230</v>
      </c>
      <c r="C756" s="73" t="s">
        <v>235</v>
      </c>
      <c r="D756" s="73" t="s">
        <v>173</v>
      </c>
      <c r="E756" s="73" t="str">
        <f>VLOOKUP(D756,clientes!$C$3:$D$60,2,FALSE)</f>
        <v>YPF SOCIEDAD ANONIMA</v>
      </c>
      <c r="F756" s="73" t="s">
        <v>22</v>
      </c>
      <c r="G756" s="73" t="str">
        <f>VLOOKUP(F756,'[2]Lista de Produtos CLASSIFICAÇÃO'!$E$103:$F$114,2,FALSE)</f>
        <v>Metanol</v>
      </c>
      <c r="H756" s="74">
        <v>6900</v>
      </c>
    </row>
    <row r="757" spans="1:8" x14ac:dyDescent="0.25">
      <c r="A757" s="75">
        <v>2022</v>
      </c>
      <c r="B757" s="76" t="s">
        <v>231</v>
      </c>
      <c r="C757" s="77" t="s">
        <v>235</v>
      </c>
      <c r="D757" s="77" t="s">
        <v>173</v>
      </c>
      <c r="E757" s="73" t="str">
        <f>VLOOKUP(D757,clientes!$C$3:$D$60,2,FALSE)</f>
        <v>YPF SOCIEDAD ANONIMA</v>
      </c>
      <c r="F757" s="77" t="s">
        <v>22</v>
      </c>
      <c r="G757" s="73" t="str">
        <f>VLOOKUP(F757,'[2]Lista de Produtos CLASSIFICAÇÃO'!$E$103:$F$114,2,FALSE)</f>
        <v>Metanol</v>
      </c>
      <c r="H757" s="78">
        <v>6900</v>
      </c>
    </row>
    <row r="758" spans="1:8" x14ac:dyDescent="0.25">
      <c r="A758" s="71">
        <v>2023</v>
      </c>
      <c r="B758" s="72" t="s">
        <v>226</v>
      </c>
      <c r="C758" s="73" t="s">
        <v>232</v>
      </c>
      <c r="D758" s="73" t="s">
        <v>175</v>
      </c>
      <c r="E758" s="73" t="str">
        <f>VLOOKUP(D758,clientes!$C$3:$D$60,2,FALSE)</f>
        <v>AAK DO BRASIL</v>
      </c>
      <c r="F758" s="73" t="s">
        <v>123</v>
      </c>
      <c r="G758" s="73" t="str">
        <f>VLOOKUP(F758,'[2]Lista de Produtos CLASSIFICAÇÃO'!$E$103:$F$114,2,FALSE)</f>
        <v>Aquecidos</v>
      </c>
      <c r="H758" s="74">
        <v>6359</v>
      </c>
    </row>
    <row r="759" spans="1:8" x14ac:dyDescent="0.25">
      <c r="A759" s="75">
        <v>2023</v>
      </c>
      <c r="B759" s="76" t="s">
        <v>227</v>
      </c>
      <c r="C759" s="77" t="s">
        <v>232</v>
      </c>
      <c r="D759" s="77" t="s">
        <v>175</v>
      </c>
      <c r="E759" s="73" t="str">
        <f>VLOOKUP(D759,clientes!$C$3:$D$60,2,FALSE)</f>
        <v>AAK DO BRASIL</v>
      </c>
      <c r="F759" s="77" t="s">
        <v>123</v>
      </c>
      <c r="G759" s="73" t="str">
        <f>VLOOKUP(F759,'[2]Lista de Produtos CLASSIFICAÇÃO'!$E$103:$F$114,2,FALSE)</f>
        <v>Aquecidos</v>
      </c>
      <c r="H759" s="78">
        <v>6359</v>
      </c>
    </row>
    <row r="760" spans="1:8" x14ac:dyDescent="0.25">
      <c r="A760" s="71">
        <v>2023</v>
      </c>
      <c r="B760" s="72" t="s">
        <v>228</v>
      </c>
      <c r="C760" s="73" t="s">
        <v>232</v>
      </c>
      <c r="D760" s="73" t="s">
        <v>175</v>
      </c>
      <c r="E760" s="73" t="str">
        <f>VLOOKUP(D760,clientes!$C$3:$D$60,2,FALSE)</f>
        <v>AAK DO BRASIL</v>
      </c>
      <c r="F760" s="73" t="s">
        <v>123</v>
      </c>
      <c r="G760" s="73" t="str">
        <f>VLOOKUP(F760,'[2]Lista de Produtos CLASSIFICAÇÃO'!$E$103:$F$114,2,FALSE)</f>
        <v>Aquecidos</v>
      </c>
      <c r="H760" s="74">
        <v>6359</v>
      </c>
    </row>
    <row r="761" spans="1:8" x14ac:dyDescent="0.25">
      <c r="A761" s="75">
        <v>2023</v>
      </c>
      <c r="B761" s="76" t="s">
        <v>229</v>
      </c>
      <c r="C761" s="77" t="s">
        <v>232</v>
      </c>
      <c r="D761" s="77" t="s">
        <v>175</v>
      </c>
      <c r="E761" s="73" t="str">
        <f>VLOOKUP(D761,clientes!$C$3:$D$60,2,FALSE)</f>
        <v>AAK DO BRASIL</v>
      </c>
      <c r="F761" s="77" t="s">
        <v>123</v>
      </c>
      <c r="G761" s="73" t="str">
        <f>VLOOKUP(F761,'[2]Lista de Produtos CLASSIFICAÇÃO'!$E$103:$F$114,2,FALSE)</f>
        <v>Aquecidos</v>
      </c>
      <c r="H761" s="78">
        <v>6359</v>
      </c>
    </row>
    <row r="762" spans="1:8" x14ac:dyDescent="0.25">
      <c r="A762" s="71">
        <v>2023</v>
      </c>
      <c r="B762" s="72" t="s">
        <v>210</v>
      </c>
      <c r="C762" s="73" t="s">
        <v>232</v>
      </c>
      <c r="D762" s="73" t="s">
        <v>175</v>
      </c>
      <c r="E762" s="73" t="str">
        <f>VLOOKUP(D762,clientes!$C$3:$D$60,2,FALSE)</f>
        <v>AAK DO BRASIL</v>
      </c>
      <c r="F762" s="73" t="s">
        <v>123</v>
      </c>
      <c r="G762" s="73" t="str">
        <f>VLOOKUP(F762,'[2]Lista de Produtos CLASSIFICAÇÃO'!$E$103:$F$114,2,FALSE)</f>
        <v>Aquecidos</v>
      </c>
      <c r="H762" s="74">
        <v>6359</v>
      </c>
    </row>
    <row r="763" spans="1:8" x14ac:dyDescent="0.25">
      <c r="A763" s="75">
        <v>2023</v>
      </c>
      <c r="B763" s="76" t="s">
        <v>211</v>
      </c>
      <c r="C763" s="77" t="s">
        <v>232</v>
      </c>
      <c r="D763" s="77" t="s">
        <v>175</v>
      </c>
      <c r="E763" s="73" t="str">
        <f>VLOOKUP(D763,clientes!$C$3:$D$60,2,FALSE)</f>
        <v>AAK DO BRASIL</v>
      </c>
      <c r="F763" s="77" t="s">
        <v>123</v>
      </c>
      <c r="G763" s="73" t="str">
        <f>VLOOKUP(F763,'[2]Lista de Produtos CLASSIFICAÇÃO'!$E$103:$F$114,2,FALSE)</f>
        <v>Aquecidos</v>
      </c>
      <c r="H763" s="78">
        <v>6359</v>
      </c>
    </row>
    <row r="764" spans="1:8" x14ac:dyDescent="0.25">
      <c r="A764" s="71">
        <v>2023</v>
      </c>
      <c r="B764" s="72" t="s">
        <v>212</v>
      </c>
      <c r="C764" s="73" t="s">
        <v>232</v>
      </c>
      <c r="D764" s="73" t="s">
        <v>175</v>
      </c>
      <c r="E764" s="73" t="str">
        <f>VLOOKUP(D764,clientes!$C$3:$D$60,2,FALSE)</f>
        <v>AAK DO BRASIL</v>
      </c>
      <c r="F764" s="73" t="s">
        <v>123</v>
      </c>
      <c r="G764" s="73" t="str">
        <f>VLOOKUP(F764,'[2]Lista de Produtos CLASSIFICAÇÃO'!$E$103:$F$114,2,FALSE)</f>
        <v>Aquecidos</v>
      </c>
      <c r="H764" s="74">
        <v>6359</v>
      </c>
    </row>
    <row r="765" spans="1:8" x14ac:dyDescent="0.25">
      <c r="A765" s="75">
        <v>2023</v>
      </c>
      <c r="B765" s="76" t="s">
        <v>213</v>
      </c>
      <c r="C765" s="77" t="s">
        <v>232</v>
      </c>
      <c r="D765" s="77" t="s">
        <v>175</v>
      </c>
      <c r="E765" s="73" t="str">
        <f>VLOOKUP(D765,clientes!$C$3:$D$60,2,FALSE)</f>
        <v>AAK DO BRASIL</v>
      </c>
      <c r="F765" s="77" t="s">
        <v>123</v>
      </c>
      <c r="G765" s="73" t="str">
        <f>VLOOKUP(F765,'[2]Lista de Produtos CLASSIFICAÇÃO'!$E$103:$F$114,2,FALSE)</f>
        <v>Aquecidos</v>
      </c>
      <c r="H765" s="78">
        <v>6359</v>
      </c>
    </row>
    <row r="766" spans="1:8" x14ac:dyDescent="0.25">
      <c r="A766" s="71">
        <v>2023</v>
      </c>
      <c r="B766" s="72" t="s">
        <v>214</v>
      </c>
      <c r="C766" s="73" t="s">
        <v>232</v>
      </c>
      <c r="D766" s="73" t="s">
        <v>175</v>
      </c>
      <c r="E766" s="73" t="str">
        <f>VLOOKUP(D766,clientes!$C$3:$D$60,2,FALSE)</f>
        <v>AAK DO BRASIL</v>
      </c>
      <c r="F766" s="73" t="s">
        <v>123</v>
      </c>
      <c r="G766" s="73" t="str">
        <f>VLOOKUP(F766,'[2]Lista de Produtos CLASSIFICAÇÃO'!$E$103:$F$114,2,FALSE)</f>
        <v>Aquecidos</v>
      </c>
      <c r="H766" s="74">
        <v>6359</v>
      </c>
    </row>
    <row r="767" spans="1:8" x14ac:dyDescent="0.25">
      <c r="A767" s="75">
        <v>2023</v>
      </c>
      <c r="B767" s="76" t="s">
        <v>215</v>
      </c>
      <c r="C767" s="77" t="s">
        <v>232</v>
      </c>
      <c r="D767" s="77" t="s">
        <v>175</v>
      </c>
      <c r="E767" s="73" t="str">
        <f>VLOOKUP(D767,clientes!$C$3:$D$60,2,FALSE)</f>
        <v>AAK DO BRASIL</v>
      </c>
      <c r="F767" s="77" t="s">
        <v>123</v>
      </c>
      <c r="G767" s="73" t="str">
        <f>VLOOKUP(F767,'[2]Lista de Produtos CLASSIFICAÇÃO'!$E$103:$F$114,2,FALSE)</f>
        <v>Aquecidos</v>
      </c>
      <c r="H767" s="78">
        <v>6359</v>
      </c>
    </row>
    <row r="768" spans="1:8" x14ac:dyDescent="0.25">
      <c r="A768" s="71">
        <v>2023</v>
      </c>
      <c r="B768" s="72" t="s">
        <v>230</v>
      </c>
      <c r="C768" s="73" t="s">
        <v>232</v>
      </c>
      <c r="D768" s="73" t="s">
        <v>175</v>
      </c>
      <c r="E768" s="73" t="str">
        <f>VLOOKUP(D768,clientes!$C$3:$D$60,2,FALSE)</f>
        <v>AAK DO BRASIL</v>
      </c>
      <c r="F768" s="73" t="s">
        <v>123</v>
      </c>
      <c r="G768" s="73" t="str">
        <f>VLOOKUP(F768,'[2]Lista de Produtos CLASSIFICAÇÃO'!$E$103:$F$114,2,FALSE)</f>
        <v>Aquecidos</v>
      </c>
      <c r="H768" s="74">
        <v>6359</v>
      </c>
    </row>
    <row r="769" spans="1:8" x14ac:dyDescent="0.25">
      <c r="A769" s="75">
        <v>2023</v>
      </c>
      <c r="B769" s="76" t="s">
        <v>231</v>
      </c>
      <c r="C769" s="77" t="s">
        <v>232</v>
      </c>
      <c r="D769" s="77" t="s">
        <v>175</v>
      </c>
      <c r="E769" s="73" t="str">
        <f>VLOOKUP(D769,clientes!$C$3:$D$60,2,FALSE)</f>
        <v>AAK DO BRASIL</v>
      </c>
      <c r="F769" s="77" t="s">
        <v>123</v>
      </c>
      <c r="G769" s="73" t="str">
        <f>VLOOKUP(F769,'[2]Lista de Produtos CLASSIFICAÇÃO'!$E$103:$F$114,2,FALSE)</f>
        <v>Aquecidos</v>
      </c>
      <c r="H769" s="78">
        <v>6359</v>
      </c>
    </row>
    <row r="770" spans="1:8" x14ac:dyDescent="0.25">
      <c r="A770" s="71">
        <v>2023</v>
      </c>
      <c r="B770" s="72" t="s">
        <v>226</v>
      </c>
      <c r="C770" s="73" t="s">
        <v>225</v>
      </c>
      <c r="D770" s="73" t="s">
        <v>157</v>
      </c>
      <c r="E770" s="73" t="str">
        <f>VLOOKUP(D770,clientes!$C$3:$D$60,2,FALSE)</f>
        <v>ADM</v>
      </c>
      <c r="F770" s="73" t="s">
        <v>122</v>
      </c>
      <c r="G770" s="73" t="str">
        <f>VLOOKUP(F770,'[2]Lista de Produtos CLASSIFICAÇÃO'!$E$103:$F$114,2,FALSE)</f>
        <v>Óleo Vegetal</v>
      </c>
      <c r="H770" s="74">
        <v>2826</v>
      </c>
    </row>
    <row r="771" spans="1:8" x14ac:dyDescent="0.25">
      <c r="A771" s="75">
        <v>2023</v>
      </c>
      <c r="B771" s="76" t="s">
        <v>227</v>
      </c>
      <c r="C771" s="77" t="s">
        <v>225</v>
      </c>
      <c r="D771" s="77" t="s">
        <v>157</v>
      </c>
      <c r="E771" s="73" t="str">
        <f>VLOOKUP(D771,clientes!$C$3:$D$60,2,FALSE)</f>
        <v>ADM</v>
      </c>
      <c r="F771" s="77" t="s">
        <v>122</v>
      </c>
      <c r="G771" s="73" t="str">
        <f>VLOOKUP(F771,'[2]Lista de Produtos CLASSIFICAÇÃO'!$E$103:$F$114,2,FALSE)</f>
        <v>Óleo Vegetal</v>
      </c>
      <c r="H771" s="78">
        <v>2826</v>
      </c>
    </row>
    <row r="772" spans="1:8" x14ac:dyDescent="0.25">
      <c r="A772" s="71">
        <v>2023</v>
      </c>
      <c r="B772" s="72" t="s">
        <v>228</v>
      </c>
      <c r="C772" s="73" t="s">
        <v>225</v>
      </c>
      <c r="D772" s="73" t="s">
        <v>157</v>
      </c>
      <c r="E772" s="73" t="str">
        <f>VLOOKUP(D772,clientes!$C$3:$D$60,2,FALSE)</f>
        <v>ADM</v>
      </c>
      <c r="F772" s="73" t="s">
        <v>122</v>
      </c>
      <c r="G772" s="73" t="str">
        <f>VLOOKUP(F772,'[2]Lista de Produtos CLASSIFICAÇÃO'!$E$103:$F$114,2,FALSE)</f>
        <v>Óleo Vegetal</v>
      </c>
      <c r="H772" s="74">
        <v>2826</v>
      </c>
    </row>
    <row r="773" spans="1:8" x14ac:dyDescent="0.25">
      <c r="A773" s="75">
        <v>2023</v>
      </c>
      <c r="B773" s="76" t="s">
        <v>229</v>
      </c>
      <c r="C773" s="77" t="s">
        <v>225</v>
      </c>
      <c r="D773" s="77" t="s">
        <v>157</v>
      </c>
      <c r="E773" s="73" t="str">
        <f>VLOOKUP(D773,clientes!$C$3:$D$60,2,FALSE)</f>
        <v>ADM</v>
      </c>
      <c r="F773" s="77" t="s">
        <v>122</v>
      </c>
      <c r="G773" s="73" t="str">
        <f>VLOOKUP(F773,'[2]Lista de Produtos CLASSIFICAÇÃO'!$E$103:$F$114,2,FALSE)</f>
        <v>Óleo Vegetal</v>
      </c>
      <c r="H773" s="78">
        <v>2826</v>
      </c>
    </row>
    <row r="774" spans="1:8" x14ac:dyDescent="0.25">
      <c r="A774" s="71">
        <v>2023</v>
      </c>
      <c r="B774" s="72" t="s">
        <v>210</v>
      </c>
      <c r="C774" s="73" t="s">
        <v>225</v>
      </c>
      <c r="D774" s="73" t="s">
        <v>157</v>
      </c>
      <c r="E774" s="73" t="str">
        <f>VLOOKUP(D774,clientes!$C$3:$D$60,2,FALSE)</f>
        <v>ADM</v>
      </c>
      <c r="F774" s="73" t="s">
        <v>122</v>
      </c>
      <c r="G774" s="73" t="str">
        <f>VLOOKUP(F774,'[2]Lista de Produtos CLASSIFICAÇÃO'!$E$103:$F$114,2,FALSE)</f>
        <v>Óleo Vegetal</v>
      </c>
      <c r="H774" s="74">
        <v>2826</v>
      </c>
    </row>
    <row r="775" spans="1:8" x14ac:dyDescent="0.25">
      <c r="A775" s="75">
        <v>2023</v>
      </c>
      <c r="B775" s="76" t="s">
        <v>211</v>
      </c>
      <c r="C775" s="77" t="s">
        <v>225</v>
      </c>
      <c r="D775" s="77" t="s">
        <v>157</v>
      </c>
      <c r="E775" s="73" t="str">
        <f>VLOOKUP(D775,clientes!$C$3:$D$60,2,FALSE)</f>
        <v>ADM</v>
      </c>
      <c r="F775" s="77" t="s">
        <v>122</v>
      </c>
      <c r="G775" s="73" t="str">
        <f>VLOOKUP(F775,'[2]Lista de Produtos CLASSIFICAÇÃO'!$E$103:$F$114,2,FALSE)</f>
        <v>Óleo Vegetal</v>
      </c>
      <c r="H775" s="78">
        <v>2826</v>
      </c>
    </row>
    <row r="776" spans="1:8" x14ac:dyDescent="0.25">
      <c r="A776" s="71">
        <v>2023</v>
      </c>
      <c r="B776" s="72" t="s">
        <v>212</v>
      </c>
      <c r="C776" s="73" t="s">
        <v>225</v>
      </c>
      <c r="D776" s="73" t="s">
        <v>157</v>
      </c>
      <c r="E776" s="73" t="str">
        <f>VLOOKUP(D776,clientes!$C$3:$D$60,2,FALSE)</f>
        <v>ADM</v>
      </c>
      <c r="F776" s="73" t="s">
        <v>122</v>
      </c>
      <c r="G776" s="73" t="str">
        <f>VLOOKUP(F776,'[2]Lista de Produtos CLASSIFICAÇÃO'!$E$103:$F$114,2,FALSE)</f>
        <v>Óleo Vegetal</v>
      </c>
      <c r="H776" s="74">
        <v>2826</v>
      </c>
    </row>
    <row r="777" spans="1:8" x14ac:dyDescent="0.25">
      <c r="A777" s="75">
        <v>2023</v>
      </c>
      <c r="B777" s="76" t="s">
        <v>213</v>
      </c>
      <c r="C777" s="77" t="s">
        <v>225</v>
      </c>
      <c r="D777" s="77" t="s">
        <v>157</v>
      </c>
      <c r="E777" s="73" t="str">
        <f>VLOOKUP(D777,clientes!$C$3:$D$60,2,FALSE)</f>
        <v>ADM</v>
      </c>
      <c r="F777" s="77" t="s">
        <v>122</v>
      </c>
      <c r="G777" s="73" t="str">
        <f>VLOOKUP(F777,'[2]Lista de Produtos CLASSIFICAÇÃO'!$E$103:$F$114,2,FALSE)</f>
        <v>Óleo Vegetal</v>
      </c>
      <c r="H777" s="78">
        <v>2826</v>
      </c>
    </row>
    <row r="778" spans="1:8" x14ac:dyDescent="0.25">
      <c r="A778" s="71">
        <v>2023</v>
      </c>
      <c r="B778" s="72" t="s">
        <v>214</v>
      </c>
      <c r="C778" s="73" t="s">
        <v>225</v>
      </c>
      <c r="D778" s="73" t="s">
        <v>157</v>
      </c>
      <c r="E778" s="73" t="str">
        <f>VLOOKUP(D778,clientes!$C$3:$D$60,2,FALSE)</f>
        <v>ADM</v>
      </c>
      <c r="F778" s="73" t="s">
        <v>122</v>
      </c>
      <c r="G778" s="73" t="str">
        <f>VLOOKUP(F778,'[2]Lista de Produtos CLASSIFICAÇÃO'!$E$103:$F$114,2,FALSE)</f>
        <v>Óleo Vegetal</v>
      </c>
      <c r="H778" s="74">
        <v>2826</v>
      </c>
    </row>
    <row r="779" spans="1:8" x14ac:dyDescent="0.25">
      <c r="A779" s="75">
        <v>2023</v>
      </c>
      <c r="B779" s="76" t="s">
        <v>215</v>
      </c>
      <c r="C779" s="77" t="s">
        <v>225</v>
      </c>
      <c r="D779" s="77" t="s">
        <v>157</v>
      </c>
      <c r="E779" s="73" t="str">
        <f>VLOOKUP(D779,clientes!$C$3:$D$60,2,FALSE)</f>
        <v>ADM</v>
      </c>
      <c r="F779" s="77" t="s">
        <v>122</v>
      </c>
      <c r="G779" s="73" t="str">
        <f>VLOOKUP(F779,'[2]Lista de Produtos CLASSIFICAÇÃO'!$E$103:$F$114,2,FALSE)</f>
        <v>Óleo Vegetal</v>
      </c>
      <c r="H779" s="78">
        <v>2826</v>
      </c>
    </row>
    <row r="780" spans="1:8" x14ac:dyDescent="0.25">
      <c r="A780" s="71">
        <v>2023</v>
      </c>
      <c r="B780" s="72" t="s">
        <v>230</v>
      </c>
      <c r="C780" s="73" t="s">
        <v>225</v>
      </c>
      <c r="D780" s="73" t="s">
        <v>157</v>
      </c>
      <c r="E780" s="73" t="str">
        <f>VLOOKUP(D780,clientes!$C$3:$D$60,2,FALSE)</f>
        <v>ADM</v>
      </c>
      <c r="F780" s="73" t="s">
        <v>122</v>
      </c>
      <c r="G780" s="73" t="str">
        <f>VLOOKUP(F780,'[2]Lista de Produtos CLASSIFICAÇÃO'!$E$103:$F$114,2,FALSE)</f>
        <v>Óleo Vegetal</v>
      </c>
      <c r="H780" s="74">
        <v>2826</v>
      </c>
    </row>
    <row r="781" spans="1:8" x14ac:dyDescent="0.25">
      <c r="A781" s="75">
        <v>2023</v>
      </c>
      <c r="B781" s="76" t="s">
        <v>231</v>
      </c>
      <c r="C781" s="77" t="s">
        <v>225</v>
      </c>
      <c r="D781" s="77" t="s">
        <v>157</v>
      </c>
      <c r="E781" s="73" t="str">
        <f>VLOOKUP(D781,clientes!$C$3:$D$60,2,FALSE)</f>
        <v>ADM</v>
      </c>
      <c r="F781" s="77" t="s">
        <v>122</v>
      </c>
      <c r="G781" s="73" t="str">
        <f>VLOOKUP(F781,'[2]Lista de Produtos CLASSIFICAÇÃO'!$E$103:$F$114,2,FALSE)</f>
        <v>Óleo Vegetal</v>
      </c>
      <c r="H781" s="78">
        <v>2826</v>
      </c>
    </row>
    <row r="782" spans="1:8" x14ac:dyDescent="0.25">
      <c r="A782" s="71">
        <v>2023</v>
      </c>
      <c r="B782" s="72" t="s">
        <v>226</v>
      </c>
      <c r="C782" s="73" t="s">
        <v>225</v>
      </c>
      <c r="D782" s="73" t="s">
        <v>155</v>
      </c>
      <c r="E782" s="73" t="str">
        <f>VLOOKUP(D782,clientes!$C$3:$D$60,2,FALSE)</f>
        <v>ADISSEO</v>
      </c>
      <c r="F782" s="73" t="s">
        <v>16</v>
      </c>
      <c r="G782" s="73" t="str">
        <f>VLOOKUP(F782,'[2]Lista de Produtos CLASSIFICAÇÃO'!$E$103:$F$114,2,FALSE)</f>
        <v>Outros</v>
      </c>
      <c r="H782" s="74">
        <v>8200</v>
      </c>
    </row>
    <row r="783" spans="1:8" x14ac:dyDescent="0.25">
      <c r="A783" s="75">
        <v>2023</v>
      </c>
      <c r="B783" s="76" t="s">
        <v>227</v>
      </c>
      <c r="C783" s="77" t="s">
        <v>225</v>
      </c>
      <c r="D783" s="77" t="s">
        <v>155</v>
      </c>
      <c r="E783" s="73" t="str">
        <f>VLOOKUP(D783,clientes!$C$3:$D$60,2,FALSE)</f>
        <v>ADISSEO</v>
      </c>
      <c r="F783" s="77" t="s">
        <v>16</v>
      </c>
      <c r="G783" s="73" t="str">
        <f>VLOOKUP(F783,'[2]Lista de Produtos CLASSIFICAÇÃO'!$E$103:$F$114,2,FALSE)</f>
        <v>Outros</v>
      </c>
      <c r="H783" s="78">
        <v>8200</v>
      </c>
    </row>
    <row r="784" spans="1:8" x14ac:dyDescent="0.25">
      <c r="A784" s="71">
        <v>2023</v>
      </c>
      <c r="B784" s="72" t="s">
        <v>228</v>
      </c>
      <c r="C784" s="73" t="s">
        <v>225</v>
      </c>
      <c r="D784" s="73" t="s">
        <v>155</v>
      </c>
      <c r="E784" s="73" t="str">
        <f>VLOOKUP(D784,clientes!$C$3:$D$60,2,FALSE)</f>
        <v>ADISSEO</v>
      </c>
      <c r="F784" s="73" t="s">
        <v>16</v>
      </c>
      <c r="G784" s="73" t="str">
        <f>VLOOKUP(F784,'[2]Lista de Produtos CLASSIFICAÇÃO'!$E$103:$F$114,2,FALSE)</f>
        <v>Outros</v>
      </c>
      <c r="H784" s="74">
        <v>8200</v>
      </c>
    </row>
    <row r="785" spans="1:8" x14ac:dyDescent="0.25">
      <c r="A785" s="75">
        <v>2023</v>
      </c>
      <c r="B785" s="76" t="s">
        <v>229</v>
      </c>
      <c r="C785" s="77" t="s">
        <v>225</v>
      </c>
      <c r="D785" s="77" t="s">
        <v>155</v>
      </c>
      <c r="E785" s="73" t="str">
        <f>VLOOKUP(D785,clientes!$C$3:$D$60,2,FALSE)</f>
        <v>ADISSEO</v>
      </c>
      <c r="F785" s="77" t="s">
        <v>16</v>
      </c>
      <c r="G785" s="73" t="str">
        <f>VLOOKUP(F785,'[2]Lista de Produtos CLASSIFICAÇÃO'!$E$103:$F$114,2,FALSE)</f>
        <v>Outros</v>
      </c>
      <c r="H785" s="78">
        <v>8200</v>
      </c>
    </row>
    <row r="786" spans="1:8" x14ac:dyDescent="0.25">
      <c r="A786" s="71">
        <v>2023</v>
      </c>
      <c r="B786" s="72" t="s">
        <v>210</v>
      </c>
      <c r="C786" s="73" t="s">
        <v>225</v>
      </c>
      <c r="D786" s="73" t="s">
        <v>155</v>
      </c>
      <c r="E786" s="73" t="str">
        <f>VLOOKUP(D786,clientes!$C$3:$D$60,2,FALSE)</f>
        <v>ADISSEO</v>
      </c>
      <c r="F786" s="73" t="s">
        <v>16</v>
      </c>
      <c r="G786" s="73" t="str">
        <f>VLOOKUP(F786,'[2]Lista de Produtos CLASSIFICAÇÃO'!$E$103:$F$114,2,FALSE)</f>
        <v>Outros</v>
      </c>
      <c r="H786" s="74">
        <v>8200</v>
      </c>
    </row>
    <row r="787" spans="1:8" x14ac:dyDescent="0.25">
      <c r="A787" s="75">
        <v>2023</v>
      </c>
      <c r="B787" s="76" t="s">
        <v>211</v>
      </c>
      <c r="C787" s="77" t="s">
        <v>225</v>
      </c>
      <c r="D787" s="77" t="s">
        <v>155</v>
      </c>
      <c r="E787" s="73" t="str">
        <f>VLOOKUP(D787,clientes!$C$3:$D$60,2,FALSE)</f>
        <v>ADISSEO</v>
      </c>
      <c r="F787" s="77" t="s">
        <v>16</v>
      </c>
      <c r="G787" s="73" t="str">
        <f>VLOOKUP(F787,'[2]Lista de Produtos CLASSIFICAÇÃO'!$E$103:$F$114,2,FALSE)</f>
        <v>Outros</v>
      </c>
      <c r="H787" s="78">
        <v>8200</v>
      </c>
    </row>
    <row r="788" spans="1:8" x14ac:dyDescent="0.25">
      <c r="A788" s="71">
        <v>2023</v>
      </c>
      <c r="B788" s="72" t="s">
        <v>212</v>
      </c>
      <c r="C788" s="73" t="s">
        <v>225</v>
      </c>
      <c r="D788" s="73" t="s">
        <v>155</v>
      </c>
      <c r="E788" s="73" t="str">
        <f>VLOOKUP(D788,clientes!$C$3:$D$60,2,FALSE)</f>
        <v>ADISSEO</v>
      </c>
      <c r="F788" s="73" t="s">
        <v>16</v>
      </c>
      <c r="G788" s="73" t="str">
        <f>VLOOKUP(F788,'[2]Lista de Produtos CLASSIFICAÇÃO'!$E$103:$F$114,2,FALSE)</f>
        <v>Outros</v>
      </c>
      <c r="H788" s="74">
        <v>8200</v>
      </c>
    </row>
    <row r="789" spans="1:8" x14ac:dyDescent="0.25">
      <c r="A789" s="75">
        <v>2023</v>
      </c>
      <c r="B789" s="76" t="s">
        <v>213</v>
      </c>
      <c r="C789" s="77" t="s">
        <v>225</v>
      </c>
      <c r="D789" s="77" t="s">
        <v>155</v>
      </c>
      <c r="E789" s="73" t="str">
        <f>VLOOKUP(D789,clientes!$C$3:$D$60,2,FALSE)</f>
        <v>ADISSEO</v>
      </c>
      <c r="F789" s="77" t="s">
        <v>16</v>
      </c>
      <c r="G789" s="73" t="str">
        <f>VLOOKUP(F789,'[2]Lista de Produtos CLASSIFICAÇÃO'!$E$103:$F$114,2,FALSE)</f>
        <v>Outros</v>
      </c>
      <c r="H789" s="78">
        <v>8200</v>
      </c>
    </row>
    <row r="790" spans="1:8" x14ac:dyDescent="0.25">
      <c r="A790" s="71">
        <v>2023</v>
      </c>
      <c r="B790" s="72" t="s">
        <v>214</v>
      </c>
      <c r="C790" s="73" t="s">
        <v>225</v>
      </c>
      <c r="D790" s="73" t="s">
        <v>155</v>
      </c>
      <c r="E790" s="73" t="str">
        <f>VLOOKUP(D790,clientes!$C$3:$D$60,2,FALSE)</f>
        <v>ADISSEO</v>
      </c>
      <c r="F790" s="73" t="s">
        <v>16</v>
      </c>
      <c r="G790" s="73" t="str">
        <f>VLOOKUP(F790,'[2]Lista de Produtos CLASSIFICAÇÃO'!$E$103:$F$114,2,FALSE)</f>
        <v>Outros</v>
      </c>
      <c r="H790" s="74">
        <v>8200</v>
      </c>
    </row>
    <row r="791" spans="1:8" x14ac:dyDescent="0.25">
      <c r="A791" s="75">
        <v>2023</v>
      </c>
      <c r="B791" s="76" t="s">
        <v>215</v>
      </c>
      <c r="C791" s="77" t="s">
        <v>225</v>
      </c>
      <c r="D791" s="77" t="s">
        <v>155</v>
      </c>
      <c r="E791" s="73" t="str">
        <f>VLOOKUP(D791,clientes!$C$3:$D$60,2,FALSE)</f>
        <v>ADISSEO</v>
      </c>
      <c r="F791" s="77" t="s">
        <v>16</v>
      </c>
      <c r="G791" s="73" t="str">
        <f>VLOOKUP(F791,'[2]Lista de Produtos CLASSIFICAÇÃO'!$E$103:$F$114,2,FALSE)</f>
        <v>Outros</v>
      </c>
      <c r="H791" s="78">
        <v>8200</v>
      </c>
    </row>
    <row r="792" spans="1:8" x14ac:dyDescent="0.25">
      <c r="A792" s="71">
        <v>2023</v>
      </c>
      <c r="B792" s="72" t="s">
        <v>230</v>
      </c>
      <c r="C792" s="73" t="s">
        <v>225</v>
      </c>
      <c r="D792" s="73" t="s">
        <v>155</v>
      </c>
      <c r="E792" s="73" t="str">
        <f>VLOOKUP(D792,clientes!$C$3:$D$60,2,FALSE)</f>
        <v>ADISSEO</v>
      </c>
      <c r="F792" s="73" t="s">
        <v>16</v>
      </c>
      <c r="G792" s="73" t="str">
        <f>VLOOKUP(F792,'[2]Lista de Produtos CLASSIFICAÇÃO'!$E$103:$F$114,2,FALSE)</f>
        <v>Outros</v>
      </c>
      <c r="H792" s="74">
        <v>8200</v>
      </c>
    </row>
    <row r="793" spans="1:8" x14ac:dyDescent="0.25">
      <c r="A793" s="75">
        <v>2023</v>
      </c>
      <c r="B793" s="76" t="s">
        <v>231</v>
      </c>
      <c r="C793" s="77" t="s">
        <v>225</v>
      </c>
      <c r="D793" s="77" t="s">
        <v>155</v>
      </c>
      <c r="E793" s="73" t="str">
        <f>VLOOKUP(D793,clientes!$C$3:$D$60,2,FALSE)</f>
        <v>ADISSEO</v>
      </c>
      <c r="F793" s="77" t="s">
        <v>16</v>
      </c>
      <c r="G793" s="73" t="str">
        <f>VLOOKUP(F793,'[2]Lista de Produtos CLASSIFICAÇÃO'!$E$103:$F$114,2,FALSE)</f>
        <v>Outros</v>
      </c>
      <c r="H793" s="78">
        <v>8200</v>
      </c>
    </row>
    <row r="794" spans="1:8" x14ac:dyDescent="0.25">
      <c r="A794" s="71">
        <v>2023</v>
      </c>
      <c r="B794" s="72" t="s">
        <v>226</v>
      </c>
      <c r="C794" s="73" t="s">
        <v>232</v>
      </c>
      <c r="D794" s="73" t="s">
        <v>176</v>
      </c>
      <c r="E794" s="73" t="str">
        <f>VLOOKUP(D794,clientes!$C$3:$D$60,2,FALSE)</f>
        <v>AGROPALMA</v>
      </c>
      <c r="F794" s="73" t="s">
        <v>123</v>
      </c>
      <c r="G794" s="73" t="str">
        <f>VLOOKUP(F794,'[2]Lista de Produtos CLASSIFICAÇÃO'!$E$103:$F$114,2,FALSE)</f>
        <v>Aquecidos</v>
      </c>
      <c r="H794" s="74">
        <v>3744</v>
      </c>
    </row>
    <row r="795" spans="1:8" x14ac:dyDescent="0.25">
      <c r="A795" s="75">
        <v>2023</v>
      </c>
      <c r="B795" s="76" t="s">
        <v>227</v>
      </c>
      <c r="C795" s="77" t="s">
        <v>232</v>
      </c>
      <c r="D795" s="77" t="s">
        <v>176</v>
      </c>
      <c r="E795" s="73" t="str">
        <f>VLOOKUP(D795,clientes!$C$3:$D$60,2,FALSE)</f>
        <v>AGROPALMA</v>
      </c>
      <c r="F795" s="77" t="s">
        <v>123</v>
      </c>
      <c r="G795" s="73" t="str">
        <f>VLOOKUP(F795,'[2]Lista de Produtos CLASSIFICAÇÃO'!$E$103:$F$114,2,FALSE)</f>
        <v>Aquecidos</v>
      </c>
      <c r="H795" s="78">
        <v>3744</v>
      </c>
    </row>
    <row r="796" spans="1:8" x14ac:dyDescent="0.25">
      <c r="A796" s="71">
        <v>2023</v>
      </c>
      <c r="B796" s="72" t="s">
        <v>228</v>
      </c>
      <c r="C796" s="73" t="s">
        <v>232</v>
      </c>
      <c r="D796" s="73" t="s">
        <v>176</v>
      </c>
      <c r="E796" s="73" t="str">
        <f>VLOOKUP(D796,clientes!$C$3:$D$60,2,FALSE)</f>
        <v>AGROPALMA</v>
      </c>
      <c r="F796" s="73" t="s">
        <v>123</v>
      </c>
      <c r="G796" s="73" t="str">
        <f>VLOOKUP(F796,'[2]Lista de Produtos CLASSIFICAÇÃO'!$E$103:$F$114,2,FALSE)</f>
        <v>Aquecidos</v>
      </c>
      <c r="H796" s="74">
        <v>3744</v>
      </c>
    </row>
    <row r="797" spans="1:8" x14ac:dyDescent="0.25">
      <c r="A797" s="75">
        <v>2023</v>
      </c>
      <c r="B797" s="76" t="s">
        <v>229</v>
      </c>
      <c r="C797" s="77" t="s">
        <v>232</v>
      </c>
      <c r="D797" s="77" t="s">
        <v>176</v>
      </c>
      <c r="E797" s="73" t="str">
        <f>VLOOKUP(D797,clientes!$C$3:$D$60,2,FALSE)</f>
        <v>AGROPALMA</v>
      </c>
      <c r="F797" s="77" t="s">
        <v>123</v>
      </c>
      <c r="G797" s="73" t="str">
        <f>VLOOKUP(F797,'[2]Lista de Produtos CLASSIFICAÇÃO'!$E$103:$F$114,2,FALSE)</f>
        <v>Aquecidos</v>
      </c>
      <c r="H797" s="78">
        <v>3744</v>
      </c>
    </row>
    <row r="798" spans="1:8" x14ac:dyDescent="0.25">
      <c r="A798" s="71">
        <v>2023</v>
      </c>
      <c r="B798" s="72" t="s">
        <v>210</v>
      </c>
      <c r="C798" s="73" t="s">
        <v>232</v>
      </c>
      <c r="D798" s="73" t="s">
        <v>176</v>
      </c>
      <c r="E798" s="73" t="str">
        <f>VLOOKUP(D798,clientes!$C$3:$D$60,2,FALSE)</f>
        <v>AGROPALMA</v>
      </c>
      <c r="F798" s="73" t="s">
        <v>123</v>
      </c>
      <c r="G798" s="73" t="str">
        <f>VLOOKUP(F798,'[2]Lista de Produtos CLASSIFICAÇÃO'!$E$103:$F$114,2,FALSE)</f>
        <v>Aquecidos</v>
      </c>
      <c r="H798" s="74">
        <v>3744</v>
      </c>
    </row>
    <row r="799" spans="1:8" x14ac:dyDescent="0.25">
      <c r="A799" s="75">
        <v>2023</v>
      </c>
      <c r="B799" s="76" t="s">
        <v>211</v>
      </c>
      <c r="C799" s="77" t="s">
        <v>232</v>
      </c>
      <c r="D799" s="77" t="s">
        <v>176</v>
      </c>
      <c r="E799" s="73" t="str">
        <f>VLOOKUP(D799,clientes!$C$3:$D$60,2,FALSE)</f>
        <v>AGROPALMA</v>
      </c>
      <c r="F799" s="77" t="s">
        <v>123</v>
      </c>
      <c r="G799" s="73" t="str">
        <f>VLOOKUP(F799,'[2]Lista de Produtos CLASSIFICAÇÃO'!$E$103:$F$114,2,FALSE)</f>
        <v>Aquecidos</v>
      </c>
      <c r="H799" s="78">
        <v>3744</v>
      </c>
    </row>
    <row r="800" spans="1:8" x14ac:dyDescent="0.25">
      <c r="A800" s="71">
        <v>2023</v>
      </c>
      <c r="B800" s="72" t="s">
        <v>212</v>
      </c>
      <c r="C800" s="73" t="s">
        <v>232</v>
      </c>
      <c r="D800" s="73" t="s">
        <v>176</v>
      </c>
      <c r="E800" s="73" t="str">
        <f>VLOOKUP(D800,clientes!$C$3:$D$60,2,FALSE)</f>
        <v>AGROPALMA</v>
      </c>
      <c r="F800" s="73" t="s">
        <v>123</v>
      </c>
      <c r="G800" s="73" t="str">
        <f>VLOOKUP(F800,'[2]Lista de Produtos CLASSIFICAÇÃO'!$E$103:$F$114,2,FALSE)</f>
        <v>Aquecidos</v>
      </c>
      <c r="H800" s="74">
        <v>3744</v>
      </c>
    </row>
    <row r="801" spans="1:8" x14ac:dyDescent="0.25">
      <c r="A801" s="75">
        <v>2023</v>
      </c>
      <c r="B801" s="76" t="s">
        <v>213</v>
      </c>
      <c r="C801" s="77" t="s">
        <v>232</v>
      </c>
      <c r="D801" s="77" t="s">
        <v>176</v>
      </c>
      <c r="E801" s="73" t="str">
        <f>VLOOKUP(D801,clientes!$C$3:$D$60,2,FALSE)</f>
        <v>AGROPALMA</v>
      </c>
      <c r="F801" s="77" t="s">
        <v>123</v>
      </c>
      <c r="G801" s="73" t="str">
        <f>VLOOKUP(F801,'[2]Lista de Produtos CLASSIFICAÇÃO'!$E$103:$F$114,2,FALSE)</f>
        <v>Aquecidos</v>
      </c>
      <c r="H801" s="78">
        <v>3744</v>
      </c>
    </row>
    <row r="802" spans="1:8" x14ac:dyDescent="0.25">
      <c r="A802" s="71">
        <v>2023</v>
      </c>
      <c r="B802" s="72" t="s">
        <v>214</v>
      </c>
      <c r="C802" s="73" t="s">
        <v>232</v>
      </c>
      <c r="D802" s="73" t="s">
        <v>176</v>
      </c>
      <c r="E802" s="73" t="str">
        <f>VLOOKUP(D802,clientes!$C$3:$D$60,2,FALSE)</f>
        <v>AGROPALMA</v>
      </c>
      <c r="F802" s="73" t="s">
        <v>123</v>
      </c>
      <c r="G802" s="73" t="str">
        <f>VLOOKUP(F802,'[2]Lista de Produtos CLASSIFICAÇÃO'!$E$103:$F$114,2,FALSE)</f>
        <v>Aquecidos</v>
      </c>
      <c r="H802" s="74">
        <v>3744</v>
      </c>
    </row>
    <row r="803" spans="1:8" x14ac:dyDescent="0.25">
      <c r="A803" s="75">
        <v>2023</v>
      </c>
      <c r="B803" s="76" t="s">
        <v>215</v>
      </c>
      <c r="C803" s="77" t="s">
        <v>232</v>
      </c>
      <c r="D803" s="77" t="s">
        <v>176</v>
      </c>
      <c r="E803" s="73" t="str">
        <f>VLOOKUP(D803,clientes!$C$3:$D$60,2,FALSE)</f>
        <v>AGROPALMA</v>
      </c>
      <c r="F803" s="77" t="s">
        <v>123</v>
      </c>
      <c r="G803" s="73" t="str">
        <f>VLOOKUP(F803,'[2]Lista de Produtos CLASSIFICAÇÃO'!$E$103:$F$114,2,FALSE)</f>
        <v>Aquecidos</v>
      </c>
      <c r="H803" s="78">
        <v>3744</v>
      </c>
    </row>
    <row r="804" spans="1:8" x14ac:dyDescent="0.25">
      <c r="A804" s="71">
        <v>2023</v>
      </c>
      <c r="B804" s="72" t="s">
        <v>230</v>
      </c>
      <c r="C804" s="73" t="s">
        <v>232</v>
      </c>
      <c r="D804" s="73" t="s">
        <v>176</v>
      </c>
      <c r="E804" s="73" t="str">
        <f>VLOOKUP(D804,clientes!$C$3:$D$60,2,FALSE)</f>
        <v>AGROPALMA</v>
      </c>
      <c r="F804" s="73" t="s">
        <v>123</v>
      </c>
      <c r="G804" s="73" t="str">
        <f>VLOOKUP(F804,'[2]Lista de Produtos CLASSIFICAÇÃO'!$E$103:$F$114,2,FALSE)</f>
        <v>Aquecidos</v>
      </c>
      <c r="H804" s="74">
        <v>3744</v>
      </c>
    </row>
    <row r="805" spans="1:8" x14ac:dyDescent="0.25">
      <c r="A805" s="75">
        <v>2023</v>
      </c>
      <c r="B805" s="76" t="s">
        <v>231</v>
      </c>
      <c r="C805" s="77" t="s">
        <v>232</v>
      </c>
      <c r="D805" s="77" t="s">
        <v>176</v>
      </c>
      <c r="E805" s="73" t="str">
        <f>VLOOKUP(D805,clientes!$C$3:$D$60,2,FALSE)</f>
        <v>AGROPALMA</v>
      </c>
      <c r="F805" s="77" t="s">
        <v>123</v>
      </c>
      <c r="G805" s="73" t="str">
        <f>VLOOKUP(F805,'[2]Lista de Produtos CLASSIFICAÇÃO'!$E$103:$F$114,2,FALSE)</f>
        <v>Aquecidos</v>
      </c>
      <c r="H805" s="78">
        <v>3744</v>
      </c>
    </row>
    <row r="806" spans="1:8" x14ac:dyDescent="0.25">
      <c r="A806" s="71">
        <v>2023</v>
      </c>
      <c r="B806" s="72" t="s">
        <v>226</v>
      </c>
      <c r="C806" s="73" t="s">
        <v>233</v>
      </c>
      <c r="D806" s="73" t="s">
        <v>182</v>
      </c>
      <c r="E806" s="73" t="str">
        <f>VLOOKUP(D806,clientes!$C$3:$D$60,2,FALSE)</f>
        <v>ATEM</v>
      </c>
      <c r="F806" s="73" t="s">
        <v>120</v>
      </c>
      <c r="G806" s="73" t="str">
        <f>VLOOKUP(F806,'[2]Lista de Produtos CLASSIFICAÇÃO'!$E$103:$F$114,2,FALSE)</f>
        <v>Derivados</v>
      </c>
      <c r="H806" s="74">
        <v>10000</v>
      </c>
    </row>
    <row r="807" spans="1:8" x14ac:dyDescent="0.25">
      <c r="A807" s="75">
        <v>2023</v>
      </c>
      <c r="B807" s="76" t="s">
        <v>227</v>
      </c>
      <c r="C807" s="77" t="s">
        <v>233</v>
      </c>
      <c r="D807" s="77" t="s">
        <v>182</v>
      </c>
      <c r="E807" s="73" t="str">
        <f>VLOOKUP(D807,clientes!$C$3:$D$60,2,FALSE)</f>
        <v>ATEM</v>
      </c>
      <c r="F807" s="77" t="s">
        <v>120</v>
      </c>
      <c r="G807" s="73" t="str">
        <f>VLOOKUP(F807,'[2]Lista de Produtos CLASSIFICAÇÃO'!$E$103:$F$114,2,FALSE)</f>
        <v>Derivados</v>
      </c>
      <c r="H807" s="78">
        <v>10000</v>
      </c>
    </row>
    <row r="808" spans="1:8" x14ac:dyDescent="0.25">
      <c r="A808" s="71">
        <v>2023</v>
      </c>
      <c r="B808" s="72" t="s">
        <v>228</v>
      </c>
      <c r="C808" s="73" t="s">
        <v>233</v>
      </c>
      <c r="D808" s="73" t="s">
        <v>182</v>
      </c>
      <c r="E808" s="73" t="str">
        <f>VLOOKUP(D808,clientes!$C$3:$D$60,2,FALSE)</f>
        <v>ATEM</v>
      </c>
      <c r="F808" s="73" t="s">
        <v>120</v>
      </c>
      <c r="G808" s="73" t="str">
        <f>VLOOKUP(F808,'[2]Lista de Produtos CLASSIFICAÇÃO'!$E$103:$F$114,2,FALSE)</f>
        <v>Derivados</v>
      </c>
      <c r="H808" s="74">
        <v>10000</v>
      </c>
    </row>
    <row r="809" spans="1:8" x14ac:dyDescent="0.25">
      <c r="A809" s="75">
        <v>2023</v>
      </c>
      <c r="B809" s="76" t="s">
        <v>229</v>
      </c>
      <c r="C809" s="77" t="s">
        <v>233</v>
      </c>
      <c r="D809" s="77" t="s">
        <v>182</v>
      </c>
      <c r="E809" s="73" t="str">
        <f>VLOOKUP(D809,clientes!$C$3:$D$60,2,FALSE)</f>
        <v>ATEM</v>
      </c>
      <c r="F809" s="77" t="s">
        <v>120</v>
      </c>
      <c r="G809" s="73" t="str">
        <f>VLOOKUP(F809,'[2]Lista de Produtos CLASSIFICAÇÃO'!$E$103:$F$114,2,FALSE)</f>
        <v>Derivados</v>
      </c>
      <c r="H809" s="78">
        <v>10000</v>
      </c>
    </row>
    <row r="810" spans="1:8" x14ac:dyDescent="0.25">
      <c r="A810" s="71">
        <v>2023</v>
      </c>
      <c r="B810" s="72" t="s">
        <v>210</v>
      </c>
      <c r="C810" s="73" t="s">
        <v>233</v>
      </c>
      <c r="D810" s="73" t="s">
        <v>182</v>
      </c>
      <c r="E810" s="73" t="str">
        <f>VLOOKUP(D810,clientes!$C$3:$D$60,2,FALSE)</f>
        <v>ATEM</v>
      </c>
      <c r="F810" s="73" t="s">
        <v>120</v>
      </c>
      <c r="G810" s="73" t="str">
        <f>VLOOKUP(F810,'[2]Lista de Produtos CLASSIFICAÇÃO'!$E$103:$F$114,2,FALSE)</f>
        <v>Derivados</v>
      </c>
      <c r="H810" s="74">
        <v>10000</v>
      </c>
    </row>
    <row r="811" spans="1:8" x14ac:dyDescent="0.25">
      <c r="A811" s="75">
        <v>2023</v>
      </c>
      <c r="B811" s="76" t="s">
        <v>211</v>
      </c>
      <c r="C811" s="77" t="s">
        <v>233</v>
      </c>
      <c r="D811" s="77" t="s">
        <v>182</v>
      </c>
      <c r="E811" s="73" t="str">
        <f>VLOOKUP(D811,clientes!$C$3:$D$60,2,FALSE)</f>
        <v>ATEM</v>
      </c>
      <c r="F811" s="77" t="s">
        <v>120</v>
      </c>
      <c r="G811" s="73" t="str">
        <f>VLOOKUP(F811,'[2]Lista de Produtos CLASSIFICAÇÃO'!$E$103:$F$114,2,FALSE)</f>
        <v>Derivados</v>
      </c>
      <c r="H811" s="78">
        <v>10000</v>
      </c>
    </row>
    <row r="812" spans="1:8" x14ac:dyDescent="0.25">
      <c r="A812" s="71">
        <v>2023</v>
      </c>
      <c r="B812" s="72" t="s">
        <v>212</v>
      </c>
      <c r="C812" s="73" t="s">
        <v>233</v>
      </c>
      <c r="D812" s="73" t="s">
        <v>182</v>
      </c>
      <c r="E812" s="73" t="str">
        <f>VLOOKUP(D812,clientes!$C$3:$D$60,2,FALSE)</f>
        <v>ATEM</v>
      </c>
      <c r="F812" s="73" t="s">
        <v>120</v>
      </c>
      <c r="G812" s="73" t="str">
        <f>VLOOKUP(F812,'[2]Lista de Produtos CLASSIFICAÇÃO'!$E$103:$F$114,2,FALSE)</f>
        <v>Derivados</v>
      </c>
      <c r="H812" s="74">
        <v>10000</v>
      </c>
    </row>
    <row r="813" spans="1:8" x14ac:dyDescent="0.25">
      <c r="A813" s="75">
        <v>2023</v>
      </c>
      <c r="B813" s="76" t="s">
        <v>213</v>
      </c>
      <c r="C813" s="77" t="s">
        <v>233</v>
      </c>
      <c r="D813" s="77" t="s">
        <v>182</v>
      </c>
      <c r="E813" s="73" t="str">
        <f>VLOOKUP(D813,clientes!$C$3:$D$60,2,FALSE)</f>
        <v>ATEM</v>
      </c>
      <c r="F813" s="77" t="s">
        <v>120</v>
      </c>
      <c r="G813" s="73" t="str">
        <f>VLOOKUP(F813,'[2]Lista de Produtos CLASSIFICAÇÃO'!$E$103:$F$114,2,FALSE)</f>
        <v>Derivados</v>
      </c>
      <c r="H813" s="78">
        <v>10000</v>
      </c>
    </row>
    <row r="814" spans="1:8" x14ac:dyDescent="0.25">
      <c r="A814" s="71">
        <v>2023</v>
      </c>
      <c r="B814" s="72" t="s">
        <v>214</v>
      </c>
      <c r="C814" s="73" t="s">
        <v>233</v>
      </c>
      <c r="D814" s="73" t="s">
        <v>182</v>
      </c>
      <c r="E814" s="73" t="str">
        <f>VLOOKUP(D814,clientes!$C$3:$D$60,2,FALSE)</f>
        <v>ATEM</v>
      </c>
      <c r="F814" s="73" t="s">
        <v>120</v>
      </c>
      <c r="G814" s="73" t="str">
        <f>VLOOKUP(F814,'[2]Lista de Produtos CLASSIFICAÇÃO'!$E$103:$F$114,2,FALSE)</f>
        <v>Derivados</v>
      </c>
      <c r="H814" s="74">
        <v>10000</v>
      </c>
    </row>
    <row r="815" spans="1:8" x14ac:dyDescent="0.25">
      <c r="A815" s="75">
        <v>2023</v>
      </c>
      <c r="B815" s="76" t="s">
        <v>215</v>
      </c>
      <c r="C815" s="77" t="s">
        <v>233</v>
      </c>
      <c r="D815" s="77" t="s">
        <v>182</v>
      </c>
      <c r="E815" s="73" t="str">
        <f>VLOOKUP(D815,clientes!$C$3:$D$60,2,FALSE)</f>
        <v>ATEM</v>
      </c>
      <c r="F815" s="77" t="s">
        <v>120</v>
      </c>
      <c r="G815" s="73" t="str">
        <f>VLOOKUP(F815,'[2]Lista de Produtos CLASSIFICAÇÃO'!$E$103:$F$114,2,FALSE)</f>
        <v>Derivados</v>
      </c>
      <c r="H815" s="78">
        <v>10000</v>
      </c>
    </row>
    <row r="816" spans="1:8" x14ac:dyDescent="0.25">
      <c r="A816" s="71">
        <v>2023</v>
      </c>
      <c r="B816" s="72" t="s">
        <v>230</v>
      </c>
      <c r="C816" s="73" t="s">
        <v>233</v>
      </c>
      <c r="D816" s="73" t="s">
        <v>182</v>
      </c>
      <c r="E816" s="73" t="str">
        <f>VLOOKUP(D816,clientes!$C$3:$D$60,2,FALSE)</f>
        <v>ATEM</v>
      </c>
      <c r="F816" s="73" t="s">
        <v>120</v>
      </c>
      <c r="G816" s="73" t="str">
        <f>VLOOKUP(F816,'[2]Lista de Produtos CLASSIFICAÇÃO'!$E$103:$F$114,2,FALSE)</f>
        <v>Derivados</v>
      </c>
      <c r="H816" s="74">
        <v>10000</v>
      </c>
    </row>
    <row r="817" spans="1:8" x14ac:dyDescent="0.25">
      <c r="A817" s="75">
        <v>2023</v>
      </c>
      <c r="B817" s="76" t="s">
        <v>231</v>
      </c>
      <c r="C817" s="77" t="s">
        <v>233</v>
      </c>
      <c r="D817" s="77" t="s">
        <v>182</v>
      </c>
      <c r="E817" s="73" t="str">
        <f>VLOOKUP(D817,clientes!$C$3:$D$60,2,FALSE)</f>
        <v>ATEM</v>
      </c>
      <c r="F817" s="77" t="s">
        <v>120</v>
      </c>
      <c r="G817" s="73" t="str">
        <f>VLOOKUP(F817,'[2]Lista de Produtos CLASSIFICAÇÃO'!$E$103:$F$114,2,FALSE)</f>
        <v>Derivados</v>
      </c>
      <c r="H817" s="78">
        <v>10000</v>
      </c>
    </row>
    <row r="818" spans="1:8" x14ac:dyDescent="0.25">
      <c r="A818" s="71">
        <v>2023</v>
      </c>
      <c r="B818" s="72" t="s">
        <v>226</v>
      </c>
      <c r="C818" s="73" t="s">
        <v>232</v>
      </c>
      <c r="D818" s="73" t="s">
        <v>165</v>
      </c>
      <c r="E818" s="73" t="str">
        <f>VLOOKUP(D818,clientes!$C$3:$D$60,2,FALSE)</f>
        <v>BRF</v>
      </c>
      <c r="F818" s="73" t="s">
        <v>123</v>
      </c>
      <c r="G818" s="73" t="str">
        <f>VLOOKUP(F818,'[2]Lista de Produtos CLASSIFICAÇÃO'!$E$103:$F$114,2,FALSE)</f>
        <v>Aquecidos</v>
      </c>
      <c r="H818" s="74">
        <v>13000</v>
      </c>
    </row>
    <row r="819" spans="1:8" x14ac:dyDescent="0.25">
      <c r="A819" s="75">
        <v>2023</v>
      </c>
      <c r="B819" s="76" t="s">
        <v>227</v>
      </c>
      <c r="C819" s="77" t="s">
        <v>232</v>
      </c>
      <c r="D819" s="77" t="s">
        <v>165</v>
      </c>
      <c r="E819" s="73" t="str">
        <f>VLOOKUP(D819,clientes!$C$3:$D$60,2,FALSE)</f>
        <v>BRF</v>
      </c>
      <c r="F819" s="77" t="s">
        <v>123</v>
      </c>
      <c r="G819" s="73" t="str">
        <f>VLOOKUP(F819,'[2]Lista de Produtos CLASSIFICAÇÃO'!$E$103:$F$114,2,FALSE)</f>
        <v>Aquecidos</v>
      </c>
      <c r="H819" s="78">
        <v>13000</v>
      </c>
    </row>
    <row r="820" spans="1:8" x14ac:dyDescent="0.25">
      <c r="A820" s="71">
        <v>2023</v>
      </c>
      <c r="B820" s="72" t="s">
        <v>228</v>
      </c>
      <c r="C820" s="73" t="s">
        <v>232</v>
      </c>
      <c r="D820" s="73" t="s">
        <v>165</v>
      </c>
      <c r="E820" s="73" t="str">
        <f>VLOOKUP(D820,clientes!$C$3:$D$60,2,FALSE)</f>
        <v>BRF</v>
      </c>
      <c r="F820" s="73" t="s">
        <v>123</v>
      </c>
      <c r="G820" s="73" t="str">
        <f>VLOOKUP(F820,'[2]Lista de Produtos CLASSIFICAÇÃO'!$E$103:$F$114,2,FALSE)</f>
        <v>Aquecidos</v>
      </c>
      <c r="H820" s="74">
        <v>13000</v>
      </c>
    </row>
    <row r="821" spans="1:8" x14ac:dyDescent="0.25">
      <c r="A821" s="75">
        <v>2023</v>
      </c>
      <c r="B821" s="76" t="s">
        <v>229</v>
      </c>
      <c r="C821" s="77" t="s">
        <v>232</v>
      </c>
      <c r="D821" s="77" t="s">
        <v>165</v>
      </c>
      <c r="E821" s="73" t="str">
        <f>VLOOKUP(D821,clientes!$C$3:$D$60,2,FALSE)</f>
        <v>BRF</v>
      </c>
      <c r="F821" s="77" t="s">
        <v>123</v>
      </c>
      <c r="G821" s="73" t="str">
        <f>VLOOKUP(F821,'[2]Lista de Produtos CLASSIFICAÇÃO'!$E$103:$F$114,2,FALSE)</f>
        <v>Aquecidos</v>
      </c>
      <c r="H821" s="78">
        <v>13000</v>
      </c>
    </row>
    <row r="822" spans="1:8" x14ac:dyDescent="0.25">
      <c r="A822" s="71">
        <v>2023</v>
      </c>
      <c r="B822" s="72" t="s">
        <v>210</v>
      </c>
      <c r="C822" s="73" t="s">
        <v>232</v>
      </c>
      <c r="D822" s="73" t="s">
        <v>165</v>
      </c>
      <c r="E822" s="73" t="str">
        <f>VLOOKUP(D822,clientes!$C$3:$D$60,2,FALSE)</f>
        <v>BRF</v>
      </c>
      <c r="F822" s="73" t="s">
        <v>123</v>
      </c>
      <c r="G822" s="73" t="str">
        <f>VLOOKUP(F822,'[2]Lista de Produtos CLASSIFICAÇÃO'!$E$103:$F$114,2,FALSE)</f>
        <v>Aquecidos</v>
      </c>
      <c r="H822" s="74">
        <v>13000</v>
      </c>
    </row>
    <row r="823" spans="1:8" x14ac:dyDescent="0.25">
      <c r="A823" s="75">
        <v>2023</v>
      </c>
      <c r="B823" s="76" t="s">
        <v>211</v>
      </c>
      <c r="C823" s="77" t="s">
        <v>232</v>
      </c>
      <c r="D823" s="77" t="s">
        <v>165</v>
      </c>
      <c r="E823" s="73" t="str">
        <f>VLOOKUP(D823,clientes!$C$3:$D$60,2,FALSE)</f>
        <v>BRF</v>
      </c>
      <c r="F823" s="77" t="s">
        <v>123</v>
      </c>
      <c r="G823" s="73" t="str">
        <f>VLOOKUP(F823,'[2]Lista de Produtos CLASSIFICAÇÃO'!$E$103:$F$114,2,FALSE)</f>
        <v>Aquecidos</v>
      </c>
      <c r="H823" s="78">
        <v>13000</v>
      </c>
    </row>
    <row r="824" spans="1:8" x14ac:dyDescent="0.25">
      <c r="A824" s="71">
        <v>2023</v>
      </c>
      <c r="B824" s="72" t="s">
        <v>212</v>
      </c>
      <c r="C824" s="73" t="s">
        <v>232</v>
      </c>
      <c r="D824" s="73" t="s">
        <v>165</v>
      </c>
      <c r="E824" s="73" t="str">
        <f>VLOOKUP(D824,clientes!$C$3:$D$60,2,FALSE)</f>
        <v>BRF</v>
      </c>
      <c r="F824" s="73" t="s">
        <v>123</v>
      </c>
      <c r="G824" s="73" t="str">
        <f>VLOOKUP(F824,'[2]Lista de Produtos CLASSIFICAÇÃO'!$E$103:$F$114,2,FALSE)</f>
        <v>Aquecidos</v>
      </c>
      <c r="H824" s="74">
        <v>13000</v>
      </c>
    </row>
    <row r="825" spans="1:8" x14ac:dyDescent="0.25">
      <c r="A825" s="75">
        <v>2023</v>
      </c>
      <c r="B825" s="76" t="s">
        <v>213</v>
      </c>
      <c r="C825" s="77" t="s">
        <v>232</v>
      </c>
      <c r="D825" s="77" t="s">
        <v>165</v>
      </c>
      <c r="E825" s="73" t="str">
        <f>VLOOKUP(D825,clientes!$C$3:$D$60,2,FALSE)</f>
        <v>BRF</v>
      </c>
      <c r="F825" s="77" t="s">
        <v>123</v>
      </c>
      <c r="G825" s="73" t="str">
        <f>VLOOKUP(F825,'[2]Lista de Produtos CLASSIFICAÇÃO'!$E$103:$F$114,2,FALSE)</f>
        <v>Aquecidos</v>
      </c>
      <c r="H825" s="78">
        <v>13000</v>
      </c>
    </row>
    <row r="826" spans="1:8" x14ac:dyDescent="0.25">
      <c r="A826" s="71">
        <v>2023</v>
      </c>
      <c r="B826" s="72" t="s">
        <v>214</v>
      </c>
      <c r="C826" s="73" t="s">
        <v>232</v>
      </c>
      <c r="D826" s="73" t="s">
        <v>165</v>
      </c>
      <c r="E826" s="73" t="str">
        <f>VLOOKUP(D826,clientes!$C$3:$D$60,2,FALSE)</f>
        <v>BRF</v>
      </c>
      <c r="F826" s="73" t="s">
        <v>123</v>
      </c>
      <c r="G826" s="73" t="str">
        <f>VLOOKUP(F826,'[2]Lista de Produtos CLASSIFICAÇÃO'!$E$103:$F$114,2,FALSE)</f>
        <v>Aquecidos</v>
      </c>
      <c r="H826" s="74">
        <v>13000</v>
      </c>
    </row>
    <row r="827" spans="1:8" x14ac:dyDescent="0.25">
      <c r="A827" s="75">
        <v>2023</v>
      </c>
      <c r="B827" s="76" t="s">
        <v>215</v>
      </c>
      <c r="C827" s="77" t="s">
        <v>232</v>
      </c>
      <c r="D827" s="77" t="s">
        <v>165</v>
      </c>
      <c r="E827" s="73" t="str">
        <f>VLOOKUP(D827,clientes!$C$3:$D$60,2,FALSE)</f>
        <v>BRF</v>
      </c>
      <c r="F827" s="77" t="s">
        <v>123</v>
      </c>
      <c r="G827" s="73" t="str">
        <f>VLOOKUP(F827,'[2]Lista de Produtos CLASSIFICAÇÃO'!$E$103:$F$114,2,FALSE)</f>
        <v>Aquecidos</v>
      </c>
      <c r="H827" s="78">
        <v>13000</v>
      </c>
    </row>
    <row r="828" spans="1:8" x14ac:dyDescent="0.25">
      <c r="A828" s="71">
        <v>2023</v>
      </c>
      <c r="B828" s="72" t="s">
        <v>230</v>
      </c>
      <c r="C828" s="73" t="s">
        <v>232</v>
      </c>
      <c r="D828" s="73" t="s">
        <v>165</v>
      </c>
      <c r="E828" s="73" t="str">
        <f>VLOOKUP(D828,clientes!$C$3:$D$60,2,FALSE)</f>
        <v>BRF</v>
      </c>
      <c r="F828" s="73" t="s">
        <v>123</v>
      </c>
      <c r="G828" s="73" t="str">
        <f>VLOOKUP(F828,'[2]Lista de Produtos CLASSIFICAÇÃO'!$E$103:$F$114,2,FALSE)</f>
        <v>Aquecidos</v>
      </c>
      <c r="H828" s="74">
        <v>13000</v>
      </c>
    </row>
    <row r="829" spans="1:8" x14ac:dyDescent="0.25">
      <c r="A829" s="75">
        <v>2023</v>
      </c>
      <c r="B829" s="76" t="s">
        <v>231</v>
      </c>
      <c r="C829" s="77" t="s">
        <v>232</v>
      </c>
      <c r="D829" s="77" t="s">
        <v>165</v>
      </c>
      <c r="E829" s="73" t="str">
        <f>VLOOKUP(D829,clientes!$C$3:$D$60,2,FALSE)</f>
        <v>BRF</v>
      </c>
      <c r="F829" s="77" t="s">
        <v>123</v>
      </c>
      <c r="G829" s="73" t="str">
        <f>VLOOKUP(F829,'[2]Lista de Produtos CLASSIFICAÇÃO'!$E$103:$F$114,2,FALSE)</f>
        <v>Aquecidos</v>
      </c>
      <c r="H829" s="78">
        <v>13000</v>
      </c>
    </row>
    <row r="830" spans="1:8" x14ac:dyDescent="0.25">
      <c r="A830" s="71">
        <v>2023</v>
      </c>
      <c r="B830" s="72" t="s">
        <v>226</v>
      </c>
      <c r="C830" s="73" t="s">
        <v>233</v>
      </c>
      <c r="D830" s="73" t="s">
        <v>179</v>
      </c>
      <c r="E830" s="73" t="str">
        <f>VLOOKUP(D830,clientes!$C$3:$D$60,2,FALSE)</f>
        <v>BSBIOS</v>
      </c>
      <c r="F830" s="73" t="s">
        <v>26</v>
      </c>
      <c r="G830" s="73" t="str">
        <f>VLOOKUP(F830,'[2]Lista de Produtos CLASSIFICAÇÃO'!$E$103:$F$114,2,FALSE)</f>
        <v>Biocombustíveis</v>
      </c>
      <c r="H830" s="74">
        <v>5000</v>
      </c>
    </row>
    <row r="831" spans="1:8" x14ac:dyDescent="0.25">
      <c r="A831" s="75">
        <v>2023</v>
      </c>
      <c r="B831" s="76" t="s">
        <v>227</v>
      </c>
      <c r="C831" s="77" t="s">
        <v>233</v>
      </c>
      <c r="D831" s="77" t="s">
        <v>179</v>
      </c>
      <c r="E831" s="73" t="str">
        <f>VLOOKUP(D831,clientes!$C$3:$D$60,2,FALSE)</f>
        <v>BSBIOS</v>
      </c>
      <c r="F831" s="77" t="s">
        <v>26</v>
      </c>
      <c r="G831" s="73" t="str">
        <f>VLOOKUP(F831,'[2]Lista de Produtos CLASSIFICAÇÃO'!$E$103:$F$114,2,FALSE)</f>
        <v>Biocombustíveis</v>
      </c>
      <c r="H831" s="78">
        <v>5000</v>
      </c>
    </row>
    <row r="832" spans="1:8" x14ac:dyDescent="0.25">
      <c r="A832" s="71">
        <v>2023</v>
      </c>
      <c r="B832" s="72" t="s">
        <v>228</v>
      </c>
      <c r="C832" s="73" t="s">
        <v>233</v>
      </c>
      <c r="D832" s="73" t="s">
        <v>179</v>
      </c>
      <c r="E832" s="73" t="str">
        <f>VLOOKUP(D832,clientes!$C$3:$D$60,2,FALSE)</f>
        <v>BSBIOS</v>
      </c>
      <c r="F832" s="73" t="s">
        <v>26</v>
      </c>
      <c r="G832" s="73" t="str">
        <f>VLOOKUP(F832,'[2]Lista de Produtos CLASSIFICAÇÃO'!$E$103:$F$114,2,FALSE)</f>
        <v>Biocombustíveis</v>
      </c>
      <c r="H832" s="74">
        <v>5000</v>
      </c>
    </row>
    <row r="833" spans="1:8" x14ac:dyDescent="0.25">
      <c r="A833" s="75">
        <v>2023</v>
      </c>
      <c r="B833" s="76" t="s">
        <v>229</v>
      </c>
      <c r="C833" s="77" t="s">
        <v>233</v>
      </c>
      <c r="D833" s="77" t="s">
        <v>179</v>
      </c>
      <c r="E833" s="73" t="str">
        <f>VLOOKUP(D833,clientes!$C$3:$D$60,2,FALSE)</f>
        <v>BSBIOS</v>
      </c>
      <c r="F833" s="77" t="s">
        <v>26</v>
      </c>
      <c r="G833" s="73" t="str">
        <f>VLOOKUP(F833,'[2]Lista de Produtos CLASSIFICAÇÃO'!$E$103:$F$114,2,FALSE)</f>
        <v>Biocombustíveis</v>
      </c>
      <c r="H833" s="78">
        <v>5000</v>
      </c>
    </row>
    <row r="834" spans="1:8" x14ac:dyDescent="0.25">
      <c r="A834" s="71">
        <v>2023</v>
      </c>
      <c r="B834" s="72" t="s">
        <v>210</v>
      </c>
      <c r="C834" s="73" t="s">
        <v>233</v>
      </c>
      <c r="D834" s="73" t="s">
        <v>179</v>
      </c>
      <c r="E834" s="73" t="str">
        <f>VLOOKUP(D834,clientes!$C$3:$D$60,2,FALSE)</f>
        <v>BSBIOS</v>
      </c>
      <c r="F834" s="73" t="s">
        <v>26</v>
      </c>
      <c r="G834" s="73" t="str">
        <f>VLOOKUP(F834,'[2]Lista de Produtos CLASSIFICAÇÃO'!$E$103:$F$114,2,FALSE)</f>
        <v>Biocombustíveis</v>
      </c>
      <c r="H834" s="74">
        <v>5000</v>
      </c>
    </row>
    <row r="835" spans="1:8" x14ac:dyDescent="0.25">
      <c r="A835" s="75">
        <v>2023</v>
      </c>
      <c r="B835" s="76" t="s">
        <v>211</v>
      </c>
      <c r="C835" s="77" t="s">
        <v>233</v>
      </c>
      <c r="D835" s="77" t="s">
        <v>179</v>
      </c>
      <c r="E835" s="73" t="str">
        <f>VLOOKUP(D835,clientes!$C$3:$D$60,2,FALSE)</f>
        <v>BSBIOS</v>
      </c>
      <c r="F835" s="77" t="s">
        <v>26</v>
      </c>
      <c r="G835" s="73" t="str">
        <f>VLOOKUP(F835,'[2]Lista de Produtos CLASSIFICAÇÃO'!$E$103:$F$114,2,FALSE)</f>
        <v>Biocombustíveis</v>
      </c>
      <c r="H835" s="78">
        <v>5000</v>
      </c>
    </row>
    <row r="836" spans="1:8" x14ac:dyDescent="0.25">
      <c r="A836" s="71">
        <v>2023</v>
      </c>
      <c r="B836" s="72" t="s">
        <v>212</v>
      </c>
      <c r="C836" s="73" t="s">
        <v>233</v>
      </c>
      <c r="D836" s="73" t="s">
        <v>179</v>
      </c>
      <c r="E836" s="73" t="str">
        <f>VLOOKUP(D836,clientes!$C$3:$D$60,2,FALSE)</f>
        <v>BSBIOS</v>
      </c>
      <c r="F836" s="73" t="s">
        <v>26</v>
      </c>
      <c r="G836" s="73" t="str">
        <f>VLOOKUP(F836,'[2]Lista de Produtos CLASSIFICAÇÃO'!$E$103:$F$114,2,FALSE)</f>
        <v>Biocombustíveis</v>
      </c>
      <c r="H836" s="74">
        <v>5000</v>
      </c>
    </row>
    <row r="837" spans="1:8" x14ac:dyDescent="0.25">
      <c r="A837" s="75">
        <v>2023</v>
      </c>
      <c r="B837" s="76" t="s">
        <v>213</v>
      </c>
      <c r="C837" s="77" t="s">
        <v>233</v>
      </c>
      <c r="D837" s="77" t="s">
        <v>179</v>
      </c>
      <c r="E837" s="73" t="str">
        <f>VLOOKUP(D837,clientes!$C$3:$D$60,2,FALSE)</f>
        <v>BSBIOS</v>
      </c>
      <c r="F837" s="77" t="s">
        <v>26</v>
      </c>
      <c r="G837" s="73" t="str">
        <f>VLOOKUP(F837,'[2]Lista de Produtos CLASSIFICAÇÃO'!$E$103:$F$114,2,FALSE)</f>
        <v>Biocombustíveis</v>
      </c>
      <c r="H837" s="78">
        <v>5000</v>
      </c>
    </row>
    <row r="838" spans="1:8" x14ac:dyDescent="0.25">
      <c r="A838" s="71">
        <v>2023</v>
      </c>
      <c r="B838" s="72" t="s">
        <v>214</v>
      </c>
      <c r="C838" s="73" t="s">
        <v>233</v>
      </c>
      <c r="D838" s="73" t="s">
        <v>179</v>
      </c>
      <c r="E838" s="73" t="str">
        <f>VLOOKUP(D838,clientes!$C$3:$D$60,2,FALSE)</f>
        <v>BSBIOS</v>
      </c>
      <c r="F838" s="73" t="s">
        <v>26</v>
      </c>
      <c r="G838" s="73" t="str">
        <f>VLOOKUP(F838,'[2]Lista de Produtos CLASSIFICAÇÃO'!$E$103:$F$114,2,FALSE)</f>
        <v>Biocombustíveis</v>
      </c>
      <c r="H838" s="74">
        <v>5000</v>
      </c>
    </row>
    <row r="839" spans="1:8" x14ac:dyDescent="0.25">
      <c r="A839" s="75">
        <v>2023</v>
      </c>
      <c r="B839" s="76" t="s">
        <v>215</v>
      </c>
      <c r="C839" s="77" t="s">
        <v>233</v>
      </c>
      <c r="D839" s="77" t="s">
        <v>179</v>
      </c>
      <c r="E839" s="73" t="str">
        <f>VLOOKUP(D839,clientes!$C$3:$D$60,2,FALSE)</f>
        <v>BSBIOS</v>
      </c>
      <c r="F839" s="77" t="s">
        <v>26</v>
      </c>
      <c r="G839" s="73" t="str">
        <f>VLOOKUP(F839,'[2]Lista de Produtos CLASSIFICAÇÃO'!$E$103:$F$114,2,FALSE)</f>
        <v>Biocombustíveis</v>
      </c>
      <c r="H839" s="78">
        <v>5000</v>
      </c>
    </row>
    <row r="840" spans="1:8" x14ac:dyDescent="0.25">
      <c r="A840" s="71">
        <v>2023</v>
      </c>
      <c r="B840" s="72" t="s">
        <v>230</v>
      </c>
      <c r="C840" s="73" t="s">
        <v>233</v>
      </c>
      <c r="D840" s="73" t="s">
        <v>179</v>
      </c>
      <c r="E840" s="73" t="str">
        <f>VLOOKUP(D840,clientes!$C$3:$D$60,2,FALSE)</f>
        <v>BSBIOS</v>
      </c>
      <c r="F840" s="73" t="s">
        <v>26</v>
      </c>
      <c r="G840" s="73" t="str">
        <f>VLOOKUP(F840,'[2]Lista de Produtos CLASSIFICAÇÃO'!$E$103:$F$114,2,FALSE)</f>
        <v>Biocombustíveis</v>
      </c>
      <c r="H840" s="74">
        <v>5000</v>
      </c>
    </row>
    <row r="841" spans="1:8" x14ac:dyDescent="0.25">
      <c r="A841" s="75">
        <v>2023</v>
      </c>
      <c r="B841" s="76" t="s">
        <v>231</v>
      </c>
      <c r="C841" s="77" t="s">
        <v>233</v>
      </c>
      <c r="D841" s="77" t="s">
        <v>179</v>
      </c>
      <c r="E841" s="73" t="str">
        <f>VLOOKUP(D841,clientes!$C$3:$D$60,2,FALSE)</f>
        <v>BSBIOS</v>
      </c>
      <c r="F841" s="77" t="s">
        <v>26</v>
      </c>
      <c r="G841" s="73" t="str">
        <f>VLOOKUP(F841,'[2]Lista de Produtos CLASSIFICAÇÃO'!$E$103:$F$114,2,FALSE)</f>
        <v>Biocombustíveis</v>
      </c>
      <c r="H841" s="78">
        <v>5000</v>
      </c>
    </row>
    <row r="842" spans="1:8" x14ac:dyDescent="0.25">
      <c r="A842" s="71">
        <v>2023</v>
      </c>
      <c r="B842" s="72" t="s">
        <v>226</v>
      </c>
      <c r="C842" s="73" t="s">
        <v>225</v>
      </c>
      <c r="D842" s="73" t="s">
        <v>164</v>
      </c>
      <c r="E842" s="73" t="str">
        <f>VLOOKUP(D842,clientes!$C$3:$D$60,2,FALSE)</f>
        <v>BRASKEM</v>
      </c>
      <c r="F842" s="73" t="s">
        <v>115</v>
      </c>
      <c r="G842" s="73" t="str">
        <f>VLOOKUP(F842,'[2]Lista de Produtos CLASSIFICAÇÃO'!$E$103:$F$114,2,FALSE)</f>
        <v>Soda Caustica</v>
      </c>
      <c r="H842" s="74">
        <v>2666</v>
      </c>
    </row>
    <row r="843" spans="1:8" x14ac:dyDescent="0.25">
      <c r="A843" s="75">
        <v>2023</v>
      </c>
      <c r="B843" s="76" t="s">
        <v>227</v>
      </c>
      <c r="C843" s="77" t="s">
        <v>225</v>
      </c>
      <c r="D843" s="77" t="s">
        <v>164</v>
      </c>
      <c r="E843" s="73" t="str">
        <f>VLOOKUP(D843,clientes!$C$3:$D$60,2,FALSE)</f>
        <v>BRASKEM</v>
      </c>
      <c r="F843" s="77" t="s">
        <v>115</v>
      </c>
      <c r="G843" s="73" t="str">
        <f>VLOOKUP(F843,'[2]Lista de Produtos CLASSIFICAÇÃO'!$E$103:$F$114,2,FALSE)</f>
        <v>Soda Caustica</v>
      </c>
      <c r="H843" s="78">
        <v>2666</v>
      </c>
    </row>
    <row r="844" spans="1:8" x14ac:dyDescent="0.25">
      <c r="A844" s="71">
        <v>2023</v>
      </c>
      <c r="B844" s="72" t="s">
        <v>228</v>
      </c>
      <c r="C844" s="73" t="s">
        <v>225</v>
      </c>
      <c r="D844" s="73" t="s">
        <v>164</v>
      </c>
      <c r="E844" s="73" t="str">
        <f>VLOOKUP(D844,clientes!$C$3:$D$60,2,FALSE)</f>
        <v>BRASKEM</v>
      </c>
      <c r="F844" s="73" t="s">
        <v>115</v>
      </c>
      <c r="G844" s="73" t="str">
        <f>VLOOKUP(F844,'[2]Lista de Produtos CLASSIFICAÇÃO'!$E$103:$F$114,2,FALSE)</f>
        <v>Soda Caustica</v>
      </c>
      <c r="H844" s="74">
        <v>2666</v>
      </c>
    </row>
    <row r="845" spans="1:8" x14ac:dyDescent="0.25">
      <c r="A845" s="75">
        <v>2023</v>
      </c>
      <c r="B845" s="76" t="s">
        <v>229</v>
      </c>
      <c r="C845" s="77" t="s">
        <v>225</v>
      </c>
      <c r="D845" s="77" t="s">
        <v>164</v>
      </c>
      <c r="E845" s="73" t="str">
        <f>VLOOKUP(D845,clientes!$C$3:$D$60,2,FALSE)</f>
        <v>BRASKEM</v>
      </c>
      <c r="F845" s="77" t="s">
        <v>115</v>
      </c>
      <c r="G845" s="73" t="str">
        <f>VLOOKUP(F845,'[2]Lista de Produtos CLASSIFICAÇÃO'!$E$103:$F$114,2,FALSE)</f>
        <v>Soda Caustica</v>
      </c>
      <c r="H845" s="78">
        <v>2666</v>
      </c>
    </row>
    <row r="846" spans="1:8" x14ac:dyDescent="0.25">
      <c r="A846" s="71">
        <v>2023</v>
      </c>
      <c r="B846" s="72" t="s">
        <v>210</v>
      </c>
      <c r="C846" s="73" t="s">
        <v>225</v>
      </c>
      <c r="D846" s="73" t="s">
        <v>164</v>
      </c>
      <c r="E846" s="73" t="str">
        <f>VLOOKUP(D846,clientes!$C$3:$D$60,2,FALSE)</f>
        <v>BRASKEM</v>
      </c>
      <c r="F846" s="73" t="s">
        <v>115</v>
      </c>
      <c r="G846" s="73" t="str">
        <f>VLOOKUP(F846,'[2]Lista de Produtos CLASSIFICAÇÃO'!$E$103:$F$114,2,FALSE)</f>
        <v>Soda Caustica</v>
      </c>
      <c r="H846" s="74">
        <v>2666</v>
      </c>
    </row>
    <row r="847" spans="1:8" x14ac:dyDescent="0.25">
      <c r="A847" s="75">
        <v>2023</v>
      </c>
      <c r="B847" s="76" t="s">
        <v>211</v>
      </c>
      <c r="C847" s="77" t="s">
        <v>225</v>
      </c>
      <c r="D847" s="77" t="s">
        <v>164</v>
      </c>
      <c r="E847" s="73" t="str">
        <f>VLOOKUP(D847,clientes!$C$3:$D$60,2,FALSE)</f>
        <v>BRASKEM</v>
      </c>
      <c r="F847" s="77" t="s">
        <v>115</v>
      </c>
      <c r="G847" s="73" t="str">
        <f>VLOOKUP(F847,'[2]Lista de Produtos CLASSIFICAÇÃO'!$E$103:$F$114,2,FALSE)</f>
        <v>Soda Caustica</v>
      </c>
      <c r="H847" s="78">
        <v>2666</v>
      </c>
    </row>
    <row r="848" spans="1:8" x14ac:dyDescent="0.25">
      <c r="A848" s="71">
        <v>2023</v>
      </c>
      <c r="B848" s="72" t="s">
        <v>212</v>
      </c>
      <c r="C848" s="73" t="s">
        <v>225</v>
      </c>
      <c r="D848" s="73" t="s">
        <v>164</v>
      </c>
      <c r="E848" s="73" t="str">
        <f>VLOOKUP(D848,clientes!$C$3:$D$60,2,FALSE)</f>
        <v>BRASKEM</v>
      </c>
      <c r="F848" s="73" t="s">
        <v>115</v>
      </c>
      <c r="G848" s="73" t="str">
        <f>VLOOKUP(F848,'[2]Lista de Produtos CLASSIFICAÇÃO'!$E$103:$F$114,2,FALSE)</f>
        <v>Soda Caustica</v>
      </c>
      <c r="H848" s="74">
        <v>2666</v>
      </c>
    </row>
    <row r="849" spans="1:8" x14ac:dyDescent="0.25">
      <c r="A849" s="75">
        <v>2023</v>
      </c>
      <c r="B849" s="76" t="s">
        <v>213</v>
      </c>
      <c r="C849" s="77" t="s">
        <v>225</v>
      </c>
      <c r="D849" s="77" t="s">
        <v>164</v>
      </c>
      <c r="E849" s="73" t="str">
        <f>VLOOKUP(D849,clientes!$C$3:$D$60,2,FALSE)</f>
        <v>BRASKEM</v>
      </c>
      <c r="F849" s="77" t="s">
        <v>115</v>
      </c>
      <c r="G849" s="73" t="str">
        <f>VLOOKUP(F849,'[2]Lista de Produtos CLASSIFICAÇÃO'!$E$103:$F$114,2,FALSE)</f>
        <v>Soda Caustica</v>
      </c>
      <c r="H849" s="78">
        <v>2666</v>
      </c>
    </row>
    <row r="850" spans="1:8" x14ac:dyDescent="0.25">
      <c r="A850" s="71">
        <v>2023</v>
      </c>
      <c r="B850" s="72" t="s">
        <v>214</v>
      </c>
      <c r="C850" s="73" t="s">
        <v>225</v>
      </c>
      <c r="D850" s="73" t="s">
        <v>164</v>
      </c>
      <c r="E850" s="73" t="str">
        <f>VLOOKUP(D850,clientes!$C$3:$D$60,2,FALSE)</f>
        <v>BRASKEM</v>
      </c>
      <c r="F850" s="73" t="s">
        <v>115</v>
      </c>
      <c r="G850" s="73" t="str">
        <f>VLOOKUP(F850,'[2]Lista de Produtos CLASSIFICAÇÃO'!$E$103:$F$114,2,FALSE)</f>
        <v>Soda Caustica</v>
      </c>
      <c r="H850" s="74">
        <v>2666</v>
      </c>
    </row>
    <row r="851" spans="1:8" x14ac:dyDescent="0.25">
      <c r="A851" s="75">
        <v>2023</v>
      </c>
      <c r="B851" s="76" t="s">
        <v>215</v>
      </c>
      <c r="C851" s="77" t="s">
        <v>225</v>
      </c>
      <c r="D851" s="77" t="s">
        <v>164</v>
      </c>
      <c r="E851" s="73" t="str">
        <f>VLOOKUP(D851,clientes!$C$3:$D$60,2,FALSE)</f>
        <v>BRASKEM</v>
      </c>
      <c r="F851" s="77" t="s">
        <v>115</v>
      </c>
      <c r="G851" s="73" t="str">
        <f>VLOOKUP(F851,'[2]Lista de Produtos CLASSIFICAÇÃO'!$E$103:$F$114,2,FALSE)</f>
        <v>Soda Caustica</v>
      </c>
      <c r="H851" s="78">
        <v>2666</v>
      </c>
    </row>
    <row r="852" spans="1:8" x14ac:dyDescent="0.25">
      <c r="A852" s="71">
        <v>2023</v>
      </c>
      <c r="B852" s="72" t="s">
        <v>230</v>
      </c>
      <c r="C852" s="73" t="s">
        <v>225</v>
      </c>
      <c r="D852" s="73" t="s">
        <v>164</v>
      </c>
      <c r="E852" s="73" t="str">
        <f>VLOOKUP(D852,clientes!$C$3:$D$60,2,FALSE)</f>
        <v>BRASKEM</v>
      </c>
      <c r="F852" s="73" t="s">
        <v>115</v>
      </c>
      <c r="G852" s="73" t="str">
        <f>VLOOKUP(F852,'[2]Lista de Produtos CLASSIFICAÇÃO'!$E$103:$F$114,2,FALSE)</f>
        <v>Soda Caustica</v>
      </c>
      <c r="H852" s="74">
        <v>2666</v>
      </c>
    </row>
    <row r="853" spans="1:8" x14ac:dyDescent="0.25">
      <c r="A853" s="75">
        <v>2023</v>
      </c>
      <c r="B853" s="76" t="s">
        <v>231</v>
      </c>
      <c r="C853" s="77" t="s">
        <v>225</v>
      </c>
      <c r="D853" s="77" t="s">
        <v>164</v>
      </c>
      <c r="E853" s="73" t="str">
        <f>VLOOKUP(D853,clientes!$C$3:$D$60,2,FALSE)</f>
        <v>BRASKEM</v>
      </c>
      <c r="F853" s="77" t="s">
        <v>115</v>
      </c>
      <c r="G853" s="73" t="str">
        <f>VLOOKUP(F853,'[2]Lista de Produtos CLASSIFICAÇÃO'!$E$103:$F$114,2,FALSE)</f>
        <v>Soda Caustica</v>
      </c>
      <c r="H853" s="78">
        <v>2666</v>
      </c>
    </row>
    <row r="854" spans="1:8" x14ac:dyDescent="0.25">
      <c r="A854" s="71">
        <v>2023</v>
      </c>
      <c r="B854" s="72" t="s">
        <v>226</v>
      </c>
      <c r="C854" s="73" t="s">
        <v>225</v>
      </c>
      <c r="D854" s="73" t="s">
        <v>177</v>
      </c>
      <c r="E854" s="73" t="str">
        <f>VLOOKUP(D854,clientes!$C$3:$D$60,2,FALSE)</f>
        <v>BRENNTAG</v>
      </c>
      <c r="F854" s="73" t="s">
        <v>115</v>
      </c>
      <c r="G854" s="73" t="str">
        <f>VLOOKUP(F854,'[2]Lista de Produtos CLASSIFICAÇÃO'!$E$103:$F$114,2,FALSE)</f>
        <v>Soda Caustica</v>
      </c>
      <c r="H854" s="74">
        <v>3937</v>
      </c>
    </row>
    <row r="855" spans="1:8" x14ac:dyDescent="0.25">
      <c r="A855" s="75">
        <v>2023</v>
      </c>
      <c r="B855" s="76" t="s">
        <v>227</v>
      </c>
      <c r="C855" s="77" t="s">
        <v>225</v>
      </c>
      <c r="D855" s="77" t="s">
        <v>177</v>
      </c>
      <c r="E855" s="73" t="str">
        <f>VLOOKUP(D855,clientes!$C$3:$D$60,2,FALSE)</f>
        <v>BRENNTAG</v>
      </c>
      <c r="F855" s="77" t="s">
        <v>115</v>
      </c>
      <c r="G855" s="73" t="str">
        <f>VLOOKUP(F855,'[2]Lista de Produtos CLASSIFICAÇÃO'!$E$103:$F$114,2,FALSE)</f>
        <v>Soda Caustica</v>
      </c>
      <c r="H855" s="78">
        <v>3937</v>
      </c>
    </row>
    <row r="856" spans="1:8" x14ac:dyDescent="0.25">
      <c r="A856" s="71">
        <v>2023</v>
      </c>
      <c r="B856" s="72" t="s">
        <v>228</v>
      </c>
      <c r="C856" s="73" t="s">
        <v>225</v>
      </c>
      <c r="D856" s="73" t="s">
        <v>177</v>
      </c>
      <c r="E856" s="73" t="str">
        <f>VLOOKUP(D856,clientes!$C$3:$D$60,2,FALSE)</f>
        <v>BRENNTAG</v>
      </c>
      <c r="F856" s="73" t="s">
        <v>115</v>
      </c>
      <c r="G856" s="73" t="str">
        <f>VLOOKUP(F856,'[2]Lista de Produtos CLASSIFICAÇÃO'!$E$103:$F$114,2,FALSE)</f>
        <v>Soda Caustica</v>
      </c>
      <c r="H856" s="74">
        <v>3937</v>
      </c>
    </row>
    <row r="857" spans="1:8" x14ac:dyDescent="0.25">
      <c r="A857" s="75">
        <v>2023</v>
      </c>
      <c r="B857" s="76" t="s">
        <v>229</v>
      </c>
      <c r="C857" s="77" t="s">
        <v>225</v>
      </c>
      <c r="D857" s="77" t="s">
        <v>177</v>
      </c>
      <c r="E857" s="73" t="str">
        <f>VLOOKUP(D857,clientes!$C$3:$D$60,2,FALSE)</f>
        <v>BRENNTAG</v>
      </c>
      <c r="F857" s="77" t="s">
        <v>115</v>
      </c>
      <c r="G857" s="73" t="str">
        <f>VLOOKUP(F857,'[2]Lista de Produtos CLASSIFICAÇÃO'!$E$103:$F$114,2,FALSE)</f>
        <v>Soda Caustica</v>
      </c>
      <c r="H857" s="78">
        <v>3937</v>
      </c>
    </row>
    <row r="858" spans="1:8" x14ac:dyDescent="0.25">
      <c r="A858" s="71">
        <v>2023</v>
      </c>
      <c r="B858" s="72" t="s">
        <v>210</v>
      </c>
      <c r="C858" s="73" t="s">
        <v>225</v>
      </c>
      <c r="D858" s="73" t="s">
        <v>177</v>
      </c>
      <c r="E858" s="73" t="str">
        <f>VLOOKUP(D858,clientes!$C$3:$D$60,2,FALSE)</f>
        <v>BRENNTAG</v>
      </c>
      <c r="F858" s="73" t="s">
        <v>115</v>
      </c>
      <c r="G858" s="73" t="str">
        <f>VLOOKUP(F858,'[2]Lista de Produtos CLASSIFICAÇÃO'!$E$103:$F$114,2,FALSE)</f>
        <v>Soda Caustica</v>
      </c>
      <c r="H858" s="74">
        <v>3937</v>
      </c>
    </row>
    <row r="859" spans="1:8" x14ac:dyDescent="0.25">
      <c r="A859" s="75">
        <v>2023</v>
      </c>
      <c r="B859" s="76" t="s">
        <v>211</v>
      </c>
      <c r="C859" s="77" t="s">
        <v>225</v>
      </c>
      <c r="D859" s="77" t="s">
        <v>177</v>
      </c>
      <c r="E859" s="73" t="str">
        <f>VLOOKUP(D859,clientes!$C$3:$D$60,2,FALSE)</f>
        <v>BRENNTAG</v>
      </c>
      <c r="F859" s="77" t="s">
        <v>115</v>
      </c>
      <c r="G859" s="73" t="str">
        <f>VLOOKUP(F859,'[2]Lista de Produtos CLASSIFICAÇÃO'!$E$103:$F$114,2,FALSE)</f>
        <v>Soda Caustica</v>
      </c>
      <c r="H859" s="78">
        <v>3937</v>
      </c>
    </row>
    <row r="860" spans="1:8" x14ac:dyDescent="0.25">
      <c r="A860" s="71">
        <v>2023</v>
      </c>
      <c r="B860" s="72" t="s">
        <v>212</v>
      </c>
      <c r="C860" s="73" t="s">
        <v>225</v>
      </c>
      <c r="D860" s="73" t="s">
        <v>177</v>
      </c>
      <c r="E860" s="73" t="str">
        <f>VLOOKUP(D860,clientes!$C$3:$D$60,2,FALSE)</f>
        <v>BRENNTAG</v>
      </c>
      <c r="F860" s="73" t="s">
        <v>115</v>
      </c>
      <c r="G860" s="73" t="str">
        <f>VLOOKUP(F860,'[2]Lista de Produtos CLASSIFICAÇÃO'!$E$103:$F$114,2,FALSE)</f>
        <v>Soda Caustica</v>
      </c>
      <c r="H860" s="74">
        <v>3937</v>
      </c>
    </row>
    <row r="861" spans="1:8" x14ac:dyDescent="0.25">
      <c r="A861" s="75">
        <v>2023</v>
      </c>
      <c r="B861" s="76" t="s">
        <v>213</v>
      </c>
      <c r="C861" s="77" t="s">
        <v>225</v>
      </c>
      <c r="D861" s="77" t="s">
        <v>177</v>
      </c>
      <c r="E861" s="73" t="str">
        <f>VLOOKUP(D861,clientes!$C$3:$D$60,2,FALSE)</f>
        <v>BRENNTAG</v>
      </c>
      <c r="F861" s="77" t="s">
        <v>115</v>
      </c>
      <c r="G861" s="73" t="str">
        <f>VLOOKUP(F861,'[2]Lista de Produtos CLASSIFICAÇÃO'!$E$103:$F$114,2,FALSE)</f>
        <v>Soda Caustica</v>
      </c>
      <c r="H861" s="78">
        <v>3937</v>
      </c>
    </row>
    <row r="862" spans="1:8" x14ac:dyDescent="0.25">
      <c r="A862" s="71">
        <v>2023</v>
      </c>
      <c r="B862" s="72" t="s">
        <v>214</v>
      </c>
      <c r="C862" s="73" t="s">
        <v>225</v>
      </c>
      <c r="D862" s="73" t="s">
        <v>177</v>
      </c>
      <c r="E862" s="73" t="str">
        <f>VLOOKUP(D862,clientes!$C$3:$D$60,2,FALSE)</f>
        <v>BRENNTAG</v>
      </c>
      <c r="F862" s="73" t="s">
        <v>115</v>
      </c>
      <c r="G862" s="73" t="str">
        <f>VLOOKUP(F862,'[2]Lista de Produtos CLASSIFICAÇÃO'!$E$103:$F$114,2,FALSE)</f>
        <v>Soda Caustica</v>
      </c>
      <c r="H862" s="74">
        <v>3937</v>
      </c>
    </row>
    <row r="863" spans="1:8" x14ac:dyDescent="0.25">
      <c r="A863" s="75">
        <v>2023</v>
      </c>
      <c r="B863" s="76" t="s">
        <v>215</v>
      </c>
      <c r="C863" s="77" t="s">
        <v>225</v>
      </c>
      <c r="D863" s="77" t="s">
        <v>177</v>
      </c>
      <c r="E863" s="73" t="str">
        <f>VLOOKUP(D863,clientes!$C$3:$D$60,2,FALSE)</f>
        <v>BRENNTAG</v>
      </c>
      <c r="F863" s="77" t="s">
        <v>115</v>
      </c>
      <c r="G863" s="73" t="str">
        <f>VLOOKUP(F863,'[2]Lista de Produtos CLASSIFICAÇÃO'!$E$103:$F$114,2,FALSE)</f>
        <v>Soda Caustica</v>
      </c>
      <c r="H863" s="78">
        <v>3937</v>
      </c>
    </row>
    <row r="864" spans="1:8" x14ac:dyDescent="0.25">
      <c r="A864" s="71">
        <v>2023</v>
      </c>
      <c r="B864" s="72" t="s">
        <v>230</v>
      </c>
      <c r="C864" s="73" t="s">
        <v>225</v>
      </c>
      <c r="D864" s="73" t="s">
        <v>177</v>
      </c>
      <c r="E864" s="73" t="str">
        <f>VLOOKUP(D864,clientes!$C$3:$D$60,2,FALSE)</f>
        <v>BRENNTAG</v>
      </c>
      <c r="F864" s="73" t="s">
        <v>115</v>
      </c>
      <c r="G864" s="73" t="str">
        <f>VLOOKUP(F864,'[2]Lista de Produtos CLASSIFICAÇÃO'!$E$103:$F$114,2,FALSE)</f>
        <v>Soda Caustica</v>
      </c>
      <c r="H864" s="74">
        <v>3937</v>
      </c>
    </row>
    <row r="865" spans="1:8" x14ac:dyDescent="0.25">
      <c r="A865" s="75">
        <v>2023</v>
      </c>
      <c r="B865" s="76" t="s">
        <v>231</v>
      </c>
      <c r="C865" s="77" t="s">
        <v>225</v>
      </c>
      <c r="D865" s="77" t="s">
        <v>177</v>
      </c>
      <c r="E865" s="73" t="str">
        <f>VLOOKUP(D865,clientes!$C$3:$D$60,2,FALSE)</f>
        <v>BRENNTAG</v>
      </c>
      <c r="F865" s="77" t="s">
        <v>115</v>
      </c>
      <c r="G865" s="73" t="str">
        <f>VLOOKUP(F865,'[2]Lista de Produtos CLASSIFICAÇÃO'!$E$103:$F$114,2,FALSE)</f>
        <v>Soda Caustica</v>
      </c>
      <c r="H865" s="78">
        <v>3937</v>
      </c>
    </row>
    <row r="866" spans="1:8" x14ac:dyDescent="0.25">
      <c r="A866" s="71">
        <v>2023</v>
      </c>
      <c r="B866" s="72" t="s">
        <v>226</v>
      </c>
      <c r="C866" s="73" t="s">
        <v>232</v>
      </c>
      <c r="D866" s="73" t="s">
        <v>156</v>
      </c>
      <c r="E866" s="73" t="str">
        <f>VLOOKUP(D866,clientes!$C$3:$D$60,2,FALSE)</f>
        <v>BUNGE</v>
      </c>
      <c r="F866" s="73" t="s">
        <v>123</v>
      </c>
      <c r="G866" s="73" t="str">
        <f>VLOOKUP(F866,'[2]Lista de Produtos CLASSIFICAÇÃO'!$E$103:$F$114,2,FALSE)</f>
        <v>Aquecidos</v>
      </c>
      <c r="H866" s="74">
        <v>5578</v>
      </c>
    </row>
    <row r="867" spans="1:8" x14ac:dyDescent="0.25">
      <c r="A867" s="75">
        <v>2023</v>
      </c>
      <c r="B867" s="76" t="s">
        <v>227</v>
      </c>
      <c r="C867" s="77" t="s">
        <v>232</v>
      </c>
      <c r="D867" s="77" t="s">
        <v>156</v>
      </c>
      <c r="E867" s="73" t="str">
        <f>VLOOKUP(D867,clientes!$C$3:$D$60,2,FALSE)</f>
        <v>BUNGE</v>
      </c>
      <c r="F867" s="77" t="s">
        <v>123</v>
      </c>
      <c r="G867" s="73" t="str">
        <f>VLOOKUP(F867,'[2]Lista de Produtos CLASSIFICAÇÃO'!$E$103:$F$114,2,FALSE)</f>
        <v>Aquecidos</v>
      </c>
      <c r="H867" s="78">
        <v>5578</v>
      </c>
    </row>
    <row r="868" spans="1:8" x14ac:dyDescent="0.25">
      <c r="A868" s="71">
        <v>2023</v>
      </c>
      <c r="B868" s="72" t="s">
        <v>228</v>
      </c>
      <c r="C868" s="73" t="s">
        <v>232</v>
      </c>
      <c r="D868" s="73" t="s">
        <v>156</v>
      </c>
      <c r="E868" s="73" t="str">
        <f>VLOOKUP(D868,clientes!$C$3:$D$60,2,FALSE)</f>
        <v>BUNGE</v>
      </c>
      <c r="F868" s="73" t="s">
        <v>123</v>
      </c>
      <c r="G868" s="73" t="str">
        <f>VLOOKUP(F868,'[2]Lista de Produtos CLASSIFICAÇÃO'!$E$103:$F$114,2,FALSE)</f>
        <v>Aquecidos</v>
      </c>
      <c r="H868" s="74">
        <v>5578</v>
      </c>
    </row>
    <row r="869" spans="1:8" x14ac:dyDescent="0.25">
      <c r="A869" s="75">
        <v>2023</v>
      </c>
      <c r="B869" s="76" t="s">
        <v>229</v>
      </c>
      <c r="C869" s="77" t="s">
        <v>232</v>
      </c>
      <c r="D869" s="77" t="s">
        <v>156</v>
      </c>
      <c r="E869" s="73" t="str">
        <f>VLOOKUP(D869,clientes!$C$3:$D$60,2,FALSE)</f>
        <v>BUNGE</v>
      </c>
      <c r="F869" s="77" t="s">
        <v>123</v>
      </c>
      <c r="G869" s="73" t="str">
        <f>VLOOKUP(F869,'[2]Lista de Produtos CLASSIFICAÇÃO'!$E$103:$F$114,2,FALSE)</f>
        <v>Aquecidos</v>
      </c>
      <c r="H869" s="78">
        <v>5578</v>
      </c>
    </row>
    <row r="870" spans="1:8" x14ac:dyDescent="0.25">
      <c r="A870" s="71">
        <v>2023</v>
      </c>
      <c r="B870" s="72" t="s">
        <v>210</v>
      </c>
      <c r="C870" s="73" t="s">
        <v>232</v>
      </c>
      <c r="D870" s="73" t="s">
        <v>156</v>
      </c>
      <c r="E870" s="73" t="str">
        <f>VLOOKUP(D870,clientes!$C$3:$D$60,2,FALSE)</f>
        <v>BUNGE</v>
      </c>
      <c r="F870" s="73" t="s">
        <v>123</v>
      </c>
      <c r="G870" s="73" t="str">
        <f>VLOOKUP(F870,'[2]Lista de Produtos CLASSIFICAÇÃO'!$E$103:$F$114,2,FALSE)</f>
        <v>Aquecidos</v>
      </c>
      <c r="H870" s="74">
        <v>5578</v>
      </c>
    </row>
    <row r="871" spans="1:8" x14ac:dyDescent="0.25">
      <c r="A871" s="75">
        <v>2023</v>
      </c>
      <c r="B871" s="76" t="s">
        <v>211</v>
      </c>
      <c r="C871" s="77" t="s">
        <v>232</v>
      </c>
      <c r="D871" s="77" t="s">
        <v>156</v>
      </c>
      <c r="E871" s="73" t="str">
        <f>VLOOKUP(D871,clientes!$C$3:$D$60,2,FALSE)</f>
        <v>BUNGE</v>
      </c>
      <c r="F871" s="77" t="s">
        <v>123</v>
      </c>
      <c r="G871" s="73" t="str">
        <f>VLOOKUP(F871,'[2]Lista de Produtos CLASSIFICAÇÃO'!$E$103:$F$114,2,FALSE)</f>
        <v>Aquecidos</v>
      </c>
      <c r="H871" s="78">
        <v>5578</v>
      </c>
    </row>
    <row r="872" spans="1:8" x14ac:dyDescent="0.25">
      <c r="A872" s="71">
        <v>2023</v>
      </c>
      <c r="B872" s="72" t="s">
        <v>212</v>
      </c>
      <c r="C872" s="73" t="s">
        <v>232</v>
      </c>
      <c r="D872" s="73" t="s">
        <v>156</v>
      </c>
      <c r="E872" s="73" t="str">
        <f>VLOOKUP(D872,clientes!$C$3:$D$60,2,FALSE)</f>
        <v>BUNGE</v>
      </c>
      <c r="F872" s="73" t="s">
        <v>123</v>
      </c>
      <c r="G872" s="73" t="str">
        <f>VLOOKUP(F872,'[2]Lista de Produtos CLASSIFICAÇÃO'!$E$103:$F$114,2,FALSE)</f>
        <v>Aquecidos</v>
      </c>
      <c r="H872" s="74">
        <v>5578</v>
      </c>
    </row>
    <row r="873" spans="1:8" x14ac:dyDescent="0.25">
      <c r="A873" s="75">
        <v>2023</v>
      </c>
      <c r="B873" s="76" t="s">
        <v>213</v>
      </c>
      <c r="C873" s="77" t="s">
        <v>232</v>
      </c>
      <c r="D873" s="77" t="s">
        <v>156</v>
      </c>
      <c r="E873" s="73" t="str">
        <f>VLOOKUP(D873,clientes!$C$3:$D$60,2,FALSE)</f>
        <v>BUNGE</v>
      </c>
      <c r="F873" s="77" t="s">
        <v>123</v>
      </c>
      <c r="G873" s="73" t="str">
        <f>VLOOKUP(F873,'[2]Lista de Produtos CLASSIFICAÇÃO'!$E$103:$F$114,2,FALSE)</f>
        <v>Aquecidos</v>
      </c>
      <c r="H873" s="78">
        <v>5578</v>
      </c>
    </row>
    <row r="874" spans="1:8" x14ac:dyDescent="0.25">
      <c r="A874" s="71">
        <v>2023</v>
      </c>
      <c r="B874" s="72" t="s">
        <v>214</v>
      </c>
      <c r="C874" s="73" t="s">
        <v>232</v>
      </c>
      <c r="D874" s="73" t="s">
        <v>156</v>
      </c>
      <c r="E874" s="73" t="str">
        <f>VLOOKUP(D874,clientes!$C$3:$D$60,2,FALSE)</f>
        <v>BUNGE</v>
      </c>
      <c r="F874" s="73" t="s">
        <v>123</v>
      </c>
      <c r="G874" s="73" t="str">
        <f>VLOOKUP(F874,'[2]Lista de Produtos CLASSIFICAÇÃO'!$E$103:$F$114,2,FALSE)</f>
        <v>Aquecidos</v>
      </c>
      <c r="H874" s="74">
        <v>5578</v>
      </c>
    </row>
    <row r="875" spans="1:8" x14ac:dyDescent="0.25">
      <c r="A875" s="75">
        <v>2023</v>
      </c>
      <c r="B875" s="76" t="s">
        <v>215</v>
      </c>
      <c r="C875" s="77" t="s">
        <v>232</v>
      </c>
      <c r="D875" s="77" t="s">
        <v>156</v>
      </c>
      <c r="E875" s="73" t="str">
        <f>VLOOKUP(D875,clientes!$C$3:$D$60,2,FALSE)</f>
        <v>BUNGE</v>
      </c>
      <c r="F875" s="77" t="s">
        <v>123</v>
      </c>
      <c r="G875" s="73" t="str">
        <f>VLOOKUP(F875,'[2]Lista de Produtos CLASSIFICAÇÃO'!$E$103:$F$114,2,FALSE)</f>
        <v>Aquecidos</v>
      </c>
      <c r="H875" s="78">
        <v>5578</v>
      </c>
    </row>
    <row r="876" spans="1:8" x14ac:dyDescent="0.25">
      <c r="A876" s="71">
        <v>2023</v>
      </c>
      <c r="B876" s="72" t="s">
        <v>230</v>
      </c>
      <c r="C876" s="73" t="s">
        <v>232</v>
      </c>
      <c r="D876" s="73" t="s">
        <v>156</v>
      </c>
      <c r="E876" s="73" t="str">
        <f>VLOOKUP(D876,clientes!$C$3:$D$60,2,FALSE)</f>
        <v>BUNGE</v>
      </c>
      <c r="F876" s="73" t="s">
        <v>123</v>
      </c>
      <c r="G876" s="73" t="str">
        <f>VLOOKUP(F876,'[2]Lista de Produtos CLASSIFICAÇÃO'!$E$103:$F$114,2,FALSE)</f>
        <v>Aquecidos</v>
      </c>
      <c r="H876" s="74">
        <v>5578</v>
      </c>
    </row>
    <row r="877" spans="1:8" x14ac:dyDescent="0.25">
      <c r="A877" s="75">
        <v>2023</v>
      </c>
      <c r="B877" s="76" t="s">
        <v>231</v>
      </c>
      <c r="C877" s="77" t="s">
        <v>232</v>
      </c>
      <c r="D877" s="77" t="s">
        <v>156</v>
      </c>
      <c r="E877" s="73" t="str">
        <f>VLOOKUP(D877,clientes!$C$3:$D$60,2,FALSE)</f>
        <v>BUNGE</v>
      </c>
      <c r="F877" s="77" t="s">
        <v>123</v>
      </c>
      <c r="G877" s="73" t="str">
        <f>VLOOKUP(F877,'[2]Lista de Produtos CLASSIFICAÇÃO'!$E$103:$F$114,2,FALSE)</f>
        <v>Aquecidos</v>
      </c>
      <c r="H877" s="78">
        <v>5578</v>
      </c>
    </row>
    <row r="878" spans="1:8" x14ac:dyDescent="0.25">
      <c r="A878" s="71">
        <v>2023</v>
      </c>
      <c r="B878" s="72" t="s">
        <v>226</v>
      </c>
      <c r="C878" s="73" t="s">
        <v>232</v>
      </c>
      <c r="D878" s="73" t="s">
        <v>166</v>
      </c>
      <c r="E878" s="73" t="str">
        <f>VLOOKUP(D878,clientes!$C$3:$D$60,2,FALSE)</f>
        <v>CARGILL</v>
      </c>
      <c r="F878" s="73" t="s">
        <v>123</v>
      </c>
      <c r="G878" s="73" t="str">
        <f>VLOOKUP(F878,'[2]Lista de Produtos CLASSIFICAÇÃO'!$E$103:$F$114,2,FALSE)</f>
        <v>Aquecidos</v>
      </c>
      <c r="H878" s="74">
        <v>6000</v>
      </c>
    </row>
    <row r="879" spans="1:8" x14ac:dyDescent="0.25">
      <c r="A879" s="75">
        <v>2023</v>
      </c>
      <c r="B879" s="76" t="s">
        <v>227</v>
      </c>
      <c r="C879" s="77" t="s">
        <v>232</v>
      </c>
      <c r="D879" s="77" t="s">
        <v>166</v>
      </c>
      <c r="E879" s="73" t="str">
        <f>VLOOKUP(D879,clientes!$C$3:$D$60,2,FALSE)</f>
        <v>CARGILL</v>
      </c>
      <c r="F879" s="77" t="s">
        <v>123</v>
      </c>
      <c r="G879" s="73" t="str">
        <f>VLOOKUP(F879,'[2]Lista de Produtos CLASSIFICAÇÃO'!$E$103:$F$114,2,FALSE)</f>
        <v>Aquecidos</v>
      </c>
      <c r="H879" s="78">
        <v>6000</v>
      </c>
    </row>
    <row r="880" spans="1:8" x14ac:dyDescent="0.25">
      <c r="A880" s="71">
        <v>2023</v>
      </c>
      <c r="B880" s="72" t="s">
        <v>228</v>
      </c>
      <c r="C880" s="73" t="s">
        <v>232</v>
      </c>
      <c r="D880" s="73" t="s">
        <v>166</v>
      </c>
      <c r="E880" s="73" t="str">
        <f>VLOOKUP(D880,clientes!$C$3:$D$60,2,FALSE)</f>
        <v>CARGILL</v>
      </c>
      <c r="F880" s="73" t="s">
        <v>123</v>
      </c>
      <c r="G880" s="73" t="str">
        <f>VLOOKUP(F880,'[2]Lista de Produtos CLASSIFICAÇÃO'!$E$103:$F$114,2,FALSE)</f>
        <v>Aquecidos</v>
      </c>
      <c r="H880" s="74">
        <v>6000</v>
      </c>
    </row>
    <row r="881" spans="1:8" x14ac:dyDescent="0.25">
      <c r="A881" s="75">
        <v>2023</v>
      </c>
      <c r="B881" s="76" t="s">
        <v>229</v>
      </c>
      <c r="C881" s="77" t="s">
        <v>232</v>
      </c>
      <c r="D881" s="77" t="s">
        <v>166</v>
      </c>
      <c r="E881" s="73" t="str">
        <f>VLOOKUP(D881,clientes!$C$3:$D$60,2,FALSE)</f>
        <v>CARGILL</v>
      </c>
      <c r="F881" s="77" t="s">
        <v>123</v>
      </c>
      <c r="G881" s="73" t="str">
        <f>VLOOKUP(F881,'[2]Lista de Produtos CLASSIFICAÇÃO'!$E$103:$F$114,2,FALSE)</f>
        <v>Aquecidos</v>
      </c>
      <c r="H881" s="78">
        <v>6000</v>
      </c>
    </row>
    <row r="882" spans="1:8" x14ac:dyDescent="0.25">
      <c r="A882" s="71">
        <v>2023</v>
      </c>
      <c r="B882" s="72" t="s">
        <v>210</v>
      </c>
      <c r="C882" s="73" t="s">
        <v>232</v>
      </c>
      <c r="D882" s="73" t="s">
        <v>166</v>
      </c>
      <c r="E882" s="73" t="str">
        <f>VLOOKUP(D882,clientes!$C$3:$D$60,2,FALSE)</f>
        <v>CARGILL</v>
      </c>
      <c r="F882" s="73" t="s">
        <v>123</v>
      </c>
      <c r="G882" s="73" t="str">
        <f>VLOOKUP(F882,'[2]Lista de Produtos CLASSIFICAÇÃO'!$E$103:$F$114,2,FALSE)</f>
        <v>Aquecidos</v>
      </c>
      <c r="H882" s="74">
        <v>6000</v>
      </c>
    </row>
    <row r="883" spans="1:8" x14ac:dyDescent="0.25">
      <c r="A883" s="75">
        <v>2023</v>
      </c>
      <c r="B883" s="76" t="s">
        <v>211</v>
      </c>
      <c r="C883" s="77" t="s">
        <v>232</v>
      </c>
      <c r="D883" s="77" t="s">
        <v>166</v>
      </c>
      <c r="E883" s="73" t="str">
        <f>VLOOKUP(D883,clientes!$C$3:$D$60,2,FALSE)</f>
        <v>CARGILL</v>
      </c>
      <c r="F883" s="77" t="s">
        <v>123</v>
      </c>
      <c r="G883" s="73" t="str">
        <f>VLOOKUP(F883,'[2]Lista de Produtos CLASSIFICAÇÃO'!$E$103:$F$114,2,FALSE)</f>
        <v>Aquecidos</v>
      </c>
      <c r="H883" s="78">
        <v>6000</v>
      </c>
    </row>
    <row r="884" spans="1:8" x14ac:dyDescent="0.25">
      <c r="A884" s="71">
        <v>2023</v>
      </c>
      <c r="B884" s="72" t="s">
        <v>212</v>
      </c>
      <c r="C884" s="73" t="s">
        <v>232</v>
      </c>
      <c r="D884" s="73" t="s">
        <v>166</v>
      </c>
      <c r="E884" s="73" t="str">
        <f>VLOOKUP(D884,clientes!$C$3:$D$60,2,FALSE)</f>
        <v>CARGILL</v>
      </c>
      <c r="F884" s="73" t="s">
        <v>123</v>
      </c>
      <c r="G884" s="73" t="str">
        <f>VLOOKUP(F884,'[2]Lista de Produtos CLASSIFICAÇÃO'!$E$103:$F$114,2,FALSE)</f>
        <v>Aquecidos</v>
      </c>
      <c r="H884" s="74">
        <v>6000</v>
      </c>
    </row>
    <row r="885" spans="1:8" x14ac:dyDescent="0.25">
      <c r="A885" s="75">
        <v>2023</v>
      </c>
      <c r="B885" s="76" t="s">
        <v>213</v>
      </c>
      <c r="C885" s="77" t="s">
        <v>232</v>
      </c>
      <c r="D885" s="77" t="s">
        <v>166</v>
      </c>
      <c r="E885" s="73" t="str">
        <f>VLOOKUP(D885,clientes!$C$3:$D$60,2,FALSE)</f>
        <v>CARGILL</v>
      </c>
      <c r="F885" s="77" t="s">
        <v>123</v>
      </c>
      <c r="G885" s="73" t="str">
        <f>VLOOKUP(F885,'[2]Lista de Produtos CLASSIFICAÇÃO'!$E$103:$F$114,2,FALSE)</f>
        <v>Aquecidos</v>
      </c>
      <c r="H885" s="78">
        <v>6000</v>
      </c>
    </row>
    <row r="886" spans="1:8" x14ac:dyDescent="0.25">
      <c r="A886" s="71">
        <v>2023</v>
      </c>
      <c r="B886" s="72" t="s">
        <v>214</v>
      </c>
      <c r="C886" s="73" t="s">
        <v>232</v>
      </c>
      <c r="D886" s="73" t="s">
        <v>166</v>
      </c>
      <c r="E886" s="73" t="str">
        <f>VLOOKUP(D886,clientes!$C$3:$D$60,2,FALSE)</f>
        <v>CARGILL</v>
      </c>
      <c r="F886" s="73" t="s">
        <v>123</v>
      </c>
      <c r="G886" s="73" t="str">
        <f>VLOOKUP(F886,'[2]Lista de Produtos CLASSIFICAÇÃO'!$E$103:$F$114,2,FALSE)</f>
        <v>Aquecidos</v>
      </c>
      <c r="H886" s="74">
        <v>6000</v>
      </c>
    </row>
    <row r="887" spans="1:8" x14ac:dyDescent="0.25">
      <c r="A887" s="75">
        <v>2023</v>
      </c>
      <c r="B887" s="76" t="s">
        <v>215</v>
      </c>
      <c r="C887" s="77" t="s">
        <v>232</v>
      </c>
      <c r="D887" s="77" t="s">
        <v>166</v>
      </c>
      <c r="E887" s="73" t="str">
        <f>VLOOKUP(D887,clientes!$C$3:$D$60,2,FALSE)</f>
        <v>CARGILL</v>
      </c>
      <c r="F887" s="77" t="s">
        <v>123</v>
      </c>
      <c r="G887" s="73" t="str">
        <f>VLOOKUP(F887,'[2]Lista de Produtos CLASSIFICAÇÃO'!$E$103:$F$114,2,FALSE)</f>
        <v>Aquecidos</v>
      </c>
      <c r="H887" s="78">
        <v>6000</v>
      </c>
    </row>
    <row r="888" spans="1:8" x14ac:dyDescent="0.25">
      <c r="A888" s="71">
        <v>2023</v>
      </c>
      <c r="B888" s="72" t="s">
        <v>230</v>
      </c>
      <c r="C888" s="73" t="s">
        <v>232</v>
      </c>
      <c r="D888" s="73" t="s">
        <v>166</v>
      </c>
      <c r="E888" s="73" t="str">
        <f>VLOOKUP(D888,clientes!$C$3:$D$60,2,FALSE)</f>
        <v>CARGILL</v>
      </c>
      <c r="F888" s="73" t="s">
        <v>123</v>
      </c>
      <c r="G888" s="73" t="str">
        <f>VLOOKUP(F888,'[2]Lista de Produtos CLASSIFICAÇÃO'!$E$103:$F$114,2,FALSE)</f>
        <v>Aquecidos</v>
      </c>
      <c r="H888" s="74">
        <v>6000</v>
      </c>
    </row>
    <row r="889" spans="1:8" x14ac:dyDescent="0.25">
      <c r="A889" s="75">
        <v>2023</v>
      </c>
      <c r="B889" s="76" t="s">
        <v>231</v>
      </c>
      <c r="C889" s="77" t="s">
        <v>232</v>
      </c>
      <c r="D889" s="77" t="s">
        <v>166</v>
      </c>
      <c r="E889" s="73" t="str">
        <f>VLOOKUP(D889,clientes!$C$3:$D$60,2,FALSE)</f>
        <v>CARGILL</v>
      </c>
      <c r="F889" s="77" t="s">
        <v>123</v>
      </c>
      <c r="G889" s="73" t="str">
        <f>VLOOKUP(F889,'[2]Lista de Produtos CLASSIFICAÇÃO'!$E$103:$F$114,2,FALSE)</f>
        <v>Aquecidos</v>
      </c>
      <c r="H889" s="78">
        <v>6000</v>
      </c>
    </row>
    <row r="890" spans="1:8" x14ac:dyDescent="0.25">
      <c r="A890" s="71">
        <v>2023</v>
      </c>
      <c r="B890" s="72" t="s">
        <v>226</v>
      </c>
      <c r="C890" s="73" t="s">
        <v>232</v>
      </c>
      <c r="D890" s="73" t="s">
        <v>166</v>
      </c>
      <c r="E890" s="73" t="str">
        <f>VLOOKUP(D890,clientes!$C$3:$D$60,2,FALSE)</f>
        <v>CARGILL</v>
      </c>
      <c r="F890" s="73" t="s">
        <v>122</v>
      </c>
      <c r="G890" s="73" t="str">
        <f>VLOOKUP(F890,'[2]Lista de Produtos CLASSIFICAÇÃO'!$E$103:$F$114,2,FALSE)</f>
        <v>Óleo Vegetal</v>
      </c>
      <c r="H890" s="74">
        <v>6522</v>
      </c>
    </row>
    <row r="891" spans="1:8" x14ac:dyDescent="0.25">
      <c r="A891" s="75">
        <v>2023</v>
      </c>
      <c r="B891" s="76" t="s">
        <v>227</v>
      </c>
      <c r="C891" s="77" t="s">
        <v>232</v>
      </c>
      <c r="D891" s="77" t="s">
        <v>166</v>
      </c>
      <c r="E891" s="73" t="str">
        <f>VLOOKUP(D891,clientes!$C$3:$D$60,2,FALSE)</f>
        <v>CARGILL</v>
      </c>
      <c r="F891" s="77" t="s">
        <v>122</v>
      </c>
      <c r="G891" s="73" t="str">
        <f>VLOOKUP(F891,'[2]Lista de Produtos CLASSIFICAÇÃO'!$E$103:$F$114,2,FALSE)</f>
        <v>Óleo Vegetal</v>
      </c>
      <c r="H891" s="78">
        <v>6522</v>
      </c>
    </row>
    <row r="892" spans="1:8" x14ac:dyDescent="0.25">
      <c r="A892" s="71">
        <v>2023</v>
      </c>
      <c r="B892" s="72" t="s">
        <v>228</v>
      </c>
      <c r="C892" s="73" t="s">
        <v>232</v>
      </c>
      <c r="D892" s="73" t="s">
        <v>166</v>
      </c>
      <c r="E892" s="73" t="str">
        <f>VLOOKUP(D892,clientes!$C$3:$D$60,2,FALSE)</f>
        <v>CARGILL</v>
      </c>
      <c r="F892" s="73" t="s">
        <v>122</v>
      </c>
      <c r="G892" s="73" t="str">
        <f>VLOOKUP(F892,'[2]Lista de Produtos CLASSIFICAÇÃO'!$E$103:$F$114,2,FALSE)</f>
        <v>Óleo Vegetal</v>
      </c>
      <c r="H892" s="74">
        <v>6522</v>
      </c>
    </row>
    <row r="893" spans="1:8" x14ac:dyDescent="0.25">
      <c r="A893" s="75">
        <v>2023</v>
      </c>
      <c r="B893" s="76" t="s">
        <v>229</v>
      </c>
      <c r="C893" s="77" t="s">
        <v>232</v>
      </c>
      <c r="D893" s="77" t="s">
        <v>166</v>
      </c>
      <c r="E893" s="73" t="str">
        <f>VLOOKUP(D893,clientes!$C$3:$D$60,2,FALSE)</f>
        <v>CARGILL</v>
      </c>
      <c r="F893" s="77" t="s">
        <v>122</v>
      </c>
      <c r="G893" s="73" t="str">
        <f>VLOOKUP(F893,'[2]Lista de Produtos CLASSIFICAÇÃO'!$E$103:$F$114,2,FALSE)</f>
        <v>Óleo Vegetal</v>
      </c>
      <c r="H893" s="78">
        <v>6522</v>
      </c>
    </row>
    <row r="894" spans="1:8" x14ac:dyDescent="0.25">
      <c r="A894" s="71">
        <v>2023</v>
      </c>
      <c r="B894" s="72" t="s">
        <v>210</v>
      </c>
      <c r="C894" s="73" t="s">
        <v>232</v>
      </c>
      <c r="D894" s="73" t="s">
        <v>166</v>
      </c>
      <c r="E894" s="73" t="str">
        <f>VLOOKUP(D894,clientes!$C$3:$D$60,2,FALSE)</f>
        <v>CARGILL</v>
      </c>
      <c r="F894" s="73" t="s">
        <v>122</v>
      </c>
      <c r="G894" s="73" t="str">
        <f>VLOOKUP(F894,'[2]Lista de Produtos CLASSIFICAÇÃO'!$E$103:$F$114,2,FALSE)</f>
        <v>Óleo Vegetal</v>
      </c>
      <c r="H894" s="74">
        <v>6522</v>
      </c>
    </row>
    <row r="895" spans="1:8" x14ac:dyDescent="0.25">
      <c r="A895" s="75">
        <v>2023</v>
      </c>
      <c r="B895" s="76" t="s">
        <v>211</v>
      </c>
      <c r="C895" s="77" t="s">
        <v>232</v>
      </c>
      <c r="D895" s="77" t="s">
        <v>166</v>
      </c>
      <c r="E895" s="73" t="str">
        <f>VLOOKUP(D895,clientes!$C$3:$D$60,2,FALSE)</f>
        <v>CARGILL</v>
      </c>
      <c r="F895" s="77" t="s">
        <v>122</v>
      </c>
      <c r="G895" s="73" t="str">
        <f>VLOOKUP(F895,'[2]Lista de Produtos CLASSIFICAÇÃO'!$E$103:$F$114,2,FALSE)</f>
        <v>Óleo Vegetal</v>
      </c>
      <c r="H895" s="78">
        <v>6522</v>
      </c>
    </row>
    <row r="896" spans="1:8" x14ac:dyDescent="0.25">
      <c r="A896" s="71">
        <v>2023</v>
      </c>
      <c r="B896" s="72" t="s">
        <v>212</v>
      </c>
      <c r="C896" s="73" t="s">
        <v>232</v>
      </c>
      <c r="D896" s="73" t="s">
        <v>166</v>
      </c>
      <c r="E896" s="73" t="str">
        <f>VLOOKUP(D896,clientes!$C$3:$D$60,2,FALSE)</f>
        <v>CARGILL</v>
      </c>
      <c r="F896" s="73" t="s">
        <v>122</v>
      </c>
      <c r="G896" s="73" t="str">
        <f>VLOOKUP(F896,'[2]Lista de Produtos CLASSIFICAÇÃO'!$E$103:$F$114,2,FALSE)</f>
        <v>Óleo Vegetal</v>
      </c>
      <c r="H896" s="74">
        <v>6522</v>
      </c>
    </row>
    <row r="897" spans="1:8" x14ac:dyDescent="0.25">
      <c r="A897" s="75">
        <v>2023</v>
      </c>
      <c r="B897" s="76" t="s">
        <v>213</v>
      </c>
      <c r="C897" s="77" t="s">
        <v>232</v>
      </c>
      <c r="D897" s="77" t="s">
        <v>166</v>
      </c>
      <c r="E897" s="73" t="str">
        <f>VLOOKUP(D897,clientes!$C$3:$D$60,2,FALSE)</f>
        <v>CARGILL</v>
      </c>
      <c r="F897" s="77" t="s">
        <v>122</v>
      </c>
      <c r="G897" s="73" t="str">
        <f>VLOOKUP(F897,'[2]Lista de Produtos CLASSIFICAÇÃO'!$E$103:$F$114,2,FALSE)</f>
        <v>Óleo Vegetal</v>
      </c>
      <c r="H897" s="78">
        <v>6522</v>
      </c>
    </row>
    <row r="898" spans="1:8" x14ac:dyDescent="0.25">
      <c r="A898" s="71">
        <v>2023</v>
      </c>
      <c r="B898" s="72" t="s">
        <v>214</v>
      </c>
      <c r="C898" s="73" t="s">
        <v>232</v>
      </c>
      <c r="D898" s="73" t="s">
        <v>166</v>
      </c>
      <c r="E898" s="73" t="str">
        <f>VLOOKUP(D898,clientes!$C$3:$D$60,2,FALSE)</f>
        <v>CARGILL</v>
      </c>
      <c r="F898" s="73" t="s">
        <v>122</v>
      </c>
      <c r="G898" s="73" t="str">
        <f>VLOOKUP(F898,'[2]Lista de Produtos CLASSIFICAÇÃO'!$E$103:$F$114,2,FALSE)</f>
        <v>Óleo Vegetal</v>
      </c>
      <c r="H898" s="74">
        <v>6522</v>
      </c>
    </row>
    <row r="899" spans="1:8" x14ac:dyDescent="0.25">
      <c r="A899" s="75">
        <v>2023</v>
      </c>
      <c r="B899" s="76" t="s">
        <v>215</v>
      </c>
      <c r="C899" s="77" t="s">
        <v>232</v>
      </c>
      <c r="D899" s="77" t="s">
        <v>166</v>
      </c>
      <c r="E899" s="73" t="str">
        <f>VLOOKUP(D899,clientes!$C$3:$D$60,2,FALSE)</f>
        <v>CARGILL</v>
      </c>
      <c r="F899" s="77" t="s">
        <v>122</v>
      </c>
      <c r="G899" s="73" t="str">
        <f>VLOOKUP(F899,'[2]Lista de Produtos CLASSIFICAÇÃO'!$E$103:$F$114,2,FALSE)</f>
        <v>Óleo Vegetal</v>
      </c>
      <c r="H899" s="78">
        <v>6522</v>
      </c>
    </row>
    <row r="900" spans="1:8" x14ac:dyDescent="0.25">
      <c r="A900" s="71">
        <v>2023</v>
      </c>
      <c r="B900" s="72" t="s">
        <v>230</v>
      </c>
      <c r="C900" s="73" t="s">
        <v>232</v>
      </c>
      <c r="D900" s="73" t="s">
        <v>166</v>
      </c>
      <c r="E900" s="73" t="str">
        <f>VLOOKUP(D900,clientes!$C$3:$D$60,2,FALSE)</f>
        <v>CARGILL</v>
      </c>
      <c r="F900" s="73" t="s">
        <v>122</v>
      </c>
      <c r="G900" s="73" t="str">
        <f>VLOOKUP(F900,'[2]Lista de Produtos CLASSIFICAÇÃO'!$E$103:$F$114,2,FALSE)</f>
        <v>Óleo Vegetal</v>
      </c>
      <c r="H900" s="74">
        <v>6522</v>
      </c>
    </row>
    <row r="901" spans="1:8" x14ac:dyDescent="0.25">
      <c r="A901" s="75">
        <v>2023</v>
      </c>
      <c r="B901" s="76" t="s">
        <v>231</v>
      </c>
      <c r="C901" s="77" t="s">
        <v>232</v>
      </c>
      <c r="D901" s="77" t="s">
        <v>166</v>
      </c>
      <c r="E901" s="73" t="str">
        <f>VLOOKUP(D901,clientes!$C$3:$D$60,2,FALSE)</f>
        <v>CARGILL</v>
      </c>
      <c r="F901" s="77" t="s">
        <v>122</v>
      </c>
      <c r="G901" s="73" t="str">
        <f>VLOOKUP(F901,'[2]Lista de Produtos CLASSIFICAÇÃO'!$E$103:$F$114,2,FALSE)</f>
        <v>Óleo Vegetal</v>
      </c>
      <c r="H901" s="78">
        <v>6522</v>
      </c>
    </row>
    <row r="902" spans="1:8" x14ac:dyDescent="0.25">
      <c r="A902" s="71">
        <v>2023</v>
      </c>
      <c r="B902" s="72" t="s">
        <v>226</v>
      </c>
      <c r="C902" s="73" t="s">
        <v>232</v>
      </c>
      <c r="D902" s="73" t="s">
        <v>174</v>
      </c>
      <c r="E902" s="73" t="str">
        <f>VLOOKUP(D902,clientes!$C$3:$D$60,2,FALSE)</f>
        <v>CELENA</v>
      </c>
      <c r="F902" s="73" t="s">
        <v>123</v>
      </c>
      <c r="G902" s="73" t="str">
        <f>VLOOKUP(F902,'[2]Lista de Produtos CLASSIFICAÇÃO'!$E$103:$F$114,2,FALSE)</f>
        <v>Aquecidos</v>
      </c>
      <c r="H902" s="74">
        <v>12000</v>
      </c>
    </row>
    <row r="903" spans="1:8" x14ac:dyDescent="0.25">
      <c r="A903" s="75">
        <v>2023</v>
      </c>
      <c r="B903" s="76" t="s">
        <v>227</v>
      </c>
      <c r="C903" s="77" t="s">
        <v>232</v>
      </c>
      <c r="D903" s="77" t="s">
        <v>174</v>
      </c>
      <c r="E903" s="73" t="str">
        <f>VLOOKUP(D903,clientes!$C$3:$D$60,2,FALSE)</f>
        <v>CELENA</v>
      </c>
      <c r="F903" s="77" t="s">
        <v>123</v>
      </c>
      <c r="G903" s="73" t="str">
        <f>VLOOKUP(F903,'[2]Lista de Produtos CLASSIFICAÇÃO'!$E$103:$F$114,2,FALSE)</f>
        <v>Aquecidos</v>
      </c>
      <c r="H903" s="78">
        <v>12000</v>
      </c>
    </row>
    <row r="904" spans="1:8" x14ac:dyDescent="0.25">
      <c r="A904" s="71">
        <v>2023</v>
      </c>
      <c r="B904" s="72" t="s">
        <v>228</v>
      </c>
      <c r="C904" s="73" t="s">
        <v>232</v>
      </c>
      <c r="D904" s="73" t="s">
        <v>174</v>
      </c>
      <c r="E904" s="73" t="str">
        <f>VLOOKUP(D904,clientes!$C$3:$D$60,2,FALSE)</f>
        <v>CELENA</v>
      </c>
      <c r="F904" s="73" t="s">
        <v>123</v>
      </c>
      <c r="G904" s="73" t="str">
        <f>VLOOKUP(F904,'[2]Lista de Produtos CLASSIFICAÇÃO'!$E$103:$F$114,2,FALSE)</f>
        <v>Aquecidos</v>
      </c>
      <c r="H904" s="74">
        <v>12000</v>
      </c>
    </row>
    <row r="905" spans="1:8" x14ac:dyDescent="0.25">
      <c r="A905" s="75">
        <v>2023</v>
      </c>
      <c r="B905" s="76" t="s">
        <v>229</v>
      </c>
      <c r="C905" s="77" t="s">
        <v>232</v>
      </c>
      <c r="D905" s="77" t="s">
        <v>174</v>
      </c>
      <c r="E905" s="73" t="str">
        <f>VLOOKUP(D905,clientes!$C$3:$D$60,2,FALSE)</f>
        <v>CELENA</v>
      </c>
      <c r="F905" s="77" t="s">
        <v>123</v>
      </c>
      <c r="G905" s="73" t="str">
        <f>VLOOKUP(F905,'[2]Lista de Produtos CLASSIFICAÇÃO'!$E$103:$F$114,2,FALSE)</f>
        <v>Aquecidos</v>
      </c>
      <c r="H905" s="78">
        <v>12000</v>
      </c>
    </row>
    <row r="906" spans="1:8" x14ac:dyDescent="0.25">
      <c r="A906" s="71">
        <v>2023</v>
      </c>
      <c r="B906" s="72" t="s">
        <v>210</v>
      </c>
      <c r="C906" s="73" t="s">
        <v>232</v>
      </c>
      <c r="D906" s="73" t="s">
        <v>174</v>
      </c>
      <c r="E906" s="73" t="str">
        <f>VLOOKUP(D906,clientes!$C$3:$D$60,2,FALSE)</f>
        <v>CELENA</v>
      </c>
      <c r="F906" s="73" t="s">
        <v>123</v>
      </c>
      <c r="G906" s="73" t="str">
        <f>VLOOKUP(F906,'[2]Lista de Produtos CLASSIFICAÇÃO'!$E$103:$F$114,2,FALSE)</f>
        <v>Aquecidos</v>
      </c>
      <c r="H906" s="74">
        <v>12000</v>
      </c>
    </row>
    <row r="907" spans="1:8" x14ac:dyDescent="0.25">
      <c r="A907" s="75">
        <v>2023</v>
      </c>
      <c r="B907" s="76" t="s">
        <v>211</v>
      </c>
      <c r="C907" s="77" t="s">
        <v>232</v>
      </c>
      <c r="D907" s="77" t="s">
        <v>174</v>
      </c>
      <c r="E907" s="73" t="str">
        <f>VLOOKUP(D907,clientes!$C$3:$D$60,2,FALSE)</f>
        <v>CELENA</v>
      </c>
      <c r="F907" s="77" t="s">
        <v>123</v>
      </c>
      <c r="G907" s="73" t="str">
        <f>VLOOKUP(F907,'[2]Lista de Produtos CLASSIFICAÇÃO'!$E$103:$F$114,2,FALSE)</f>
        <v>Aquecidos</v>
      </c>
      <c r="H907" s="78">
        <v>12000</v>
      </c>
    </row>
    <row r="908" spans="1:8" x14ac:dyDescent="0.25">
      <c r="A908" s="71">
        <v>2023</v>
      </c>
      <c r="B908" s="72" t="s">
        <v>212</v>
      </c>
      <c r="C908" s="73" t="s">
        <v>232</v>
      </c>
      <c r="D908" s="73" t="s">
        <v>174</v>
      </c>
      <c r="E908" s="73" t="str">
        <f>VLOOKUP(D908,clientes!$C$3:$D$60,2,FALSE)</f>
        <v>CELENA</v>
      </c>
      <c r="F908" s="73" t="s">
        <v>123</v>
      </c>
      <c r="G908" s="73" t="str">
        <f>VLOOKUP(F908,'[2]Lista de Produtos CLASSIFICAÇÃO'!$E$103:$F$114,2,FALSE)</f>
        <v>Aquecidos</v>
      </c>
      <c r="H908" s="74">
        <v>12000</v>
      </c>
    </row>
    <row r="909" spans="1:8" x14ac:dyDescent="0.25">
      <c r="A909" s="75">
        <v>2023</v>
      </c>
      <c r="B909" s="76" t="s">
        <v>213</v>
      </c>
      <c r="C909" s="77" t="s">
        <v>232</v>
      </c>
      <c r="D909" s="77" t="s">
        <v>174</v>
      </c>
      <c r="E909" s="73" t="str">
        <f>VLOOKUP(D909,clientes!$C$3:$D$60,2,FALSE)</f>
        <v>CELENA</v>
      </c>
      <c r="F909" s="77" t="s">
        <v>123</v>
      </c>
      <c r="G909" s="73" t="str">
        <f>VLOOKUP(F909,'[2]Lista de Produtos CLASSIFICAÇÃO'!$E$103:$F$114,2,FALSE)</f>
        <v>Aquecidos</v>
      </c>
      <c r="H909" s="78">
        <v>12000</v>
      </c>
    </row>
    <row r="910" spans="1:8" x14ac:dyDescent="0.25">
      <c r="A910" s="71">
        <v>2023</v>
      </c>
      <c r="B910" s="72" t="s">
        <v>214</v>
      </c>
      <c r="C910" s="73" t="s">
        <v>232</v>
      </c>
      <c r="D910" s="73" t="s">
        <v>174</v>
      </c>
      <c r="E910" s="73" t="str">
        <f>VLOOKUP(D910,clientes!$C$3:$D$60,2,FALSE)</f>
        <v>CELENA</v>
      </c>
      <c r="F910" s="73" t="s">
        <v>123</v>
      </c>
      <c r="G910" s="73" t="str">
        <f>VLOOKUP(F910,'[2]Lista de Produtos CLASSIFICAÇÃO'!$E$103:$F$114,2,FALSE)</f>
        <v>Aquecidos</v>
      </c>
      <c r="H910" s="74">
        <v>12000</v>
      </c>
    </row>
    <row r="911" spans="1:8" x14ac:dyDescent="0.25">
      <c r="A911" s="75">
        <v>2023</v>
      </c>
      <c r="B911" s="76" t="s">
        <v>215</v>
      </c>
      <c r="C911" s="77" t="s">
        <v>232</v>
      </c>
      <c r="D911" s="77" t="s">
        <v>174</v>
      </c>
      <c r="E911" s="73" t="str">
        <f>VLOOKUP(D911,clientes!$C$3:$D$60,2,FALSE)</f>
        <v>CELENA</v>
      </c>
      <c r="F911" s="77" t="s">
        <v>123</v>
      </c>
      <c r="G911" s="73" t="str">
        <f>VLOOKUP(F911,'[2]Lista de Produtos CLASSIFICAÇÃO'!$E$103:$F$114,2,FALSE)</f>
        <v>Aquecidos</v>
      </c>
      <c r="H911" s="78">
        <v>12000</v>
      </c>
    </row>
    <row r="912" spans="1:8" x14ac:dyDescent="0.25">
      <c r="A912" s="71">
        <v>2023</v>
      </c>
      <c r="B912" s="72" t="s">
        <v>230</v>
      </c>
      <c r="C912" s="73" t="s">
        <v>232</v>
      </c>
      <c r="D912" s="73" t="s">
        <v>174</v>
      </c>
      <c r="E912" s="73" t="str">
        <f>VLOOKUP(D912,clientes!$C$3:$D$60,2,FALSE)</f>
        <v>CELENA</v>
      </c>
      <c r="F912" s="73" t="s">
        <v>123</v>
      </c>
      <c r="G912" s="73" t="str">
        <f>VLOOKUP(F912,'[2]Lista de Produtos CLASSIFICAÇÃO'!$E$103:$F$114,2,FALSE)</f>
        <v>Aquecidos</v>
      </c>
      <c r="H912" s="74">
        <v>12000</v>
      </c>
    </row>
    <row r="913" spans="1:8" x14ac:dyDescent="0.25">
      <c r="A913" s="75">
        <v>2023</v>
      </c>
      <c r="B913" s="76" t="s">
        <v>231</v>
      </c>
      <c r="C913" s="77" t="s">
        <v>232</v>
      </c>
      <c r="D913" s="77" t="s">
        <v>174</v>
      </c>
      <c r="E913" s="73" t="str">
        <f>VLOOKUP(D913,clientes!$C$3:$D$60,2,FALSE)</f>
        <v>CELENA</v>
      </c>
      <c r="F913" s="77" t="s">
        <v>123</v>
      </c>
      <c r="G913" s="73" t="str">
        <f>VLOOKUP(F913,'[2]Lista de Produtos CLASSIFICAÇÃO'!$E$103:$F$114,2,FALSE)</f>
        <v>Aquecidos</v>
      </c>
      <c r="H913" s="78">
        <v>12000</v>
      </c>
    </row>
    <row r="914" spans="1:8" x14ac:dyDescent="0.25">
      <c r="A914" s="71">
        <v>2023</v>
      </c>
      <c r="B914" s="72" t="s">
        <v>226</v>
      </c>
      <c r="C914" s="73" t="s">
        <v>232</v>
      </c>
      <c r="D914" s="73" t="s">
        <v>181</v>
      </c>
      <c r="E914" s="73" t="str">
        <f>VLOOKUP(D914,clientes!$C$3:$D$60,2,FALSE)</f>
        <v>COAMO</v>
      </c>
      <c r="F914" s="73" t="s">
        <v>123</v>
      </c>
      <c r="G914" s="73" t="str">
        <f>VLOOKUP(F914,'[2]Lista de Produtos CLASSIFICAÇÃO'!$E$103:$F$114,2,FALSE)</f>
        <v>Aquecidos</v>
      </c>
      <c r="H914" s="74">
        <v>3800</v>
      </c>
    </row>
    <row r="915" spans="1:8" x14ac:dyDescent="0.25">
      <c r="A915" s="75">
        <v>2023</v>
      </c>
      <c r="B915" s="76" t="s">
        <v>227</v>
      </c>
      <c r="C915" s="77" t="s">
        <v>232</v>
      </c>
      <c r="D915" s="77" t="s">
        <v>181</v>
      </c>
      <c r="E915" s="73" t="str">
        <f>VLOOKUP(D915,clientes!$C$3:$D$60,2,FALSE)</f>
        <v>COAMO</v>
      </c>
      <c r="F915" s="77" t="s">
        <v>123</v>
      </c>
      <c r="G915" s="73" t="str">
        <f>VLOOKUP(F915,'[2]Lista de Produtos CLASSIFICAÇÃO'!$E$103:$F$114,2,FALSE)</f>
        <v>Aquecidos</v>
      </c>
      <c r="H915" s="78">
        <v>3800</v>
      </c>
    </row>
    <row r="916" spans="1:8" x14ac:dyDescent="0.25">
      <c r="A916" s="71">
        <v>2023</v>
      </c>
      <c r="B916" s="72" t="s">
        <v>228</v>
      </c>
      <c r="C916" s="73" t="s">
        <v>232</v>
      </c>
      <c r="D916" s="73" t="s">
        <v>181</v>
      </c>
      <c r="E916" s="73" t="str">
        <f>VLOOKUP(D916,clientes!$C$3:$D$60,2,FALSE)</f>
        <v>COAMO</v>
      </c>
      <c r="F916" s="73" t="s">
        <v>123</v>
      </c>
      <c r="G916" s="73" t="str">
        <f>VLOOKUP(F916,'[2]Lista de Produtos CLASSIFICAÇÃO'!$E$103:$F$114,2,FALSE)</f>
        <v>Aquecidos</v>
      </c>
      <c r="H916" s="74">
        <v>3800</v>
      </c>
    </row>
    <row r="917" spans="1:8" x14ac:dyDescent="0.25">
      <c r="A917" s="75">
        <v>2023</v>
      </c>
      <c r="B917" s="76" t="s">
        <v>229</v>
      </c>
      <c r="C917" s="77" t="s">
        <v>232</v>
      </c>
      <c r="D917" s="77" t="s">
        <v>181</v>
      </c>
      <c r="E917" s="73" t="str">
        <f>VLOOKUP(D917,clientes!$C$3:$D$60,2,FALSE)</f>
        <v>COAMO</v>
      </c>
      <c r="F917" s="77" t="s">
        <v>123</v>
      </c>
      <c r="G917" s="73" t="str">
        <f>VLOOKUP(F917,'[2]Lista de Produtos CLASSIFICAÇÃO'!$E$103:$F$114,2,FALSE)</f>
        <v>Aquecidos</v>
      </c>
      <c r="H917" s="78">
        <v>3800</v>
      </c>
    </row>
    <row r="918" spans="1:8" x14ac:dyDescent="0.25">
      <c r="A918" s="71">
        <v>2023</v>
      </c>
      <c r="B918" s="72" t="s">
        <v>210</v>
      </c>
      <c r="C918" s="73" t="s">
        <v>232</v>
      </c>
      <c r="D918" s="73" t="s">
        <v>181</v>
      </c>
      <c r="E918" s="73" t="str">
        <f>VLOOKUP(D918,clientes!$C$3:$D$60,2,FALSE)</f>
        <v>COAMO</v>
      </c>
      <c r="F918" s="73" t="s">
        <v>123</v>
      </c>
      <c r="G918" s="73" t="str">
        <f>VLOOKUP(F918,'[2]Lista de Produtos CLASSIFICAÇÃO'!$E$103:$F$114,2,FALSE)</f>
        <v>Aquecidos</v>
      </c>
      <c r="H918" s="74">
        <v>3800</v>
      </c>
    </row>
    <row r="919" spans="1:8" x14ac:dyDescent="0.25">
      <c r="A919" s="75">
        <v>2023</v>
      </c>
      <c r="B919" s="76" t="s">
        <v>211</v>
      </c>
      <c r="C919" s="77" t="s">
        <v>232</v>
      </c>
      <c r="D919" s="77" t="s">
        <v>181</v>
      </c>
      <c r="E919" s="73" t="str">
        <f>VLOOKUP(D919,clientes!$C$3:$D$60,2,FALSE)</f>
        <v>COAMO</v>
      </c>
      <c r="F919" s="77" t="s">
        <v>123</v>
      </c>
      <c r="G919" s="73" t="str">
        <f>VLOOKUP(F919,'[2]Lista de Produtos CLASSIFICAÇÃO'!$E$103:$F$114,2,FALSE)</f>
        <v>Aquecidos</v>
      </c>
      <c r="H919" s="78">
        <v>3800</v>
      </c>
    </row>
    <row r="920" spans="1:8" x14ac:dyDescent="0.25">
      <c r="A920" s="71">
        <v>2023</v>
      </c>
      <c r="B920" s="72" t="s">
        <v>212</v>
      </c>
      <c r="C920" s="73" t="s">
        <v>232</v>
      </c>
      <c r="D920" s="73" t="s">
        <v>181</v>
      </c>
      <c r="E920" s="73" t="str">
        <f>VLOOKUP(D920,clientes!$C$3:$D$60,2,FALSE)</f>
        <v>COAMO</v>
      </c>
      <c r="F920" s="73" t="s">
        <v>123</v>
      </c>
      <c r="G920" s="73" t="str">
        <f>VLOOKUP(F920,'[2]Lista de Produtos CLASSIFICAÇÃO'!$E$103:$F$114,2,FALSE)</f>
        <v>Aquecidos</v>
      </c>
      <c r="H920" s="74">
        <v>3800</v>
      </c>
    </row>
    <row r="921" spans="1:8" x14ac:dyDescent="0.25">
      <c r="A921" s="75">
        <v>2023</v>
      </c>
      <c r="B921" s="76" t="s">
        <v>213</v>
      </c>
      <c r="C921" s="77" t="s">
        <v>232</v>
      </c>
      <c r="D921" s="77" t="s">
        <v>181</v>
      </c>
      <c r="E921" s="73" t="str">
        <f>VLOOKUP(D921,clientes!$C$3:$D$60,2,FALSE)</f>
        <v>COAMO</v>
      </c>
      <c r="F921" s="77" t="s">
        <v>123</v>
      </c>
      <c r="G921" s="73" t="str">
        <f>VLOOKUP(F921,'[2]Lista de Produtos CLASSIFICAÇÃO'!$E$103:$F$114,2,FALSE)</f>
        <v>Aquecidos</v>
      </c>
      <c r="H921" s="78">
        <v>3800</v>
      </c>
    </row>
    <row r="922" spans="1:8" x14ac:dyDescent="0.25">
      <c r="A922" s="71">
        <v>2023</v>
      </c>
      <c r="B922" s="72" t="s">
        <v>214</v>
      </c>
      <c r="C922" s="73" t="s">
        <v>232</v>
      </c>
      <c r="D922" s="73" t="s">
        <v>181</v>
      </c>
      <c r="E922" s="73" t="str">
        <f>VLOOKUP(D922,clientes!$C$3:$D$60,2,FALSE)</f>
        <v>COAMO</v>
      </c>
      <c r="F922" s="73" t="s">
        <v>123</v>
      </c>
      <c r="G922" s="73" t="str">
        <f>VLOOKUP(F922,'[2]Lista de Produtos CLASSIFICAÇÃO'!$E$103:$F$114,2,FALSE)</f>
        <v>Aquecidos</v>
      </c>
      <c r="H922" s="74">
        <v>3800</v>
      </c>
    </row>
    <row r="923" spans="1:8" x14ac:dyDescent="0.25">
      <c r="A923" s="75">
        <v>2023</v>
      </c>
      <c r="B923" s="76" t="s">
        <v>215</v>
      </c>
      <c r="C923" s="77" t="s">
        <v>232</v>
      </c>
      <c r="D923" s="77" t="s">
        <v>181</v>
      </c>
      <c r="E923" s="73" t="str">
        <f>VLOOKUP(D923,clientes!$C$3:$D$60,2,FALSE)</f>
        <v>COAMO</v>
      </c>
      <c r="F923" s="77" t="s">
        <v>123</v>
      </c>
      <c r="G923" s="73" t="str">
        <f>VLOOKUP(F923,'[2]Lista de Produtos CLASSIFICAÇÃO'!$E$103:$F$114,2,FALSE)</f>
        <v>Aquecidos</v>
      </c>
      <c r="H923" s="78">
        <v>3800</v>
      </c>
    </row>
    <row r="924" spans="1:8" x14ac:dyDescent="0.25">
      <c r="A924" s="71">
        <v>2023</v>
      </c>
      <c r="B924" s="72" t="s">
        <v>230</v>
      </c>
      <c r="C924" s="73" t="s">
        <v>232</v>
      </c>
      <c r="D924" s="73" t="s">
        <v>181</v>
      </c>
      <c r="E924" s="73" t="str">
        <f>VLOOKUP(D924,clientes!$C$3:$D$60,2,FALSE)</f>
        <v>COAMO</v>
      </c>
      <c r="F924" s="73" t="s">
        <v>123</v>
      </c>
      <c r="G924" s="73" t="str">
        <f>VLOOKUP(F924,'[2]Lista de Produtos CLASSIFICAÇÃO'!$E$103:$F$114,2,FALSE)</f>
        <v>Aquecidos</v>
      </c>
      <c r="H924" s="74">
        <v>3800</v>
      </c>
    </row>
    <row r="925" spans="1:8" x14ac:dyDescent="0.25">
      <c r="A925" s="75">
        <v>2023</v>
      </c>
      <c r="B925" s="76" t="s">
        <v>231</v>
      </c>
      <c r="C925" s="77" t="s">
        <v>232</v>
      </c>
      <c r="D925" s="77" t="s">
        <v>181</v>
      </c>
      <c r="E925" s="73" t="str">
        <f>VLOOKUP(D925,clientes!$C$3:$D$60,2,FALSE)</f>
        <v>COAMO</v>
      </c>
      <c r="F925" s="77" t="s">
        <v>123</v>
      </c>
      <c r="G925" s="73" t="str">
        <f>VLOOKUP(F925,'[2]Lista de Produtos CLASSIFICAÇÃO'!$E$103:$F$114,2,FALSE)</f>
        <v>Aquecidos</v>
      </c>
      <c r="H925" s="78">
        <v>3800</v>
      </c>
    </row>
    <row r="926" spans="1:8" x14ac:dyDescent="0.25">
      <c r="A926" s="71">
        <v>2023</v>
      </c>
      <c r="B926" s="72" t="s">
        <v>226</v>
      </c>
      <c r="C926" s="73" t="s">
        <v>225</v>
      </c>
      <c r="D926" s="73" t="s">
        <v>197</v>
      </c>
      <c r="E926" s="73" t="str">
        <f>VLOOKUP(D926,clientes!$C$3:$D$60,2,FALSE)</f>
        <v>DRT</v>
      </c>
      <c r="F926" s="73" t="s">
        <v>85</v>
      </c>
      <c r="G926" s="73" t="e">
        <f>VLOOKUP(F926,'[2]Lista de Produtos CLASSIFICAÇÃO'!$E$103:$F$114,2,FALSE)</f>
        <v>#N/A</v>
      </c>
      <c r="H926" s="74">
        <v>1700</v>
      </c>
    </row>
    <row r="927" spans="1:8" x14ac:dyDescent="0.25">
      <c r="A927" s="75">
        <v>2023</v>
      </c>
      <c r="B927" s="76" t="s">
        <v>227</v>
      </c>
      <c r="C927" s="77" t="s">
        <v>225</v>
      </c>
      <c r="D927" s="77" t="s">
        <v>197</v>
      </c>
      <c r="E927" s="73" t="str">
        <f>VLOOKUP(D927,clientes!$C$3:$D$60,2,FALSE)</f>
        <v>DRT</v>
      </c>
      <c r="F927" s="77" t="s">
        <v>85</v>
      </c>
      <c r="G927" s="73" t="e">
        <f>VLOOKUP(F927,'[2]Lista de Produtos CLASSIFICAÇÃO'!$E$103:$F$114,2,FALSE)</f>
        <v>#N/A</v>
      </c>
      <c r="H927" s="78">
        <v>1700</v>
      </c>
    </row>
    <row r="928" spans="1:8" x14ac:dyDescent="0.25">
      <c r="A928" s="71">
        <v>2023</v>
      </c>
      <c r="B928" s="72" t="s">
        <v>228</v>
      </c>
      <c r="C928" s="73" t="s">
        <v>225</v>
      </c>
      <c r="D928" s="73" t="s">
        <v>197</v>
      </c>
      <c r="E928" s="73" t="str">
        <f>VLOOKUP(D928,clientes!$C$3:$D$60,2,FALSE)</f>
        <v>DRT</v>
      </c>
      <c r="F928" s="73" t="s">
        <v>85</v>
      </c>
      <c r="G928" s="73" t="e">
        <f>VLOOKUP(F928,'[2]Lista de Produtos CLASSIFICAÇÃO'!$E$103:$F$114,2,FALSE)</f>
        <v>#N/A</v>
      </c>
      <c r="H928" s="74">
        <v>1700</v>
      </c>
    </row>
    <row r="929" spans="1:8" x14ac:dyDescent="0.25">
      <c r="A929" s="75">
        <v>2023</v>
      </c>
      <c r="B929" s="76" t="s">
        <v>229</v>
      </c>
      <c r="C929" s="77" t="s">
        <v>225</v>
      </c>
      <c r="D929" s="77" t="s">
        <v>197</v>
      </c>
      <c r="E929" s="73" t="str">
        <f>VLOOKUP(D929,clientes!$C$3:$D$60,2,FALSE)</f>
        <v>DRT</v>
      </c>
      <c r="F929" s="77" t="s">
        <v>85</v>
      </c>
      <c r="G929" s="73" t="e">
        <f>VLOOKUP(F929,'[2]Lista de Produtos CLASSIFICAÇÃO'!$E$103:$F$114,2,FALSE)</f>
        <v>#N/A</v>
      </c>
      <c r="H929" s="78">
        <v>1700</v>
      </c>
    </row>
    <row r="930" spans="1:8" x14ac:dyDescent="0.25">
      <c r="A930" s="71">
        <v>2023</v>
      </c>
      <c r="B930" s="72" t="s">
        <v>210</v>
      </c>
      <c r="C930" s="73" t="s">
        <v>225</v>
      </c>
      <c r="D930" s="73" t="s">
        <v>197</v>
      </c>
      <c r="E930" s="73" t="str">
        <f>VLOOKUP(D930,clientes!$C$3:$D$60,2,FALSE)</f>
        <v>DRT</v>
      </c>
      <c r="F930" s="73" t="s">
        <v>85</v>
      </c>
      <c r="G930" s="73" t="e">
        <f>VLOOKUP(F930,'[2]Lista de Produtos CLASSIFICAÇÃO'!$E$103:$F$114,2,FALSE)</f>
        <v>#N/A</v>
      </c>
      <c r="H930" s="74">
        <v>1700</v>
      </c>
    </row>
    <row r="931" spans="1:8" x14ac:dyDescent="0.25">
      <c r="A931" s="75">
        <v>2023</v>
      </c>
      <c r="B931" s="76" t="s">
        <v>211</v>
      </c>
      <c r="C931" s="77" t="s">
        <v>225</v>
      </c>
      <c r="D931" s="77" t="s">
        <v>197</v>
      </c>
      <c r="E931" s="73" t="str">
        <f>VLOOKUP(D931,clientes!$C$3:$D$60,2,FALSE)</f>
        <v>DRT</v>
      </c>
      <c r="F931" s="77" t="s">
        <v>85</v>
      </c>
      <c r="G931" s="73" t="e">
        <f>VLOOKUP(F931,'[2]Lista de Produtos CLASSIFICAÇÃO'!$E$103:$F$114,2,FALSE)</f>
        <v>#N/A</v>
      </c>
      <c r="H931" s="78">
        <v>1700</v>
      </c>
    </row>
    <row r="932" spans="1:8" x14ac:dyDescent="0.25">
      <c r="A932" s="71">
        <v>2023</v>
      </c>
      <c r="B932" s="72" t="s">
        <v>212</v>
      </c>
      <c r="C932" s="73" t="s">
        <v>225</v>
      </c>
      <c r="D932" s="73" t="s">
        <v>197</v>
      </c>
      <c r="E932" s="73" t="str">
        <f>VLOOKUP(D932,clientes!$C$3:$D$60,2,FALSE)</f>
        <v>DRT</v>
      </c>
      <c r="F932" s="73" t="s">
        <v>85</v>
      </c>
      <c r="G932" s="73" t="e">
        <f>VLOOKUP(F932,'[2]Lista de Produtos CLASSIFICAÇÃO'!$E$103:$F$114,2,FALSE)</f>
        <v>#N/A</v>
      </c>
      <c r="H932" s="74">
        <v>1700</v>
      </c>
    </row>
    <row r="933" spans="1:8" x14ac:dyDescent="0.25">
      <c r="A933" s="75">
        <v>2023</v>
      </c>
      <c r="B933" s="76" t="s">
        <v>213</v>
      </c>
      <c r="C933" s="77" t="s">
        <v>225</v>
      </c>
      <c r="D933" s="77" t="s">
        <v>197</v>
      </c>
      <c r="E933" s="73" t="str">
        <f>VLOOKUP(D933,clientes!$C$3:$D$60,2,FALSE)</f>
        <v>DRT</v>
      </c>
      <c r="F933" s="77" t="s">
        <v>85</v>
      </c>
      <c r="G933" s="73" t="e">
        <f>VLOOKUP(F933,'[2]Lista de Produtos CLASSIFICAÇÃO'!$E$103:$F$114,2,FALSE)</f>
        <v>#N/A</v>
      </c>
      <c r="H933" s="78">
        <v>1700</v>
      </c>
    </row>
    <row r="934" spans="1:8" x14ac:dyDescent="0.25">
      <c r="A934" s="71">
        <v>2023</v>
      </c>
      <c r="B934" s="72" t="s">
        <v>214</v>
      </c>
      <c r="C934" s="73" t="s">
        <v>225</v>
      </c>
      <c r="D934" s="73" t="s">
        <v>197</v>
      </c>
      <c r="E934" s="73" t="str">
        <f>VLOOKUP(D934,clientes!$C$3:$D$60,2,FALSE)</f>
        <v>DRT</v>
      </c>
      <c r="F934" s="73" t="s">
        <v>85</v>
      </c>
      <c r="G934" s="73" t="e">
        <f>VLOOKUP(F934,'[2]Lista de Produtos CLASSIFICAÇÃO'!$E$103:$F$114,2,FALSE)</f>
        <v>#N/A</v>
      </c>
      <c r="H934" s="74">
        <v>1700</v>
      </c>
    </row>
    <row r="935" spans="1:8" x14ac:dyDescent="0.25">
      <c r="A935" s="75">
        <v>2023</v>
      </c>
      <c r="B935" s="76" t="s">
        <v>215</v>
      </c>
      <c r="C935" s="77" t="s">
        <v>225</v>
      </c>
      <c r="D935" s="77" t="s">
        <v>197</v>
      </c>
      <c r="E935" s="73" t="str">
        <f>VLOOKUP(D935,clientes!$C$3:$D$60,2,FALSE)</f>
        <v>DRT</v>
      </c>
      <c r="F935" s="77" t="s">
        <v>85</v>
      </c>
      <c r="G935" s="73" t="e">
        <f>VLOOKUP(F935,'[2]Lista de Produtos CLASSIFICAÇÃO'!$E$103:$F$114,2,FALSE)</f>
        <v>#N/A</v>
      </c>
      <c r="H935" s="78">
        <v>1700</v>
      </c>
    </row>
    <row r="936" spans="1:8" x14ac:dyDescent="0.25">
      <c r="A936" s="71">
        <v>2023</v>
      </c>
      <c r="B936" s="72" t="s">
        <v>230</v>
      </c>
      <c r="C936" s="73" t="s">
        <v>225</v>
      </c>
      <c r="D936" s="73" t="s">
        <v>197</v>
      </c>
      <c r="E936" s="73" t="str">
        <f>VLOOKUP(D936,clientes!$C$3:$D$60,2,FALSE)</f>
        <v>DRT</v>
      </c>
      <c r="F936" s="73" t="s">
        <v>85</v>
      </c>
      <c r="G936" s="73" t="e">
        <f>VLOOKUP(F936,'[2]Lista de Produtos CLASSIFICAÇÃO'!$E$103:$F$114,2,FALSE)</f>
        <v>#N/A</v>
      </c>
      <c r="H936" s="74">
        <v>1700</v>
      </c>
    </row>
    <row r="937" spans="1:8" x14ac:dyDescent="0.25">
      <c r="A937" s="75">
        <v>2023</v>
      </c>
      <c r="B937" s="76" t="s">
        <v>231</v>
      </c>
      <c r="C937" s="77" t="s">
        <v>225</v>
      </c>
      <c r="D937" s="77" t="s">
        <v>197</v>
      </c>
      <c r="E937" s="73" t="str">
        <f>VLOOKUP(D937,clientes!$C$3:$D$60,2,FALSE)</f>
        <v>DRT</v>
      </c>
      <c r="F937" s="77" t="s">
        <v>85</v>
      </c>
      <c r="G937" s="73" t="e">
        <f>VLOOKUP(F937,'[2]Lista de Produtos CLASSIFICAÇÃO'!$E$103:$F$114,2,FALSE)</f>
        <v>#N/A</v>
      </c>
      <c r="H937" s="78">
        <v>1700</v>
      </c>
    </row>
    <row r="938" spans="1:8" x14ac:dyDescent="0.25">
      <c r="A938" s="71">
        <v>2023</v>
      </c>
      <c r="B938" s="72" t="s">
        <v>226</v>
      </c>
      <c r="C938" s="73" t="s">
        <v>225</v>
      </c>
      <c r="D938" s="73" t="s">
        <v>172</v>
      </c>
      <c r="E938" s="73" t="str">
        <f>VLOOKUP(D938,clientes!$C$3:$D$60,2,FALSE)</f>
        <v>EVONIK</v>
      </c>
      <c r="F938" s="73" t="s">
        <v>124</v>
      </c>
      <c r="G938" s="73" t="str">
        <f>VLOOKUP(F938,'[2]Lista de Produtos CLASSIFICAÇÃO'!$E$103:$F$114,2,FALSE)</f>
        <v>Outros</v>
      </c>
      <c r="H938" s="74">
        <v>3266</v>
      </c>
    </row>
    <row r="939" spans="1:8" x14ac:dyDescent="0.25">
      <c r="A939" s="75">
        <v>2023</v>
      </c>
      <c r="B939" s="76" t="s">
        <v>227</v>
      </c>
      <c r="C939" s="77" t="s">
        <v>225</v>
      </c>
      <c r="D939" s="77" t="s">
        <v>172</v>
      </c>
      <c r="E939" s="73" t="str">
        <f>VLOOKUP(D939,clientes!$C$3:$D$60,2,FALSE)</f>
        <v>EVONIK</v>
      </c>
      <c r="F939" s="77" t="s">
        <v>124</v>
      </c>
      <c r="G939" s="73" t="str">
        <f>VLOOKUP(F939,'[2]Lista de Produtos CLASSIFICAÇÃO'!$E$103:$F$114,2,FALSE)</f>
        <v>Outros</v>
      </c>
      <c r="H939" s="78">
        <v>3266</v>
      </c>
    </row>
    <row r="940" spans="1:8" x14ac:dyDescent="0.25">
      <c r="A940" s="71">
        <v>2023</v>
      </c>
      <c r="B940" s="72" t="s">
        <v>228</v>
      </c>
      <c r="C940" s="73" t="s">
        <v>225</v>
      </c>
      <c r="D940" s="73" t="s">
        <v>172</v>
      </c>
      <c r="E940" s="73" t="str">
        <f>VLOOKUP(D940,clientes!$C$3:$D$60,2,FALSE)</f>
        <v>EVONIK</v>
      </c>
      <c r="F940" s="73" t="s">
        <v>124</v>
      </c>
      <c r="G940" s="73" t="str">
        <f>VLOOKUP(F940,'[2]Lista de Produtos CLASSIFICAÇÃO'!$E$103:$F$114,2,FALSE)</f>
        <v>Outros</v>
      </c>
      <c r="H940" s="74">
        <v>3266</v>
      </c>
    </row>
    <row r="941" spans="1:8" x14ac:dyDescent="0.25">
      <c r="A941" s="75">
        <v>2023</v>
      </c>
      <c r="B941" s="76" t="s">
        <v>229</v>
      </c>
      <c r="C941" s="77" t="s">
        <v>225</v>
      </c>
      <c r="D941" s="77" t="s">
        <v>172</v>
      </c>
      <c r="E941" s="73" t="str">
        <f>VLOOKUP(D941,clientes!$C$3:$D$60,2,FALSE)</f>
        <v>EVONIK</v>
      </c>
      <c r="F941" s="77" t="s">
        <v>124</v>
      </c>
      <c r="G941" s="73" t="str">
        <f>VLOOKUP(F941,'[2]Lista de Produtos CLASSIFICAÇÃO'!$E$103:$F$114,2,FALSE)</f>
        <v>Outros</v>
      </c>
      <c r="H941" s="78">
        <v>3266</v>
      </c>
    </row>
    <row r="942" spans="1:8" x14ac:dyDescent="0.25">
      <c r="A942" s="71">
        <v>2023</v>
      </c>
      <c r="B942" s="72" t="s">
        <v>210</v>
      </c>
      <c r="C942" s="73" t="s">
        <v>225</v>
      </c>
      <c r="D942" s="73" t="s">
        <v>172</v>
      </c>
      <c r="E942" s="73" t="str">
        <f>VLOOKUP(D942,clientes!$C$3:$D$60,2,FALSE)</f>
        <v>EVONIK</v>
      </c>
      <c r="F942" s="73" t="s">
        <v>124</v>
      </c>
      <c r="G942" s="73" t="str">
        <f>VLOOKUP(F942,'[2]Lista de Produtos CLASSIFICAÇÃO'!$E$103:$F$114,2,FALSE)</f>
        <v>Outros</v>
      </c>
      <c r="H942" s="74">
        <v>3266</v>
      </c>
    </row>
    <row r="943" spans="1:8" x14ac:dyDescent="0.25">
      <c r="A943" s="75">
        <v>2023</v>
      </c>
      <c r="B943" s="76" t="s">
        <v>211</v>
      </c>
      <c r="C943" s="77" t="s">
        <v>225</v>
      </c>
      <c r="D943" s="77" t="s">
        <v>172</v>
      </c>
      <c r="E943" s="73" t="str">
        <f>VLOOKUP(D943,clientes!$C$3:$D$60,2,FALSE)</f>
        <v>EVONIK</v>
      </c>
      <c r="F943" s="77" t="s">
        <v>124</v>
      </c>
      <c r="G943" s="73" t="str">
        <f>VLOOKUP(F943,'[2]Lista de Produtos CLASSIFICAÇÃO'!$E$103:$F$114,2,FALSE)</f>
        <v>Outros</v>
      </c>
      <c r="H943" s="78">
        <v>3266</v>
      </c>
    </row>
    <row r="944" spans="1:8" x14ac:dyDescent="0.25">
      <c r="A944" s="71">
        <v>2023</v>
      </c>
      <c r="B944" s="72" t="s">
        <v>212</v>
      </c>
      <c r="C944" s="73" t="s">
        <v>225</v>
      </c>
      <c r="D944" s="73" t="s">
        <v>172</v>
      </c>
      <c r="E944" s="73" t="str">
        <f>VLOOKUP(D944,clientes!$C$3:$D$60,2,FALSE)</f>
        <v>EVONIK</v>
      </c>
      <c r="F944" s="73" t="s">
        <v>124</v>
      </c>
      <c r="G944" s="73" t="str">
        <f>VLOOKUP(F944,'[2]Lista de Produtos CLASSIFICAÇÃO'!$E$103:$F$114,2,FALSE)</f>
        <v>Outros</v>
      </c>
      <c r="H944" s="74">
        <v>3266</v>
      </c>
    </row>
    <row r="945" spans="1:8" x14ac:dyDescent="0.25">
      <c r="A945" s="75">
        <v>2023</v>
      </c>
      <c r="B945" s="76" t="s">
        <v>213</v>
      </c>
      <c r="C945" s="77" t="s">
        <v>225</v>
      </c>
      <c r="D945" s="77" t="s">
        <v>172</v>
      </c>
      <c r="E945" s="73" t="str">
        <f>VLOOKUP(D945,clientes!$C$3:$D$60,2,FALSE)</f>
        <v>EVONIK</v>
      </c>
      <c r="F945" s="77" t="s">
        <v>124</v>
      </c>
      <c r="G945" s="73" t="str">
        <f>VLOOKUP(F945,'[2]Lista de Produtos CLASSIFICAÇÃO'!$E$103:$F$114,2,FALSE)</f>
        <v>Outros</v>
      </c>
      <c r="H945" s="78">
        <v>3266</v>
      </c>
    </row>
    <row r="946" spans="1:8" x14ac:dyDescent="0.25">
      <c r="A946" s="71">
        <v>2023</v>
      </c>
      <c r="B946" s="72" t="s">
        <v>214</v>
      </c>
      <c r="C946" s="73" t="s">
        <v>225</v>
      </c>
      <c r="D946" s="73" t="s">
        <v>172</v>
      </c>
      <c r="E946" s="73" t="str">
        <f>VLOOKUP(D946,clientes!$C$3:$D$60,2,FALSE)</f>
        <v>EVONIK</v>
      </c>
      <c r="F946" s="73" t="s">
        <v>124</v>
      </c>
      <c r="G946" s="73" t="str">
        <f>VLOOKUP(F946,'[2]Lista de Produtos CLASSIFICAÇÃO'!$E$103:$F$114,2,FALSE)</f>
        <v>Outros</v>
      </c>
      <c r="H946" s="74">
        <v>3266</v>
      </c>
    </row>
    <row r="947" spans="1:8" x14ac:dyDescent="0.25">
      <c r="A947" s="75">
        <v>2023</v>
      </c>
      <c r="B947" s="76" t="s">
        <v>215</v>
      </c>
      <c r="C947" s="77" t="s">
        <v>225</v>
      </c>
      <c r="D947" s="77" t="s">
        <v>172</v>
      </c>
      <c r="E947" s="73" t="str">
        <f>VLOOKUP(D947,clientes!$C$3:$D$60,2,FALSE)</f>
        <v>EVONIK</v>
      </c>
      <c r="F947" s="77" t="s">
        <v>124</v>
      </c>
      <c r="G947" s="73" t="str">
        <f>VLOOKUP(F947,'[2]Lista de Produtos CLASSIFICAÇÃO'!$E$103:$F$114,2,FALSE)</f>
        <v>Outros</v>
      </c>
      <c r="H947" s="78">
        <v>3266</v>
      </c>
    </row>
    <row r="948" spans="1:8" x14ac:dyDescent="0.25">
      <c r="A948" s="71">
        <v>2023</v>
      </c>
      <c r="B948" s="72" t="s">
        <v>230</v>
      </c>
      <c r="C948" s="73" t="s">
        <v>225</v>
      </c>
      <c r="D948" s="73" t="s">
        <v>172</v>
      </c>
      <c r="E948" s="73" t="str">
        <f>VLOOKUP(D948,clientes!$C$3:$D$60,2,FALSE)</f>
        <v>EVONIK</v>
      </c>
      <c r="F948" s="73" t="s">
        <v>124</v>
      </c>
      <c r="G948" s="73" t="str">
        <f>VLOOKUP(F948,'[2]Lista de Produtos CLASSIFICAÇÃO'!$E$103:$F$114,2,FALSE)</f>
        <v>Outros</v>
      </c>
      <c r="H948" s="74">
        <v>3266</v>
      </c>
    </row>
    <row r="949" spans="1:8" x14ac:dyDescent="0.25">
      <c r="A949" s="75">
        <v>2023</v>
      </c>
      <c r="B949" s="76" t="s">
        <v>231</v>
      </c>
      <c r="C949" s="77" t="s">
        <v>225</v>
      </c>
      <c r="D949" s="77" t="s">
        <v>172</v>
      </c>
      <c r="E949" s="73" t="str">
        <f>VLOOKUP(D949,clientes!$C$3:$D$60,2,FALSE)</f>
        <v>EVONIK</v>
      </c>
      <c r="F949" s="77" t="s">
        <v>124</v>
      </c>
      <c r="G949" s="73" t="str">
        <f>VLOOKUP(F949,'[2]Lista de Produtos CLASSIFICAÇÃO'!$E$103:$F$114,2,FALSE)</f>
        <v>Outros</v>
      </c>
      <c r="H949" s="78">
        <v>3266</v>
      </c>
    </row>
    <row r="950" spans="1:8" x14ac:dyDescent="0.25">
      <c r="A950" s="71">
        <v>2023</v>
      </c>
      <c r="B950" s="72" t="s">
        <v>226</v>
      </c>
      <c r="C950" s="73" t="s">
        <v>233</v>
      </c>
      <c r="D950" s="73" t="s">
        <v>158</v>
      </c>
      <c r="E950" s="73" t="str">
        <f>VLOOKUP(D950,clientes!$C$3:$D$60,2,FALSE)</f>
        <v>IPIRANGA</v>
      </c>
      <c r="F950" s="73" t="s">
        <v>120</v>
      </c>
      <c r="G950" s="73" t="str">
        <f>VLOOKUP(F950,'[2]Lista de Produtos CLASSIFICAÇÃO'!$E$103:$F$114,2,FALSE)</f>
        <v>Derivados</v>
      </c>
      <c r="H950" s="74">
        <v>90000</v>
      </c>
    </row>
    <row r="951" spans="1:8" x14ac:dyDescent="0.25">
      <c r="A951" s="75">
        <v>2023</v>
      </c>
      <c r="B951" s="76" t="s">
        <v>227</v>
      </c>
      <c r="C951" s="77" t="s">
        <v>233</v>
      </c>
      <c r="D951" s="77" t="s">
        <v>158</v>
      </c>
      <c r="E951" s="73" t="str">
        <f>VLOOKUP(D951,clientes!$C$3:$D$60,2,FALSE)</f>
        <v>IPIRANGA</v>
      </c>
      <c r="F951" s="77" t="s">
        <v>120</v>
      </c>
      <c r="G951" s="73" t="str">
        <f>VLOOKUP(F951,'[2]Lista de Produtos CLASSIFICAÇÃO'!$E$103:$F$114,2,FALSE)</f>
        <v>Derivados</v>
      </c>
      <c r="H951" s="78">
        <v>90000</v>
      </c>
    </row>
    <row r="952" spans="1:8" x14ac:dyDescent="0.25">
      <c r="A952" s="71">
        <v>2023</v>
      </c>
      <c r="B952" s="72" t="s">
        <v>228</v>
      </c>
      <c r="C952" s="73" t="s">
        <v>233</v>
      </c>
      <c r="D952" s="73" t="s">
        <v>158</v>
      </c>
      <c r="E952" s="73" t="str">
        <f>VLOOKUP(D952,clientes!$C$3:$D$60,2,FALSE)</f>
        <v>IPIRANGA</v>
      </c>
      <c r="F952" s="73" t="s">
        <v>120</v>
      </c>
      <c r="G952" s="73" t="str">
        <f>VLOOKUP(F952,'[2]Lista de Produtos CLASSIFICAÇÃO'!$E$103:$F$114,2,FALSE)</f>
        <v>Derivados</v>
      </c>
      <c r="H952" s="74">
        <v>90000</v>
      </c>
    </row>
    <row r="953" spans="1:8" x14ac:dyDescent="0.25">
      <c r="A953" s="75">
        <v>2023</v>
      </c>
      <c r="B953" s="76" t="s">
        <v>229</v>
      </c>
      <c r="C953" s="77" t="s">
        <v>233</v>
      </c>
      <c r="D953" s="77" t="s">
        <v>158</v>
      </c>
      <c r="E953" s="73" t="str">
        <f>VLOOKUP(D953,clientes!$C$3:$D$60,2,FALSE)</f>
        <v>IPIRANGA</v>
      </c>
      <c r="F953" s="77" t="s">
        <v>120</v>
      </c>
      <c r="G953" s="73" t="str">
        <f>VLOOKUP(F953,'[2]Lista de Produtos CLASSIFICAÇÃO'!$E$103:$F$114,2,FALSE)</f>
        <v>Derivados</v>
      </c>
      <c r="H953" s="78">
        <v>90000</v>
      </c>
    </row>
    <row r="954" spans="1:8" x14ac:dyDescent="0.25">
      <c r="A954" s="71">
        <v>2023</v>
      </c>
      <c r="B954" s="72" t="s">
        <v>210</v>
      </c>
      <c r="C954" s="73" t="s">
        <v>233</v>
      </c>
      <c r="D954" s="73" t="s">
        <v>158</v>
      </c>
      <c r="E954" s="73" t="str">
        <f>VLOOKUP(D954,clientes!$C$3:$D$60,2,FALSE)</f>
        <v>IPIRANGA</v>
      </c>
      <c r="F954" s="73" t="s">
        <v>120</v>
      </c>
      <c r="G954" s="73" t="str">
        <f>VLOOKUP(F954,'[2]Lista de Produtos CLASSIFICAÇÃO'!$E$103:$F$114,2,FALSE)</f>
        <v>Derivados</v>
      </c>
      <c r="H954" s="74">
        <v>90000</v>
      </c>
    </row>
    <row r="955" spans="1:8" x14ac:dyDescent="0.25">
      <c r="A955" s="75">
        <v>2023</v>
      </c>
      <c r="B955" s="76" t="s">
        <v>211</v>
      </c>
      <c r="C955" s="77" t="s">
        <v>233</v>
      </c>
      <c r="D955" s="77" t="s">
        <v>158</v>
      </c>
      <c r="E955" s="73" t="str">
        <f>VLOOKUP(D955,clientes!$C$3:$D$60,2,FALSE)</f>
        <v>IPIRANGA</v>
      </c>
      <c r="F955" s="77" t="s">
        <v>120</v>
      </c>
      <c r="G955" s="73" t="str">
        <f>VLOOKUP(F955,'[2]Lista de Produtos CLASSIFICAÇÃO'!$E$103:$F$114,2,FALSE)</f>
        <v>Derivados</v>
      </c>
      <c r="H955" s="78">
        <v>90000</v>
      </c>
    </row>
    <row r="956" spans="1:8" x14ac:dyDescent="0.25">
      <c r="A956" s="71">
        <v>2023</v>
      </c>
      <c r="B956" s="72" t="s">
        <v>212</v>
      </c>
      <c r="C956" s="73" t="s">
        <v>233</v>
      </c>
      <c r="D956" s="73" t="s">
        <v>158</v>
      </c>
      <c r="E956" s="73" t="str">
        <f>VLOOKUP(D956,clientes!$C$3:$D$60,2,FALSE)</f>
        <v>IPIRANGA</v>
      </c>
      <c r="F956" s="73" t="s">
        <v>120</v>
      </c>
      <c r="G956" s="73" t="str">
        <f>VLOOKUP(F956,'[2]Lista de Produtos CLASSIFICAÇÃO'!$E$103:$F$114,2,FALSE)</f>
        <v>Derivados</v>
      </c>
      <c r="H956" s="74">
        <v>90000</v>
      </c>
    </row>
    <row r="957" spans="1:8" x14ac:dyDescent="0.25">
      <c r="A957" s="75">
        <v>2023</v>
      </c>
      <c r="B957" s="76" t="s">
        <v>213</v>
      </c>
      <c r="C957" s="77" t="s">
        <v>233</v>
      </c>
      <c r="D957" s="77" t="s">
        <v>158</v>
      </c>
      <c r="E957" s="73" t="str">
        <f>VLOOKUP(D957,clientes!$C$3:$D$60,2,FALSE)</f>
        <v>IPIRANGA</v>
      </c>
      <c r="F957" s="77" t="s">
        <v>120</v>
      </c>
      <c r="G957" s="73" t="str">
        <f>VLOOKUP(F957,'[2]Lista de Produtos CLASSIFICAÇÃO'!$E$103:$F$114,2,FALSE)</f>
        <v>Derivados</v>
      </c>
      <c r="H957" s="78">
        <v>90000</v>
      </c>
    </row>
    <row r="958" spans="1:8" x14ac:dyDescent="0.25">
      <c r="A958" s="71">
        <v>2023</v>
      </c>
      <c r="B958" s="72" t="s">
        <v>214</v>
      </c>
      <c r="C958" s="73" t="s">
        <v>233</v>
      </c>
      <c r="D958" s="73" t="s">
        <v>158</v>
      </c>
      <c r="E958" s="73" t="str">
        <f>VLOOKUP(D958,clientes!$C$3:$D$60,2,FALSE)</f>
        <v>IPIRANGA</v>
      </c>
      <c r="F958" s="73" t="s">
        <v>120</v>
      </c>
      <c r="G958" s="73" t="str">
        <f>VLOOKUP(F958,'[2]Lista de Produtos CLASSIFICAÇÃO'!$E$103:$F$114,2,FALSE)</f>
        <v>Derivados</v>
      </c>
      <c r="H958" s="74">
        <v>90000</v>
      </c>
    </row>
    <row r="959" spans="1:8" x14ac:dyDescent="0.25">
      <c r="A959" s="75">
        <v>2023</v>
      </c>
      <c r="B959" s="76" t="s">
        <v>215</v>
      </c>
      <c r="C959" s="77" t="s">
        <v>233</v>
      </c>
      <c r="D959" s="77" t="s">
        <v>158</v>
      </c>
      <c r="E959" s="73" t="str">
        <f>VLOOKUP(D959,clientes!$C$3:$D$60,2,FALSE)</f>
        <v>IPIRANGA</v>
      </c>
      <c r="F959" s="77" t="s">
        <v>120</v>
      </c>
      <c r="G959" s="73" t="str">
        <f>VLOOKUP(F959,'[2]Lista de Produtos CLASSIFICAÇÃO'!$E$103:$F$114,2,FALSE)</f>
        <v>Derivados</v>
      </c>
      <c r="H959" s="78">
        <v>90000</v>
      </c>
    </row>
    <row r="960" spans="1:8" x14ac:dyDescent="0.25">
      <c r="A960" s="71">
        <v>2023</v>
      </c>
      <c r="B960" s="72" t="s">
        <v>230</v>
      </c>
      <c r="C960" s="73" t="s">
        <v>233</v>
      </c>
      <c r="D960" s="73" t="s">
        <v>158</v>
      </c>
      <c r="E960" s="73" t="str">
        <f>VLOOKUP(D960,clientes!$C$3:$D$60,2,FALSE)</f>
        <v>IPIRANGA</v>
      </c>
      <c r="F960" s="73" t="s">
        <v>120</v>
      </c>
      <c r="G960" s="73" t="str">
        <f>VLOOKUP(F960,'[2]Lista de Produtos CLASSIFICAÇÃO'!$E$103:$F$114,2,FALSE)</f>
        <v>Derivados</v>
      </c>
      <c r="H960" s="74">
        <v>90000</v>
      </c>
    </row>
    <row r="961" spans="1:8" x14ac:dyDescent="0.25">
      <c r="A961" s="75">
        <v>2023</v>
      </c>
      <c r="B961" s="76" t="s">
        <v>231</v>
      </c>
      <c r="C961" s="77" t="s">
        <v>233</v>
      </c>
      <c r="D961" s="77" t="s">
        <v>158</v>
      </c>
      <c r="E961" s="73" t="str">
        <f>VLOOKUP(D961,clientes!$C$3:$D$60,2,FALSE)</f>
        <v>IPIRANGA</v>
      </c>
      <c r="F961" s="77" t="s">
        <v>120</v>
      </c>
      <c r="G961" s="73" t="str">
        <f>VLOOKUP(F961,'[2]Lista de Produtos CLASSIFICAÇÃO'!$E$103:$F$114,2,FALSE)</f>
        <v>Derivados</v>
      </c>
      <c r="H961" s="78">
        <v>90000</v>
      </c>
    </row>
    <row r="962" spans="1:8" x14ac:dyDescent="0.25">
      <c r="A962" s="71">
        <v>2023</v>
      </c>
      <c r="B962" s="72" t="s">
        <v>226</v>
      </c>
      <c r="C962" s="73" t="s">
        <v>232</v>
      </c>
      <c r="D962" s="73" t="s">
        <v>162</v>
      </c>
      <c r="E962" s="73" t="str">
        <f>VLOOKUP(D962,clientes!$C$3:$D$60,2,FALSE)</f>
        <v>JBS</v>
      </c>
      <c r="F962" s="73" t="s">
        <v>123</v>
      </c>
      <c r="G962" s="73" t="str">
        <f>VLOOKUP(F962,'[2]Lista de Produtos CLASSIFICAÇÃO'!$E$103:$F$114,2,FALSE)</f>
        <v>Aquecidos</v>
      </c>
      <c r="H962" s="74">
        <v>8000</v>
      </c>
    </row>
    <row r="963" spans="1:8" x14ac:dyDescent="0.25">
      <c r="A963" s="75">
        <v>2023</v>
      </c>
      <c r="B963" s="76" t="s">
        <v>227</v>
      </c>
      <c r="C963" s="77" t="s">
        <v>232</v>
      </c>
      <c r="D963" s="77" t="s">
        <v>162</v>
      </c>
      <c r="E963" s="73" t="str">
        <f>VLOOKUP(D963,clientes!$C$3:$D$60,2,FALSE)</f>
        <v>JBS</v>
      </c>
      <c r="F963" s="77" t="s">
        <v>123</v>
      </c>
      <c r="G963" s="73" t="str">
        <f>VLOOKUP(F963,'[2]Lista de Produtos CLASSIFICAÇÃO'!$E$103:$F$114,2,FALSE)</f>
        <v>Aquecidos</v>
      </c>
      <c r="H963" s="78">
        <v>8000</v>
      </c>
    </row>
    <row r="964" spans="1:8" x14ac:dyDescent="0.25">
      <c r="A964" s="71">
        <v>2023</v>
      </c>
      <c r="B964" s="72" t="s">
        <v>228</v>
      </c>
      <c r="C964" s="73" t="s">
        <v>232</v>
      </c>
      <c r="D964" s="73" t="s">
        <v>162</v>
      </c>
      <c r="E964" s="73" t="str">
        <f>VLOOKUP(D964,clientes!$C$3:$D$60,2,FALSE)</f>
        <v>JBS</v>
      </c>
      <c r="F964" s="73" t="s">
        <v>123</v>
      </c>
      <c r="G964" s="73" t="str">
        <f>VLOOKUP(F964,'[2]Lista de Produtos CLASSIFICAÇÃO'!$E$103:$F$114,2,FALSE)</f>
        <v>Aquecidos</v>
      </c>
      <c r="H964" s="74">
        <v>8000</v>
      </c>
    </row>
    <row r="965" spans="1:8" x14ac:dyDescent="0.25">
      <c r="A965" s="75">
        <v>2023</v>
      </c>
      <c r="B965" s="76" t="s">
        <v>229</v>
      </c>
      <c r="C965" s="77" t="s">
        <v>232</v>
      </c>
      <c r="D965" s="77" t="s">
        <v>162</v>
      </c>
      <c r="E965" s="73" t="str">
        <f>VLOOKUP(D965,clientes!$C$3:$D$60,2,FALSE)</f>
        <v>JBS</v>
      </c>
      <c r="F965" s="77" t="s">
        <v>123</v>
      </c>
      <c r="G965" s="73" t="str">
        <f>VLOOKUP(F965,'[2]Lista de Produtos CLASSIFICAÇÃO'!$E$103:$F$114,2,FALSE)</f>
        <v>Aquecidos</v>
      </c>
      <c r="H965" s="78">
        <v>8000</v>
      </c>
    </row>
    <row r="966" spans="1:8" x14ac:dyDescent="0.25">
      <c r="A966" s="71">
        <v>2023</v>
      </c>
      <c r="B966" s="72" t="s">
        <v>210</v>
      </c>
      <c r="C966" s="73" t="s">
        <v>232</v>
      </c>
      <c r="D966" s="73" t="s">
        <v>162</v>
      </c>
      <c r="E966" s="73" t="str">
        <f>VLOOKUP(D966,clientes!$C$3:$D$60,2,FALSE)</f>
        <v>JBS</v>
      </c>
      <c r="F966" s="73" t="s">
        <v>123</v>
      </c>
      <c r="G966" s="73" t="str">
        <f>VLOOKUP(F966,'[2]Lista de Produtos CLASSIFICAÇÃO'!$E$103:$F$114,2,FALSE)</f>
        <v>Aquecidos</v>
      </c>
      <c r="H966" s="74">
        <v>8000</v>
      </c>
    </row>
    <row r="967" spans="1:8" x14ac:dyDescent="0.25">
      <c r="A967" s="75">
        <v>2023</v>
      </c>
      <c r="B967" s="76" t="s">
        <v>211</v>
      </c>
      <c r="C967" s="77" t="s">
        <v>232</v>
      </c>
      <c r="D967" s="77" t="s">
        <v>162</v>
      </c>
      <c r="E967" s="73" t="str">
        <f>VLOOKUP(D967,clientes!$C$3:$D$60,2,FALSE)</f>
        <v>JBS</v>
      </c>
      <c r="F967" s="77" t="s">
        <v>123</v>
      </c>
      <c r="G967" s="73" t="str">
        <f>VLOOKUP(F967,'[2]Lista de Produtos CLASSIFICAÇÃO'!$E$103:$F$114,2,FALSE)</f>
        <v>Aquecidos</v>
      </c>
      <c r="H967" s="78">
        <v>8000</v>
      </c>
    </row>
    <row r="968" spans="1:8" x14ac:dyDescent="0.25">
      <c r="A968" s="71">
        <v>2023</v>
      </c>
      <c r="B968" s="72" t="s">
        <v>212</v>
      </c>
      <c r="C968" s="73" t="s">
        <v>232</v>
      </c>
      <c r="D968" s="73" t="s">
        <v>162</v>
      </c>
      <c r="E968" s="73" t="str">
        <f>VLOOKUP(D968,clientes!$C$3:$D$60,2,FALSE)</f>
        <v>JBS</v>
      </c>
      <c r="F968" s="73" t="s">
        <v>123</v>
      </c>
      <c r="G968" s="73" t="str">
        <f>VLOOKUP(F968,'[2]Lista de Produtos CLASSIFICAÇÃO'!$E$103:$F$114,2,FALSE)</f>
        <v>Aquecidos</v>
      </c>
      <c r="H968" s="74">
        <v>8000</v>
      </c>
    </row>
    <row r="969" spans="1:8" x14ac:dyDescent="0.25">
      <c r="A969" s="75">
        <v>2023</v>
      </c>
      <c r="B969" s="76" t="s">
        <v>213</v>
      </c>
      <c r="C969" s="77" t="s">
        <v>232</v>
      </c>
      <c r="D969" s="77" t="s">
        <v>162</v>
      </c>
      <c r="E969" s="73" t="str">
        <f>VLOOKUP(D969,clientes!$C$3:$D$60,2,FALSE)</f>
        <v>JBS</v>
      </c>
      <c r="F969" s="77" t="s">
        <v>123</v>
      </c>
      <c r="G969" s="73" t="str">
        <f>VLOOKUP(F969,'[2]Lista de Produtos CLASSIFICAÇÃO'!$E$103:$F$114,2,FALSE)</f>
        <v>Aquecidos</v>
      </c>
      <c r="H969" s="78">
        <v>8000</v>
      </c>
    </row>
    <row r="970" spans="1:8" x14ac:dyDescent="0.25">
      <c r="A970" s="71">
        <v>2023</v>
      </c>
      <c r="B970" s="72" t="s">
        <v>214</v>
      </c>
      <c r="C970" s="73" t="s">
        <v>232</v>
      </c>
      <c r="D970" s="73" t="s">
        <v>162</v>
      </c>
      <c r="E970" s="73" t="str">
        <f>VLOOKUP(D970,clientes!$C$3:$D$60,2,FALSE)</f>
        <v>JBS</v>
      </c>
      <c r="F970" s="73" t="s">
        <v>123</v>
      </c>
      <c r="G970" s="73" t="str">
        <f>VLOOKUP(F970,'[2]Lista de Produtos CLASSIFICAÇÃO'!$E$103:$F$114,2,FALSE)</f>
        <v>Aquecidos</v>
      </c>
      <c r="H970" s="74">
        <v>8000</v>
      </c>
    </row>
    <row r="971" spans="1:8" x14ac:dyDescent="0.25">
      <c r="A971" s="75">
        <v>2023</v>
      </c>
      <c r="B971" s="76" t="s">
        <v>215</v>
      </c>
      <c r="C971" s="77" t="s">
        <v>232</v>
      </c>
      <c r="D971" s="77" t="s">
        <v>162</v>
      </c>
      <c r="E971" s="73" t="str">
        <f>VLOOKUP(D971,clientes!$C$3:$D$60,2,FALSE)</f>
        <v>JBS</v>
      </c>
      <c r="F971" s="77" t="s">
        <v>123</v>
      </c>
      <c r="G971" s="73" t="str">
        <f>VLOOKUP(F971,'[2]Lista de Produtos CLASSIFICAÇÃO'!$E$103:$F$114,2,FALSE)</f>
        <v>Aquecidos</v>
      </c>
      <c r="H971" s="78">
        <v>8000</v>
      </c>
    </row>
    <row r="972" spans="1:8" x14ac:dyDescent="0.25">
      <c r="A972" s="71">
        <v>2023</v>
      </c>
      <c r="B972" s="72" t="s">
        <v>230</v>
      </c>
      <c r="C972" s="73" t="s">
        <v>232</v>
      </c>
      <c r="D972" s="73" t="s">
        <v>162</v>
      </c>
      <c r="E972" s="73" t="str">
        <f>VLOOKUP(D972,clientes!$C$3:$D$60,2,FALSE)</f>
        <v>JBS</v>
      </c>
      <c r="F972" s="73" t="s">
        <v>123</v>
      </c>
      <c r="G972" s="73" t="str">
        <f>VLOOKUP(F972,'[2]Lista de Produtos CLASSIFICAÇÃO'!$E$103:$F$114,2,FALSE)</f>
        <v>Aquecidos</v>
      </c>
      <c r="H972" s="74">
        <v>8000</v>
      </c>
    </row>
    <row r="973" spans="1:8" x14ac:dyDescent="0.25">
      <c r="A973" s="75">
        <v>2023</v>
      </c>
      <c r="B973" s="76" t="s">
        <v>231</v>
      </c>
      <c r="C973" s="77" t="s">
        <v>232</v>
      </c>
      <c r="D973" s="77" t="s">
        <v>162</v>
      </c>
      <c r="E973" s="73" t="str">
        <f>VLOOKUP(D973,clientes!$C$3:$D$60,2,FALSE)</f>
        <v>JBS</v>
      </c>
      <c r="F973" s="77" t="s">
        <v>123</v>
      </c>
      <c r="G973" s="73" t="str">
        <f>VLOOKUP(F973,'[2]Lista de Produtos CLASSIFICAÇÃO'!$E$103:$F$114,2,FALSE)</f>
        <v>Aquecidos</v>
      </c>
      <c r="H973" s="78">
        <v>8000</v>
      </c>
    </row>
    <row r="974" spans="1:8" x14ac:dyDescent="0.25">
      <c r="A974" s="71">
        <v>2023</v>
      </c>
      <c r="B974" s="72" t="s">
        <v>226</v>
      </c>
      <c r="C974" s="73" t="s">
        <v>225</v>
      </c>
      <c r="D974" s="73" t="s">
        <v>162</v>
      </c>
      <c r="E974" s="73" t="str">
        <f>VLOOKUP(D974,clientes!$C$3:$D$60,2,FALSE)</f>
        <v>JBS</v>
      </c>
      <c r="F974" s="73" t="s">
        <v>115</v>
      </c>
      <c r="G974" s="73" t="str">
        <f>VLOOKUP(F974,'[2]Lista de Produtos CLASSIFICAÇÃO'!$E$103:$F$114,2,FALSE)</f>
        <v>Soda Caustica</v>
      </c>
      <c r="H974" s="74">
        <v>2200</v>
      </c>
    </row>
    <row r="975" spans="1:8" x14ac:dyDescent="0.25">
      <c r="A975" s="75">
        <v>2023</v>
      </c>
      <c r="B975" s="76" t="s">
        <v>227</v>
      </c>
      <c r="C975" s="77" t="s">
        <v>225</v>
      </c>
      <c r="D975" s="77" t="s">
        <v>162</v>
      </c>
      <c r="E975" s="73" t="str">
        <f>VLOOKUP(D975,clientes!$C$3:$D$60,2,FALSE)</f>
        <v>JBS</v>
      </c>
      <c r="F975" s="77" t="s">
        <v>115</v>
      </c>
      <c r="G975" s="73" t="str">
        <f>VLOOKUP(F975,'[2]Lista de Produtos CLASSIFICAÇÃO'!$E$103:$F$114,2,FALSE)</f>
        <v>Soda Caustica</v>
      </c>
      <c r="H975" s="78">
        <v>2200</v>
      </c>
    </row>
    <row r="976" spans="1:8" x14ac:dyDescent="0.25">
      <c r="A976" s="71">
        <v>2023</v>
      </c>
      <c r="B976" s="72" t="s">
        <v>228</v>
      </c>
      <c r="C976" s="73" t="s">
        <v>225</v>
      </c>
      <c r="D976" s="73" t="s">
        <v>162</v>
      </c>
      <c r="E976" s="73" t="str">
        <f>VLOOKUP(D976,clientes!$C$3:$D$60,2,FALSE)</f>
        <v>JBS</v>
      </c>
      <c r="F976" s="73" t="s">
        <v>115</v>
      </c>
      <c r="G976" s="73" t="str">
        <f>VLOOKUP(F976,'[2]Lista de Produtos CLASSIFICAÇÃO'!$E$103:$F$114,2,FALSE)</f>
        <v>Soda Caustica</v>
      </c>
      <c r="H976" s="74">
        <v>2200</v>
      </c>
    </row>
    <row r="977" spans="1:8" x14ac:dyDescent="0.25">
      <c r="A977" s="75">
        <v>2023</v>
      </c>
      <c r="B977" s="76" t="s">
        <v>229</v>
      </c>
      <c r="C977" s="77" t="s">
        <v>225</v>
      </c>
      <c r="D977" s="77" t="s">
        <v>162</v>
      </c>
      <c r="E977" s="73" t="str">
        <f>VLOOKUP(D977,clientes!$C$3:$D$60,2,FALSE)</f>
        <v>JBS</v>
      </c>
      <c r="F977" s="77" t="s">
        <v>115</v>
      </c>
      <c r="G977" s="73" t="str">
        <f>VLOOKUP(F977,'[2]Lista de Produtos CLASSIFICAÇÃO'!$E$103:$F$114,2,FALSE)</f>
        <v>Soda Caustica</v>
      </c>
      <c r="H977" s="78">
        <v>2200</v>
      </c>
    </row>
    <row r="978" spans="1:8" x14ac:dyDescent="0.25">
      <c r="A978" s="71">
        <v>2023</v>
      </c>
      <c r="B978" s="72" t="s">
        <v>210</v>
      </c>
      <c r="C978" s="73" t="s">
        <v>225</v>
      </c>
      <c r="D978" s="73" t="s">
        <v>162</v>
      </c>
      <c r="E978" s="73" t="str">
        <f>VLOOKUP(D978,clientes!$C$3:$D$60,2,FALSE)</f>
        <v>JBS</v>
      </c>
      <c r="F978" s="73" t="s">
        <v>115</v>
      </c>
      <c r="G978" s="73" t="str">
        <f>VLOOKUP(F978,'[2]Lista de Produtos CLASSIFICAÇÃO'!$E$103:$F$114,2,FALSE)</f>
        <v>Soda Caustica</v>
      </c>
      <c r="H978" s="74">
        <v>2200</v>
      </c>
    </row>
    <row r="979" spans="1:8" x14ac:dyDescent="0.25">
      <c r="A979" s="75">
        <v>2023</v>
      </c>
      <c r="B979" s="76" t="s">
        <v>211</v>
      </c>
      <c r="C979" s="77" t="s">
        <v>225</v>
      </c>
      <c r="D979" s="77" t="s">
        <v>162</v>
      </c>
      <c r="E979" s="73" t="str">
        <f>VLOOKUP(D979,clientes!$C$3:$D$60,2,FALSE)</f>
        <v>JBS</v>
      </c>
      <c r="F979" s="77" t="s">
        <v>115</v>
      </c>
      <c r="G979" s="73" t="str">
        <f>VLOOKUP(F979,'[2]Lista de Produtos CLASSIFICAÇÃO'!$E$103:$F$114,2,FALSE)</f>
        <v>Soda Caustica</v>
      </c>
      <c r="H979" s="78">
        <v>2200</v>
      </c>
    </row>
    <row r="980" spans="1:8" x14ac:dyDescent="0.25">
      <c r="A980" s="71">
        <v>2023</v>
      </c>
      <c r="B980" s="72" t="s">
        <v>212</v>
      </c>
      <c r="C980" s="73" t="s">
        <v>225</v>
      </c>
      <c r="D980" s="73" t="s">
        <v>162</v>
      </c>
      <c r="E980" s="73" t="str">
        <f>VLOOKUP(D980,clientes!$C$3:$D$60,2,FALSE)</f>
        <v>JBS</v>
      </c>
      <c r="F980" s="73" t="s">
        <v>115</v>
      </c>
      <c r="G980" s="73" t="str">
        <f>VLOOKUP(F980,'[2]Lista de Produtos CLASSIFICAÇÃO'!$E$103:$F$114,2,FALSE)</f>
        <v>Soda Caustica</v>
      </c>
      <c r="H980" s="74">
        <v>2200</v>
      </c>
    </row>
    <row r="981" spans="1:8" x14ac:dyDescent="0.25">
      <c r="A981" s="75">
        <v>2023</v>
      </c>
      <c r="B981" s="76" t="s">
        <v>213</v>
      </c>
      <c r="C981" s="77" t="s">
        <v>225</v>
      </c>
      <c r="D981" s="77" t="s">
        <v>162</v>
      </c>
      <c r="E981" s="73" t="str">
        <f>VLOOKUP(D981,clientes!$C$3:$D$60,2,FALSE)</f>
        <v>JBS</v>
      </c>
      <c r="F981" s="77" t="s">
        <v>115</v>
      </c>
      <c r="G981" s="73" t="str">
        <f>VLOOKUP(F981,'[2]Lista de Produtos CLASSIFICAÇÃO'!$E$103:$F$114,2,FALSE)</f>
        <v>Soda Caustica</v>
      </c>
      <c r="H981" s="78">
        <v>2200</v>
      </c>
    </row>
    <row r="982" spans="1:8" x14ac:dyDescent="0.25">
      <c r="A982" s="71">
        <v>2023</v>
      </c>
      <c r="B982" s="72" t="s">
        <v>214</v>
      </c>
      <c r="C982" s="73" t="s">
        <v>225</v>
      </c>
      <c r="D982" s="73" t="s">
        <v>162</v>
      </c>
      <c r="E982" s="73" t="str">
        <f>VLOOKUP(D982,clientes!$C$3:$D$60,2,FALSE)</f>
        <v>JBS</v>
      </c>
      <c r="F982" s="73" t="s">
        <v>115</v>
      </c>
      <c r="G982" s="73" t="str">
        <f>VLOOKUP(F982,'[2]Lista de Produtos CLASSIFICAÇÃO'!$E$103:$F$114,2,FALSE)</f>
        <v>Soda Caustica</v>
      </c>
      <c r="H982" s="74">
        <v>2200</v>
      </c>
    </row>
    <row r="983" spans="1:8" x14ac:dyDescent="0.25">
      <c r="A983" s="75">
        <v>2023</v>
      </c>
      <c r="B983" s="76" t="s">
        <v>215</v>
      </c>
      <c r="C983" s="77" t="s">
        <v>225</v>
      </c>
      <c r="D983" s="77" t="s">
        <v>162</v>
      </c>
      <c r="E983" s="73" t="str">
        <f>VLOOKUP(D983,clientes!$C$3:$D$60,2,FALSE)</f>
        <v>JBS</v>
      </c>
      <c r="F983" s="77" t="s">
        <v>115</v>
      </c>
      <c r="G983" s="73" t="str">
        <f>VLOOKUP(F983,'[2]Lista de Produtos CLASSIFICAÇÃO'!$E$103:$F$114,2,FALSE)</f>
        <v>Soda Caustica</v>
      </c>
      <c r="H983" s="78">
        <v>2200</v>
      </c>
    </row>
    <row r="984" spans="1:8" x14ac:dyDescent="0.25">
      <c r="A984" s="71">
        <v>2023</v>
      </c>
      <c r="B984" s="72" t="s">
        <v>230</v>
      </c>
      <c r="C984" s="73" t="s">
        <v>225</v>
      </c>
      <c r="D984" s="73" t="s">
        <v>162</v>
      </c>
      <c r="E984" s="73" t="str">
        <f>VLOOKUP(D984,clientes!$C$3:$D$60,2,FALSE)</f>
        <v>JBS</v>
      </c>
      <c r="F984" s="73" t="s">
        <v>115</v>
      </c>
      <c r="G984" s="73" t="str">
        <f>VLOOKUP(F984,'[2]Lista de Produtos CLASSIFICAÇÃO'!$E$103:$F$114,2,FALSE)</f>
        <v>Soda Caustica</v>
      </c>
      <c r="H984" s="74">
        <v>2200</v>
      </c>
    </row>
    <row r="985" spans="1:8" x14ac:dyDescent="0.25">
      <c r="A985" s="75">
        <v>2023</v>
      </c>
      <c r="B985" s="76" t="s">
        <v>231</v>
      </c>
      <c r="C985" s="77" t="s">
        <v>225</v>
      </c>
      <c r="D985" s="77" t="s">
        <v>162</v>
      </c>
      <c r="E985" s="73" t="str">
        <f>VLOOKUP(D985,clientes!$C$3:$D$60,2,FALSE)</f>
        <v>JBS</v>
      </c>
      <c r="F985" s="77" t="s">
        <v>115</v>
      </c>
      <c r="G985" s="73" t="str">
        <f>VLOOKUP(F985,'[2]Lista de Produtos CLASSIFICAÇÃO'!$E$103:$F$114,2,FALSE)</f>
        <v>Soda Caustica</v>
      </c>
      <c r="H985" s="78">
        <v>2200</v>
      </c>
    </row>
    <row r="986" spans="1:8" x14ac:dyDescent="0.25">
      <c r="A986" s="71">
        <v>2023</v>
      </c>
      <c r="B986" s="72" t="s">
        <v>226</v>
      </c>
      <c r="C986" s="73" t="s">
        <v>234</v>
      </c>
      <c r="D986" s="73" t="s">
        <v>169</v>
      </c>
      <c r="E986" s="73" t="str">
        <f>VLOOKUP(D986,clientes!$C$3:$D$60,2,FALSE)</f>
        <v>METHANEX</v>
      </c>
      <c r="F986" s="73" t="s">
        <v>22</v>
      </c>
      <c r="G986" s="73" t="str">
        <f>VLOOKUP(F986,'[2]Lista de Produtos CLASSIFICAÇÃO'!$E$103:$F$114,2,FALSE)</f>
        <v>Metanol</v>
      </c>
      <c r="H986" s="74">
        <v>94000</v>
      </c>
    </row>
    <row r="987" spans="1:8" x14ac:dyDescent="0.25">
      <c r="A987" s="75">
        <v>2023</v>
      </c>
      <c r="B987" s="76" t="s">
        <v>227</v>
      </c>
      <c r="C987" s="77" t="s">
        <v>234</v>
      </c>
      <c r="D987" s="77" t="s">
        <v>169</v>
      </c>
      <c r="E987" s="73" t="str">
        <f>VLOOKUP(D987,clientes!$C$3:$D$60,2,FALSE)</f>
        <v>METHANEX</v>
      </c>
      <c r="F987" s="77" t="s">
        <v>22</v>
      </c>
      <c r="G987" s="73" t="str">
        <f>VLOOKUP(F987,'[2]Lista de Produtos CLASSIFICAÇÃO'!$E$103:$F$114,2,FALSE)</f>
        <v>Metanol</v>
      </c>
      <c r="H987" s="78">
        <v>94000</v>
      </c>
    </row>
    <row r="988" spans="1:8" x14ac:dyDescent="0.25">
      <c r="A988" s="71">
        <v>2023</v>
      </c>
      <c r="B988" s="72" t="s">
        <v>228</v>
      </c>
      <c r="C988" s="73" t="s">
        <v>234</v>
      </c>
      <c r="D988" s="73" t="s">
        <v>169</v>
      </c>
      <c r="E988" s="73" t="str">
        <f>VLOOKUP(D988,clientes!$C$3:$D$60,2,FALSE)</f>
        <v>METHANEX</v>
      </c>
      <c r="F988" s="73" t="s">
        <v>22</v>
      </c>
      <c r="G988" s="73" t="str">
        <f>VLOOKUP(F988,'[2]Lista de Produtos CLASSIFICAÇÃO'!$E$103:$F$114,2,FALSE)</f>
        <v>Metanol</v>
      </c>
      <c r="H988" s="74">
        <v>94000</v>
      </c>
    </row>
    <row r="989" spans="1:8" x14ac:dyDescent="0.25">
      <c r="A989" s="75">
        <v>2023</v>
      </c>
      <c r="B989" s="76" t="s">
        <v>229</v>
      </c>
      <c r="C989" s="77" t="s">
        <v>234</v>
      </c>
      <c r="D989" s="77" t="s">
        <v>169</v>
      </c>
      <c r="E989" s="73" t="str">
        <f>VLOOKUP(D989,clientes!$C$3:$D$60,2,FALSE)</f>
        <v>METHANEX</v>
      </c>
      <c r="F989" s="77" t="s">
        <v>22</v>
      </c>
      <c r="G989" s="73" t="str">
        <f>VLOOKUP(F989,'[2]Lista de Produtos CLASSIFICAÇÃO'!$E$103:$F$114,2,FALSE)</f>
        <v>Metanol</v>
      </c>
      <c r="H989" s="78">
        <v>94000</v>
      </c>
    </row>
    <row r="990" spans="1:8" x14ac:dyDescent="0.25">
      <c r="A990" s="71">
        <v>2023</v>
      </c>
      <c r="B990" s="72" t="s">
        <v>210</v>
      </c>
      <c r="C990" s="73" t="s">
        <v>234</v>
      </c>
      <c r="D990" s="73" t="s">
        <v>169</v>
      </c>
      <c r="E990" s="73" t="str">
        <f>VLOOKUP(D990,clientes!$C$3:$D$60,2,FALSE)</f>
        <v>METHANEX</v>
      </c>
      <c r="F990" s="73" t="s">
        <v>22</v>
      </c>
      <c r="G990" s="73" t="str">
        <f>VLOOKUP(F990,'[2]Lista de Produtos CLASSIFICAÇÃO'!$E$103:$F$114,2,FALSE)</f>
        <v>Metanol</v>
      </c>
      <c r="H990" s="74">
        <v>94000</v>
      </c>
    </row>
    <row r="991" spans="1:8" x14ac:dyDescent="0.25">
      <c r="A991" s="75">
        <v>2023</v>
      </c>
      <c r="B991" s="76" t="s">
        <v>211</v>
      </c>
      <c r="C991" s="77" t="s">
        <v>234</v>
      </c>
      <c r="D991" s="77" t="s">
        <v>169</v>
      </c>
      <c r="E991" s="73" t="str">
        <f>VLOOKUP(D991,clientes!$C$3:$D$60,2,FALSE)</f>
        <v>METHANEX</v>
      </c>
      <c r="F991" s="77" t="s">
        <v>22</v>
      </c>
      <c r="G991" s="73" t="str">
        <f>VLOOKUP(F991,'[2]Lista de Produtos CLASSIFICAÇÃO'!$E$103:$F$114,2,FALSE)</f>
        <v>Metanol</v>
      </c>
      <c r="H991" s="78">
        <v>94000</v>
      </c>
    </row>
    <row r="992" spans="1:8" x14ac:dyDescent="0.25">
      <c r="A992" s="71">
        <v>2023</v>
      </c>
      <c r="B992" s="72" t="s">
        <v>212</v>
      </c>
      <c r="C992" s="73" t="s">
        <v>234</v>
      </c>
      <c r="D992" s="73" t="s">
        <v>169</v>
      </c>
      <c r="E992" s="73" t="str">
        <f>VLOOKUP(D992,clientes!$C$3:$D$60,2,FALSE)</f>
        <v>METHANEX</v>
      </c>
      <c r="F992" s="73" t="s">
        <v>22</v>
      </c>
      <c r="G992" s="73" t="str">
        <f>VLOOKUP(F992,'[2]Lista de Produtos CLASSIFICAÇÃO'!$E$103:$F$114,2,FALSE)</f>
        <v>Metanol</v>
      </c>
      <c r="H992" s="74">
        <v>94000</v>
      </c>
    </row>
    <row r="993" spans="1:8" x14ac:dyDescent="0.25">
      <c r="A993" s="75">
        <v>2023</v>
      </c>
      <c r="B993" s="76" t="s">
        <v>213</v>
      </c>
      <c r="C993" s="77" t="s">
        <v>234</v>
      </c>
      <c r="D993" s="77" t="s">
        <v>169</v>
      </c>
      <c r="E993" s="73" t="str">
        <f>VLOOKUP(D993,clientes!$C$3:$D$60,2,FALSE)</f>
        <v>METHANEX</v>
      </c>
      <c r="F993" s="77" t="s">
        <v>22</v>
      </c>
      <c r="G993" s="73" t="str">
        <f>VLOOKUP(F993,'[2]Lista de Produtos CLASSIFICAÇÃO'!$E$103:$F$114,2,FALSE)</f>
        <v>Metanol</v>
      </c>
      <c r="H993" s="78">
        <v>94000</v>
      </c>
    </row>
    <row r="994" spans="1:8" x14ac:dyDescent="0.25">
      <c r="A994" s="71">
        <v>2023</v>
      </c>
      <c r="B994" s="72" t="s">
        <v>214</v>
      </c>
      <c r="C994" s="73" t="s">
        <v>234</v>
      </c>
      <c r="D994" s="73" t="s">
        <v>169</v>
      </c>
      <c r="E994" s="73" t="str">
        <f>VLOOKUP(D994,clientes!$C$3:$D$60,2,FALSE)</f>
        <v>METHANEX</v>
      </c>
      <c r="F994" s="73" t="s">
        <v>22</v>
      </c>
      <c r="G994" s="73" t="str">
        <f>VLOOKUP(F994,'[2]Lista de Produtos CLASSIFICAÇÃO'!$E$103:$F$114,2,FALSE)</f>
        <v>Metanol</v>
      </c>
      <c r="H994" s="74">
        <v>94000</v>
      </c>
    </row>
    <row r="995" spans="1:8" x14ac:dyDescent="0.25">
      <c r="A995" s="75">
        <v>2023</v>
      </c>
      <c r="B995" s="76" t="s">
        <v>215</v>
      </c>
      <c r="C995" s="77" t="s">
        <v>234</v>
      </c>
      <c r="D995" s="77" t="s">
        <v>169</v>
      </c>
      <c r="E995" s="73" t="str">
        <f>VLOOKUP(D995,clientes!$C$3:$D$60,2,FALSE)</f>
        <v>METHANEX</v>
      </c>
      <c r="F995" s="77" t="s">
        <v>22</v>
      </c>
      <c r="G995" s="73" t="str">
        <f>VLOOKUP(F995,'[2]Lista de Produtos CLASSIFICAÇÃO'!$E$103:$F$114,2,FALSE)</f>
        <v>Metanol</v>
      </c>
      <c r="H995" s="78">
        <v>94000</v>
      </c>
    </row>
    <row r="996" spans="1:8" x14ac:dyDescent="0.25">
      <c r="A996" s="71">
        <v>2023</v>
      </c>
      <c r="B996" s="72" t="s">
        <v>230</v>
      </c>
      <c r="C996" s="73" t="s">
        <v>234</v>
      </c>
      <c r="D996" s="73" t="s">
        <v>169</v>
      </c>
      <c r="E996" s="73" t="str">
        <f>VLOOKUP(D996,clientes!$C$3:$D$60,2,FALSE)</f>
        <v>METHANEX</v>
      </c>
      <c r="F996" s="73" t="s">
        <v>22</v>
      </c>
      <c r="G996" s="73" t="str">
        <f>VLOOKUP(F996,'[2]Lista de Produtos CLASSIFICAÇÃO'!$E$103:$F$114,2,FALSE)</f>
        <v>Metanol</v>
      </c>
      <c r="H996" s="74">
        <v>94000</v>
      </c>
    </row>
    <row r="997" spans="1:8" x14ac:dyDescent="0.25">
      <c r="A997" s="75">
        <v>2023</v>
      </c>
      <c r="B997" s="76" t="s">
        <v>231</v>
      </c>
      <c r="C997" s="77" t="s">
        <v>234</v>
      </c>
      <c r="D997" s="77" t="s">
        <v>169</v>
      </c>
      <c r="E997" s="73" t="str">
        <f>VLOOKUP(D997,clientes!$C$3:$D$60,2,FALSE)</f>
        <v>METHANEX</v>
      </c>
      <c r="F997" s="77" t="s">
        <v>22</v>
      </c>
      <c r="G997" s="73" t="str">
        <f>VLOOKUP(F997,'[2]Lista de Produtos CLASSIFICAÇÃO'!$E$103:$F$114,2,FALSE)</f>
        <v>Metanol</v>
      </c>
      <c r="H997" s="78">
        <v>94000</v>
      </c>
    </row>
    <row r="998" spans="1:8" x14ac:dyDescent="0.25">
      <c r="A998" s="71">
        <v>2023</v>
      </c>
      <c r="B998" s="72" t="s">
        <v>226</v>
      </c>
      <c r="C998" s="73" t="s">
        <v>234</v>
      </c>
      <c r="D998" s="73" t="s">
        <v>170</v>
      </c>
      <c r="E998" s="73" t="str">
        <f>VLOOKUP(D998,clientes!$C$3:$D$60,2,FALSE)</f>
        <v>MITSUBISHI</v>
      </c>
      <c r="F998" s="73" t="s">
        <v>22</v>
      </c>
      <c r="G998" s="73" t="str">
        <f>VLOOKUP(F998,'[2]Lista de Produtos CLASSIFICAÇÃO'!$E$103:$F$114,2,FALSE)</f>
        <v>Metanol</v>
      </c>
      <c r="H998" s="74">
        <v>41000</v>
      </c>
    </row>
    <row r="999" spans="1:8" x14ac:dyDescent="0.25">
      <c r="A999" s="75">
        <v>2023</v>
      </c>
      <c r="B999" s="76" t="s">
        <v>227</v>
      </c>
      <c r="C999" s="77" t="s">
        <v>234</v>
      </c>
      <c r="D999" s="77" t="s">
        <v>170</v>
      </c>
      <c r="E999" s="73" t="str">
        <f>VLOOKUP(D999,clientes!$C$3:$D$60,2,FALSE)</f>
        <v>MITSUBISHI</v>
      </c>
      <c r="F999" s="77" t="s">
        <v>22</v>
      </c>
      <c r="G999" s="73" t="str">
        <f>VLOOKUP(F999,'[2]Lista de Produtos CLASSIFICAÇÃO'!$E$103:$F$114,2,FALSE)</f>
        <v>Metanol</v>
      </c>
      <c r="H999" s="78">
        <v>41000</v>
      </c>
    </row>
    <row r="1000" spans="1:8" x14ac:dyDescent="0.25">
      <c r="A1000" s="71">
        <v>2023</v>
      </c>
      <c r="B1000" s="72" t="s">
        <v>228</v>
      </c>
      <c r="C1000" s="73" t="s">
        <v>234</v>
      </c>
      <c r="D1000" s="73" t="s">
        <v>170</v>
      </c>
      <c r="E1000" s="73" t="str">
        <f>VLOOKUP(D1000,clientes!$C$3:$D$60,2,FALSE)</f>
        <v>MITSUBISHI</v>
      </c>
      <c r="F1000" s="73" t="s">
        <v>22</v>
      </c>
      <c r="G1000" s="73" t="str">
        <f>VLOOKUP(F1000,'[2]Lista de Produtos CLASSIFICAÇÃO'!$E$103:$F$114,2,FALSE)</f>
        <v>Metanol</v>
      </c>
      <c r="H1000" s="74">
        <v>41000</v>
      </c>
    </row>
    <row r="1001" spans="1:8" x14ac:dyDescent="0.25">
      <c r="A1001" s="75">
        <v>2023</v>
      </c>
      <c r="B1001" s="76" t="s">
        <v>229</v>
      </c>
      <c r="C1001" s="77" t="s">
        <v>234</v>
      </c>
      <c r="D1001" s="77" t="s">
        <v>170</v>
      </c>
      <c r="E1001" s="73" t="str">
        <f>VLOOKUP(D1001,clientes!$C$3:$D$60,2,FALSE)</f>
        <v>MITSUBISHI</v>
      </c>
      <c r="F1001" s="77" t="s">
        <v>22</v>
      </c>
      <c r="G1001" s="73" t="str">
        <f>VLOOKUP(F1001,'[2]Lista de Produtos CLASSIFICAÇÃO'!$E$103:$F$114,2,FALSE)</f>
        <v>Metanol</v>
      </c>
      <c r="H1001" s="78">
        <v>41000</v>
      </c>
    </row>
    <row r="1002" spans="1:8" x14ac:dyDescent="0.25">
      <c r="A1002" s="71">
        <v>2023</v>
      </c>
      <c r="B1002" s="72" t="s">
        <v>210</v>
      </c>
      <c r="C1002" s="73" t="s">
        <v>234</v>
      </c>
      <c r="D1002" s="73" t="s">
        <v>170</v>
      </c>
      <c r="E1002" s="73" t="str">
        <f>VLOOKUP(D1002,clientes!$C$3:$D$60,2,FALSE)</f>
        <v>MITSUBISHI</v>
      </c>
      <c r="F1002" s="73" t="s">
        <v>22</v>
      </c>
      <c r="G1002" s="73" t="str">
        <f>VLOOKUP(F1002,'[2]Lista de Produtos CLASSIFICAÇÃO'!$E$103:$F$114,2,FALSE)</f>
        <v>Metanol</v>
      </c>
      <c r="H1002" s="74">
        <v>41000</v>
      </c>
    </row>
    <row r="1003" spans="1:8" x14ac:dyDescent="0.25">
      <c r="A1003" s="75">
        <v>2023</v>
      </c>
      <c r="B1003" s="76" t="s">
        <v>211</v>
      </c>
      <c r="C1003" s="77" t="s">
        <v>234</v>
      </c>
      <c r="D1003" s="77" t="s">
        <v>170</v>
      </c>
      <c r="E1003" s="73" t="str">
        <f>VLOOKUP(D1003,clientes!$C$3:$D$60,2,FALSE)</f>
        <v>MITSUBISHI</v>
      </c>
      <c r="F1003" s="77" t="s">
        <v>22</v>
      </c>
      <c r="G1003" s="73" t="str">
        <f>VLOOKUP(F1003,'[2]Lista de Produtos CLASSIFICAÇÃO'!$E$103:$F$114,2,FALSE)</f>
        <v>Metanol</v>
      </c>
      <c r="H1003" s="78">
        <v>41000</v>
      </c>
    </row>
    <row r="1004" spans="1:8" x14ac:dyDescent="0.25">
      <c r="A1004" s="71">
        <v>2023</v>
      </c>
      <c r="B1004" s="72" t="s">
        <v>212</v>
      </c>
      <c r="C1004" s="73" t="s">
        <v>234</v>
      </c>
      <c r="D1004" s="73" t="s">
        <v>170</v>
      </c>
      <c r="E1004" s="73" t="str">
        <f>VLOOKUP(D1004,clientes!$C$3:$D$60,2,FALSE)</f>
        <v>MITSUBISHI</v>
      </c>
      <c r="F1004" s="73" t="s">
        <v>22</v>
      </c>
      <c r="G1004" s="73" t="str">
        <f>VLOOKUP(F1004,'[2]Lista de Produtos CLASSIFICAÇÃO'!$E$103:$F$114,2,FALSE)</f>
        <v>Metanol</v>
      </c>
      <c r="H1004" s="74">
        <v>41000</v>
      </c>
    </row>
    <row r="1005" spans="1:8" x14ac:dyDescent="0.25">
      <c r="A1005" s="75">
        <v>2023</v>
      </c>
      <c r="B1005" s="76" t="s">
        <v>213</v>
      </c>
      <c r="C1005" s="77" t="s">
        <v>234</v>
      </c>
      <c r="D1005" s="77" t="s">
        <v>170</v>
      </c>
      <c r="E1005" s="73" t="str">
        <f>VLOOKUP(D1005,clientes!$C$3:$D$60,2,FALSE)</f>
        <v>MITSUBISHI</v>
      </c>
      <c r="F1005" s="77" t="s">
        <v>22</v>
      </c>
      <c r="G1005" s="73" t="str">
        <f>VLOOKUP(F1005,'[2]Lista de Produtos CLASSIFICAÇÃO'!$E$103:$F$114,2,FALSE)</f>
        <v>Metanol</v>
      </c>
      <c r="H1005" s="78">
        <v>41000</v>
      </c>
    </row>
    <row r="1006" spans="1:8" x14ac:dyDescent="0.25">
      <c r="A1006" s="71">
        <v>2023</v>
      </c>
      <c r="B1006" s="72" t="s">
        <v>214</v>
      </c>
      <c r="C1006" s="73" t="s">
        <v>234</v>
      </c>
      <c r="D1006" s="73" t="s">
        <v>170</v>
      </c>
      <c r="E1006" s="73" t="str">
        <f>VLOOKUP(D1006,clientes!$C$3:$D$60,2,FALSE)</f>
        <v>MITSUBISHI</v>
      </c>
      <c r="F1006" s="73" t="s">
        <v>22</v>
      </c>
      <c r="G1006" s="73" t="str">
        <f>VLOOKUP(F1006,'[2]Lista de Produtos CLASSIFICAÇÃO'!$E$103:$F$114,2,FALSE)</f>
        <v>Metanol</v>
      </c>
      <c r="H1006" s="74">
        <v>41000</v>
      </c>
    </row>
    <row r="1007" spans="1:8" x14ac:dyDescent="0.25">
      <c r="A1007" s="75">
        <v>2023</v>
      </c>
      <c r="B1007" s="76" t="s">
        <v>215</v>
      </c>
      <c r="C1007" s="77" t="s">
        <v>234</v>
      </c>
      <c r="D1007" s="77" t="s">
        <v>170</v>
      </c>
      <c r="E1007" s="73" t="str">
        <f>VLOOKUP(D1007,clientes!$C$3:$D$60,2,FALSE)</f>
        <v>MITSUBISHI</v>
      </c>
      <c r="F1007" s="77" t="s">
        <v>22</v>
      </c>
      <c r="G1007" s="73" t="str">
        <f>VLOOKUP(F1007,'[2]Lista de Produtos CLASSIFICAÇÃO'!$E$103:$F$114,2,FALSE)</f>
        <v>Metanol</v>
      </c>
      <c r="H1007" s="78">
        <v>41000</v>
      </c>
    </row>
    <row r="1008" spans="1:8" x14ac:dyDescent="0.25">
      <c r="A1008" s="71">
        <v>2023</v>
      </c>
      <c r="B1008" s="72" t="s">
        <v>230</v>
      </c>
      <c r="C1008" s="73" t="s">
        <v>234</v>
      </c>
      <c r="D1008" s="73" t="s">
        <v>170</v>
      </c>
      <c r="E1008" s="73" t="str">
        <f>VLOOKUP(D1008,clientes!$C$3:$D$60,2,FALSE)</f>
        <v>MITSUBISHI</v>
      </c>
      <c r="F1008" s="73" t="s">
        <v>22</v>
      </c>
      <c r="G1008" s="73" t="str">
        <f>VLOOKUP(F1008,'[2]Lista de Produtos CLASSIFICAÇÃO'!$E$103:$F$114,2,FALSE)</f>
        <v>Metanol</v>
      </c>
      <c r="H1008" s="74">
        <v>41000</v>
      </c>
    </row>
    <row r="1009" spans="1:8" x14ac:dyDescent="0.25">
      <c r="A1009" s="75">
        <v>2023</v>
      </c>
      <c r="B1009" s="76" t="s">
        <v>231</v>
      </c>
      <c r="C1009" s="77" t="s">
        <v>234</v>
      </c>
      <c r="D1009" s="77" t="s">
        <v>170</v>
      </c>
      <c r="E1009" s="73" t="str">
        <f>VLOOKUP(D1009,clientes!$C$3:$D$60,2,FALSE)</f>
        <v>MITSUBISHI</v>
      </c>
      <c r="F1009" s="77" t="s">
        <v>22</v>
      </c>
      <c r="G1009" s="73" t="str">
        <f>VLOOKUP(F1009,'[2]Lista de Produtos CLASSIFICAÇÃO'!$E$103:$F$114,2,FALSE)</f>
        <v>Metanol</v>
      </c>
      <c r="H1009" s="78">
        <v>41000</v>
      </c>
    </row>
    <row r="1010" spans="1:8" x14ac:dyDescent="0.25">
      <c r="A1010" s="71">
        <v>2023</v>
      </c>
      <c r="B1010" s="72" t="s">
        <v>226</v>
      </c>
      <c r="C1010" s="73" t="s">
        <v>225</v>
      </c>
      <c r="D1010" s="73" t="s">
        <v>178</v>
      </c>
      <c r="E1010" s="73" t="str">
        <f>VLOOKUP(D1010,clientes!$C$3:$D$60,2,FALSE)</f>
        <v>OLIN BLUE CUBE</v>
      </c>
      <c r="F1010" s="73" t="s">
        <v>115</v>
      </c>
      <c r="G1010" s="73" t="str">
        <f>VLOOKUP(F1010,'[2]Lista de Produtos CLASSIFICAÇÃO'!$E$103:$F$114,2,FALSE)</f>
        <v>Soda Caustica</v>
      </c>
      <c r="H1010" s="74">
        <v>20618</v>
      </c>
    </row>
    <row r="1011" spans="1:8" x14ac:dyDescent="0.25">
      <c r="A1011" s="75">
        <v>2023</v>
      </c>
      <c r="B1011" s="76" t="s">
        <v>227</v>
      </c>
      <c r="C1011" s="77" t="s">
        <v>225</v>
      </c>
      <c r="D1011" s="77" t="s">
        <v>178</v>
      </c>
      <c r="E1011" s="73" t="str">
        <f>VLOOKUP(D1011,clientes!$C$3:$D$60,2,FALSE)</f>
        <v>OLIN BLUE CUBE</v>
      </c>
      <c r="F1011" s="77" t="s">
        <v>115</v>
      </c>
      <c r="G1011" s="73" t="str">
        <f>VLOOKUP(F1011,'[2]Lista de Produtos CLASSIFICAÇÃO'!$E$103:$F$114,2,FALSE)</f>
        <v>Soda Caustica</v>
      </c>
      <c r="H1011" s="78">
        <v>20618</v>
      </c>
    </row>
    <row r="1012" spans="1:8" x14ac:dyDescent="0.25">
      <c r="A1012" s="71">
        <v>2023</v>
      </c>
      <c r="B1012" s="72" t="s">
        <v>228</v>
      </c>
      <c r="C1012" s="73" t="s">
        <v>225</v>
      </c>
      <c r="D1012" s="73" t="s">
        <v>178</v>
      </c>
      <c r="E1012" s="73" t="str">
        <f>VLOOKUP(D1012,clientes!$C$3:$D$60,2,FALSE)</f>
        <v>OLIN BLUE CUBE</v>
      </c>
      <c r="F1012" s="73" t="s">
        <v>115</v>
      </c>
      <c r="G1012" s="73" t="str">
        <f>VLOOKUP(F1012,'[2]Lista de Produtos CLASSIFICAÇÃO'!$E$103:$F$114,2,FALSE)</f>
        <v>Soda Caustica</v>
      </c>
      <c r="H1012" s="74">
        <v>20618</v>
      </c>
    </row>
    <row r="1013" spans="1:8" x14ac:dyDescent="0.25">
      <c r="A1013" s="75">
        <v>2023</v>
      </c>
      <c r="B1013" s="76" t="s">
        <v>229</v>
      </c>
      <c r="C1013" s="77" t="s">
        <v>225</v>
      </c>
      <c r="D1013" s="77" t="s">
        <v>178</v>
      </c>
      <c r="E1013" s="73" t="str">
        <f>VLOOKUP(D1013,clientes!$C$3:$D$60,2,FALSE)</f>
        <v>OLIN BLUE CUBE</v>
      </c>
      <c r="F1013" s="77" t="s">
        <v>115</v>
      </c>
      <c r="G1013" s="73" t="str">
        <f>VLOOKUP(F1013,'[2]Lista de Produtos CLASSIFICAÇÃO'!$E$103:$F$114,2,FALSE)</f>
        <v>Soda Caustica</v>
      </c>
      <c r="H1013" s="78">
        <v>20618</v>
      </c>
    </row>
    <row r="1014" spans="1:8" x14ac:dyDescent="0.25">
      <c r="A1014" s="71">
        <v>2023</v>
      </c>
      <c r="B1014" s="72" t="s">
        <v>210</v>
      </c>
      <c r="C1014" s="73" t="s">
        <v>225</v>
      </c>
      <c r="D1014" s="73" t="s">
        <v>178</v>
      </c>
      <c r="E1014" s="73" t="str">
        <f>VLOOKUP(D1014,clientes!$C$3:$D$60,2,FALSE)</f>
        <v>OLIN BLUE CUBE</v>
      </c>
      <c r="F1014" s="73" t="s">
        <v>115</v>
      </c>
      <c r="G1014" s="73" t="str">
        <f>VLOOKUP(F1014,'[2]Lista de Produtos CLASSIFICAÇÃO'!$E$103:$F$114,2,FALSE)</f>
        <v>Soda Caustica</v>
      </c>
      <c r="H1014" s="74">
        <v>20618</v>
      </c>
    </row>
    <row r="1015" spans="1:8" x14ac:dyDescent="0.25">
      <c r="A1015" s="75">
        <v>2023</v>
      </c>
      <c r="B1015" s="76" t="s">
        <v>211</v>
      </c>
      <c r="C1015" s="77" t="s">
        <v>225</v>
      </c>
      <c r="D1015" s="77" t="s">
        <v>178</v>
      </c>
      <c r="E1015" s="73" t="str">
        <f>VLOOKUP(D1015,clientes!$C$3:$D$60,2,FALSE)</f>
        <v>OLIN BLUE CUBE</v>
      </c>
      <c r="F1015" s="77" t="s">
        <v>115</v>
      </c>
      <c r="G1015" s="73" t="str">
        <f>VLOOKUP(F1015,'[2]Lista de Produtos CLASSIFICAÇÃO'!$E$103:$F$114,2,FALSE)</f>
        <v>Soda Caustica</v>
      </c>
      <c r="H1015" s="78">
        <v>20618</v>
      </c>
    </row>
    <row r="1016" spans="1:8" x14ac:dyDescent="0.25">
      <c r="A1016" s="71">
        <v>2023</v>
      </c>
      <c r="B1016" s="72" t="s">
        <v>212</v>
      </c>
      <c r="C1016" s="73" t="s">
        <v>225</v>
      </c>
      <c r="D1016" s="73" t="s">
        <v>178</v>
      </c>
      <c r="E1016" s="73" t="str">
        <f>VLOOKUP(D1016,clientes!$C$3:$D$60,2,FALSE)</f>
        <v>OLIN BLUE CUBE</v>
      </c>
      <c r="F1016" s="73" t="s">
        <v>115</v>
      </c>
      <c r="G1016" s="73" t="str">
        <f>VLOOKUP(F1016,'[2]Lista de Produtos CLASSIFICAÇÃO'!$E$103:$F$114,2,FALSE)</f>
        <v>Soda Caustica</v>
      </c>
      <c r="H1016" s="74">
        <v>20618</v>
      </c>
    </row>
    <row r="1017" spans="1:8" x14ac:dyDescent="0.25">
      <c r="A1017" s="75">
        <v>2023</v>
      </c>
      <c r="B1017" s="76" t="s">
        <v>213</v>
      </c>
      <c r="C1017" s="77" t="s">
        <v>225</v>
      </c>
      <c r="D1017" s="77" t="s">
        <v>178</v>
      </c>
      <c r="E1017" s="73" t="str">
        <f>VLOOKUP(D1017,clientes!$C$3:$D$60,2,FALSE)</f>
        <v>OLIN BLUE CUBE</v>
      </c>
      <c r="F1017" s="77" t="s">
        <v>115</v>
      </c>
      <c r="G1017" s="73" t="str">
        <f>VLOOKUP(F1017,'[2]Lista de Produtos CLASSIFICAÇÃO'!$E$103:$F$114,2,FALSE)</f>
        <v>Soda Caustica</v>
      </c>
      <c r="H1017" s="78">
        <v>20618</v>
      </c>
    </row>
    <row r="1018" spans="1:8" x14ac:dyDescent="0.25">
      <c r="A1018" s="71">
        <v>2023</v>
      </c>
      <c r="B1018" s="72" t="s">
        <v>214</v>
      </c>
      <c r="C1018" s="73" t="s">
        <v>225</v>
      </c>
      <c r="D1018" s="73" t="s">
        <v>178</v>
      </c>
      <c r="E1018" s="73" t="str">
        <f>VLOOKUP(D1018,clientes!$C$3:$D$60,2,FALSE)</f>
        <v>OLIN BLUE CUBE</v>
      </c>
      <c r="F1018" s="73" t="s">
        <v>115</v>
      </c>
      <c r="G1018" s="73" t="str">
        <f>VLOOKUP(F1018,'[2]Lista de Produtos CLASSIFICAÇÃO'!$E$103:$F$114,2,FALSE)</f>
        <v>Soda Caustica</v>
      </c>
      <c r="H1018" s="74">
        <v>20618</v>
      </c>
    </row>
    <row r="1019" spans="1:8" x14ac:dyDescent="0.25">
      <c r="A1019" s="75">
        <v>2023</v>
      </c>
      <c r="B1019" s="76" t="s">
        <v>215</v>
      </c>
      <c r="C1019" s="77" t="s">
        <v>225</v>
      </c>
      <c r="D1019" s="77" t="s">
        <v>178</v>
      </c>
      <c r="E1019" s="73" t="str">
        <f>VLOOKUP(D1019,clientes!$C$3:$D$60,2,FALSE)</f>
        <v>OLIN BLUE CUBE</v>
      </c>
      <c r="F1019" s="77" t="s">
        <v>115</v>
      </c>
      <c r="G1019" s="73" t="str">
        <f>VLOOKUP(F1019,'[2]Lista de Produtos CLASSIFICAÇÃO'!$E$103:$F$114,2,FALSE)</f>
        <v>Soda Caustica</v>
      </c>
      <c r="H1019" s="78">
        <v>20618</v>
      </c>
    </row>
    <row r="1020" spans="1:8" x14ac:dyDescent="0.25">
      <c r="A1020" s="71">
        <v>2023</v>
      </c>
      <c r="B1020" s="72" t="s">
        <v>230</v>
      </c>
      <c r="C1020" s="73" t="s">
        <v>225</v>
      </c>
      <c r="D1020" s="73" t="s">
        <v>178</v>
      </c>
      <c r="E1020" s="73" t="str">
        <f>VLOOKUP(D1020,clientes!$C$3:$D$60,2,FALSE)</f>
        <v>OLIN BLUE CUBE</v>
      </c>
      <c r="F1020" s="73" t="s">
        <v>115</v>
      </c>
      <c r="G1020" s="73" t="str">
        <f>VLOOKUP(F1020,'[2]Lista de Produtos CLASSIFICAÇÃO'!$E$103:$F$114,2,FALSE)</f>
        <v>Soda Caustica</v>
      </c>
      <c r="H1020" s="74">
        <v>20618</v>
      </c>
    </row>
    <row r="1021" spans="1:8" x14ac:dyDescent="0.25">
      <c r="A1021" s="75">
        <v>2023</v>
      </c>
      <c r="B1021" s="76" t="s">
        <v>231</v>
      </c>
      <c r="C1021" s="77" t="s">
        <v>225</v>
      </c>
      <c r="D1021" s="77" t="s">
        <v>178</v>
      </c>
      <c r="E1021" s="73" t="str">
        <f>VLOOKUP(D1021,clientes!$C$3:$D$60,2,FALSE)</f>
        <v>OLIN BLUE CUBE</v>
      </c>
      <c r="F1021" s="77" t="s">
        <v>115</v>
      </c>
      <c r="G1021" s="73" t="str">
        <f>VLOOKUP(F1021,'[2]Lista de Produtos CLASSIFICAÇÃO'!$E$103:$F$114,2,FALSE)</f>
        <v>Soda Caustica</v>
      </c>
      <c r="H1021" s="78">
        <v>20618</v>
      </c>
    </row>
    <row r="1022" spans="1:8" x14ac:dyDescent="0.25">
      <c r="A1022" s="71">
        <v>2023</v>
      </c>
      <c r="B1022" s="72" t="s">
        <v>226</v>
      </c>
      <c r="C1022" s="73" t="s">
        <v>232</v>
      </c>
      <c r="D1022" s="73" t="s">
        <v>167</v>
      </c>
      <c r="E1022" s="73" t="str">
        <f>VLOOKUP(D1022,clientes!$C$3:$D$60,2,FALSE)</f>
        <v>POOL</v>
      </c>
      <c r="F1022" s="73" t="s">
        <v>122</v>
      </c>
      <c r="G1022" s="73" t="str">
        <f>VLOOKUP(F1022,'[2]Lista de Produtos CLASSIFICAÇÃO'!$E$103:$F$114,2,FALSE)</f>
        <v>Óleo Vegetal</v>
      </c>
      <c r="H1022" s="74">
        <v>57819</v>
      </c>
    </row>
    <row r="1023" spans="1:8" x14ac:dyDescent="0.25">
      <c r="A1023" s="75">
        <v>2023</v>
      </c>
      <c r="B1023" s="76" t="s">
        <v>227</v>
      </c>
      <c r="C1023" s="77" t="s">
        <v>232</v>
      </c>
      <c r="D1023" s="77" t="s">
        <v>167</v>
      </c>
      <c r="E1023" s="73" t="str">
        <f>VLOOKUP(D1023,clientes!$C$3:$D$60,2,FALSE)</f>
        <v>POOL</v>
      </c>
      <c r="F1023" s="77" t="s">
        <v>122</v>
      </c>
      <c r="G1023" s="73" t="str">
        <f>VLOOKUP(F1023,'[2]Lista de Produtos CLASSIFICAÇÃO'!$E$103:$F$114,2,FALSE)</f>
        <v>Óleo Vegetal</v>
      </c>
      <c r="H1023" s="78">
        <v>82206</v>
      </c>
    </row>
    <row r="1024" spans="1:8" x14ac:dyDescent="0.25">
      <c r="A1024" s="71">
        <v>2023</v>
      </c>
      <c r="B1024" s="72" t="s">
        <v>228</v>
      </c>
      <c r="C1024" s="73" t="s">
        <v>232</v>
      </c>
      <c r="D1024" s="73" t="s">
        <v>167</v>
      </c>
      <c r="E1024" s="73" t="str">
        <f>VLOOKUP(D1024,clientes!$C$3:$D$60,2,FALSE)</f>
        <v>POOL</v>
      </c>
      <c r="F1024" s="73" t="s">
        <v>122</v>
      </c>
      <c r="G1024" s="73" t="str">
        <f>VLOOKUP(F1024,'[2]Lista de Produtos CLASSIFICAÇÃO'!$E$103:$F$114,2,FALSE)</f>
        <v>Óleo Vegetal</v>
      </c>
      <c r="H1024" s="74">
        <v>121862</v>
      </c>
    </row>
    <row r="1025" spans="1:8" x14ac:dyDescent="0.25">
      <c r="A1025" s="75">
        <v>2023</v>
      </c>
      <c r="B1025" s="76" t="s">
        <v>229</v>
      </c>
      <c r="C1025" s="77" t="s">
        <v>232</v>
      </c>
      <c r="D1025" s="77" t="s">
        <v>167</v>
      </c>
      <c r="E1025" s="73" t="str">
        <f>VLOOKUP(D1025,clientes!$C$3:$D$60,2,FALSE)</f>
        <v>POOL</v>
      </c>
      <c r="F1025" s="77" t="s">
        <v>122</v>
      </c>
      <c r="G1025" s="73" t="str">
        <f>VLOOKUP(F1025,'[2]Lista de Produtos CLASSIFICAÇÃO'!$E$103:$F$114,2,FALSE)</f>
        <v>Óleo Vegetal</v>
      </c>
      <c r="H1025" s="78">
        <v>123584</v>
      </c>
    </row>
    <row r="1026" spans="1:8" x14ac:dyDescent="0.25">
      <c r="A1026" s="71">
        <v>2023</v>
      </c>
      <c r="B1026" s="72" t="s">
        <v>210</v>
      </c>
      <c r="C1026" s="73" t="s">
        <v>232</v>
      </c>
      <c r="D1026" s="73" t="s">
        <v>167</v>
      </c>
      <c r="E1026" s="73" t="str">
        <f>VLOOKUP(D1026,clientes!$C$3:$D$60,2,FALSE)</f>
        <v>POOL</v>
      </c>
      <c r="F1026" s="73" t="s">
        <v>122</v>
      </c>
      <c r="G1026" s="73" t="str">
        <f>VLOOKUP(F1026,'[2]Lista de Produtos CLASSIFICAÇÃO'!$E$103:$F$114,2,FALSE)</f>
        <v>Óleo Vegetal</v>
      </c>
      <c r="H1026" s="74">
        <v>168941</v>
      </c>
    </row>
    <row r="1027" spans="1:8" x14ac:dyDescent="0.25">
      <c r="A1027" s="75">
        <v>2023</v>
      </c>
      <c r="B1027" s="76" t="s">
        <v>211</v>
      </c>
      <c r="C1027" s="77" t="s">
        <v>232</v>
      </c>
      <c r="D1027" s="77" t="s">
        <v>167</v>
      </c>
      <c r="E1027" s="73" t="str">
        <f>VLOOKUP(D1027,clientes!$C$3:$D$60,2,FALSE)</f>
        <v>POOL</v>
      </c>
      <c r="F1027" s="77" t="s">
        <v>122</v>
      </c>
      <c r="G1027" s="73" t="str">
        <f>VLOOKUP(F1027,'[2]Lista de Produtos CLASSIFICAÇÃO'!$E$103:$F$114,2,FALSE)</f>
        <v>Óleo Vegetal</v>
      </c>
      <c r="H1027" s="78">
        <v>93596</v>
      </c>
    </row>
    <row r="1028" spans="1:8" x14ac:dyDescent="0.25">
      <c r="A1028" s="71">
        <v>2023</v>
      </c>
      <c r="B1028" s="72" t="s">
        <v>212</v>
      </c>
      <c r="C1028" s="73" t="s">
        <v>232</v>
      </c>
      <c r="D1028" s="73" t="s">
        <v>167</v>
      </c>
      <c r="E1028" s="73" t="str">
        <f>VLOOKUP(D1028,clientes!$C$3:$D$60,2,FALSE)</f>
        <v>POOL</v>
      </c>
      <c r="F1028" s="73" t="s">
        <v>122</v>
      </c>
      <c r="G1028" s="73" t="str">
        <f>VLOOKUP(F1028,'[2]Lista de Produtos CLASSIFICAÇÃO'!$E$103:$F$114,2,FALSE)</f>
        <v>Óleo Vegetal</v>
      </c>
      <c r="H1028" s="74">
        <v>88846</v>
      </c>
    </row>
    <row r="1029" spans="1:8" x14ac:dyDescent="0.25">
      <c r="A1029" s="75">
        <v>2023</v>
      </c>
      <c r="B1029" s="76" t="s">
        <v>213</v>
      </c>
      <c r="C1029" s="77" t="s">
        <v>232</v>
      </c>
      <c r="D1029" s="77" t="s">
        <v>167</v>
      </c>
      <c r="E1029" s="73" t="str">
        <f>VLOOKUP(D1029,clientes!$C$3:$D$60,2,FALSE)</f>
        <v>POOL</v>
      </c>
      <c r="F1029" s="77" t="s">
        <v>122</v>
      </c>
      <c r="G1029" s="73" t="str">
        <f>VLOOKUP(F1029,'[2]Lista de Produtos CLASSIFICAÇÃO'!$E$103:$F$114,2,FALSE)</f>
        <v>Óleo Vegetal</v>
      </c>
      <c r="H1029" s="78">
        <v>85066</v>
      </c>
    </row>
    <row r="1030" spans="1:8" x14ac:dyDescent="0.25">
      <c r="A1030" s="71">
        <v>2023</v>
      </c>
      <c r="B1030" s="72" t="s">
        <v>214</v>
      </c>
      <c r="C1030" s="73" t="s">
        <v>232</v>
      </c>
      <c r="D1030" s="73" t="s">
        <v>167</v>
      </c>
      <c r="E1030" s="73" t="str">
        <f>VLOOKUP(D1030,clientes!$C$3:$D$60,2,FALSE)</f>
        <v>POOL</v>
      </c>
      <c r="F1030" s="73" t="s">
        <v>122</v>
      </c>
      <c r="G1030" s="73" t="str">
        <f>VLOOKUP(F1030,'[2]Lista de Produtos CLASSIFICAÇÃO'!$E$103:$F$114,2,FALSE)</f>
        <v>Óleo Vegetal</v>
      </c>
      <c r="H1030" s="74">
        <v>85066</v>
      </c>
    </row>
    <row r="1031" spans="1:8" x14ac:dyDescent="0.25">
      <c r="A1031" s="75">
        <v>2023</v>
      </c>
      <c r="B1031" s="76" t="s">
        <v>215</v>
      </c>
      <c r="C1031" s="77" t="s">
        <v>232</v>
      </c>
      <c r="D1031" s="77" t="s">
        <v>167</v>
      </c>
      <c r="E1031" s="73" t="str">
        <f>VLOOKUP(D1031,clientes!$C$3:$D$60,2,FALSE)</f>
        <v>POOL</v>
      </c>
      <c r="F1031" s="77" t="s">
        <v>122</v>
      </c>
      <c r="G1031" s="73" t="str">
        <f>VLOOKUP(F1031,'[2]Lista de Produtos CLASSIFICAÇÃO'!$E$103:$F$114,2,FALSE)</f>
        <v>Óleo Vegetal</v>
      </c>
      <c r="H1031" s="78">
        <v>85066</v>
      </c>
    </row>
    <row r="1032" spans="1:8" x14ac:dyDescent="0.25">
      <c r="A1032" s="71">
        <v>2023</v>
      </c>
      <c r="B1032" s="72" t="s">
        <v>230</v>
      </c>
      <c r="C1032" s="73" t="s">
        <v>232</v>
      </c>
      <c r="D1032" s="73" t="s">
        <v>167</v>
      </c>
      <c r="E1032" s="73" t="str">
        <f>VLOOKUP(D1032,clientes!$C$3:$D$60,2,FALSE)</f>
        <v>POOL</v>
      </c>
      <c r="F1032" s="73" t="s">
        <v>122</v>
      </c>
      <c r="G1032" s="73" t="str">
        <f>VLOOKUP(F1032,'[2]Lista de Produtos CLASSIFICAÇÃO'!$E$103:$F$114,2,FALSE)</f>
        <v>Óleo Vegetal</v>
      </c>
      <c r="H1032" s="74">
        <v>75614</v>
      </c>
    </row>
    <row r="1033" spans="1:8" x14ac:dyDescent="0.25">
      <c r="A1033" s="75">
        <v>2023</v>
      </c>
      <c r="B1033" s="76" t="s">
        <v>231</v>
      </c>
      <c r="C1033" s="77" t="s">
        <v>232</v>
      </c>
      <c r="D1033" s="77" t="s">
        <v>167</v>
      </c>
      <c r="E1033" s="73" t="str">
        <f>VLOOKUP(D1033,clientes!$C$3:$D$60,2,FALSE)</f>
        <v>POOL</v>
      </c>
      <c r="F1033" s="77" t="s">
        <v>122</v>
      </c>
      <c r="G1033" s="73" t="str">
        <f>VLOOKUP(F1033,'[2]Lista de Produtos CLASSIFICAÇÃO'!$E$103:$F$114,2,FALSE)</f>
        <v>Óleo Vegetal</v>
      </c>
      <c r="H1033" s="78">
        <v>66162</v>
      </c>
    </row>
    <row r="1034" spans="1:8" x14ac:dyDescent="0.25">
      <c r="A1034" s="71">
        <v>2023</v>
      </c>
      <c r="B1034" s="72" t="s">
        <v>226</v>
      </c>
      <c r="C1034" s="73" t="s">
        <v>232</v>
      </c>
      <c r="D1034" s="73" t="s">
        <v>168</v>
      </c>
      <c r="E1034" s="73" t="str">
        <f>VLOOKUP(D1034,clientes!$C$3:$D$60,2,FALSE)</f>
        <v>POOL EXCEDENTE</v>
      </c>
      <c r="F1034" s="73" t="s">
        <v>122</v>
      </c>
      <c r="G1034" s="73" t="str">
        <f>VLOOKUP(F1034,'[2]Lista de Produtos CLASSIFICAÇÃO'!$E$103:$F$114,2,FALSE)</f>
        <v>Óleo Vegetal</v>
      </c>
      <c r="H1034" s="74">
        <v>4000</v>
      </c>
    </row>
    <row r="1035" spans="1:8" x14ac:dyDescent="0.25">
      <c r="A1035" s="75">
        <v>2023</v>
      </c>
      <c r="B1035" s="76" t="s">
        <v>227</v>
      </c>
      <c r="C1035" s="77" t="s">
        <v>232</v>
      </c>
      <c r="D1035" s="77" t="s">
        <v>168</v>
      </c>
      <c r="E1035" s="73" t="str">
        <f>VLOOKUP(D1035,clientes!$C$3:$D$60,2,FALSE)</f>
        <v>POOL EXCEDENTE</v>
      </c>
      <c r="F1035" s="77" t="s">
        <v>122</v>
      </c>
      <c r="G1035" s="73" t="str">
        <f>VLOOKUP(F1035,'[2]Lista de Produtos CLASSIFICAÇÃO'!$E$103:$F$114,2,FALSE)</f>
        <v>Óleo Vegetal</v>
      </c>
      <c r="H1035" s="78">
        <v>4000</v>
      </c>
    </row>
    <row r="1036" spans="1:8" x14ac:dyDescent="0.25">
      <c r="A1036" s="71">
        <v>2023</v>
      </c>
      <c r="B1036" s="72" t="s">
        <v>228</v>
      </c>
      <c r="C1036" s="73" t="s">
        <v>232</v>
      </c>
      <c r="D1036" s="73" t="s">
        <v>168</v>
      </c>
      <c r="E1036" s="73" t="str">
        <f>VLOOKUP(D1036,clientes!$C$3:$D$60,2,FALSE)</f>
        <v>POOL EXCEDENTE</v>
      </c>
      <c r="F1036" s="73" t="s">
        <v>122</v>
      </c>
      <c r="G1036" s="73" t="str">
        <f>VLOOKUP(F1036,'[2]Lista de Produtos CLASSIFICAÇÃO'!$E$103:$F$114,2,FALSE)</f>
        <v>Óleo Vegetal</v>
      </c>
      <c r="H1036" s="74">
        <v>4000</v>
      </c>
    </row>
    <row r="1037" spans="1:8" x14ac:dyDescent="0.25">
      <c r="A1037" s="75">
        <v>2023</v>
      </c>
      <c r="B1037" s="76" t="s">
        <v>229</v>
      </c>
      <c r="C1037" s="77" t="s">
        <v>232</v>
      </c>
      <c r="D1037" s="77" t="s">
        <v>168</v>
      </c>
      <c r="E1037" s="73" t="str">
        <f>VLOOKUP(D1037,clientes!$C$3:$D$60,2,FALSE)</f>
        <v>POOL EXCEDENTE</v>
      </c>
      <c r="F1037" s="77" t="s">
        <v>122</v>
      </c>
      <c r="G1037" s="73" t="str">
        <f>VLOOKUP(F1037,'[2]Lista de Produtos CLASSIFICAÇÃO'!$E$103:$F$114,2,FALSE)</f>
        <v>Óleo Vegetal</v>
      </c>
      <c r="H1037" s="78">
        <v>4000</v>
      </c>
    </row>
    <row r="1038" spans="1:8" x14ac:dyDescent="0.25">
      <c r="A1038" s="71">
        <v>2023</v>
      </c>
      <c r="B1038" s="72" t="s">
        <v>210</v>
      </c>
      <c r="C1038" s="73" t="s">
        <v>232</v>
      </c>
      <c r="D1038" s="73" t="s">
        <v>168</v>
      </c>
      <c r="E1038" s="73" t="str">
        <f>VLOOKUP(D1038,clientes!$C$3:$D$60,2,FALSE)</f>
        <v>POOL EXCEDENTE</v>
      </c>
      <c r="F1038" s="73" t="s">
        <v>122</v>
      </c>
      <c r="G1038" s="73" t="str">
        <f>VLOOKUP(F1038,'[2]Lista de Produtos CLASSIFICAÇÃO'!$E$103:$F$114,2,FALSE)</f>
        <v>Óleo Vegetal</v>
      </c>
      <c r="H1038" s="74">
        <v>4000</v>
      </c>
    </row>
    <row r="1039" spans="1:8" x14ac:dyDescent="0.25">
      <c r="A1039" s="75">
        <v>2023</v>
      </c>
      <c r="B1039" s="76" t="s">
        <v>211</v>
      </c>
      <c r="C1039" s="77" t="s">
        <v>232</v>
      </c>
      <c r="D1039" s="77" t="s">
        <v>168</v>
      </c>
      <c r="E1039" s="73" t="str">
        <f>VLOOKUP(D1039,clientes!$C$3:$D$60,2,FALSE)</f>
        <v>POOL EXCEDENTE</v>
      </c>
      <c r="F1039" s="77" t="s">
        <v>122</v>
      </c>
      <c r="G1039" s="73" t="str">
        <f>VLOOKUP(F1039,'[2]Lista de Produtos CLASSIFICAÇÃO'!$E$103:$F$114,2,FALSE)</f>
        <v>Óleo Vegetal</v>
      </c>
      <c r="H1039" s="78">
        <v>4000</v>
      </c>
    </row>
    <row r="1040" spans="1:8" x14ac:dyDescent="0.25">
      <c r="A1040" s="71">
        <v>2023</v>
      </c>
      <c r="B1040" s="72" t="s">
        <v>212</v>
      </c>
      <c r="C1040" s="73" t="s">
        <v>232</v>
      </c>
      <c r="D1040" s="73" t="s">
        <v>168</v>
      </c>
      <c r="E1040" s="73" t="str">
        <f>VLOOKUP(D1040,clientes!$C$3:$D$60,2,FALSE)</f>
        <v>POOL EXCEDENTE</v>
      </c>
      <c r="F1040" s="73" t="s">
        <v>122</v>
      </c>
      <c r="G1040" s="73" t="str">
        <f>VLOOKUP(F1040,'[2]Lista de Produtos CLASSIFICAÇÃO'!$E$103:$F$114,2,FALSE)</f>
        <v>Óleo Vegetal</v>
      </c>
      <c r="H1040" s="74">
        <v>4000</v>
      </c>
    </row>
    <row r="1041" spans="1:8" x14ac:dyDescent="0.25">
      <c r="A1041" s="75">
        <v>2023</v>
      </c>
      <c r="B1041" s="76" t="s">
        <v>213</v>
      </c>
      <c r="C1041" s="77" t="s">
        <v>232</v>
      </c>
      <c r="D1041" s="77" t="s">
        <v>168</v>
      </c>
      <c r="E1041" s="73" t="str">
        <f>VLOOKUP(D1041,clientes!$C$3:$D$60,2,FALSE)</f>
        <v>POOL EXCEDENTE</v>
      </c>
      <c r="F1041" s="77" t="s">
        <v>122</v>
      </c>
      <c r="G1041" s="73" t="str">
        <f>VLOOKUP(F1041,'[2]Lista de Produtos CLASSIFICAÇÃO'!$E$103:$F$114,2,FALSE)</f>
        <v>Óleo Vegetal</v>
      </c>
      <c r="H1041" s="78">
        <v>4000</v>
      </c>
    </row>
    <row r="1042" spans="1:8" x14ac:dyDescent="0.25">
      <c r="A1042" s="71">
        <v>2023</v>
      </c>
      <c r="B1042" s="72" t="s">
        <v>214</v>
      </c>
      <c r="C1042" s="73" t="s">
        <v>232</v>
      </c>
      <c r="D1042" s="73" t="s">
        <v>168</v>
      </c>
      <c r="E1042" s="73" t="str">
        <f>VLOOKUP(D1042,clientes!$C$3:$D$60,2,FALSE)</f>
        <v>POOL EXCEDENTE</v>
      </c>
      <c r="F1042" s="73" t="s">
        <v>122</v>
      </c>
      <c r="G1042" s="73" t="str">
        <f>VLOOKUP(F1042,'[2]Lista de Produtos CLASSIFICAÇÃO'!$E$103:$F$114,2,FALSE)</f>
        <v>Óleo Vegetal</v>
      </c>
      <c r="H1042" s="74">
        <v>4000</v>
      </c>
    </row>
    <row r="1043" spans="1:8" x14ac:dyDescent="0.25">
      <c r="A1043" s="75">
        <v>2023</v>
      </c>
      <c r="B1043" s="76" t="s">
        <v>215</v>
      </c>
      <c r="C1043" s="77" t="s">
        <v>232</v>
      </c>
      <c r="D1043" s="77" t="s">
        <v>168</v>
      </c>
      <c r="E1043" s="73" t="str">
        <f>VLOOKUP(D1043,clientes!$C$3:$D$60,2,FALSE)</f>
        <v>POOL EXCEDENTE</v>
      </c>
      <c r="F1043" s="77" t="s">
        <v>122</v>
      </c>
      <c r="G1043" s="73" t="str">
        <f>VLOOKUP(F1043,'[2]Lista de Produtos CLASSIFICAÇÃO'!$E$103:$F$114,2,FALSE)</f>
        <v>Óleo Vegetal</v>
      </c>
      <c r="H1043" s="78">
        <v>4000</v>
      </c>
    </row>
    <row r="1044" spans="1:8" x14ac:dyDescent="0.25">
      <c r="A1044" s="71">
        <v>2023</v>
      </c>
      <c r="B1044" s="72" t="s">
        <v>230</v>
      </c>
      <c r="C1044" s="73" t="s">
        <v>232</v>
      </c>
      <c r="D1044" s="73" t="s">
        <v>168</v>
      </c>
      <c r="E1044" s="73" t="str">
        <f>VLOOKUP(D1044,clientes!$C$3:$D$60,2,FALSE)</f>
        <v>POOL EXCEDENTE</v>
      </c>
      <c r="F1044" s="73" t="s">
        <v>122</v>
      </c>
      <c r="G1044" s="73" t="str">
        <f>VLOOKUP(F1044,'[2]Lista de Produtos CLASSIFICAÇÃO'!$E$103:$F$114,2,FALSE)</f>
        <v>Óleo Vegetal</v>
      </c>
      <c r="H1044" s="74">
        <v>4000</v>
      </c>
    </row>
    <row r="1045" spans="1:8" x14ac:dyDescent="0.25">
      <c r="A1045" s="75">
        <v>2023</v>
      </c>
      <c r="B1045" s="76" t="s">
        <v>231</v>
      </c>
      <c r="C1045" s="77" t="s">
        <v>232</v>
      </c>
      <c r="D1045" s="77" t="s">
        <v>168</v>
      </c>
      <c r="E1045" s="73" t="str">
        <f>VLOOKUP(D1045,clientes!$C$3:$D$60,2,FALSE)</f>
        <v>POOL EXCEDENTE</v>
      </c>
      <c r="F1045" s="77" t="s">
        <v>122</v>
      </c>
      <c r="G1045" s="73" t="str">
        <f>VLOOKUP(F1045,'[2]Lista de Produtos CLASSIFICAÇÃO'!$E$103:$F$114,2,FALSE)</f>
        <v>Óleo Vegetal</v>
      </c>
      <c r="H1045" s="78">
        <v>4000</v>
      </c>
    </row>
    <row r="1046" spans="1:8" x14ac:dyDescent="0.25">
      <c r="A1046" s="71">
        <v>2023</v>
      </c>
      <c r="B1046" s="72" t="s">
        <v>226</v>
      </c>
      <c r="C1046" s="73" t="s">
        <v>225</v>
      </c>
      <c r="D1046" s="73" t="s">
        <v>195</v>
      </c>
      <c r="E1046" s="73" t="str">
        <f>VLOOKUP(D1046,clientes!$C$3:$D$60,2,FALSE)</f>
        <v>PROJESAN</v>
      </c>
      <c r="F1046" s="73" t="s">
        <v>115</v>
      </c>
      <c r="G1046" s="73" t="str">
        <f>VLOOKUP(F1046,'[2]Lista de Produtos CLASSIFICAÇÃO'!$E$103:$F$114,2,FALSE)</f>
        <v>Soda Caustica</v>
      </c>
      <c r="H1046" s="74">
        <v>1133</v>
      </c>
    </row>
    <row r="1047" spans="1:8" x14ac:dyDescent="0.25">
      <c r="A1047" s="75">
        <v>2023</v>
      </c>
      <c r="B1047" s="76" t="s">
        <v>227</v>
      </c>
      <c r="C1047" s="77" t="s">
        <v>225</v>
      </c>
      <c r="D1047" s="77" t="s">
        <v>195</v>
      </c>
      <c r="E1047" s="73" t="str">
        <f>VLOOKUP(D1047,clientes!$C$3:$D$60,2,FALSE)</f>
        <v>PROJESAN</v>
      </c>
      <c r="F1047" s="77" t="s">
        <v>115</v>
      </c>
      <c r="G1047" s="73" t="str">
        <f>VLOOKUP(F1047,'[2]Lista de Produtos CLASSIFICAÇÃO'!$E$103:$F$114,2,FALSE)</f>
        <v>Soda Caustica</v>
      </c>
      <c r="H1047" s="78">
        <v>1133</v>
      </c>
    </row>
    <row r="1048" spans="1:8" x14ac:dyDescent="0.25">
      <c r="A1048" s="71">
        <v>2023</v>
      </c>
      <c r="B1048" s="72" t="s">
        <v>228</v>
      </c>
      <c r="C1048" s="73" t="s">
        <v>225</v>
      </c>
      <c r="D1048" s="73" t="s">
        <v>195</v>
      </c>
      <c r="E1048" s="73" t="str">
        <f>VLOOKUP(D1048,clientes!$C$3:$D$60,2,FALSE)</f>
        <v>PROJESAN</v>
      </c>
      <c r="F1048" s="73" t="s">
        <v>115</v>
      </c>
      <c r="G1048" s="73" t="str">
        <f>VLOOKUP(F1048,'[2]Lista de Produtos CLASSIFICAÇÃO'!$E$103:$F$114,2,FALSE)</f>
        <v>Soda Caustica</v>
      </c>
      <c r="H1048" s="74">
        <v>1133</v>
      </c>
    </row>
    <row r="1049" spans="1:8" x14ac:dyDescent="0.25">
      <c r="A1049" s="75">
        <v>2023</v>
      </c>
      <c r="B1049" s="76" t="s">
        <v>229</v>
      </c>
      <c r="C1049" s="77" t="s">
        <v>225</v>
      </c>
      <c r="D1049" s="77" t="s">
        <v>195</v>
      </c>
      <c r="E1049" s="73" t="str">
        <f>VLOOKUP(D1049,clientes!$C$3:$D$60,2,FALSE)</f>
        <v>PROJESAN</v>
      </c>
      <c r="F1049" s="77" t="s">
        <v>115</v>
      </c>
      <c r="G1049" s="73" t="str">
        <f>VLOOKUP(F1049,'[2]Lista de Produtos CLASSIFICAÇÃO'!$E$103:$F$114,2,FALSE)</f>
        <v>Soda Caustica</v>
      </c>
      <c r="H1049" s="78">
        <v>1133</v>
      </c>
    </row>
    <row r="1050" spans="1:8" x14ac:dyDescent="0.25">
      <c r="A1050" s="71">
        <v>2023</v>
      </c>
      <c r="B1050" s="72" t="s">
        <v>210</v>
      </c>
      <c r="C1050" s="73" t="s">
        <v>225</v>
      </c>
      <c r="D1050" s="73" t="s">
        <v>195</v>
      </c>
      <c r="E1050" s="73" t="str">
        <f>VLOOKUP(D1050,clientes!$C$3:$D$60,2,FALSE)</f>
        <v>PROJESAN</v>
      </c>
      <c r="F1050" s="73" t="s">
        <v>115</v>
      </c>
      <c r="G1050" s="73" t="str">
        <f>VLOOKUP(F1050,'[2]Lista de Produtos CLASSIFICAÇÃO'!$E$103:$F$114,2,FALSE)</f>
        <v>Soda Caustica</v>
      </c>
      <c r="H1050" s="74">
        <v>1133</v>
      </c>
    </row>
    <row r="1051" spans="1:8" x14ac:dyDescent="0.25">
      <c r="A1051" s="75">
        <v>2023</v>
      </c>
      <c r="B1051" s="76" t="s">
        <v>211</v>
      </c>
      <c r="C1051" s="77" t="s">
        <v>225</v>
      </c>
      <c r="D1051" s="77" t="s">
        <v>195</v>
      </c>
      <c r="E1051" s="73" t="str">
        <f>VLOOKUP(D1051,clientes!$C$3:$D$60,2,FALSE)</f>
        <v>PROJESAN</v>
      </c>
      <c r="F1051" s="77" t="s">
        <v>115</v>
      </c>
      <c r="G1051" s="73" t="str">
        <f>VLOOKUP(F1051,'[2]Lista de Produtos CLASSIFICAÇÃO'!$E$103:$F$114,2,FALSE)</f>
        <v>Soda Caustica</v>
      </c>
      <c r="H1051" s="78">
        <v>1133</v>
      </c>
    </row>
    <row r="1052" spans="1:8" x14ac:dyDescent="0.25">
      <c r="A1052" s="71">
        <v>2023</v>
      </c>
      <c r="B1052" s="72" t="s">
        <v>212</v>
      </c>
      <c r="C1052" s="73" t="s">
        <v>225</v>
      </c>
      <c r="D1052" s="73" t="s">
        <v>195</v>
      </c>
      <c r="E1052" s="73" t="str">
        <f>VLOOKUP(D1052,clientes!$C$3:$D$60,2,FALSE)</f>
        <v>PROJESAN</v>
      </c>
      <c r="F1052" s="73" t="s">
        <v>115</v>
      </c>
      <c r="G1052" s="73" t="str">
        <f>VLOOKUP(F1052,'[2]Lista de Produtos CLASSIFICAÇÃO'!$E$103:$F$114,2,FALSE)</f>
        <v>Soda Caustica</v>
      </c>
      <c r="H1052" s="74">
        <v>1133</v>
      </c>
    </row>
    <row r="1053" spans="1:8" x14ac:dyDescent="0.25">
      <c r="A1053" s="75">
        <v>2023</v>
      </c>
      <c r="B1053" s="76" t="s">
        <v>213</v>
      </c>
      <c r="C1053" s="77" t="s">
        <v>225</v>
      </c>
      <c r="D1053" s="77" t="s">
        <v>195</v>
      </c>
      <c r="E1053" s="73" t="str">
        <f>VLOOKUP(D1053,clientes!$C$3:$D$60,2,FALSE)</f>
        <v>PROJESAN</v>
      </c>
      <c r="F1053" s="77" t="s">
        <v>115</v>
      </c>
      <c r="G1053" s="73" t="str">
        <f>VLOOKUP(F1053,'[2]Lista de Produtos CLASSIFICAÇÃO'!$E$103:$F$114,2,FALSE)</f>
        <v>Soda Caustica</v>
      </c>
      <c r="H1053" s="78">
        <v>1133</v>
      </c>
    </row>
    <row r="1054" spans="1:8" x14ac:dyDescent="0.25">
      <c r="A1054" s="71">
        <v>2023</v>
      </c>
      <c r="B1054" s="72" t="s">
        <v>214</v>
      </c>
      <c r="C1054" s="73" t="s">
        <v>225</v>
      </c>
      <c r="D1054" s="73" t="s">
        <v>195</v>
      </c>
      <c r="E1054" s="73" t="str">
        <f>VLOOKUP(D1054,clientes!$C$3:$D$60,2,FALSE)</f>
        <v>PROJESAN</v>
      </c>
      <c r="F1054" s="73" t="s">
        <v>115</v>
      </c>
      <c r="G1054" s="73" t="str">
        <f>VLOOKUP(F1054,'[2]Lista de Produtos CLASSIFICAÇÃO'!$E$103:$F$114,2,FALSE)</f>
        <v>Soda Caustica</v>
      </c>
      <c r="H1054" s="74">
        <v>1133</v>
      </c>
    </row>
    <row r="1055" spans="1:8" x14ac:dyDescent="0.25">
      <c r="A1055" s="75">
        <v>2023</v>
      </c>
      <c r="B1055" s="76" t="s">
        <v>215</v>
      </c>
      <c r="C1055" s="77" t="s">
        <v>225</v>
      </c>
      <c r="D1055" s="77" t="s">
        <v>195</v>
      </c>
      <c r="E1055" s="73" t="str">
        <f>VLOOKUP(D1055,clientes!$C$3:$D$60,2,FALSE)</f>
        <v>PROJESAN</v>
      </c>
      <c r="F1055" s="77" t="s">
        <v>115</v>
      </c>
      <c r="G1055" s="73" t="str">
        <f>VLOOKUP(F1055,'[2]Lista de Produtos CLASSIFICAÇÃO'!$E$103:$F$114,2,FALSE)</f>
        <v>Soda Caustica</v>
      </c>
      <c r="H1055" s="78">
        <v>1133</v>
      </c>
    </row>
    <row r="1056" spans="1:8" x14ac:dyDescent="0.25">
      <c r="A1056" s="71">
        <v>2023</v>
      </c>
      <c r="B1056" s="72" t="s">
        <v>230</v>
      </c>
      <c r="C1056" s="73" t="s">
        <v>225</v>
      </c>
      <c r="D1056" s="73" t="s">
        <v>195</v>
      </c>
      <c r="E1056" s="73" t="str">
        <f>VLOOKUP(D1056,clientes!$C$3:$D$60,2,FALSE)</f>
        <v>PROJESAN</v>
      </c>
      <c r="F1056" s="73" t="s">
        <v>115</v>
      </c>
      <c r="G1056" s="73" t="str">
        <f>VLOOKUP(F1056,'[2]Lista de Produtos CLASSIFICAÇÃO'!$E$103:$F$114,2,FALSE)</f>
        <v>Soda Caustica</v>
      </c>
      <c r="H1056" s="74">
        <v>1133</v>
      </c>
    </row>
    <row r="1057" spans="1:8" x14ac:dyDescent="0.25">
      <c r="A1057" s="75">
        <v>2023</v>
      </c>
      <c r="B1057" s="76" t="s">
        <v>231</v>
      </c>
      <c r="C1057" s="77" t="s">
        <v>225</v>
      </c>
      <c r="D1057" s="77" t="s">
        <v>195</v>
      </c>
      <c r="E1057" s="73" t="str">
        <f>VLOOKUP(D1057,clientes!$C$3:$D$60,2,FALSE)</f>
        <v>PROJESAN</v>
      </c>
      <c r="F1057" s="77" t="s">
        <v>115</v>
      </c>
      <c r="G1057" s="73" t="str">
        <f>VLOOKUP(F1057,'[2]Lista de Produtos CLASSIFICAÇÃO'!$E$103:$F$114,2,FALSE)</f>
        <v>Soda Caustica</v>
      </c>
      <c r="H1057" s="78">
        <v>1133</v>
      </c>
    </row>
    <row r="1058" spans="1:8" x14ac:dyDescent="0.25">
      <c r="A1058" s="71">
        <v>2023</v>
      </c>
      <c r="B1058" s="72" t="s">
        <v>226</v>
      </c>
      <c r="C1058" s="73" t="s">
        <v>233</v>
      </c>
      <c r="D1058" s="73" t="s">
        <v>159</v>
      </c>
      <c r="E1058" s="73" t="str">
        <f>VLOOKUP(D1058,clientes!$C$3:$D$60,2,FALSE)</f>
        <v>RAIZEN</v>
      </c>
      <c r="F1058" s="73" t="s">
        <v>120</v>
      </c>
      <c r="G1058" s="73" t="str">
        <f>VLOOKUP(F1058,'[2]Lista de Produtos CLASSIFICAÇÃO'!$E$103:$F$114,2,FALSE)</f>
        <v>Derivados</v>
      </c>
      <c r="H1058" s="74">
        <v>65000</v>
      </c>
    </row>
    <row r="1059" spans="1:8" x14ac:dyDescent="0.25">
      <c r="A1059" s="75">
        <v>2023</v>
      </c>
      <c r="B1059" s="76" t="s">
        <v>227</v>
      </c>
      <c r="C1059" s="77" t="s">
        <v>233</v>
      </c>
      <c r="D1059" s="77" t="s">
        <v>159</v>
      </c>
      <c r="E1059" s="73" t="str">
        <f>VLOOKUP(D1059,clientes!$C$3:$D$60,2,FALSE)</f>
        <v>RAIZEN</v>
      </c>
      <c r="F1059" s="77" t="s">
        <v>120</v>
      </c>
      <c r="G1059" s="73" t="str">
        <f>VLOOKUP(F1059,'[2]Lista de Produtos CLASSIFICAÇÃO'!$E$103:$F$114,2,FALSE)</f>
        <v>Derivados</v>
      </c>
      <c r="H1059" s="78">
        <v>65000</v>
      </c>
    </row>
    <row r="1060" spans="1:8" x14ac:dyDescent="0.25">
      <c r="A1060" s="71">
        <v>2023</v>
      </c>
      <c r="B1060" s="72" t="s">
        <v>228</v>
      </c>
      <c r="C1060" s="73" t="s">
        <v>233</v>
      </c>
      <c r="D1060" s="73" t="s">
        <v>159</v>
      </c>
      <c r="E1060" s="73" t="str">
        <f>VLOOKUP(D1060,clientes!$C$3:$D$60,2,FALSE)</f>
        <v>RAIZEN</v>
      </c>
      <c r="F1060" s="73" t="s">
        <v>120</v>
      </c>
      <c r="G1060" s="73" t="str">
        <f>VLOOKUP(F1060,'[2]Lista de Produtos CLASSIFICAÇÃO'!$E$103:$F$114,2,FALSE)</f>
        <v>Derivados</v>
      </c>
      <c r="H1060" s="74">
        <v>65000</v>
      </c>
    </row>
    <row r="1061" spans="1:8" x14ac:dyDescent="0.25">
      <c r="A1061" s="75">
        <v>2023</v>
      </c>
      <c r="B1061" s="76" t="s">
        <v>229</v>
      </c>
      <c r="C1061" s="77" t="s">
        <v>233</v>
      </c>
      <c r="D1061" s="77" t="s">
        <v>159</v>
      </c>
      <c r="E1061" s="73" t="str">
        <f>VLOOKUP(D1061,clientes!$C$3:$D$60,2,FALSE)</f>
        <v>RAIZEN</v>
      </c>
      <c r="F1061" s="77" t="s">
        <v>120</v>
      </c>
      <c r="G1061" s="73" t="str">
        <f>VLOOKUP(F1061,'[2]Lista de Produtos CLASSIFICAÇÃO'!$E$103:$F$114,2,FALSE)</f>
        <v>Derivados</v>
      </c>
      <c r="H1061" s="78">
        <v>65000</v>
      </c>
    </row>
    <row r="1062" spans="1:8" x14ac:dyDescent="0.25">
      <c r="A1062" s="71">
        <v>2023</v>
      </c>
      <c r="B1062" s="72" t="s">
        <v>210</v>
      </c>
      <c r="C1062" s="73" t="s">
        <v>233</v>
      </c>
      <c r="D1062" s="73" t="s">
        <v>159</v>
      </c>
      <c r="E1062" s="73" t="str">
        <f>VLOOKUP(D1062,clientes!$C$3:$D$60,2,FALSE)</f>
        <v>RAIZEN</v>
      </c>
      <c r="F1062" s="73" t="s">
        <v>120</v>
      </c>
      <c r="G1062" s="73" t="str">
        <f>VLOOKUP(F1062,'[2]Lista de Produtos CLASSIFICAÇÃO'!$E$103:$F$114,2,FALSE)</f>
        <v>Derivados</v>
      </c>
      <c r="H1062" s="74">
        <v>65000</v>
      </c>
    </row>
    <row r="1063" spans="1:8" x14ac:dyDescent="0.25">
      <c r="A1063" s="75">
        <v>2023</v>
      </c>
      <c r="B1063" s="76" t="s">
        <v>211</v>
      </c>
      <c r="C1063" s="77" t="s">
        <v>233</v>
      </c>
      <c r="D1063" s="77" t="s">
        <v>159</v>
      </c>
      <c r="E1063" s="73" t="str">
        <f>VLOOKUP(D1063,clientes!$C$3:$D$60,2,FALSE)</f>
        <v>RAIZEN</v>
      </c>
      <c r="F1063" s="77" t="s">
        <v>120</v>
      </c>
      <c r="G1063" s="73" t="str">
        <f>VLOOKUP(F1063,'[2]Lista de Produtos CLASSIFICAÇÃO'!$E$103:$F$114,2,FALSE)</f>
        <v>Derivados</v>
      </c>
      <c r="H1063" s="78">
        <v>65000</v>
      </c>
    </row>
    <row r="1064" spans="1:8" x14ac:dyDescent="0.25">
      <c r="A1064" s="71">
        <v>2023</v>
      </c>
      <c r="B1064" s="72" t="s">
        <v>212</v>
      </c>
      <c r="C1064" s="73" t="s">
        <v>233</v>
      </c>
      <c r="D1064" s="73" t="s">
        <v>159</v>
      </c>
      <c r="E1064" s="73" t="str">
        <f>VLOOKUP(D1064,clientes!$C$3:$D$60,2,FALSE)</f>
        <v>RAIZEN</v>
      </c>
      <c r="F1064" s="73" t="s">
        <v>120</v>
      </c>
      <c r="G1064" s="73" t="str">
        <f>VLOOKUP(F1064,'[2]Lista de Produtos CLASSIFICAÇÃO'!$E$103:$F$114,2,FALSE)</f>
        <v>Derivados</v>
      </c>
      <c r="H1064" s="74">
        <v>65000</v>
      </c>
    </row>
    <row r="1065" spans="1:8" x14ac:dyDescent="0.25">
      <c r="A1065" s="75">
        <v>2023</v>
      </c>
      <c r="B1065" s="76" t="s">
        <v>213</v>
      </c>
      <c r="C1065" s="77" t="s">
        <v>233</v>
      </c>
      <c r="D1065" s="77" t="s">
        <v>159</v>
      </c>
      <c r="E1065" s="73" t="str">
        <f>VLOOKUP(D1065,clientes!$C$3:$D$60,2,FALSE)</f>
        <v>RAIZEN</v>
      </c>
      <c r="F1065" s="77" t="s">
        <v>120</v>
      </c>
      <c r="G1065" s="73" t="str">
        <f>VLOOKUP(F1065,'[2]Lista de Produtos CLASSIFICAÇÃO'!$E$103:$F$114,2,FALSE)</f>
        <v>Derivados</v>
      </c>
      <c r="H1065" s="78">
        <v>65000</v>
      </c>
    </row>
    <row r="1066" spans="1:8" x14ac:dyDescent="0.25">
      <c r="A1066" s="71">
        <v>2023</v>
      </c>
      <c r="B1066" s="72" t="s">
        <v>214</v>
      </c>
      <c r="C1066" s="73" t="s">
        <v>233</v>
      </c>
      <c r="D1066" s="73" t="s">
        <v>159</v>
      </c>
      <c r="E1066" s="73" t="str">
        <f>VLOOKUP(D1066,clientes!$C$3:$D$60,2,FALSE)</f>
        <v>RAIZEN</v>
      </c>
      <c r="F1066" s="73" t="s">
        <v>120</v>
      </c>
      <c r="G1066" s="73" t="str">
        <f>VLOOKUP(F1066,'[2]Lista de Produtos CLASSIFICAÇÃO'!$E$103:$F$114,2,FALSE)</f>
        <v>Derivados</v>
      </c>
      <c r="H1066" s="74">
        <v>65000</v>
      </c>
    </row>
    <row r="1067" spans="1:8" x14ac:dyDescent="0.25">
      <c r="A1067" s="75">
        <v>2023</v>
      </c>
      <c r="B1067" s="76" t="s">
        <v>215</v>
      </c>
      <c r="C1067" s="77" t="s">
        <v>233</v>
      </c>
      <c r="D1067" s="77" t="s">
        <v>159</v>
      </c>
      <c r="E1067" s="73" t="str">
        <f>VLOOKUP(D1067,clientes!$C$3:$D$60,2,FALSE)</f>
        <v>RAIZEN</v>
      </c>
      <c r="F1067" s="77" t="s">
        <v>120</v>
      </c>
      <c r="G1067" s="73" t="str">
        <f>VLOOKUP(F1067,'[2]Lista de Produtos CLASSIFICAÇÃO'!$E$103:$F$114,2,FALSE)</f>
        <v>Derivados</v>
      </c>
      <c r="H1067" s="78">
        <v>65000</v>
      </c>
    </row>
    <row r="1068" spans="1:8" x14ac:dyDescent="0.25">
      <c r="A1068" s="71">
        <v>2023</v>
      </c>
      <c r="B1068" s="72" t="s">
        <v>230</v>
      </c>
      <c r="C1068" s="73" t="s">
        <v>233</v>
      </c>
      <c r="D1068" s="73" t="s">
        <v>159</v>
      </c>
      <c r="E1068" s="73" t="str">
        <f>VLOOKUP(D1068,clientes!$C$3:$D$60,2,FALSE)</f>
        <v>RAIZEN</v>
      </c>
      <c r="F1068" s="73" t="s">
        <v>120</v>
      </c>
      <c r="G1068" s="73" t="str">
        <f>VLOOKUP(F1068,'[2]Lista de Produtos CLASSIFICAÇÃO'!$E$103:$F$114,2,FALSE)</f>
        <v>Derivados</v>
      </c>
      <c r="H1068" s="74">
        <v>65000</v>
      </c>
    </row>
    <row r="1069" spans="1:8" x14ac:dyDescent="0.25">
      <c r="A1069" s="75">
        <v>2023</v>
      </c>
      <c r="B1069" s="76" t="s">
        <v>231</v>
      </c>
      <c r="C1069" s="77" t="s">
        <v>233</v>
      </c>
      <c r="D1069" s="77" t="s">
        <v>159</v>
      </c>
      <c r="E1069" s="73" t="str">
        <f>VLOOKUP(D1069,clientes!$C$3:$D$60,2,FALSE)</f>
        <v>RAIZEN</v>
      </c>
      <c r="F1069" s="77" t="s">
        <v>120</v>
      </c>
      <c r="G1069" s="73" t="str">
        <f>VLOOKUP(F1069,'[2]Lista de Produtos CLASSIFICAÇÃO'!$E$103:$F$114,2,FALSE)</f>
        <v>Derivados</v>
      </c>
      <c r="H1069" s="78">
        <v>65000</v>
      </c>
    </row>
    <row r="1070" spans="1:8" x14ac:dyDescent="0.25">
      <c r="A1070" s="71">
        <v>2023</v>
      </c>
      <c r="B1070" s="72" t="s">
        <v>226</v>
      </c>
      <c r="C1070" s="73" t="s">
        <v>235</v>
      </c>
      <c r="D1070" s="73" t="s">
        <v>196</v>
      </c>
      <c r="E1070" s="73" t="str">
        <f>VLOOKUP(D1070,clientes!$C$3:$D$60,2,FALSE)</f>
        <v>SCC</v>
      </c>
      <c r="F1070" s="73" t="s">
        <v>22</v>
      </c>
      <c r="G1070" s="73" t="str">
        <f>VLOOKUP(F1070,'[2]Lista de Produtos CLASSIFICAÇÃO'!$E$103:$F$114,2,FALSE)</f>
        <v>Metanol</v>
      </c>
      <c r="H1070" s="74">
        <v>85000</v>
      </c>
    </row>
    <row r="1071" spans="1:8" x14ac:dyDescent="0.25">
      <c r="A1071" s="75">
        <v>2023</v>
      </c>
      <c r="B1071" s="76" t="s">
        <v>227</v>
      </c>
      <c r="C1071" s="77" t="s">
        <v>235</v>
      </c>
      <c r="D1071" s="77" t="s">
        <v>196</v>
      </c>
      <c r="E1071" s="73" t="str">
        <f>VLOOKUP(D1071,clientes!$C$3:$D$60,2,FALSE)</f>
        <v>SCC</v>
      </c>
      <c r="F1071" s="77" t="s">
        <v>22</v>
      </c>
      <c r="G1071" s="73" t="str">
        <f>VLOOKUP(F1071,'[2]Lista de Produtos CLASSIFICAÇÃO'!$E$103:$F$114,2,FALSE)</f>
        <v>Metanol</v>
      </c>
      <c r="H1071" s="78">
        <v>85000</v>
      </c>
    </row>
    <row r="1072" spans="1:8" x14ac:dyDescent="0.25">
      <c r="A1072" s="71">
        <v>2023</v>
      </c>
      <c r="B1072" s="72" t="s">
        <v>228</v>
      </c>
      <c r="C1072" s="73" t="s">
        <v>235</v>
      </c>
      <c r="D1072" s="73" t="s">
        <v>196</v>
      </c>
      <c r="E1072" s="73" t="str">
        <f>VLOOKUP(D1072,clientes!$C$3:$D$60,2,FALSE)</f>
        <v>SCC</v>
      </c>
      <c r="F1072" s="73" t="s">
        <v>22</v>
      </c>
      <c r="G1072" s="73" t="str">
        <f>VLOOKUP(F1072,'[2]Lista de Produtos CLASSIFICAÇÃO'!$E$103:$F$114,2,FALSE)</f>
        <v>Metanol</v>
      </c>
      <c r="H1072" s="74">
        <v>85000</v>
      </c>
    </row>
    <row r="1073" spans="1:8" x14ac:dyDescent="0.25">
      <c r="A1073" s="75">
        <v>2023</v>
      </c>
      <c r="B1073" s="76" t="s">
        <v>229</v>
      </c>
      <c r="C1073" s="77" t="s">
        <v>235</v>
      </c>
      <c r="D1073" s="77" t="s">
        <v>196</v>
      </c>
      <c r="E1073" s="73" t="str">
        <f>VLOOKUP(D1073,clientes!$C$3:$D$60,2,FALSE)</f>
        <v>SCC</v>
      </c>
      <c r="F1073" s="77" t="s">
        <v>22</v>
      </c>
      <c r="G1073" s="73" t="str">
        <f>VLOOKUP(F1073,'[2]Lista de Produtos CLASSIFICAÇÃO'!$E$103:$F$114,2,FALSE)</f>
        <v>Metanol</v>
      </c>
      <c r="H1073" s="78">
        <v>85000</v>
      </c>
    </row>
    <row r="1074" spans="1:8" x14ac:dyDescent="0.25">
      <c r="A1074" s="71">
        <v>2023</v>
      </c>
      <c r="B1074" s="72" t="s">
        <v>210</v>
      </c>
      <c r="C1074" s="73" t="s">
        <v>235</v>
      </c>
      <c r="D1074" s="73" t="s">
        <v>196</v>
      </c>
      <c r="E1074" s="73" t="str">
        <f>VLOOKUP(D1074,clientes!$C$3:$D$60,2,FALSE)</f>
        <v>SCC</v>
      </c>
      <c r="F1074" s="73" t="s">
        <v>22</v>
      </c>
      <c r="G1074" s="73" t="str">
        <f>VLOOKUP(F1074,'[2]Lista de Produtos CLASSIFICAÇÃO'!$E$103:$F$114,2,FALSE)</f>
        <v>Metanol</v>
      </c>
      <c r="H1074" s="74">
        <v>85000</v>
      </c>
    </row>
    <row r="1075" spans="1:8" x14ac:dyDescent="0.25">
      <c r="A1075" s="75">
        <v>2023</v>
      </c>
      <c r="B1075" s="76" t="s">
        <v>211</v>
      </c>
      <c r="C1075" s="77" t="s">
        <v>235</v>
      </c>
      <c r="D1075" s="77" t="s">
        <v>196</v>
      </c>
      <c r="E1075" s="73" t="str">
        <f>VLOOKUP(D1075,clientes!$C$3:$D$60,2,FALSE)</f>
        <v>SCC</v>
      </c>
      <c r="F1075" s="77" t="s">
        <v>22</v>
      </c>
      <c r="G1075" s="73" t="str">
        <f>VLOOKUP(F1075,'[2]Lista de Produtos CLASSIFICAÇÃO'!$E$103:$F$114,2,FALSE)</f>
        <v>Metanol</v>
      </c>
      <c r="H1075" s="78">
        <v>85000</v>
      </c>
    </row>
    <row r="1076" spans="1:8" x14ac:dyDescent="0.25">
      <c r="A1076" s="71">
        <v>2023</v>
      </c>
      <c r="B1076" s="72" t="s">
        <v>212</v>
      </c>
      <c r="C1076" s="73" t="s">
        <v>235</v>
      </c>
      <c r="D1076" s="73" t="s">
        <v>196</v>
      </c>
      <c r="E1076" s="73" t="str">
        <f>VLOOKUP(D1076,clientes!$C$3:$D$60,2,FALSE)</f>
        <v>SCC</v>
      </c>
      <c r="F1076" s="73" t="s">
        <v>22</v>
      </c>
      <c r="G1076" s="73" t="str">
        <f>VLOOKUP(F1076,'[2]Lista de Produtos CLASSIFICAÇÃO'!$E$103:$F$114,2,FALSE)</f>
        <v>Metanol</v>
      </c>
      <c r="H1076" s="74">
        <v>85000</v>
      </c>
    </row>
    <row r="1077" spans="1:8" x14ac:dyDescent="0.25">
      <c r="A1077" s="75">
        <v>2023</v>
      </c>
      <c r="B1077" s="76" t="s">
        <v>213</v>
      </c>
      <c r="C1077" s="77" t="s">
        <v>235</v>
      </c>
      <c r="D1077" s="77" t="s">
        <v>196</v>
      </c>
      <c r="E1077" s="73" t="str">
        <f>VLOOKUP(D1077,clientes!$C$3:$D$60,2,FALSE)</f>
        <v>SCC</v>
      </c>
      <c r="F1077" s="77" t="s">
        <v>22</v>
      </c>
      <c r="G1077" s="73" t="str">
        <f>VLOOKUP(F1077,'[2]Lista de Produtos CLASSIFICAÇÃO'!$E$103:$F$114,2,FALSE)</f>
        <v>Metanol</v>
      </c>
      <c r="H1077" s="78">
        <v>85000</v>
      </c>
    </row>
    <row r="1078" spans="1:8" x14ac:dyDescent="0.25">
      <c r="A1078" s="71">
        <v>2023</v>
      </c>
      <c r="B1078" s="72" t="s">
        <v>214</v>
      </c>
      <c r="C1078" s="73" t="s">
        <v>235</v>
      </c>
      <c r="D1078" s="73" t="s">
        <v>196</v>
      </c>
      <c r="E1078" s="73" t="str">
        <f>VLOOKUP(D1078,clientes!$C$3:$D$60,2,FALSE)</f>
        <v>SCC</v>
      </c>
      <c r="F1078" s="73" t="s">
        <v>22</v>
      </c>
      <c r="G1078" s="73" t="str">
        <f>VLOOKUP(F1078,'[2]Lista de Produtos CLASSIFICAÇÃO'!$E$103:$F$114,2,FALSE)</f>
        <v>Metanol</v>
      </c>
      <c r="H1078" s="74">
        <v>85000</v>
      </c>
    </row>
    <row r="1079" spans="1:8" x14ac:dyDescent="0.25">
      <c r="A1079" s="75">
        <v>2023</v>
      </c>
      <c r="B1079" s="76" t="s">
        <v>215</v>
      </c>
      <c r="C1079" s="77" t="s">
        <v>235</v>
      </c>
      <c r="D1079" s="77" t="s">
        <v>196</v>
      </c>
      <c r="E1079" s="73" t="str">
        <f>VLOOKUP(D1079,clientes!$C$3:$D$60,2,FALSE)</f>
        <v>SCC</v>
      </c>
      <c r="F1079" s="77" t="s">
        <v>22</v>
      </c>
      <c r="G1079" s="73" t="str">
        <f>VLOOKUP(F1079,'[2]Lista de Produtos CLASSIFICAÇÃO'!$E$103:$F$114,2,FALSE)</f>
        <v>Metanol</v>
      </c>
      <c r="H1079" s="78">
        <v>85000</v>
      </c>
    </row>
    <row r="1080" spans="1:8" x14ac:dyDescent="0.25">
      <c r="A1080" s="71">
        <v>2023</v>
      </c>
      <c r="B1080" s="72" t="s">
        <v>230</v>
      </c>
      <c r="C1080" s="73" t="s">
        <v>235</v>
      </c>
      <c r="D1080" s="73" t="s">
        <v>196</v>
      </c>
      <c r="E1080" s="73" t="str">
        <f>VLOOKUP(D1080,clientes!$C$3:$D$60,2,FALSE)</f>
        <v>SCC</v>
      </c>
      <c r="F1080" s="73" t="s">
        <v>22</v>
      </c>
      <c r="G1080" s="73" t="str">
        <f>VLOOKUP(F1080,'[2]Lista de Produtos CLASSIFICAÇÃO'!$E$103:$F$114,2,FALSE)</f>
        <v>Metanol</v>
      </c>
      <c r="H1080" s="74">
        <v>85000</v>
      </c>
    </row>
    <row r="1081" spans="1:8" x14ac:dyDescent="0.25">
      <c r="A1081" s="75">
        <v>2023</v>
      </c>
      <c r="B1081" s="76" t="s">
        <v>231</v>
      </c>
      <c r="C1081" s="77" t="s">
        <v>235</v>
      </c>
      <c r="D1081" s="77" t="s">
        <v>196</v>
      </c>
      <c r="E1081" s="73" t="str">
        <f>VLOOKUP(D1081,clientes!$C$3:$D$60,2,FALSE)</f>
        <v>SCC</v>
      </c>
      <c r="F1081" s="77" t="s">
        <v>22</v>
      </c>
      <c r="G1081" s="73" t="str">
        <f>VLOOKUP(F1081,'[2]Lista de Produtos CLASSIFICAÇÃO'!$E$103:$F$114,2,FALSE)</f>
        <v>Metanol</v>
      </c>
      <c r="H1081" s="78">
        <v>85000</v>
      </c>
    </row>
    <row r="1082" spans="1:8" x14ac:dyDescent="0.25">
      <c r="A1082" s="71">
        <v>2023</v>
      </c>
      <c r="B1082" s="72" t="s">
        <v>226</v>
      </c>
      <c r="C1082" s="73" t="s">
        <v>233</v>
      </c>
      <c r="D1082" s="73" t="s">
        <v>161</v>
      </c>
      <c r="E1082" s="73" t="str">
        <f>VLOOKUP(D1082,clientes!$C$3:$D$60,2,FALSE)</f>
        <v>SUL PLATA</v>
      </c>
      <c r="F1082" s="73" t="s">
        <v>120</v>
      </c>
      <c r="G1082" s="73" t="str">
        <f>VLOOKUP(F1082,'[2]Lista de Produtos CLASSIFICAÇÃO'!$E$103:$F$114,2,FALSE)</f>
        <v>Derivados</v>
      </c>
      <c r="H1082" s="74">
        <v>33500</v>
      </c>
    </row>
    <row r="1083" spans="1:8" x14ac:dyDescent="0.25">
      <c r="A1083" s="75">
        <v>2023</v>
      </c>
      <c r="B1083" s="76" t="s">
        <v>227</v>
      </c>
      <c r="C1083" s="77" t="s">
        <v>233</v>
      </c>
      <c r="D1083" s="77" t="s">
        <v>161</v>
      </c>
      <c r="E1083" s="73" t="str">
        <f>VLOOKUP(D1083,clientes!$C$3:$D$60,2,FALSE)</f>
        <v>SUL PLATA</v>
      </c>
      <c r="F1083" s="77" t="s">
        <v>120</v>
      </c>
      <c r="G1083" s="73" t="str">
        <f>VLOOKUP(F1083,'[2]Lista de Produtos CLASSIFICAÇÃO'!$E$103:$F$114,2,FALSE)</f>
        <v>Derivados</v>
      </c>
      <c r="H1083" s="78">
        <v>33500</v>
      </c>
    </row>
    <row r="1084" spans="1:8" x14ac:dyDescent="0.25">
      <c r="A1084" s="71">
        <v>2023</v>
      </c>
      <c r="B1084" s="72" t="s">
        <v>228</v>
      </c>
      <c r="C1084" s="73" t="s">
        <v>233</v>
      </c>
      <c r="D1084" s="73" t="s">
        <v>161</v>
      </c>
      <c r="E1084" s="73" t="str">
        <f>VLOOKUP(D1084,clientes!$C$3:$D$60,2,FALSE)</f>
        <v>SUL PLATA</v>
      </c>
      <c r="F1084" s="73" t="s">
        <v>120</v>
      </c>
      <c r="G1084" s="73" t="str">
        <f>VLOOKUP(F1084,'[2]Lista de Produtos CLASSIFICAÇÃO'!$E$103:$F$114,2,FALSE)</f>
        <v>Derivados</v>
      </c>
      <c r="H1084" s="74">
        <v>33500</v>
      </c>
    </row>
    <row r="1085" spans="1:8" x14ac:dyDescent="0.25">
      <c r="A1085" s="75">
        <v>2023</v>
      </c>
      <c r="B1085" s="76" t="s">
        <v>229</v>
      </c>
      <c r="C1085" s="77" t="s">
        <v>233</v>
      </c>
      <c r="D1085" s="77" t="s">
        <v>161</v>
      </c>
      <c r="E1085" s="73" t="str">
        <f>VLOOKUP(D1085,clientes!$C$3:$D$60,2,FALSE)</f>
        <v>SUL PLATA</v>
      </c>
      <c r="F1085" s="77" t="s">
        <v>120</v>
      </c>
      <c r="G1085" s="73" t="str">
        <f>VLOOKUP(F1085,'[2]Lista de Produtos CLASSIFICAÇÃO'!$E$103:$F$114,2,FALSE)</f>
        <v>Derivados</v>
      </c>
      <c r="H1085" s="78">
        <v>33500</v>
      </c>
    </row>
    <row r="1086" spans="1:8" x14ac:dyDescent="0.25">
      <c r="A1086" s="71">
        <v>2023</v>
      </c>
      <c r="B1086" s="72" t="s">
        <v>210</v>
      </c>
      <c r="C1086" s="73" t="s">
        <v>233</v>
      </c>
      <c r="D1086" s="73" t="s">
        <v>161</v>
      </c>
      <c r="E1086" s="73" t="str">
        <f>VLOOKUP(D1086,clientes!$C$3:$D$60,2,FALSE)</f>
        <v>SUL PLATA</v>
      </c>
      <c r="F1086" s="73" t="s">
        <v>120</v>
      </c>
      <c r="G1086" s="73" t="str">
        <f>VLOOKUP(F1086,'[2]Lista de Produtos CLASSIFICAÇÃO'!$E$103:$F$114,2,FALSE)</f>
        <v>Derivados</v>
      </c>
      <c r="H1086" s="74">
        <v>33500</v>
      </c>
    </row>
    <row r="1087" spans="1:8" x14ac:dyDescent="0.25">
      <c r="A1087" s="75">
        <v>2023</v>
      </c>
      <c r="B1087" s="76" t="s">
        <v>211</v>
      </c>
      <c r="C1087" s="77" t="s">
        <v>233</v>
      </c>
      <c r="D1087" s="77" t="s">
        <v>161</v>
      </c>
      <c r="E1087" s="73" t="str">
        <f>VLOOKUP(D1087,clientes!$C$3:$D$60,2,FALSE)</f>
        <v>SUL PLATA</v>
      </c>
      <c r="F1087" s="77" t="s">
        <v>120</v>
      </c>
      <c r="G1087" s="73" t="str">
        <f>VLOOKUP(F1087,'[2]Lista de Produtos CLASSIFICAÇÃO'!$E$103:$F$114,2,FALSE)</f>
        <v>Derivados</v>
      </c>
      <c r="H1087" s="78">
        <v>33500</v>
      </c>
    </row>
    <row r="1088" spans="1:8" x14ac:dyDescent="0.25">
      <c r="A1088" s="71">
        <v>2023</v>
      </c>
      <c r="B1088" s="72" t="s">
        <v>212</v>
      </c>
      <c r="C1088" s="73" t="s">
        <v>233</v>
      </c>
      <c r="D1088" s="73" t="s">
        <v>161</v>
      </c>
      <c r="E1088" s="73" t="str">
        <f>VLOOKUP(D1088,clientes!$C$3:$D$60,2,FALSE)</f>
        <v>SUL PLATA</v>
      </c>
      <c r="F1088" s="73" t="s">
        <v>120</v>
      </c>
      <c r="G1088" s="73" t="str">
        <f>VLOOKUP(F1088,'[2]Lista de Produtos CLASSIFICAÇÃO'!$E$103:$F$114,2,FALSE)</f>
        <v>Derivados</v>
      </c>
      <c r="H1088" s="74">
        <v>33500</v>
      </c>
    </row>
    <row r="1089" spans="1:8" x14ac:dyDescent="0.25">
      <c r="A1089" s="75">
        <v>2023</v>
      </c>
      <c r="B1089" s="76" t="s">
        <v>213</v>
      </c>
      <c r="C1089" s="77" t="s">
        <v>233</v>
      </c>
      <c r="D1089" s="77" t="s">
        <v>161</v>
      </c>
      <c r="E1089" s="73" t="str">
        <f>VLOOKUP(D1089,clientes!$C$3:$D$60,2,FALSE)</f>
        <v>SUL PLATA</v>
      </c>
      <c r="F1089" s="77" t="s">
        <v>120</v>
      </c>
      <c r="G1089" s="73" t="str">
        <f>VLOOKUP(F1089,'[2]Lista de Produtos CLASSIFICAÇÃO'!$E$103:$F$114,2,FALSE)</f>
        <v>Derivados</v>
      </c>
      <c r="H1089" s="78">
        <v>33500</v>
      </c>
    </row>
    <row r="1090" spans="1:8" x14ac:dyDescent="0.25">
      <c r="A1090" s="71">
        <v>2023</v>
      </c>
      <c r="B1090" s="72" t="s">
        <v>214</v>
      </c>
      <c r="C1090" s="73" t="s">
        <v>233</v>
      </c>
      <c r="D1090" s="73" t="s">
        <v>161</v>
      </c>
      <c r="E1090" s="73" t="str">
        <f>VLOOKUP(D1090,clientes!$C$3:$D$60,2,FALSE)</f>
        <v>SUL PLATA</v>
      </c>
      <c r="F1090" s="73" t="s">
        <v>120</v>
      </c>
      <c r="G1090" s="73" t="str">
        <f>VLOOKUP(F1090,'[2]Lista de Produtos CLASSIFICAÇÃO'!$E$103:$F$114,2,FALSE)</f>
        <v>Derivados</v>
      </c>
      <c r="H1090" s="74">
        <v>33500</v>
      </c>
    </row>
    <row r="1091" spans="1:8" x14ac:dyDescent="0.25">
      <c r="A1091" s="75">
        <v>2023</v>
      </c>
      <c r="B1091" s="76" t="s">
        <v>215</v>
      </c>
      <c r="C1091" s="77" t="s">
        <v>233</v>
      </c>
      <c r="D1091" s="77" t="s">
        <v>161</v>
      </c>
      <c r="E1091" s="73" t="str">
        <f>VLOOKUP(D1091,clientes!$C$3:$D$60,2,FALSE)</f>
        <v>SUL PLATA</v>
      </c>
      <c r="F1091" s="77" t="s">
        <v>120</v>
      </c>
      <c r="G1091" s="73" t="str">
        <f>VLOOKUP(F1091,'[2]Lista de Produtos CLASSIFICAÇÃO'!$E$103:$F$114,2,FALSE)</f>
        <v>Derivados</v>
      </c>
      <c r="H1091" s="78">
        <v>33500</v>
      </c>
    </row>
    <row r="1092" spans="1:8" x14ac:dyDescent="0.25">
      <c r="A1092" s="71">
        <v>2023</v>
      </c>
      <c r="B1092" s="72" t="s">
        <v>230</v>
      </c>
      <c r="C1092" s="73" t="s">
        <v>233</v>
      </c>
      <c r="D1092" s="73" t="s">
        <v>161</v>
      </c>
      <c r="E1092" s="73" t="str">
        <f>VLOOKUP(D1092,clientes!$C$3:$D$60,2,FALSE)</f>
        <v>SUL PLATA</v>
      </c>
      <c r="F1092" s="73" t="s">
        <v>120</v>
      </c>
      <c r="G1092" s="73" t="str">
        <f>VLOOKUP(F1092,'[2]Lista de Produtos CLASSIFICAÇÃO'!$E$103:$F$114,2,FALSE)</f>
        <v>Derivados</v>
      </c>
      <c r="H1092" s="74">
        <v>33500</v>
      </c>
    </row>
    <row r="1093" spans="1:8" x14ac:dyDescent="0.25">
      <c r="A1093" s="75">
        <v>2023</v>
      </c>
      <c r="B1093" s="76" t="s">
        <v>231</v>
      </c>
      <c r="C1093" s="77" t="s">
        <v>233</v>
      </c>
      <c r="D1093" s="77" t="s">
        <v>161</v>
      </c>
      <c r="E1093" s="73" t="str">
        <f>VLOOKUP(D1093,clientes!$C$3:$D$60,2,FALSE)</f>
        <v>SUL PLATA</v>
      </c>
      <c r="F1093" s="77" t="s">
        <v>120</v>
      </c>
      <c r="G1093" s="73" t="str">
        <f>VLOOKUP(F1093,'[2]Lista de Produtos CLASSIFICAÇÃO'!$E$103:$F$114,2,FALSE)</f>
        <v>Derivados</v>
      </c>
      <c r="H1093" s="78">
        <v>33500</v>
      </c>
    </row>
    <row r="1094" spans="1:8" x14ac:dyDescent="0.25">
      <c r="A1094" s="71">
        <v>2023</v>
      </c>
      <c r="B1094" s="72" t="s">
        <v>226</v>
      </c>
      <c r="C1094" s="73" t="s">
        <v>234</v>
      </c>
      <c r="D1094" s="73" t="s">
        <v>198</v>
      </c>
      <c r="E1094" s="73" t="str">
        <f>VLOOKUP(D1094,clientes!$C$3:$D$60,2,FALSE)</f>
        <v>TEREOS / INPASA / GLENCORE</v>
      </c>
      <c r="F1094" s="73" t="s">
        <v>121</v>
      </c>
      <c r="G1094" s="73" t="str">
        <f>VLOOKUP(F1094,'[2]Lista de Produtos CLASSIFICAÇÃO'!$E$103:$F$114,2,FALSE)</f>
        <v>Biocombustíveis</v>
      </c>
      <c r="H1094" s="74">
        <v>0</v>
      </c>
    </row>
    <row r="1095" spans="1:8" x14ac:dyDescent="0.25">
      <c r="A1095" s="75">
        <v>2023</v>
      </c>
      <c r="B1095" s="76" t="s">
        <v>227</v>
      </c>
      <c r="C1095" s="77" t="s">
        <v>234</v>
      </c>
      <c r="D1095" s="77" t="s">
        <v>198</v>
      </c>
      <c r="E1095" s="73" t="str">
        <f>VLOOKUP(D1095,clientes!$C$3:$D$60,2,FALSE)</f>
        <v>TEREOS / INPASA / GLENCORE</v>
      </c>
      <c r="F1095" s="77" t="s">
        <v>121</v>
      </c>
      <c r="G1095" s="73" t="str">
        <f>VLOOKUP(F1095,'[2]Lista de Produtos CLASSIFICAÇÃO'!$E$103:$F$114,2,FALSE)</f>
        <v>Biocombustíveis</v>
      </c>
      <c r="H1095" s="78">
        <v>0</v>
      </c>
    </row>
    <row r="1096" spans="1:8" x14ac:dyDescent="0.25">
      <c r="A1096" s="71">
        <v>2023</v>
      </c>
      <c r="B1096" s="72" t="s">
        <v>228</v>
      </c>
      <c r="C1096" s="73" t="s">
        <v>234</v>
      </c>
      <c r="D1096" s="73" t="s">
        <v>198</v>
      </c>
      <c r="E1096" s="73" t="str">
        <f>VLOOKUP(D1096,clientes!$C$3:$D$60,2,FALSE)</f>
        <v>TEREOS / INPASA / GLENCORE</v>
      </c>
      <c r="F1096" s="73" t="s">
        <v>121</v>
      </c>
      <c r="G1096" s="73" t="str">
        <f>VLOOKUP(F1096,'[2]Lista de Produtos CLASSIFICAÇÃO'!$E$103:$F$114,2,FALSE)</f>
        <v>Biocombustíveis</v>
      </c>
      <c r="H1096" s="74">
        <v>0</v>
      </c>
    </row>
    <row r="1097" spans="1:8" x14ac:dyDescent="0.25">
      <c r="A1097" s="75">
        <v>2023</v>
      </c>
      <c r="B1097" s="76" t="s">
        <v>229</v>
      </c>
      <c r="C1097" s="77" t="s">
        <v>234</v>
      </c>
      <c r="D1097" s="77" t="s">
        <v>198</v>
      </c>
      <c r="E1097" s="73" t="str">
        <f>VLOOKUP(D1097,clientes!$C$3:$D$60,2,FALSE)</f>
        <v>TEREOS / INPASA / GLENCORE</v>
      </c>
      <c r="F1097" s="77" t="s">
        <v>121</v>
      </c>
      <c r="G1097" s="73" t="str">
        <f>VLOOKUP(F1097,'[2]Lista de Produtos CLASSIFICAÇÃO'!$E$103:$F$114,2,FALSE)</f>
        <v>Biocombustíveis</v>
      </c>
      <c r="H1097" s="78">
        <v>0</v>
      </c>
    </row>
    <row r="1098" spans="1:8" x14ac:dyDescent="0.25">
      <c r="A1098" s="71">
        <v>2023</v>
      </c>
      <c r="B1098" s="72" t="s">
        <v>210</v>
      </c>
      <c r="C1098" s="73" t="s">
        <v>234</v>
      </c>
      <c r="D1098" s="73" t="s">
        <v>198</v>
      </c>
      <c r="E1098" s="73" t="str">
        <f>VLOOKUP(D1098,clientes!$C$3:$D$60,2,FALSE)</f>
        <v>TEREOS / INPASA / GLENCORE</v>
      </c>
      <c r="F1098" s="73" t="s">
        <v>121</v>
      </c>
      <c r="G1098" s="73" t="str">
        <f>VLOOKUP(F1098,'[2]Lista de Produtos CLASSIFICAÇÃO'!$E$103:$F$114,2,FALSE)</f>
        <v>Biocombustíveis</v>
      </c>
      <c r="H1098" s="74">
        <v>10000</v>
      </c>
    </row>
    <row r="1099" spans="1:8" x14ac:dyDescent="0.25">
      <c r="A1099" s="75">
        <v>2023</v>
      </c>
      <c r="B1099" s="76" t="s">
        <v>211</v>
      </c>
      <c r="C1099" s="77" t="s">
        <v>234</v>
      </c>
      <c r="D1099" s="77" t="s">
        <v>198</v>
      </c>
      <c r="E1099" s="73" t="str">
        <f>VLOOKUP(D1099,clientes!$C$3:$D$60,2,FALSE)</f>
        <v>TEREOS / INPASA / GLENCORE</v>
      </c>
      <c r="F1099" s="77" t="s">
        <v>121</v>
      </c>
      <c r="G1099" s="73" t="str">
        <f>VLOOKUP(F1099,'[2]Lista de Produtos CLASSIFICAÇÃO'!$E$103:$F$114,2,FALSE)</f>
        <v>Biocombustíveis</v>
      </c>
      <c r="H1099" s="78">
        <v>10000</v>
      </c>
    </row>
    <row r="1100" spans="1:8" x14ac:dyDescent="0.25">
      <c r="A1100" s="71">
        <v>2023</v>
      </c>
      <c r="B1100" s="72" t="s">
        <v>212</v>
      </c>
      <c r="C1100" s="73" t="s">
        <v>234</v>
      </c>
      <c r="D1100" s="73" t="s">
        <v>198</v>
      </c>
      <c r="E1100" s="73" t="str">
        <f>VLOOKUP(D1100,clientes!$C$3:$D$60,2,FALSE)</f>
        <v>TEREOS / INPASA / GLENCORE</v>
      </c>
      <c r="F1100" s="73" t="s">
        <v>121</v>
      </c>
      <c r="G1100" s="73" t="str">
        <f>VLOOKUP(F1100,'[2]Lista de Produtos CLASSIFICAÇÃO'!$E$103:$F$114,2,FALSE)</f>
        <v>Biocombustíveis</v>
      </c>
      <c r="H1100" s="74">
        <v>10000</v>
      </c>
    </row>
    <row r="1101" spans="1:8" x14ac:dyDescent="0.25">
      <c r="A1101" s="75">
        <v>2023</v>
      </c>
      <c r="B1101" s="76" t="s">
        <v>213</v>
      </c>
      <c r="C1101" s="77" t="s">
        <v>234</v>
      </c>
      <c r="D1101" s="77" t="s">
        <v>198</v>
      </c>
      <c r="E1101" s="73" t="str">
        <f>VLOOKUP(D1101,clientes!$C$3:$D$60,2,FALSE)</f>
        <v>TEREOS / INPASA / GLENCORE</v>
      </c>
      <c r="F1101" s="77" t="s">
        <v>121</v>
      </c>
      <c r="G1101" s="73" t="str">
        <f>VLOOKUP(F1101,'[2]Lista de Produtos CLASSIFICAÇÃO'!$E$103:$F$114,2,FALSE)</f>
        <v>Biocombustíveis</v>
      </c>
      <c r="H1101" s="78">
        <v>10000</v>
      </c>
    </row>
    <row r="1102" spans="1:8" x14ac:dyDescent="0.25">
      <c r="A1102" s="71">
        <v>2023</v>
      </c>
      <c r="B1102" s="72" t="s">
        <v>214</v>
      </c>
      <c r="C1102" s="73" t="s">
        <v>234</v>
      </c>
      <c r="D1102" s="73" t="s">
        <v>198</v>
      </c>
      <c r="E1102" s="73" t="str">
        <f>VLOOKUP(D1102,clientes!$C$3:$D$60,2,FALSE)</f>
        <v>TEREOS / INPASA / GLENCORE</v>
      </c>
      <c r="F1102" s="73" t="s">
        <v>121</v>
      </c>
      <c r="G1102" s="73" t="str">
        <f>VLOOKUP(F1102,'[2]Lista de Produtos CLASSIFICAÇÃO'!$E$103:$F$114,2,FALSE)</f>
        <v>Biocombustíveis</v>
      </c>
      <c r="H1102" s="74">
        <v>10000</v>
      </c>
    </row>
    <row r="1103" spans="1:8" x14ac:dyDescent="0.25">
      <c r="A1103" s="75">
        <v>2023</v>
      </c>
      <c r="B1103" s="76" t="s">
        <v>215</v>
      </c>
      <c r="C1103" s="77" t="s">
        <v>234</v>
      </c>
      <c r="D1103" s="77" t="s">
        <v>198</v>
      </c>
      <c r="E1103" s="73" t="str">
        <f>VLOOKUP(D1103,clientes!$C$3:$D$60,2,FALSE)</f>
        <v>TEREOS / INPASA / GLENCORE</v>
      </c>
      <c r="F1103" s="77" t="s">
        <v>121</v>
      </c>
      <c r="G1103" s="73" t="str">
        <f>VLOOKUP(F1103,'[2]Lista de Produtos CLASSIFICAÇÃO'!$E$103:$F$114,2,FALSE)</f>
        <v>Biocombustíveis</v>
      </c>
      <c r="H1103" s="78">
        <v>10000</v>
      </c>
    </row>
    <row r="1104" spans="1:8" x14ac:dyDescent="0.25">
      <c r="A1104" s="71">
        <v>2023</v>
      </c>
      <c r="B1104" s="72" t="s">
        <v>230</v>
      </c>
      <c r="C1104" s="73" t="s">
        <v>234</v>
      </c>
      <c r="D1104" s="73" t="s">
        <v>198</v>
      </c>
      <c r="E1104" s="73" t="str">
        <f>VLOOKUP(D1104,clientes!$C$3:$D$60,2,FALSE)</f>
        <v>TEREOS / INPASA / GLENCORE</v>
      </c>
      <c r="F1104" s="73" t="s">
        <v>121</v>
      </c>
      <c r="G1104" s="73" t="str">
        <f>VLOOKUP(F1104,'[2]Lista de Produtos CLASSIFICAÇÃO'!$E$103:$F$114,2,FALSE)</f>
        <v>Biocombustíveis</v>
      </c>
      <c r="H1104" s="74">
        <v>0</v>
      </c>
    </row>
    <row r="1105" spans="1:8" x14ac:dyDescent="0.25">
      <c r="A1105" s="75">
        <v>2023</v>
      </c>
      <c r="B1105" s="76" t="s">
        <v>231</v>
      </c>
      <c r="C1105" s="77" t="s">
        <v>234</v>
      </c>
      <c r="D1105" s="77" t="s">
        <v>198</v>
      </c>
      <c r="E1105" s="73" t="str">
        <f>VLOOKUP(D1105,clientes!$C$3:$D$60,2,FALSE)</f>
        <v>TEREOS / INPASA / GLENCORE</v>
      </c>
      <c r="F1105" s="77" t="s">
        <v>121</v>
      </c>
      <c r="G1105" s="73" t="str">
        <f>VLOOKUP(F1105,'[2]Lista de Produtos CLASSIFICAÇÃO'!$E$103:$F$114,2,FALSE)</f>
        <v>Biocombustíveis</v>
      </c>
      <c r="H1105" s="78">
        <v>0</v>
      </c>
    </row>
    <row r="1106" spans="1:8" x14ac:dyDescent="0.25">
      <c r="A1106" s="71">
        <v>2023</v>
      </c>
      <c r="B1106" s="72" t="s">
        <v>226</v>
      </c>
      <c r="C1106" s="73" t="s">
        <v>225</v>
      </c>
      <c r="D1106" s="73" t="s">
        <v>180</v>
      </c>
      <c r="E1106" s="73" t="str">
        <f>VLOOKUP(D1106,clientes!$C$3:$D$60,2,FALSE)</f>
        <v>TRICHEM</v>
      </c>
      <c r="F1106" s="73" t="s">
        <v>30</v>
      </c>
      <c r="G1106" s="73" t="str">
        <f>VLOOKUP(F1106,'[2]Lista de Produtos CLASSIFICAÇÃO'!$E$103:$F$114,2,FALSE)</f>
        <v>Outros</v>
      </c>
      <c r="H1106" s="74">
        <v>1800</v>
      </c>
    </row>
    <row r="1107" spans="1:8" x14ac:dyDescent="0.25">
      <c r="A1107" s="75">
        <v>2023</v>
      </c>
      <c r="B1107" s="76" t="s">
        <v>227</v>
      </c>
      <c r="C1107" s="77" t="s">
        <v>225</v>
      </c>
      <c r="D1107" s="77" t="s">
        <v>180</v>
      </c>
      <c r="E1107" s="73" t="str">
        <f>VLOOKUP(D1107,clientes!$C$3:$D$60,2,FALSE)</f>
        <v>TRICHEM</v>
      </c>
      <c r="F1107" s="77" t="s">
        <v>30</v>
      </c>
      <c r="G1107" s="73" t="str">
        <f>VLOOKUP(F1107,'[2]Lista de Produtos CLASSIFICAÇÃO'!$E$103:$F$114,2,FALSE)</f>
        <v>Outros</v>
      </c>
      <c r="H1107" s="78">
        <v>1800</v>
      </c>
    </row>
    <row r="1108" spans="1:8" x14ac:dyDescent="0.25">
      <c r="A1108" s="71">
        <v>2023</v>
      </c>
      <c r="B1108" s="72" t="s">
        <v>228</v>
      </c>
      <c r="C1108" s="73" t="s">
        <v>225</v>
      </c>
      <c r="D1108" s="73" t="s">
        <v>180</v>
      </c>
      <c r="E1108" s="73" t="str">
        <f>VLOOKUP(D1108,clientes!$C$3:$D$60,2,FALSE)</f>
        <v>TRICHEM</v>
      </c>
      <c r="F1108" s="73" t="s">
        <v>30</v>
      </c>
      <c r="G1108" s="73" t="str">
        <f>VLOOKUP(F1108,'[2]Lista de Produtos CLASSIFICAÇÃO'!$E$103:$F$114,2,FALSE)</f>
        <v>Outros</v>
      </c>
      <c r="H1108" s="74">
        <v>1800</v>
      </c>
    </row>
    <row r="1109" spans="1:8" x14ac:dyDescent="0.25">
      <c r="A1109" s="75">
        <v>2023</v>
      </c>
      <c r="B1109" s="76" t="s">
        <v>229</v>
      </c>
      <c r="C1109" s="77" t="s">
        <v>225</v>
      </c>
      <c r="D1109" s="77" t="s">
        <v>180</v>
      </c>
      <c r="E1109" s="73" t="str">
        <f>VLOOKUP(D1109,clientes!$C$3:$D$60,2,FALSE)</f>
        <v>TRICHEM</v>
      </c>
      <c r="F1109" s="77" t="s">
        <v>30</v>
      </c>
      <c r="G1109" s="73" t="str">
        <f>VLOOKUP(F1109,'[2]Lista de Produtos CLASSIFICAÇÃO'!$E$103:$F$114,2,FALSE)</f>
        <v>Outros</v>
      </c>
      <c r="H1109" s="78">
        <v>1800</v>
      </c>
    </row>
    <row r="1110" spans="1:8" x14ac:dyDescent="0.25">
      <c r="A1110" s="71">
        <v>2023</v>
      </c>
      <c r="B1110" s="72" t="s">
        <v>210</v>
      </c>
      <c r="C1110" s="73" t="s">
        <v>225</v>
      </c>
      <c r="D1110" s="73" t="s">
        <v>180</v>
      </c>
      <c r="E1110" s="73" t="str">
        <f>VLOOKUP(D1110,clientes!$C$3:$D$60,2,FALSE)</f>
        <v>TRICHEM</v>
      </c>
      <c r="F1110" s="73" t="s">
        <v>30</v>
      </c>
      <c r="G1110" s="73" t="str">
        <f>VLOOKUP(F1110,'[2]Lista de Produtos CLASSIFICAÇÃO'!$E$103:$F$114,2,FALSE)</f>
        <v>Outros</v>
      </c>
      <c r="H1110" s="74">
        <v>1800</v>
      </c>
    </row>
    <row r="1111" spans="1:8" x14ac:dyDescent="0.25">
      <c r="A1111" s="75">
        <v>2023</v>
      </c>
      <c r="B1111" s="76" t="s">
        <v>211</v>
      </c>
      <c r="C1111" s="77" t="s">
        <v>225</v>
      </c>
      <c r="D1111" s="77" t="s">
        <v>180</v>
      </c>
      <c r="E1111" s="73" t="str">
        <f>VLOOKUP(D1111,clientes!$C$3:$D$60,2,FALSE)</f>
        <v>TRICHEM</v>
      </c>
      <c r="F1111" s="77" t="s">
        <v>30</v>
      </c>
      <c r="G1111" s="73" t="str">
        <f>VLOOKUP(F1111,'[2]Lista de Produtos CLASSIFICAÇÃO'!$E$103:$F$114,2,FALSE)</f>
        <v>Outros</v>
      </c>
      <c r="H1111" s="78">
        <v>1800</v>
      </c>
    </row>
    <row r="1112" spans="1:8" x14ac:dyDescent="0.25">
      <c r="A1112" s="71">
        <v>2023</v>
      </c>
      <c r="B1112" s="72" t="s">
        <v>212</v>
      </c>
      <c r="C1112" s="73" t="s">
        <v>225</v>
      </c>
      <c r="D1112" s="73" t="s">
        <v>180</v>
      </c>
      <c r="E1112" s="73" t="str">
        <f>VLOOKUP(D1112,clientes!$C$3:$D$60,2,FALSE)</f>
        <v>TRICHEM</v>
      </c>
      <c r="F1112" s="73" t="s">
        <v>30</v>
      </c>
      <c r="G1112" s="73" t="str">
        <f>VLOOKUP(F1112,'[2]Lista de Produtos CLASSIFICAÇÃO'!$E$103:$F$114,2,FALSE)</f>
        <v>Outros</v>
      </c>
      <c r="H1112" s="74">
        <v>1800</v>
      </c>
    </row>
    <row r="1113" spans="1:8" x14ac:dyDescent="0.25">
      <c r="A1113" s="75">
        <v>2023</v>
      </c>
      <c r="B1113" s="76" t="s">
        <v>213</v>
      </c>
      <c r="C1113" s="77" t="s">
        <v>225</v>
      </c>
      <c r="D1113" s="77" t="s">
        <v>180</v>
      </c>
      <c r="E1113" s="73" t="str">
        <f>VLOOKUP(D1113,clientes!$C$3:$D$60,2,FALSE)</f>
        <v>TRICHEM</v>
      </c>
      <c r="F1113" s="77" t="s">
        <v>30</v>
      </c>
      <c r="G1113" s="73" t="str">
        <f>VLOOKUP(F1113,'[2]Lista de Produtos CLASSIFICAÇÃO'!$E$103:$F$114,2,FALSE)</f>
        <v>Outros</v>
      </c>
      <c r="H1113" s="78">
        <v>1800</v>
      </c>
    </row>
    <row r="1114" spans="1:8" x14ac:dyDescent="0.25">
      <c r="A1114" s="71">
        <v>2023</v>
      </c>
      <c r="B1114" s="72" t="s">
        <v>214</v>
      </c>
      <c r="C1114" s="73" t="s">
        <v>225</v>
      </c>
      <c r="D1114" s="73" t="s">
        <v>180</v>
      </c>
      <c r="E1114" s="73" t="str">
        <f>VLOOKUP(D1114,clientes!$C$3:$D$60,2,FALSE)</f>
        <v>TRICHEM</v>
      </c>
      <c r="F1114" s="73" t="s">
        <v>30</v>
      </c>
      <c r="G1114" s="73" t="str">
        <f>VLOOKUP(F1114,'[2]Lista de Produtos CLASSIFICAÇÃO'!$E$103:$F$114,2,FALSE)</f>
        <v>Outros</v>
      </c>
      <c r="H1114" s="74">
        <v>1800</v>
      </c>
    </row>
    <row r="1115" spans="1:8" x14ac:dyDescent="0.25">
      <c r="A1115" s="75">
        <v>2023</v>
      </c>
      <c r="B1115" s="76" t="s">
        <v>215</v>
      </c>
      <c r="C1115" s="77" t="s">
        <v>225</v>
      </c>
      <c r="D1115" s="77" t="s">
        <v>180</v>
      </c>
      <c r="E1115" s="73" t="str">
        <f>VLOOKUP(D1115,clientes!$C$3:$D$60,2,FALSE)</f>
        <v>TRICHEM</v>
      </c>
      <c r="F1115" s="77" t="s">
        <v>30</v>
      </c>
      <c r="G1115" s="73" t="str">
        <f>VLOOKUP(F1115,'[2]Lista de Produtos CLASSIFICAÇÃO'!$E$103:$F$114,2,FALSE)</f>
        <v>Outros</v>
      </c>
      <c r="H1115" s="78">
        <v>1800</v>
      </c>
    </row>
    <row r="1116" spans="1:8" x14ac:dyDescent="0.25">
      <c r="A1116" s="71">
        <v>2023</v>
      </c>
      <c r="B1116" s="72" t="s">
        <v>230</v>
      </c>
      <c r="C1116" s="73" t="s">
        <v>225</v>
      </c>
      <c r="D1116" s="73" t="s">
        <v>180</v>
      </c>
      <c r="E1116" s="73" t="str">
        <f>VLOOKUP(D1116,clientes!$C$3:$D$60,2,FALSE)</f>
        <v>TRICHEM</v>
      </c>
      <c r="F1116" s="73" t="s">
        <v>30</v>
      </c>
      <c r="G1116" s="73" t="str">
        <f>VLOOKUP(F1116,'[2]Lista de Produtos CLASSIFICAÇÃO'!$E$103:$F$114,2,FALSE)</f>
        <v>Outros</v>
      </c>
      <c r="H1116" s="74">
        <v>1800</v>
      </c>
    </row>
    <row r="1117" spans="1:8" x14ac:dyDescent="0.25">
      <c r="A1117" s="75">
        <v>2023</v>
      </c>
      <c r="B1117" s="76" t="s">
        <v>231</v>
      </c>
      <c r="C1117" s="77" t="s">
        <v>225</v>
      </c>
      <c r="D1117" s="77" t="s">
        <v>180</v>
      </c>
      <c r="E1117" s="73" t="str">
        <f>VLOOKUP(D1117,clientes!$C$3:$D$60,2,FALSE)</f>
        <v>TRICHEM</v>
      </c>
      <c r="F1117" s="77" t="s">
        <v>30</v>
      </c>
      <c r="G1117" s="73" t="str">
        <f>VLOOKUP(F1117,'[2]Lista de Produtos CLASSIFICAÇÃO'!$E$103:$F$114,2,FALSE)</f>
        <v>Outros</v>
      </c>
      <c r="H1117" s="78">
        <v>1800</v>
      </c>
    </row>
    <row r="1118" spans="1:8" x14ac:dyDescent="0.25">
      <c r="A1118" s="71">
        <v>2023</v>
      </c>
      <c r="B1118" s="72" t="s">
        <v>226</v>
      </c>
      <c r="C1118" s="73" t="s">
        <v>225</v>
      </c>
      <c r="D1118" s="73" t="s">
        <v>163</v>
      </c>
      <c r="E1118" s="73" t="str">
        <f>VLOOKUP(D1118,clientes!$C$3:$D$60,2,FALSE)</f>
        <v>TRICON ENERGY</v>
      </c>
      <c r="F1118" s="73" t="s">
        <v>115</v>
      </c>
      <c r="G1118" s="73" t="str">
        <f>VLOOKUP(F1118,'[2]Lista de Produtos CLASSIFICAÇÃO'!$E$103:$F$114,2,FALSE)</f>
        <v>Soda Caustica</v>
      </c>
      <c r="H1118" s="74">
        <v>9200</v>
      </c>
    </row>
    <row r="1119" spans="1:8" x14ac:dyDescent="0.25">
      <c r="A1119" s="75">
        <v>2023</v>
      </c>
      <c r="B1119" s="76" t="s">
        <v>227</v>
      </c>
      <c r="C1119" s="77" t="s">
        <v>225</v>
      </c>
      <c r="D1119" s="77" t="s">
        <v>163</v>
      </c>
      <c r="E1119" s="73" t="str">
        <f>VLOOKUP(D1119,clientes!$C$3:$D$60,2,FALSE)</f>
        <v>TRICON ENERGY</v>
      </c>
      <c r="F1119" s="77" t="s">
        <v>115</v>
      </c>
      <c r="G1119" s="73" t="str">
        <f>VLOOKUP(F1119,'[2]Lista de Produtos CLASSIFICAÇÃO'!$E$103:$F$114,2,FALSE)</f>
        <v>Soda Caustica</v>
      </c>
      <c r="H1119" s="78">
        <v>9200</v>
      </c>
    </row>
    <row r="1120" spans="1:8" x14ac:dyDescent="0.25">
      <c r="A1120" s="71">
        <v>2023</v>
      </c>
      <c r="B1120" s="72" t="s">
        <v>228</v>
      </c>
      <c r="C1120" s="73" t="s">
        <v>225</v>
      </c>
      <c r="D1120" s="73" t="s">
        <v>163</v>
      </c>
      <c r="E1120" s="73" t="str">
        <f>VLOOKUP(D1120,clientes!$C$3:$D$60,2,FALSE)</f>
        <v>TRICON ENERGY</v>
      </c>
      <c r="F1120" s="73" t="s">
        <v>115</v>
      </c>
      <c r="G1120" s="73" t="str">
        <f>VLOOKUP(F1120,'[2]Lista de Produtos CLASSIFICAÇÃO'!$E$103:$F$114,2,FALSE)</f>
        <v>Soda Caustica</v>
      </c>
      <c r="H1120" s="74">
        <v>9200</v>
      </c>
    </row>
    <row r="1121" spans="1:8" x14ac:dyDescent="0.25">
      <c r="A1121" s="75">
        <v>2023</v>
      </c>
      <c r="B1121" s="76" t="s">
        <v>229</v>
      </c>
      <c r="C1121" s="77" t="s">
        <v>225</v>
      </c>
      <c r="D1121" s="77" t="s">
        <v>163</v>
      </c>
      <c r="E1121" s="73" t="str">
        <f>VLOOKUP(D1121,clientes!$C$3:$D$60,2,FALSE)</f>
        <v>TRICON ENERGY</v>
      </c>
      <c r="F1121" s="77" t="s">
        <v>115</v>
      </c>
      <c r="G1121" s="73" t="str">
        <f>VLOOKUP(F1121,'[2]Lista de Produtos CLASSIFICAÇÃO'!$E$103:$F$114,2,FALSE)</f>
        <v>Soda Caustica</v>
      </c>
      <c r="H1121" s="78">
        <v>9200</v>
      </c>
    </row>
    <row r="1122" spans="1:8" x14ac:dyDescent="0.25">
      <c r="A1122" s="71">
        <v>2023</v>
      </c>
      <c r="B1122" s="72" t="s">
        <v>210</v>
      </c>
      <c r="C1122" s="73" t="s">
        <v>225</v>
      </c>
      <c r="D1122" s="73" t="s">
        <v>163</v>
      </c>
      <c r="E1122" s="73" t="str">
        <f>VLOOKUP(D1122,clientes!$C$3:$D$60,2,FALSE)</f>
        <v>TRICON ENERGY</v>
      </c>
      <c r="F1122" s="73" t="s">
        <v>115</v>
      </c>
      <c r="G1122" s="73" t="str">
        <f>VLOOKUP(F1122,'[2]Lista de Produtos CLASSIFICAÇÃO'!$E$103:$F$114,2,FALSE)</f>
        <v>Soda Caustica</v>
      </c>
      <c r="H1122" s="74">
        <v>9200</v>
      </c>
    </row>
    <row r="1123" spans="1:8" x14ac:dyDescent="0.25">
      <c r="A1123" s="75">
        <v>2023</v>
      </c>
      <c r="B1123" s="76" t="s">
        <v>211</v>
      </c>
      <c r="C1123" s="77" t="s">
        <v>225</v>
      </c>
      <c r="D1123" s="77" t="s">
        <v>163</v>
      </c>
      <c r="E1123" s="73" t="str">
        <f>VLOOKUP(D1123,clientes!$C$3:$D$60,2,FALSE)</f>
        <v>TRICON ENERGY</v>
      </c>
      <c r="F1123" s="77" t="s">
        <v>115</v>
      </c>
      <c r="G1123" s="73" t="str">
        <f>VLOOKUP(F1123,'[2]Lista de Produtos CLASSIFICAÇÃO'!$E$103:$F$114,2,FALSE)</f>
        <v>Soda Caustica</v>
      </c>
      <c r="H1123" s="78">
        <v>9200</v>
      </c>
    </row>
    <row r="1124" spans="1:8" x14ac:dyDescent="0.25">
      <c r="A1124" s="71">
        <v>2023</v>
      </c>
      <c r="B1124" s="72" t="s">
        <v>212</v>
      </c>
      <c r="C1124" s="73" t="s">
        <v>225</v>
      </c>
      <c r="D1124" s="73" t="s">
        <v>163</v>
      </c>
      <c r="E1124" s="73" t="str">
        <f>VLOOKUP(D1124,clientes!$C$3:$D$60,2,FALSE)</f>
        <v>TRICON ENERGY</v>
      </c>
      <c r="F1124" s="73" t="s">
        <v>115</v>
      </c>
      <c r="G1124" s="73" t="str">
        <f>VLOOKUP(F1124,'[2]Lista de Produtos CLASSIFICAÇÃO'!$E$103:$F$114,2,FALSE)</f>
        <v>Soda Caustica</v>
      </c>
      <c r="H1124" s="74">
        <v>9200</v>
      </c>
    </row>
    <row r="1125" spans="1:8" x14ac:dyDescent="0.25">
      <c r="A1125" s="75">
        <v>2023</v>
      </c>
      <c r="B1125" s="76" t="s">
        <v>213</v>
      </c>
      <c r="C1125" s="77" t="s">
        <v>225</v>
      </c>
      <c r="D1125" s="77" t="s">
        <v>163</v>
      </c>
      <c r="E1125" s="73" t="str">
        <f>VLOOKUP(D1125,clientes!$C$3:$D$60,2,FALSE)</f>
        <v>TRICON ENERGY</v>
      </c>
      <c r="F1125" s="77" t="s">
        <v>115</v>
      </c>
      <c r="G1125" s="73" t="str">
        <f>VLOOKUP(F1125,'[2]Lista de Produtos CLASSIFICAÇÃO'!$E$103:$F$114,2,FALSE)</f>
        <v>Soda Caustica</v>
      </c>
      <c r="H1125" s="78">
        <v>9200</v>
      </c>
    </row>
    <row r="1126" spans="1:8" x14ac:dyDescent="0.25">
      <c r="A1126" s="71">
        <v>2023</v>
      </c>
      <c r="B1126" s="72" t="s">
        <v>214</v>
      </c>
      <c r="C1126" s="73" t="s">
        <v>225</v>
      </c>
      <c r="D1126" s="73" t="s">
        <v>163</v>
      </c>
      <c r="E1126" s="73" t="str">
        <f>VLOOKUP(D1126,clientes!$C$3:$D$60,2,FALSE)</f>
        <v>TRICON ENERGY</v>
      </c>
      <c r="F1126" s="73" t="s">
        <v>115</v>
      </c>
      <c r="G1126" s="73" t="str">
        <f>VLOOKUP(F1126,'[2]Lista de Produtos CLASSIFICAÇÃO'!$E$103:$F$114,2,FALSE)</f>
        <v>Soda Caustica</v>
      </c>
      <c r="H1126" s="74">
        <v>9200</v>
      </c>
    </row>
    <row r="1127" spans="1:8" x14ac:dyDescent="0.25">
      <c r="A1127" s="75">
        <v>2023</v>
      </c>
      <c r="B1127" s="76" t="s">
        <v>215</v>
      </c>
      <c r="C1127" s="77" t="s">
        <v>225</v>
      </c>
      <c r="D1127" s="77" t="s">
        <v>163</v>
      </c>
      <c r="E1127" s="73" t="str">
        <f>VLOOKUP(D1127,clientes!$C$3:$D$60,2,FALSE)</f>
        <v>TRICON ENERGY</v>
      </c>
      <c r="F1127" s="77" t="s">
        <v>115</v>
      </c>
      <c r="G1127" s="73" t="str">
        <f>VLOOKUP(F1127,'[2]Lista de Produtos CLASSIFICAÇÃO'!$E$103:$F$114,2,FALSE)</f>
        <v>Soda Caustica</v>
      </c>
      <c r="H1127" s="78">
        <v>9200</v>
      </c>
    </row>
    <row r="1128" spans="1:8" x14ac:dyDescent="0.25">
      <c r="A1128" s="71">
        <v>2023</v>
      </c>
      <c r="B1128" s="72" t="s">
        <v>230</v>
      </c>
      <c r="C1128" s="73" t="s">
        <v>225</v>
      </c>
      <c r="D1128" s="73" t="s">
        <v>163</v>
      </c>
      <c r="E1128" s="73" t="str">
        <f>VLOOKUP(D1128,clientes!$C$3:$D$60,2,FALSE)</f>
        <v>TRICON ENERGY</v>
      </c>
      <c r="F1128" s="73" t="s">
        <v>115</v>
      </c>
      <c r="G1128" s="73" t="str">
        <f>VLOOKUP(F1128,'[2]Lista de Produtos CLASSIFICAÇÃO'!$E$103:$F$114,2,FALSE)</f>
        <v>Soda Caustica</v>
      </c>
      <c r="H1128" s="74">
        <v>9200</v>
      </c>
    </row>
    <row r="1129" spans="1:8" x14ac:dyDescent="0.25">
      <c r="A1129" s="75">
        <v>2023</v>
      </c>
      <c r="B1129" s="76" t="s">
        <v>231</v>
      </c>
      <c r="C1129" s="77" t="s">
        <v>225</v>
      </c>
      <c r="D1129" s="77" t="s">
        <v>163</v>
      </c>
      <c r="E1129" s="73" t="str">
        <f>VLOOKUP(D1129,clientes!$C$3:$D$60,2,FALSE)</f>
        <v>TRICON ENERGY</v>
      </c>
      <c r="F1129" s="77" t="s">
        <v>115</v>
      </c>
      <c r="G1129" s="73" t="str">
        <f>VLOOKUP(F1129,'[2]Lista de Produtos CLASSIFICAÇÃO'!$E$103:$F$114,2,FALSE)</f>
        <v>Soda Caustica</v>
      </c>
      <c r="H1129" s="78">
        <v>9200</v>
      </c>
    </row>
    <row r="1130" spans="1:8" x14ac:dyDescent="0.25">
      <c r="A1130" s="71">
        <v>2023</v>
      </c>
      <c r="B1130" s="72" t="s">
        <v>226</v>
      </c>
      <c r="C1130" s="73" t="s">
        <v>225</v>
      </c>
      <c r="D1130" s="73" t="s">
        <v>160</v>
      </c>
      <c r="E1130" s="73" t="str">
        <f>VLOOKUP(D1130,clientes!$C$3:$D$60,2,FALSE)</f>
        <v>VIBRA</v>
      </c>
      <c r="F1130" s="73" t="s">
        <v>120</v>
      </c>
      <c r="G1130" s="73" t="str">
        <f>VLOOKUP(F1130,'[2]Lista de Produtos CLASSIFICAÇÃO'!$E$103:$F$114,2,FALSE)</f>
        <v>Derivados</v>
      </c>
      <c r="H1130" s="74">
        <v>25000</v>
      </c>
    </row>
    <row r="1131" spans="1:8" x14ac:dyDescent="0.25">
      <c r="A1131" s="75">
        <v>2023</v>
      </c>
      <c r="B1131" s="76" t="s">
        <v>227</v>
      </c>
      <c r="C1131" s="77" t="s">
        <v>225</v>
      </c>
      <c r="D1131" s="77" t="s">
        <v>160</v>
      </c>
      <c r="E1131" s="73" t="str">
        <f>VLOOKUP(D1131,clientes!$C$3:$D$60,2,FALSE)</f>
        <v>VIBRA</v>
      </c>
      <c r="F1131" s="77" t="s">
        <v>120</v>
      </c>
      <c r="G1131" s="73" t="str">
        <f>VLOOKUP(F1131,'[2]Lista de Produtos CLASSIFICAÇÃO'!$E$103:$F$114,2,FALSE)</f>
        <v>Derivados</v>
      </c>
      <c r="H1131" s="78">
        <v>25000</v>
      </c>
    </row>
    <row r="1132" spans="1:8" x14ac:dyDescent="0.25">
      <c r="A1132" s="71">
        <v>2023</v>
      </c>
      <c r="B1132" s="72" t="s">
        <v>228</v>
      </c>
      <c r="C1132" s="73" t="s">
        <v>225</v>
      </c>
      <c r="D1132" s="73" t="s">
        <v>160</v>
      </c>
      <c r="E1132" s="73" t="str">
        <f>VLOOKUP(D1132,clientes!$C$3:$D$60,2,FALSE)</f>
        <v>VIBRA</v>
      </c>
      <c r="F1132" s="73" t="s">
        <v>120</v>
      </c>
      <c r="G1132" s="73" t="str">
        <f>VLOOKUP(F1132,'[2]Lista de Produtos CLASSIFICAÇÃO'!$E$103:$F$114,2,FALSE)</f>
        <v>Derivados</v>
      </c>
      <c r="H1132" s="74">
        <v>25000</v>
      </c>
    </row>
    <row r="1133" spans="1:8" x14ac:dyDescent="0.25">
      <c r="A1133" s="75">
        <v>2023</v>
      </c>
      <c r="B1133" s="76" t="s">
        <v>229</v>
      </c>
      <c r="C1133" s="77" t="s">
        <v>225</v>
      </c>
      <c r="D1133" s="77" t="s">
        <v>160</v>
      </c>
      <c r="E1133" s="73" t="str">
        <f>VLOOKUP(D1133,clientes!$C$3:$D$60,2,FALSE)</f>
        <v>VIBRA</v>
      </c>
      <c r="F1133" s="77" t="s">
        <v>120</v>
      </c>
      <c r="G1133" s="73" t="str">
        <f>VLOOKUP(F1133,'[2]Lista de Produtos CLASSIFICAÇÃO'!$E$103:$F$114,2,FALSE)</f>
        <v>Derivados</v>
      </c>
      <c r="H1133" s="78">
        <v>25000</v>
      </c>
    </row>
    <row r="1134" spans="1:8" x14ac:dyDescent="0.25">
      <c r="A1134" s="71">
        <v>2023</v>
      </c>
      <c r="B1134" s="72" t="s">
        <v>210</v>
      </c>
      <c r="C1134" s="73" t="s">
        <v>225</v>
      </c>
      <c r="D1134" s="73" t="s">
        <v>160</v>
      </c>
      <c r="E1134" s="73" t="str">
        <f>VLOOKUP(D1134,clientes!$C$3:$D$60,2,FALSE)</f>
        <v>VIBRA</v>
      </c>
      <c r="F1134" s="73" t="s">
        <v>120</v>
      </c>
      <c r="G1134" s="73" t="str">
        <f>VLOOKUP(F1134,'[2]Lista de Produtos CLASSIFICAÇÃO'!$E$103:$F$114,2,FALSE)</f>
        <v>Derivados</v>
      </c>
      <c r="H1134" s="74">
        <v>25000</v>
      </c>
    </row>
    <row r="1135" spans="1:8" x14ac:dyDescent="0.25">
      <c r="A1135" s="75">
        <v>2023</v>
      </c>
      <c r="B1135" s="76" t="s">
        <v>211</v>
      </c>
      <c r="C1135" s="77" t="s">
        <v>225</v>
      </c>
      <c r="D1135" s="77" t="s">
        <v>160</v>
      </c>
      <c r="E1135" s="73" t="str">
        <f>VLOOKUP(D1135,clientes!$C$3:$D$60,2,FALSE)</f>
        <v>VIBRA</v>
      </c>
      <c r="F1135" s="77" t="s">
        <v>120</v>
      </c>
      <c r="G1135" s="73" t="str">
        <f>VLOOKUP(F1135,'[2]Lista de Produtos CLASSIFICAÇÃO'!$E$103:$F$114,2,FALSE)</f>
        <v>Derivados</v>
      </c>
      <c r="H1135" s="78">
        <v>25000</v>
      </c>
    </row>
    <row r="1136" spans="1:8" x14ac:dyDescent="0.25">
      <c r="A1136" s="71">
        <v>2023</v>
      </c>
      <c r="B1136" s="72" t="s">
        <v>212</v>
      </c>
      <c r="C1136" s="73" t="s">
        <v>225</v>
      </c>
      <c r="D1136" s="73" t="s">
        <v>160</v>
      </c>
      <c r="E1136" s="73" t="str">
        <f>VLOOKUP(D1136,clientes!$C$3:$D$60,2,FALSE)</f>
        <v>VIBRA</v>
      </c>
      <c r="F1136" s="73" t="s">
        <v>120</v>
      </c>
      <c r="G1136" s="73" t="str">
        <f>VLOOKUP(F1136,'[2]Lista de Produtos CLASSIFICAÇÃO'!$E$103:$F$114,2,FALSE)</f>
        <v>Derivados</v>
      </c>
      <c r="H1136" s="74">
        <v>25000</v>
      </c>
    </row>
    <row r="1137" spans="1:8" x14ac:dyDescent="0.25">
      <c r="A1137" s="75">
        <v>2023</v>
      </c>
      <c r="B1137" s="76" t="s">
        <v>213</v>
      </c>
      <c r="C1137" s="77" t="s">
        <v>225</v>
      </c>
      <c r="D1137" s="77" t="s">
        <v>160</v>
      </c>
      <c r="E1137" s="73" t="str">
        <f>VLOOKUP(D1137,clientes!$C$3:$D$60,2,FALSE)</f>
        <v>VIBRA</v>
      </c>
      <c r="F1137" s="77" t="s">
        <v>120</v>
      </c>
      <c r="G1137" s="73" t="str">
        <f>VLOOKUP(F1137,'[2]Lista de Produtos CLASSIFICAÇÃO'!$E$103:$F$114,2,FALSE)</f>
        <v>Derivados</v>
      </c>
      <c r="H1137" s="78">
        <v>25000</v>
      </c>
    </row>
    <row r="1138" spans="1:8" x14ac:dyDescent="0.25">
      <c r="A1138" s="71">
        <v>2023</v>
      </c>
      <c r="B1138" s="72" t="s">
        <v>214</v>
      </c>
      <c r="C1138" s="73" t="s">
        <v>225</v>
      </c>
      <c r="D1138" s="73" t="s">
        <v>160</v>
      </c>
      <c r="E1138" s="73" t="str">
        <f>VLOOKUP(D1138,clientes!$C$3:$D$60,2,FALSE)</f>
        <v>VIBRA</v>
      </c>
      <c r="F1138" s="73" t="s">
        <v>120</v>
      </c>
      <c r="G1138" s="73" t="str">
        <f>VLOOKUP(F1138,'[2]Lista de Produtos CLASSIFICAÇÃO'!$E$103:$F$114,2,FALSE)</f>
        <v>Derivados</v>
      </c>
      <c r="H1138" s="74">
        <v>25000</v>
      </c>
    </row>
    <row r="1139" spans="1:8" x14ac:dyDescent="0.25">
      <c r="A1139" s="75">
        <v>2023</v>
      </c>
      <c r="B1139" s="76" t="s">
        <v>215</v>
      </c>
      <c r="C1139" s="77" t="s">
        <v>225</v>
      </c>
      <c r="D1139" s="77" t="s">
        <v>160</v>
      </c>
      <c r="E1139" s="73" t="str">
        <f>VLOOKUP(D1139,clientes!$C$3:$D$60,2,FALSE)</f>
        <v>VIBRA</v>
      </c>
      <c r="F1139" s="77" t="s">
        <v>120</v>
      </c>
      <c r="G1139" s="73" t="str">
        <f>VLOOKUP(F1139,'[2]Lista de Produtos CLASSIFICAÇÃO'!$E$103:$F$114,2,FALSE)</f>
        <v>Derivados</v>
      </c>
      <c r="H1139" s="78">
        <v>25000</v>
      </c>
    </row>
    <row r="1140" spans="1:8" x14ac:dyDescent="0.25">
      <c r="A1140" s="71">
        <v>2023</v>
      </c>
      <c r="B1140" s="72" t="s">
        <v>230</v>
      </c>
      <c r="C1140" s="73" t="s">
        <v>225</v>
      </c>
      <c r="D1140" s="73" t="s">
        <v>160</v>
      </c>
      <c r="E1140" s="73" t="str">
        <f>VLOOKUP(D1140,clientes!$C$3:$D$60,2,FALSE)</f>
        <v>VIBRA</v>
      </c>
      <c r="F1140" s="73" t="s">
        <v>120</v>
      </c>
      <c r="G1140" s="73" t="str">
        <f>VLOOKUP(F1140,'[2]Lista de Produtos CLASSIFICAÇÃO'!$E$103:$F$114,2,FALSE)</f>
        <v>Derivados</v>
      </c>
      <c r="H1140" s="74">
        <v>25000</v>
      </c>
    </row>
    <row r="1141" spans="1:8" x14ac:dyDescent="0.25">
      <c r="A1141" s="75">
        <v>2023</v>
      </c>
      <c r="B1141" s="76" t="s">
        <v>231</v>
      </c>
      <c r="C1141" s="77" t="s">
        <v>225</v>
      </c>
      <c r="D1141" s="77" t="s">
        <v>160</v>
      </c>
      <c r="E1141" s="73" t="str">
        <f>VLOOKUP(D1141,clientes!$C$3:$D$60,2,FALSE)</f>
        <v>VIBRA</v>
      </c>
      <c r="F1141" s="77" t="s">
        <v>120</v>
      </c>
      <c r="G1141" s="73" t="str">
        <f>VLOOKUP(F1141,'[2]Lista de Produtos CLASSIFICAÇÃO'!$E$103:$F$114,2,FALSE)</f>
        <v>Derivados</v>
      </c>
      <c r="H1141" s="78">
        <v>25000</v>
      </c>
    </row>
    <row r="1142" spans="1:8" x14ac:dyDescent="0.25">
      <c r="A1142" s="71">
        <v>2023</v>
      </c>
      <c r="B1142" s="72" t="s">
        <v>226</v>
      </c>
      <c r="C1142" s="73" t="s">
        <v>235</v>
      </c>
      <c r="D1142" s="73" t="s">
        <v>173</v>
      </c>
      <c r="E1142" s="73" t="str">
        <f>VLOOKUP(D1142,clientes!$C$3:$D$60,2,FALSE)</f>
        <v>YPF SOCIEDAD ANONIMA</v>
      </c>
      <c r="F1142" s="73" t="s">
        <v>22</v>
      </c>
      <c r="G1142" s="73" t="str">
        <f>VLOOKUP(F1142,'[2]Lista de Produtos CLASSIFICAÇÃO'!$E$103:$F$114,2,FALSE)</f>
        <v>Metanol</v>
      </c>
      <c r="H1142" s="74">
        <v>6900</v>
      </c>
    </row>
    <row r="1143" spans="1:8" x14ac:dyDescent="0.25">
      <c r="A1143" s="75">
        <v>2023</v>
      </c>
      <c r="B1143" s="76" t="s">
        <v>227</v>
      </c>
      <c r="C1143" s="77" t="s">
        <v>235</v>
      </c>
      <c r="D1143" s="77" t="s">
        <v>173</v>
      </c>
      <c r="E1143" s="73" t="str">
        <f>VLOOKUP(D1143,clientes!$C$3:$D$60,2,FALSE)</f>
        <v>YPF SOCIEDAD ANONIMA</v>
      </c>
      <c r="F1143" s="77" t="s">
        <v>22</v>
      </c>
      <c r="G1143" s="73" t="str">
        <f>VLOOKUP(F1143,'[2]Lista de Produtos CLASSIFICAÇÃO'!$E$103:$F$114,2,FALSE)</f>
        <v>Metanol</v>
      </c>
      <c r="H1143" s="78">
        <v>6900</v>
      </c>
    </row>
    <row r="1144" spans="1:8" x14ac:dyDescent="0.25">
      <c r="A1144" s="71">
        <v>2023</v>
      </c>
      <c r="B1144" s="72" t="s">
        <v>228</v>
      </c>
      <c r="C1144" s="73" t="s">
        <v>235</v>
      </c>
      <c r="D1144" s="73" t="s">
        <v>173</v>
      </c>
      <c r="E1144" s="73" t="str">
        <f>VLOOKUP(D1144,clientes!$C$3:$D$60,2,FALSE)</f>
        <v>YPF SOCIEDAD ANONIMA</v>
      </c>
      <c r="F1144" s="73" t="s">
        <v>22</v>
      </c>
      <c r="G1144" s="73" t="str">
        <f>VLOOKUP(F1144,'[2]Lista de Produtos CLASSIFICAÇÃO'!$E$103:$F$114,2,FALSE)</f>
        <v>Metanol</v>
      </c>
      <c r="H1144" s="74">
        <v>6900</v>
      </c>
    </row>
    <row r="1145" spans="1:8" x14ac:dyDescent="0.25">
      <c r="A1145" s="75">
        <v>2023</v>
      </c>
      <c r="B1145" s="76" t="s">
        <v>229</v>
      </c>
      <c r="C1145" s="77" t="s">
        <v>235</v>
      </c>
      <c r="D1145" s="77" t="s">
        <v>173</v>
      </c>
      <c r="E1145" s="73" t="str">
        <f>VLOOKUP(D1145,clientes!$C$3:$D$60,2,FALSE)</f>
        <v>YPF SOCIEDAD ANONIMA</v>
      </c>
      <c r="F1145" s="77" t="s">
        <v>22</v>
      </c>
      <c r="G1145" s="73" t="str">
        <f>VLOOKUP(F1145,'[2]Lista de Produtos CLASSIFICAÇÃO'!$E$103:$F$114,2,FALSE)</f>
        <v>Metanol</v>
      </c>
      <c r="H1145" s="78">
        <v>6900</v>
      </c>
    </row>
    <row r="1146" spans="1:8" x14ac:dyDescent="0.25">
      <c r="A1146" s="71">
        <v>2023</v>
      </c>
      <c r="B1146" s="72" t="s">
        <v>210</v>
      </c>
      <c r="C1146" s="73" t="s">
        <v>235</v>
      </c>
      <c r="D1146" s="73" t="s">
        <v>173</v>
      </c>
      <c r="E1146" s="73" t="str">
        <f>VLOOKUP(D1146,clientes!$C$3:$D$60,2,FALSE)</f>
        <v>YPF SOCIEDAD ANONIMA</v>
      </c>
      <c r="F1146" s="73" t="s">
        <v>22</v>
      </c>
      <c r="G1146" s="73" t="str">
        <f>VLOOKUP(F1146,'[2]Lista de Produtos CLASSIFICAÇÃO'!$E$103:$F$114,2,FALSE)</f>
        <v>Metanol</v>
      </c>
      <c r="H1146" s="74">
        <v>6900</v>
      </c>
    </row>
    <row r="1147" spans="1:8" x14ac:dyDescent="0.25">
      <c r="A1147" s="75">
        <v>2023</v>
      </c>
      <c r="B1147" s="76" t="s">
        <v>211</v>
      </c>
      <c r="C1147" s="77" t="s">
        <v>235</v>
      </c>
      <c r="D1147" s="77" t="s">
        <v>173</v>
      </c>
      <c r="E1147" s="73" t="str">
        <f>VLOOKUP(D1147,clientes!$C$3:$D$60,2,FALSE)</f>
        <v>YPF SOCIEDAD ANONIMA</v>
      </c>
      <c r="F1147" s="77" t="s">
        <v>22</v>
      </c>
      <c r="G1147" s="73" t="str">
        <f>VLOOKUP(F1147,'[2]Lista de Produtos CLASSIFICAÇÃO'!$E$103:$F$114,2,FALSE)</f>
        <v>Metanol</v>
      </c>
      <c r="H1147" s="78">
        <v>6900</v>
      </c>
    </row>
    <row r="1148" spans="1:8" x14ac:dyDescent="0.25">
      <c r="A1148" s="71">
        <v>2023</v>
      </c>
      <c r="B1148" s="72" t="s">
        <v>212</v>
      </c>
      <c r="C1148" s="73" t="s">
        <v>235</v>
      </c>
      <c r="D1148" s="73" t="s">
        <v>173</v>
      </c>
      <c r="E1148" s="73" t="str">
        <f>VLOOKUP(D1148,clientes!$C$3:$D$60,2,FALSE)</f>
        <v>YPF SOCIEDAD ANONIMA</v>
      </c>
      <c r="F1148" s="73" t="s">
        <v>22</v>
      </c>
      <c r="G1148" s="73" t="str">
        <f>VLOOKUP(F1148,'[2]Lista de Produtos CLASSIFICAÇÃO'!$E$103:$F$114,2,FALSE)</f>
        <v>Metanol</v>
      </c>
      <c r="H1148" s="74">
        <v>6900</v>
      </c>
    </row>
    <row r="1149" spans="1:8" x14ac:dyDescent="0.25">
      <c r="A1149" s="75">
        <v>2023</v>
      </c>
      <c r="B1149" s="76" t="s">
        <v>213</v>
      </c>
      <c r="C1149" s="77" t="s">
        <v>235</v>
      </c>
      <c r="D1149" s="77" t="s">
        <v>173</v>
      </c>
      <c r="E1149" s="73" t="str">
        <f>VLOOKUP(D1149,clientes!$C$3:$D$60,2,FALSE)</f>
        <v>YPF SOCIEDAD ANONIMA</v>
      </c>
      <c r="F1149" s="77" t="s">
        <v>22</v>
      </c>
      <c r="G1149" s="73" t="str">
        <f>VLOOKUP(F1149,'[2]Lista de Produtos CLASSIFICAÇÃO'!$E$103:$F$114,2,FALSE)</f>
        <v>Metanol</v>
      </c>
      <c r="H1149" s="78">
        <v>6900</v>
      </c>
    </row>
    <row r="1150" spans="1:8" x14ac:dyDescent="0.25">
      <c r="A1150" s="71">
        <v>2023</v>
      </c>
      <c r="B1150" s="72" t="s">
        <v>214</v>
      </c>
      <c r="C1150" s="73" t="s">
        <v>235</v>
      </c>
      <c r="D1150" s="73" t="s">
        <v>173</v>
      </c>
      <c r="E1150" s="73" t="str">
        <f>VLOOKUP(D1150,clientes!$C$3:$D$60,2,FALSE)</f>
        <v>YPF SOCIEDAD ANONIMA</v>
      </c>
      <c r="F1150" s="73" t="s">
        <v>22</v>
      </c>
      <c r="G1150" s="73" t="str">
        <f>VLOOKUP(F1150,'[2]Lista de Produtos CLASSIFICAÇÃO'!$E$103:$F$114,2,FALSE)</f>
        <v>Metanol</v>
      </c>
      <c r="H1150" s="74">
        <v>6900</v>
      </c>
    </row>
    <row r="1151" spans="1:8" x14ac:dyDescent="0.25">
      <c r="A1151" s="75">
        <v>2023</v>
      </c>
      <c r="B1151" s="76" t="s">
        <v>215</v>
      </c>
      <c r="C1151" s="77" t="s">
        <v>235</v>
      </c>
      <c r="D1151" s="77" t="s">
        <v>173</v>
      </c>
      <c r="E1151" s="73" t="str">
        <f>VLOOKUP(D1151,clientes!$C$3:$D$60,2,FALSE)</f>
        <v>YPF SOCIEDAD ANONIMA</v>
      </c>
      <c r="F1151" s="77" t="s">
        <v>22</v>
      </c>
      <c r="G1151" s="73" t="str">
        <f>VLOOKUP(F1151,'[2]Lista de Produtos CLASSIFICAÇÃO'!$E$103:$F$114,2,FALSE)</f>
        <v>Metanol</v>
      </c>
      <c r="H1151" s="78">
        <v>6900</v>
      </c>
    </row>
    <row r="1152" spans="1:8" x14ac:dyDescent="0.25">
      <c r="A1152" s="71">
        <v>2023</v>
      </c>
      <c r="B1152" s="72" t="s">
        <v>230</v>
      </c>
      <c r="C1152" s="73" t="s">
        <v>235</v>
      </c>
      <c r="D1152" s="73" t="s">
        <v>173</v>
      </c>
      <c r="E1152" s="73" t="str">
        <f>VLOOKUP(D1152,clientes!$C$3:$D$60,2,FALSE)</f>
        <v>YPF SOCIEDAD ANONIMA</v>
      </c>
      <c r="F1152" s="73" t="s">
        <v>22</v>
      </c>
      <c r="G1152" s="73" t="str">
        <f>VLOOKUP(F1152,'[2]Lista de Produtos CLASSIFICAÇÃO'!$E$103:$F$114,2,FALSE)</f>
        <v>Metanol</v>
      </c>
      <c r="H1152" s="74">
        <v>6900</v>
      </c>
    </row>
    <row r="1153" spans="1:8" x14ac:dyDescent="0.25">
      <c r="A1153" s="75">
        <v>2023</v>
      </c>
      <c r="B1153" s="76" t="s">
        <v>231</v>
      </c>
      <c r="C1153" s="77" t="s">
        <v>235</v>
      </c>
      <c r="D1153" s="77" t="s">
        <v>173</v>
      </c>
      <c r="E1153" s="73" t="str">
        <f>VLOOKUP(D1153,clientes!$C$3:$D$60,2,FALSE)</f>
        <v>YPF SOCIEDAD ANONIMA</v>
      </c>
      <c r="F1153" s="77" t="s">
        <v>22</v>
      </c>
      <c r="G1153" s="73" t="str">
        <f>VLOOKUP(F1153,'[2]Lista de Produtos CLASSIFICAÇÃO'!$E$103:$F$114,2,FALSE)</f>
        <v>Metanol</v>
      </c>
      <c r="H1153" s="78">
        <v>6900</v>
      </c>
    </row>
    <row r="1154" spans="1:8" x14ac:dyDescent="0.25">
      <c r="A1154" s="71">
        <v>2024</v>
      </c>
      <c r="B1154" s="72" t="s">
        <v>226</v>
      </c>
      <c r="C1154" s="73" t="s">
        <v>232</v>
      </c>
      <c r="D1154" s="73" t="s">
        <v>175</v>
      </c>
      <c r="E1154" s="73" t="str">
        <f>VLOOKUP(D1154,clientes!$C$3:$D$60,2,FALSE)</f>
        <v>AAK DO BRASIL</v>
      </c>
      <c r="F1154" s="73" t="s">
        <v>123</v>
      </c>
      <c r="G1154" s="73" t="str">
        <f>VLOOKUP(F1154,'[2]Lista de Produtos CLASSIFICAÇÃO'!$E$103:$F$114,2,FALSE)</f>
        <v>Aquecidos</v>
      </c>
      <c r="H1154" s="74">
        <v>4891</v>
      </c>
    </row>
    <row r="1155" spans="1:8" x14ac:dyDescent="0.25">
      <c r="A1155" s="75">
        <v>2024</v>
      </c>
      <c r="B1155" s="76" t="s">
        <v>227</v>
      </c>
      <c r="C1155" s="77" t="s">
        <v>232</v>
      </c>
      <c r="D1155" s="77" t="s">
        <v>175</v>
      </c>
      <c r="E1155" s="73" t="str">
        <f>VLOOKUP(D1155,clientes!$C$3:$D$60,2,FALSE)</f>
        <v>AAK DO BRASIL</v>
      </c>
      <c r="F1155" s="77" t="s">
        <v>123</v>
      </c>
      <c r="G1155" s="73" t="str">
        <f>VLOOKUP(F1155,'[2]Lista de Produtos CLASSIFICAÇÃO'!$E$103:$F$114,2,FALSE)</f>
        <v>Aquecidos</v>
      </c>
      <c r="H1155" s="78">
        <v>4891</v>
      </c>
    </row>
    <row r="1156" spans="1:8" x14ac:dyDescent="0.25">
      <c r="A1156" s="71">
        <v>2024</v>
      </c>
      <c r="B1156" s="72" t="s">
        <v>228</v>
      </c>
      <c r="C1156" s="73" t="s">
        <v>232</v>
      </c>
      <c r="D1156" s="73" t="s">
        <v>175</v>
      </c>
      <c r="E1156" s="73" t="str">
        <f>VLOOKUP(D1156,clientes!$C$3:$D$60,2,FALSE)</f>
        <v>AAK DO BRASIL</v>
      </c>
      <c r="F1156" s="73" t="s">
        <v>123</v>
      </c>
      <c r="G1156" s="73" t="str">
        <f>VLOOKUP(F1156,'[2]Lista de Produtos CLASSIFICAÇÃO'!$E$103:$F$114,2,FALSE)</f>
        <v>Aquecidos</v>
      </c>
      <c r="H1156" s="74">
        <v>4891</v>
      </c>
    </row>
    <row r="1157" spans="1:8" x14ac:dyDescent="0.25">
      <c r="A1157" s="75">
        <v>2024</v>
      </c>
      <c r="B1157" s="76" t="s">
        <v>229</v>
      </c>
      <c r="C1157" s="77" t="s">
        <v>232</v>
      </c>
      <c r="D1157" s="77" t="s">
        <v>175</v>
      </c>
      <c r="E1157" s="73" t="str">
        <f>VLOOKUP(D1157,clientes!$C$3:$D$60,2,FALSE)</f>
        <v>AAK DO BRASIL</v>
      </c>
      <c r="F1157" s="77" t="s">
        <v>123</v>
      </c>
      <c r="G1157" s="73" t="str">
        <f>VLOOKUP(F1157,'[2]Lista de Produtos CLASSIFICAÇÃO'!$E$103:$F$114,2,FALSE)</f>
        <v>Aquecidos</v>
      </c>
      <c r="H1157" s="78">
        <v>4891</v>
      </c>
    </row>
    <row r="1158" spans="1:8" x14ac:dyDescent="0.25">
      <c r="A1158" s="71">
        <v>2024</v>
      </c>
      <c r="B1158" s="72" t="s">
        <v>210</v>
      </c>
      <c r="C1158" s="73" t="s">
        <v>232</v>
      </c>
      <c r="D1158" s="73" t="s">
        <v>175</v>
      </c>
      <c r="E1158" s="73" t="str">
        <f>VLOOKUP(D1158,clientes!$C$3:$D$60,2,FALSE)</f>
        <v>AAK DO BRASIL</v>
      </c>
      <c r="F1158" s="73" t="s">
        <v>123</v>
      </c>
      <c r="G1158" s="73" t="str">
        <f>VLOOKUP(F1158,'[2]Lista de Produtos CLASSIFICAÇÃO'!$E$103:$F$114,2,FALSE)</f>
        <v>Aquecidos</v>
      </c>
      <c r="H1158" s="74">
        <v>4891</v>
      </c>
    </row>
    <row r="1159" spans="1:8" x14ac:dyDescent="0.25">
      <c r="A1159" s="75">
        <v>2024</v>
      </c>
      <c r="B1159" s="76" t="s">
        <v>211</v>
      </c>
      <c r="C1159" s="77" t="s">
        <v>232</v>
      </c>
      <c r="D1159" s="77" t="s">
        <v>175</v>
      </c>
      <c r="E1159" s="73" t="str">
        <f>VLOOKUP(D1159,clientes!$C$3:$D$60,2,FALSE)</f>
        <v>AAK DO BRASIL</v>
      </c>
      <c r="F1159" s="77" t="s">
        <v>123</v>
      </c>
      <c r="G1159" s="73" t="str">
        <f>VLOOKUP(F1159,'[2]Lista de Produtos CLASSIFICAÇÃO'!$E$103:$F$114,2,FALSE)</f>
        <v>Aquecidos</v>
      </c>
      <c r="H1159" s="78">
        <v>4891</v>
      </c>
    </row>
    <row r="1160" spans="1:8" x14ac:dyDescent="0.25">
      <c r="A1160" s="71">
        <v>2024</v>
      </c>
      <c r="B1160" s="72" t="s">
        <v>212</v>
      </c>
      <c r="C1160" s="73" t="s">
        <v>232</v>
      </c>
      <c r="D1160" s="73" t="s">
        <v>175</v>
      </c>
      <c r="E1160" s="73" t="str">
        <f>VLOOKUP(D1160,clientes!$C$3:$D$60,2,FALSE)</f>
        <v>AAK DO BRASIL</v>
      </c>
      <c r="F1160" s="73" t="s">
        <v>123</v>
      </c>
      <c r="G1160" s="73" t="str">
        <f>VLOOKUP(F1160,'[2]Lista de Produtos CLASSIFICAÇÃO'!$E$103:$F$114,2,FALSE)</f>
        <v>Aquecidos</v>
      </c>
      <c r="H1160" s="74">
        <v>4891</v>
      </c>
    </row>
    <row r="1161" spans="1:8" x14ac:dyDescent="0.25">
      <c r="A1161" s="75">
        <v>2024</v>
      </c>
      <c r="B1161" s="76" t="s">
        <v>213</v>
      </c>
      <c r="C1161" s="77" t="s">
        <v>232</v>
      </c>
      <c r="D1161" s="77" t="s">
        <v>175</v>
      </c>
      <c r="E1161" s="73" t="str">
        <f>VLOOKUP(D1161,clientes!$C$3:$D$60,2,FALSE)</f>
        <v>AAK DO BRASIL</v>
      </c>
      <c r="F1161" s="77" t="s">
        <v>123</v>
      </c>
      <c r="G1161" s="73" t="str">
        <f>VLOOKUP(F1161,'[2]Lista de Produtos CLASSIFICAÇÃO'!$E$103:$F$114,2,FALSE)</f>
        <v>Aquecidos</v>
      </c>
      <c r="H1161" s="78">
        <v>4891</v>
      </c>
    </row>
    <row r="1162" spans="1:8" x14ac:dyDescent="0.25">
      <c r="A1162" s="71">
        <v>2024</v>
      </c>
      <c r="B1162" s="72" t="s">
        <v>214</v>
      </c>
      <c r="C1162" s="73" t="s">
        <v>232</v>
      </c>
      <c r="D1162" s="73" t="s">
        <v>175</v>
      </c>
      <c r="E1162" s="73" t="str">
        <f>VLOOKUP(D1162,clientes!$C$3:$D$60,2,FALSE)</f>
        <v>AAK DO BRASIL</v>
      </c>
      <c r="F1162" s="73" t="s">
        <v>123</v>
      </c>
      <c r="G1162" s="73" t="str">
        <f>VLOOKUP(F1162,'[2]Lista de Produtos CLASSIFICAÇÃO'!$E$103:$F$114,2,FALSE)</f>
        <v>Aquecidos</v>
      </c>
      <c r="H1162" s="74">
        <v>4891</v>
      </c>
    </row>
    <row r="1163" spans="1:8" x14ac:dyDescent="0.25">
      <c r="A1163" s="75">
        <v>2024</v>
      </c>
      <c r="B1163" s="76" t="s">
        <v>215</v>
      </c>
      <c r="C1163" s="77" t="s">
        <v>232</v>
      </c>
      <c r="D1163" s="77" t="s">
        <v>175</v>
      </c>
      <c r="E1163" s="73" t="str">
        <f>VLOOKUP(D1163,clientes!$C$3:$D$60,2,FALSE)</f>
        <v>AAK DO BRASIL</v>
      </c>
      <c r="F1163" s="77" t="s">
        <v>123</v>
      </c>
      <c r="G1163" s="73" t="str">
        <f>VLOOKUP(F1163,'[2]Lista de Produtos CLASSIFICAÇÃO'!$E$103:$F$114,2,FALSE)</f>
        <v>Aquecidos</v>
      </c>
      <c r="H1163" s="78">
        <v>4891</v>
      </c>
    </row>
    <row r="1164" spans="1:8" x14ac:dyDescent="0.25">
      <c r="A1164" s="71">
        <v>2024</v>
      </c>
      <c r="B1164" s="72" t="s">
        <v>230</v>
      </c>
      <c r="C1164" s="73" t="s">
        <v>232</v>
      </c>
      <c r="D1164" s="73" t="s">
        <v>175</v>
      </c>
      <c r="E1164" s="73" t="str">
        <f>VLOOKUP(D1164,clientes!$C$3:$D$60,2,FALSE)</f>
        <v>AAK DO BRASIL</v>
      </c>
      <c r="F1164" s="73" t="s">
        <v>123</v>
      </c>
      <c r="G1164" s="73" t="str">
        <f>VLOOKUP(F1164,'[2]Lista de Produtos CLASSIFICAÇÃO'!$E$103:$F$114,2,FALSE)</f>
        <v>Aquecidos</v>
      </c>
      <c r="H1164" s="74">
        <v>4891</v>
      </c>
    </row>
    <row r="1165" spans="1:8" x14ac:dyDescent="0.25">
      <c r="A1165" s="75">
        <v>2024</v>
      </c>
      <c r="B1165" s="76" t="s">
        <v>231</v>
      </c>
      <c r="C1165" s="77" t="s">
        <v>232</v>
      </c>
      <c r="D1165" s="77" t="s">
        <v>175</v>
      </c>
      <c r="E1165" s="73" t="str">
        <f>VLOOKUP(D1165,clientes!$C$3:$D$60,2,FALSE)</f>
        <v>AAK DO BRASIL</v>
      </c>
      <c r="F1165" s="77" t="s">
        <v>123</v>
      </c>
      <c r="G1165" s="73" t="str">
        <f>VLOOKUP(F1165,'[2]Lista de Produtos CLASSIFICAÇÃO'!$E$103:$F$114,2,FALSE)</f>
        <v>Aquecidos</v>
      </c>
      <c r="H1165" s="78">
        <v>4891</v>
      </c>
    </row>
    <row r="1166" spans="1:8" x14ac:dyDescent="0.25">
      <c r="A1166" s="71">
        <v>2024</v>
      </c>
      <c r="B1166" s="72" t="s">
        <v>226</v>
      </c>
      <c r="C1166" s="73" t="s">
        <v>225</v>
      </c>
      <c r="D1166" s="73" t="s">
        <v>157</v>
      </c>
      <c r="E1166" s="73" t="str">
        <f>VLOOKUP(D1166,clientes!$C$3:$D$60,2,FALSE)</f>
        <v>ADM</v>
      </c>
      <c r="F1166" s="73" t="s">
        <v>122</v>
      </c>
      <c r="G1166" s="73" t="str">
        <f>VLOOKUP(F1166,'[2]Lista de Produtos CLASSIFICAÇÃO'!$E$103:$F$114,2,FALSE)</f>
        <v>Óleo Vegetal</v>
      </c>
      <c r="H1166" s="74">
        <v>91000</v>
      </c>
    </row>
    <row r="1167" spans="1:8" x14ac:dyDescent="0.25">
      <c r="A1167" s="75">
        <v>2024</v>
      </c>
      <c r="B1167" s="76" t="s">
        <v>227</v>
      </c>
      <c r="C1167" s="77" t="s">
        <v>225</v>
      </c>
      <c r="D1167" s="77" t="s">
        <v>157</v>
      </c>
      <c r="E1167" s="73" t="str">
        <f>VLOOKUP(D1167,clientes!$C$3:$D$60,2,FALSE)</f>
        <v>ADM</v>
      </c>
      <c r="F1167" s="77" t="s">
        <v>122</v>
      </c>
      <c r="G1167" s="73" t="str">
        <f>VLOOKUP(F1167,'[2]Lista de Produtos CLASSIFICAÇÃO'!$E$103:$F$114,2,FALSE)</f>
        <v>Óleo Vegetal</v>
      </c>
      <c r="H1167" s="78">
        <v>91000</v>
      </c>
    </row>
    <row r="1168" spans="1:8" x14ac:dyDescent="0.25">
      <c r="A1168" s="71">
        <v>2024</v>
      </c>
      <c r="B1168" s="72" t="s">
        <v>228</v>
      </c>
      <c r="C1168" s="73" t="s">
        <v>225</v>
      </c>
      <c r="D1168" s="73" t="s">
        <v>157</v>
      </c>
      <c r="E1168" s="73" t="str">
        <f>VLOOKUP(D1168,clientes!$C$3:$D$60,2,FALSE)</f>
        <v>ADM</v>
      </c>
      <c r="F1168" s="73" t="s">
        <v>122</v>
      </c>
      <c r="G1168" s="73" t="str">
        <f>VLOOKUP(F1168,'[2]Lista de Produtos CLASSIFICAÇÃO'!$E$103:$F$114,2,FALSE)</f>
        <v>Óleo Vegetal</v>
      </c>
      <c r="H1168" s="74">
        <v>91000</v>
      </c>
    </row>
    <row r="1169" spans="1:8" x14ac:dyDescent="0.25">
      <c r="A1169" s="75">
        <v>2024</v>
      </c>
      <c r="B1169" s="76" t="s">
        <v>229</v>
      </c>
      <c r="C1169" s="77" t="s">
        <v>225</v>
      </c>
      <c r="D1169" s="77" t="s">
        <v>157</v>
      </c>
      <c r="E1169" s="73" t="str">
        <f>VLOOKUP(D1169,clientes!$C$3:$D$60,2,FALSE)</f>
        <v>ADM</v>
      </c>
      <c r="F1169" s="77" t="s">
        <v>122</v>
      </c>
      <c r="G1169" s="73" t="str">
        <f>VLOOKUP(F1169,'[2]Lista de Produtos CLASSIFICAÇÃO'!$E$103:$F$114,2,FALSE)</f>
        <v>Óleo Vegetal</v>
      </c>
      <c r="H1169" s="78">
        <v>91000</v>
      </c>
    </row>
    <row r="1170" spans="1:8" x14ac:dyDescent="0.25">
      <c r="A1170" s="71">
        <v>2024</v>
      </c>
      <c r="B1170" s="72" t="s">
        <v>210</v>
      </c>
      <c r="C1170" s="73" t="s">
        <v>225</v>
      </c>
      <c r="D1170" s="73" t="s">
        <v>157</v>
      </c>
      <c r="E1170" s="73" t="str">
        <f>VLOOKUP(D1170,clientes!$C$3:$D$60,2,FALSE)</f>
        <v>ADM</v>
      </c>
      <c r="F1170" s="73" t="s">
        <v>122</v>
      </c>
      <c r="G1170" s="73" t="str">
        <f>VLOOKUP(F1170,'[2]Lista de Produtos CLASSIFICAÇÃO'!$E$103:$F$114,2,FALSE)</f>
        <v>Óleo Vegetal</v>
      </c>
      <c r="H1170" s="74">
        <v>91000</v>
      </c>
    </row>
    <row r="1171" spans="1:8" x14ac:dyDescent="0.25">
      <c r="A1171" s="75">
        <v>2024</v>
      </c>
      <c r="B1171" s="76" t="s">
        <v>211</v>
      </c>
      <c r="C1171" s="77" t="s">
        <v>225</v>
      </c>
      <c r="D1171" s="77" t="s">
        <v>157</v>
      </c>
      <c r="E1171" s="73" t="str">
        <f>VLOOKUP(D1171,clientes!$C$3:$D$60,2,FALSE)</f>
        <v>ADM</v>
      </c>
      <c r="F1171" s="77" t="s">
        <v>122</v>
      </c>
      <c r="G1171" s="73" t="str">
        <f>VLOOKUP(F1171,'[2]Lista de Produtos CLASSIFICAÇÃO'!$E$103:$F$114,2,FALSE)</f>
        <v>Óleo Vegetal</v>
      </c>
      <c r="H1171" s="78">
        <v>91000</v>
      </c>
    </row>
    <row r="1172" spans="1:8" x14ac:dyDescent="0.25">
      <c r="A1172" s="71">
        <v>2024</v>
      </c>
      <c r="B1172" s="72" t="s">
        <v>212</v>
      </c>
      <c r="C1172" s="73" t="s">
        <v>225</v>
      </c>
      <c r="D1172" s="73" t="s">
        <v>157</v>
      </c>
      <c r="E1172" s="73" t="str">
        <f>VLOOKUP(D1172,clientes!$C$3:$D$60,2,FALSE)</f>
        <v>ADM</v>
      </c>
      <c r="F1172" s="73" t="s">
        <v>122</v>
      </c>
      <c r="G1172" s="73" t="str">
        <f>VLOOKUP(F1172,'[2]Lista de Produtos CLASSIFICAÇÃO'!$E$103:$F$114,2,FALSE)</f>
        <v>Óleo Vegetal</v>
      </c>
      <c r="H1172" s="74">
        <v>91000</v>
      </c>
    </row>
    <row r="1173" spans="1:8" x14ac:dyDescent="0.25">
      <c r="A1173" s="75">
        <v>2024</v>
      </c>
      <c r="B1173" s="76" t="s">
        <v>213</v>
      </c>
      <c r="C1173" s="77" t="s">
        <v>225</v>
      </c>
      <c r="D1173" s="77" t="s">
        <v>157</v>
      </c>
      <c r="E1173" s="73" t="str">
        <f>VLOOKUP(D1173,clientes!$C$3:$D$60,2,FALSE)</f>
        <v>ADM</v>
      </c>
      <c r="F1173" s="77" t="s">
        <v>122</v>
      </c>
      <c r="G1173" s="73" t="str">
        <f>VLOOKUP(F1173,'[2]Lista de Produtos CLASSIFICAÇÃO'!$E$103:$F$114,2,FALSE)</f>
        <v>Óleo Vegetal</v>
      </c>
      <c r="H1173" s="78">
        <v>91000</v>
      </c>
    </row>
    <row r="1174" spans="1:8" x14ac:dyDescent="0.25">
      <c r="A1174" s="71">
        <v>2024</v>
      </c>
      <c r="B1174" s="72" t="s">
        <v>214</v>
      </c>
      <c r="C1174" s="73" t="s">
        <v>225</v>
      </c>
      <c r="D1174" s="73" t="s">
        <v>157</v>
      </c>
      <c r="E1174" s="73" t="str">
        <f>VLOOKUP(D1174,clientes!$C$3:$D$60,2,FALSE)</f>
        <v>ADM</v>
      </c>
      <c r="F1174" s="73" t="s">
        <v>122</v>
      </c>
      <c r="G1174" s="73" t="str">
        <f>VLOOKUP(F1174,'[2]Lista de Produtos CLASSIFICAÇÃO'!$E$103:$F$114,2,FALSE)</f>
        <v>Óleo Vegetal</v>
      </c>
      <c r="H1174" s="74">
        <v>91000</v>
      </c>
    </row>
    <row r="1175" spans="1:8" x14ac:dyDescent="0.25">
      <c r="A1175" s="75">
        <v>2024</v>
      </c>
      <c r="B1175" s="76" t="s">
        <v>215</v>
      </c>
      <c r="C1175" s="77" t="s">
        <v>225</v>
      </c>
      <c r="D1175" s="77" t="s">
        <v>157</v>
      </c>
      <c r="E1175" s="73" t="str">
        <f>VLOOKUP(D1175,clientes!$C$3:$D$60,2,FALSE)</f>
        <v>ADM</v>
      </c>
      <c r="F1175" s="77" t="s">
        <v>122</v>
      </c>
      <c r="G1175" s="73" t="str">
        <f>VLOOKUP(F1175,'[2]Lista de Produtos CLASSIFICAÇÃO'!$E$103:$F$114,2,FALSE)</f>
        <v>Óleo Vegetal</v>
      </c>
      <c r="H1175" s="78">
        <v>91000</v>
      </c>
    </row>
    <row r="1176" spans="1:8" x14ac:dyDescent="0.25">
      <c r="A1176" s="71">
        <v>2024</v>
      </c>
      <c r="B1176" s="72" t="s">
        <v>230</v>
      </c>
      <c r="C1176" s="73" t="s">
        <v>225</v>
      </c>
      <c r="D1176" s="73" t="s">
        <v>157</v>
      </c>
      <c r="E1176" s="73" t="str">
        <f>VLOOKUP(D1176,clientes!$C$3:$D$60,2,FALSE)</f>
        <v>ADM</v>
      </c>
      <c r="F1176" s="73" t="s">
        <v>122</v>
      </c>
      <c r="G1176" s="73" t="str">
        <f>VLOOKUP(F1176,'[2]Lista de Produtos CLASSIFICAÇÃO'!$E$103:$F$114,2,FALSE)</f>
        <v>Óleo Vegetal</v>
      </c>
      <c r="H1176" s="74">
        <v>91000</v>
      </c>
    </row>
    <row r="1177" spans="1:8" x14ac:dyDescent="0.25">
      <c r="A1177" s="75">
        <v>2024</v>
      </c>
      <c r="B1177" s="76" t="s">
        <v>231</v>
      </c>
      <c r="C1177" s="77" t="s">
        <v>225</v>
      </c>
      <c r="D1177" s="77" t="s">
        <v>157</v>
      </c>
      <c r="E1177" s="73" t="str">
        <f>VLOOKUP(D1177,clientes!$C$3:$D$60,2,FALSE)</f>
        <v>ADM</v>
      </c>
      <c r="F1177" s="77" t="s">
        <v>122</v>
      </c>
      <c r="G1177" s="73" t="str">
        <f>VLOOKUP(F1177,'[2]Lista de Produtos CLASSIFICAÇÃO'!$E$103:$F$114,2,FALSE)</f>
        <v>Óleo Vegetal</v>
      </c>
      <c r="H1177" s="78">
        <v>91000</v>
      </c>
    </row>
    <row r="1178" spans="1:8" x14ac:dyDescent="0.25">
      <c r="A1178" s="71">
        <v>2024</v>
      </c>
      <c r="B1178" s="72" t="s">
        <v>226</v>
      </c>
      <c r="C1178" s="73" t="s">
        <v>225</v>
      </c>
      <c r="D1178" s="73" t="s">
        <v>18</v>
      </c>
      <c r="E1178" s="73" t="str">
        <f>VLOOKUP(D1178,clientes!$C$3:$D$60,2,FALSE)</f>
        <v>ACOSTAGEM</v>
      </c>
      <c r="F1178" s="73" t="s">
        <v>17</v>
      </c>
      <c r="G1178" s="73" t="str">
        <f>VLOOKUP(F1178,'[2]Lista de Produtos CLASSIFICAÇÃO'!$E$103:$F$114,2,FALSE)</f>
        <v>Acostagem</v>
      </c>
      <c r="H1178" s="74">
        <v>5579</v>
      </c>
    </row>
    <row r="1179" spans="1:8" x14ac:dyDescent="0.25">
      <c r="A1179" s="75">
        <v>2024</v>
      </c>
      <c r="B1179" s="76" t="s">
        <v>227</v>
      </c>
      <c r="C1179" s="77" t="s">
        <v>225</v>
      </c>
      <c r="D1179" s="77" t="s">
        <v>18</v>
      </c>
      <c r="E1179" s="73" t="str">
        <f>VLOOKUP(D1179,clientes!$C$3:$D$60,2,FALSE)</f>
        <v>ACOSTAGEM</v>
      </c>
      <c r="F1179" s="77" t="s">
        <v>17</v>
      </c>
      <c r="G1179" s="73" t="str">
        <f>VLOOKUP(F1179,'[2]Lista de Produtos CLASSIFICAÇÃO'!$E$103:$F$114,2,FALSE)</f>
        <v>Acostagem</v>
      </c>
      <c r="H1179" s="78">
        <v>5579</v>
      </c>
    </row>
    <row r="1180" spans="1:8" x14ac:dyDescent="0.25">
      <c r="A1180" s="71">
        <v>2024</v>
      </c>
      <c r="B1180" s="72" t="s">
        <v>228</v>
      </c>
      <c r="C1180" s="73" t="s">
        <v>225</v>
      </c>
      <c r="D1180" s="73" t="s">
        <v>18</v>
      </c>
      <c r="E1180" s="73" t="str">
        <f>VLOOKUP(D1180,clientes!$C$3:$D$60,2,FALSE)</f>
        <v>ACOSTAGEM</v>
      </c>
      <c r="F1180" s="73" t="s">
        <v>17</v>
      </c>
      <c r="G1180" s="73" t="str">
        <f>VLOOKUP(F1180,'[2]Lista de Produtos CLASSIFICAÇÃO'!$E$103:$F$114,2,FALSE)</f>
        <v>Acostagem</v>
      </c>
      <c r="H1180" s="74">
        <v>5579</v>
      </c>
    </row>
    <row r="1181" spans="1:8" x14ac:dyDescent="0.25">
      <c r="A1181" s="75">
        <v>2024</v>
      </c>
      <c r="B1181" s="76" t="s">
        <v>229</v>
      </c>
      <c r="C1181" s="77" t="s">
        <v>225</v>
      </c>
      <c r="D1181" s="77" t="s">
        <v>18</v>
      </c>
      <c r="E1181" s="73" t="str">
        <f>VLOOKUP(D1181,clientes!$C$3:$D$60,2,FALSE)</f>
        <v>ACOSTAGEM</v>
      </c>
      <c r="F1181" s="77" t="s">
        <v>17</v>
      </c>
      <c r="G1181" s="73" t="str">
        <f>VLOOKUP(F1181,'[2]Lista de Produtos CLASSIFICAÇÃO'!$E$103:$F$114,2,FALSE)</f>
        <v>Acostagem</v>
      </c>
      <c r="H1181" s="78">
        <v>5579</v>
      </c>
    </row>
    <row r="1182" spans="1:8" x14ac:dyDescent="0.25">
      <c r="A1182" s="71">
        <v>2024</v>
      </c>
      <c r="B1182" s="72" t="s">
        <v>210</v>
      </c>
      <c r="C1182" s="73" t="s">
        <v>225</v>
      </c>
      <c r="D1182" s="73" t="s">
        <v>18</v>
      </c>
      <c r="E1182" s="73" t="str">
        <f>VLOOKUP(D1182,clientes!$C$3:$D$60,2,FALSE)</f>
        <v>ACOSTAGEM</v>
      </c>
      <c r="F1182" s="73" t="s">
        <v>17</v>
      </c>
      <c r="G1182" s="73" t="str">
        <f>VLOOKUP(F1182,'[2]Lista de Produtos CLASSIFICAÇÃO'!$E$103:$F$114,2,FALSE)</f>
        <v>Acostagem</v>
      </c>
      <c r="H1182" s="74">
        <v>5579</v>
      </c>
    </row>
    <row r="1183" spans="1:8" x14ac:dyDescent="0.25">
      <c r="A1183" s="75">
        <v>2024</v>
      </c>
      <c r="B1183" s="76" t="s">
        <v>211</v>
      </c>
      <c r="C1183" s="77" t="s">
        <v>225</v>
      </c>
      <c r="D1183" s="77" t="s">
        <v>18</v>
      </c>
      <c r="E1183" s="73" t="str">
        <f>VLOOKUP(D1183,clientes!$C$3:$D$60,2,FALSE)</f>
        <v>ACOSTAGEM</v>
      </c>
      <c r="F1183" s="77" t="s">
        <v>17</v>
      </c>
      <c r="G1183" s="73" t="str">
        <f>VLOOKUP(F1183,'[2]Lista de Produtos CLASSIFICAÇÃO'!$E$103:$F$114,2,FALSE)</f>
        <v>Acostagem</v>
      </c>
      <c r="H1183" s="78">
        <v>5579</v>
      </c>
    </row>
    <row r="1184" spans="1:8" x14ac:dyDescent="0.25">
      <c r="A1184" s="71">
        <v>2024</v>
      </c>
      <c r="B1184" s="72" t="s">
        <v>212</v>
      </c>
      <c r="C1184" s="73" t="s">
        <v>225</v>
      </c>
      <c r="D1184" s="73" t="s">
        <v>18</v>
      </c>
      <c r="E1184" s="73" t="str">
        <f>VLOOKUP(D1184,clientes!$C$3:$D$60,2,FALSE)</f>
        <v>ACOSTAGEM</v>
      </c>
      <c r="F1184" s="73" t="s">
        <v>17</v>
      </c>
      <c r="G1184" s="73" t="str">
        <f>VLOOKUP(F1184,'[2]Lista de Produtos CLASSIFICAÇÃO'!$E$103:$F$114,2,FALSE)</f>
        <v>Acostagem</v>
      </c>
      <c r="H1184" s="74">
        <v>5579</v>
      </c>
    </row>
    <row r="1185" spans="1:8" x14ac:dyDescent="0.25">
      <c r="A1185" s="75">
        <v>2024</v>
      </c>
      <c r="B1185" s="76" t="s">
        <v>213</v>
      </c>
      <c r="C1185" s="77" t="s">
        <v>225</v>
      </c>
      <c r="D1185" s="77" t="s">
        <v>18</v>
      </c>
      <c r="E1185" s="73" t="str">
        <f>VLOOKUP(D1185,clientes!$C$3:$D$60,2,FALSE)</f>
        <v>ACOSTAGEM</v>
      </c>
      <c r="F1185" s="77" t="s">
        <v>17</v>
      </c>
      <c r="G1185" s="73" t="str">
        <f>VLOOKUP(F1185,'[2]Lista de Produtos CLASSIFICAÇÃO'!$E$103:$F$114,2,FALSE)</f>
        <v>Acostagem</v>
      </c>
      <c r="H1185" s="78">
        <v>5579</v>
      </c>
    </row>
    <row r="1186" spans="1:8" x14ac:dyDescent="0.25">
      <c r="A1186" s="71">
        <v>2024</v>
      </c>
      <c r="B1186" s="72" t="s">
        <v>214</v>
      </c>
      <c r="C1186" s="73" t="s">
        <v>225</v>
      </c>
      <c r="D1186" s="73" t="s">
        <v>18</v>
      </c>
      <c r="E1186" s="73" t="str">
        <f>VLOOKUP(D1186,clientes!$C$3:$D$60,2,FALSE)</f>
        <v>ACOSTAGEM</v>
      </c>
      <c r="F1186" s="73" t="s">
        <v>17</v>
      </c>
      <c r="G1186" s="73" t="str">
        <f>VLOOKUP(F1186,'[2]Lista de Produtos CLASSIFICAÇÃO'!$E$103:$F$114,2,FALSE)</f>
        <v>Acostagem</v>
      </c>
      <c r="H1186" s="74">
        <v>5579</v>
      </c>
    </row>
    <row r="1187" spans="1:8" x14ac:dyDescent="0.25">
      <c r="A1187" s="75">
        <v>2024</v>
      </c>
      <c r="B1187" s="76" t="s">
        <v>215</v>
      </c>
      <c r="C1187" s="77" t="s">
        <v>225</v>
      </c>
      <c r="D1187" s="77" t="s">
        <v>18</v>
      </c>
      <c r="E1187" s="73" t="str">
        <f>VLOOKUP(D1187,clientes!$C$3:$D$60,2,FALSE)</f>
        <v>ACOSTAGEM</v>
      </c>
      <c r="F1187" s="77" t="s">
        <v>17</v>
      </c>
      <c r="G1187" s="73" t="str">
        <f>VLOOKUP(F1187,'[2]Lista de Produtos CLASSIFICAÇÃO'!$E$103:$F$114,2,FALSE)</f>
        <v>Acostagem</v>
      </c>
      <c r="H1187" s="78">
        <v>5579</v>
      </c>
    </row>
    <row r="1188" spans="1:8" x14ac:dyDescent="0.25">
      <c r="A1188" s="71">
        <v>2024</v>
      </c>
      <c r="B1188" s="72" t="s">
        <v>230</v>
      </c>
      <c r="C1188" s="73" t="s">
        <v>225</v>
      </c>
      <c r="D1188" s="73" t="s">
        <v>18</v>
      </c>
      <c r="E1188" s="73" t="str">
        <f>VLOOKUP(D1188,clientes!$C$3:$D$60,2,FALSE)</f>
        <v>ACOSTAGEM</v>
      </c>
      <c r="F1188" s="73" t="s">
        <v>17</v>
      </c>
      <c r="G1188" s="73" t="str">
        <f>VLOOKUP(F1188,'[2]Lista de Produtos CLASSIFICAÇÃO'!$E$103:$F$114,2,FALSE)</f>
        <v>Acostagem</v>
      </c>
      <c r="H1188" s="74">
        <v>5579</v>
      </c>
    </row>
    <row r="1189" spans="1:8" x14ac:dyDescent="0.25">
      <c r="A1189" s="75">
        <v>2024</v>
      </c>
      <c r="B1189" s="76" t="s">
        <v>231</v>
      </c>
      <c r="C1189" s="77" t="s">
        <v>225</v>
      </c>
      <c r="D1189" s="77" t="s">
        <v>18</v>
      </c>
      <c r="E1189" s="73" t="str">
        <f>VLOOKUP(D1189,clientes!$C$3:$D$60,2,FALSE)</f>
        <v>ACOSTAGEM</v>
      </c>
      <c r="F1189" s="77" t="s">
        <v>17</v>
      </c>
      <c r="G1189" s="73" t="str">
        <f>VLOOKUP(F1189,'[2]Lista de Produtos CLASSIFICAÇÃO'!$E$103:$F$114,2,FALSE)</f>
        <v>Acostagem</v>
      </c>
      <c r="H1189" s="78">
        <v>5579</v>
      </c>
    </row>
    <row r="1190" spans="1:8" x14ac:dyDescent="0.25">
      <c r="A1190" s="71">
        <v>2024</v>
      </c>
      <c r="B1190" s="72" t="s">
        <v>226</v>
      </c>
      <c r="C1190" s="73" t="s">
        <v>225</v>
      </c>
      <c r="D1190" s="73" t="s">
        <v>155</v>
      </c>
      <c r="E1190" s="73" t="str">
        <f>VLOOKUP(D1190,clientes!$C$3:$D$60,2,FALSE)</f>
        <v>ADISSEO</v>
      </c>
      <c r="F1190" s="73" t="s">
        <v>16</v>
      </c>
      <c r="G1190" s="73" t="str">
        <f>VLOOKUP(F1190,'[2]Lista de Produtos CLASSIFICAÇÃO'!$E$103:$F$114,2,FALSE)</f>
        <v>Outros</v>
      </c>
      <c r="H1190" s="74">
        <v>6000</v>
      </c>
    </row>
    <row r="1191" spans="1:8" x14ac:dyDescent="0.25">
      <c r="A1191" s="75">
        <v>2024</v>
      </c>
      <c r="B1191" s="76" t="s">
        <v>227</v>
      </c>
      <c r="C1191" s="77" t="s">
        <v>225</v>
      </c>
      <c r="D1191" s="77" t="s">
        <v>155</v>
      </c>
      <c r="E1191" s="73" t="str">
        <f>VLOOKUP(D1191,clientes!$C$3:$D$60,2,FALSE)</f>
        <v>ADISSEO</v>
      </c>
      <c r="F1191" s="77" t="s">
        <v>16</v>
      </c>
      <c r="G1191" s="73" t="str">
        <f>VLOOKUP(F1191,'[2]Lista de Produtos CLASSIFICAÇÃO'!$E$103:$F$114,2,FALSE)</f>
        <v>Outros</v>
      </c>
      <c r="H1191" s="78">
        <v>6000</v>
      </c>
    </row>
    <row r="1192" spans="1:8" x14ac:dyDescent="0.25">
      <c r="A1192" s="71">
        <v>2024</v>
      </c>
      <c r="B1192" s="72" t="s">
        <v>228</v>
      </c>
      <c r="C1192" s="73" t="s">
        <v>225</v>
      </c>
      <c r="D1192" s="73" t="s">
        <v>155</v>
      </c>
      <c r="E1192" s="73" t="str">
        <f>VLOOKUP(D1192,clientes!$C$3:$D$60,2,FALSE)</f>
        <v>ADISSEO</v>
      </c>
      <c r="F1192" s="73" t="s">
        <v>16</v>
      </c>
      <c r="G1192" s="73" t="str">
        <f>VLOOKUP(F1192,'[2]Lista de Produtos CLASSIFICAÇÃO'!$E$103:$F$114,2,FALSE)</f>
        <v>Outros</v>
      </c>
      <c r="H1192" s="74">
        <v>6000</v>
      </c>
    </row>
    <row r="1193" spans="1:8" x14ac:dyDescent="0.25">
      <c r="A1193" s="75">
        <v>2024</v>
      </c>
      <c r="B1193" s="76" t="s">
        <v>229</v>
      </c>
      <c r="C1193" s="77" t="s">
        <v>225</v>
      </c>
      <c r="D1193" s="77" t="s">
        <v>155</v>
      </c>
      <c r="E1193" s="73" t="str">
        <f>VLOOKUP(D1193,clientes!$C$3:$D$60,2,FALSE)</f>
        <v>ADISSEO</v>
      </c>
      <c r="F1193" s="77" t="s">
        <v>16</v>
      </c>
      <c r="G1193" s="73" t="str">
        <f>VLOOKUP(F1193,'[2]Lista de Produtos CLASSIFICAÇÃO'!$E$103:$F$114,2,FALSE)</f>
        <v>Outros</v>
      </c>
      <c r="H1193" s="78">
        <v>6000</v>
      </c>
    </row>
    <row r="1194" spans="1:8" x14ac:dyDescent="0.25">
      <c r="A1194" s="71">
        <v>2024</v>
      </c>
      <c r="B1194" s="72" t="s">
        <v>210</v>
      </c>
      <c r="C1194" s="73" t="s">
        <v>225</v>
      </c>
      <c r="D1194" s="73" t="s">
        <v>155</v>
      </c>
      <c r="E1194" s="73" t="str">
        <f>VLOOKUP(D1194,clientes!$C$3:$D$60,2,FALSE)</f>
        <v>ADISSEO</v>
      </c>
      <c r="F1194" s="73" t="s">
        <v>16</v>
      </c>
      <c r="G1194" s="73" t="str">
        <f>VLOOKUP(F1194,'[2]Lista de Produtos CLASSIFICAÇÃO'!$E$103:$F$114,2,FALSE)</f>
        <v>Outros</v>
      </c>
      <c r="H1194" s="74">
        <v>6000</v>
      </c>
    </row>
    <row r="1195" spans="1:8" x14ac:dyDescent="0.25">
      <c r="A1195" s="75">
        <v>2024</v>
      </c>
      <c r="B1195" s="76" t="s">
        <v>211</v>
      </c>
      <c r="C1195" s="77" t="s">
        <v>225</v>
      </c>
      <c r="D1195" s="77" t="s">
        <v>155</v>
      </c>
      <c r="E1195" s="73" t="str">
        <f>VLOOKUP(D1195,clientes!$C$3:$D$60,2,FALSE)</f>
        <v>ADISSEO</v>
      </c>
      <c r="F1195" s="77" t="s">
        <v>16</v>
      </c>
      <c r="G1195" s="73" t="str">
        <f>VLOOKUP(F1195,'[2]Lista de Produtos CLASSIFICAÇÃO'!$E$103:$F$114,2,FALSE)</f>
        <v>Outros</v>
      </c>
      <c r="H1195" s="78">
        <v>6000</v>
      </c>
    </row>
    <row r="1196" spans="1:8" x14ac:dyDescent="0.25">
      <c r="A1196" s="71">
        <v>2024</v>
      </c>
      <c r="B1196" s="72" t="s">
        <v>212</v>
      </c>
      <c r="C1196" s="73" t="s">
        <v>225</v>
      </c>
      <c r="D1196" s="73" t="s">
        <v>155</v>
      </c>
      <c r="E1196" s="73" t="str">
        <f>VLOOKUP(D1196,clientes!$C$3:$D$60,2,FALSE)</f>
        <v>ADISSEO</v>
      </c>
      <c r="F1196" s="73" t="s">
        <v>16</v>
      </c>
      <c r="G1196" s="73" t="str">
        <f>VLOOKUP(F1196,'[2]Lista de Produtos CLASSIFICAÇÃO'!$E$103:$F$114,2,FALSE)</f>
        <v>Outros</v>
      </c>
      <c r="H1196" s="74">
        <v>6000</v>
      </c>
    </row>
    <row r="1197" spans="1:8" x14ac:dyDescent="0.25">
      <c r="A1197" s="75">
        <v>2024</v>
      </c>
      <c r="B1197" s="76" t="s">
        <v>213</v>
      </c>
      <c r="C1197" s="77" t="s">
        <v>225</v>
      </c>
      <c r="D1197" s="77" t="s">
        <v>155</v>
      </c>
      <c r="E1197" s="73" t="str">
        <f>VLOOKUP(D1197,clientes!$C$3:$D$60,2,FALSE)</f>
        <v>ADISSEO</v>
      </c>
      <c r="F1197" s="77" t="s">
        <v>16</v>
      </c>
      <c r="G1197" s="73" t="str">
        <f>VLOOKUP(F1197,'[2]Lista de Produtos CLASSIFICAÇÃO'!$E$103:$F$114,2,FALSE)</f>
        <v>Outros</v>
      </c>
      <c r="H1197" s="78">
        <v>6000</v>
      </c>
    </row>
    <row r="1198" spans="1:8" x14ac:dyDescent="0.25">
      <c r="A1198" s="71">
        <v>2024</v>
      </c>
      <c r="B1198" s="72" t="s">
        <v>214</v>
      </c>
      <c r="C1198" s="73" t="s">
        <v>225</v>
      </c>
      <c r="D1198" s="73" t="s">
        <v>155</v>
      </c>
      <c r="E1198" s="73" t="str">
        <f>VLOOKUP(D1198,clientes!$C$3:$D$60,2,FALSE)</f>
        <v>ADISSEO</v>
      </c>
      <c r="F1198" s="73" t="s">
        <v>16</v>
      </c>
      <c r="G1198" s="73" t="str">
        <f>VLOOKUP(F1198,'[2]Lista de Produtos CLASSIFICAÇÃO'!$E$103:$F$114,2,FALSE)</f>
        <v>Outros</v>
      </c>
      <c r="H1198" s="74">
        <v>6000</v>
      </c>
    </row>
    <row r="1199" spans="1:8" x14ac:dyDescent="0.25">
      <c r="A1199" s="75">
        <v>2024</v>
      </c>
      <c r="B1199" s="76" t="s">
        <v>215</v>
      </c>
      <c r="C1199" s="77" t="s">
        <v>225</v>
      </c>
      <c r="D1199" s="77" t="s">
        <v>155</v>
      </c>
      <c r="E1199" s="73" t="str">
        <f>VLOOKUP(D1199,clientes!$C$3:$D$60,2,FALSE)</f>
        <v>ADISSEO</v>
      </c>
      <c r="F1199" s="77" t="s">
        <v>16</v>
      </c>
      <c r="G1199" s="73" t="str">
        <f>VLOOKUP(F1199,'[2]Lista de Produtos CLASSIFICAÇÃO'!$E$103:$F$114,2,FALSE)</f>
        <v>Outros</v>
      </c>
      <c r="H1199" s="78">
        <v>6000</v>
      </c>
    </row>
    <row r="1200" spans="1:8" x14ac:dyDescent="0.25">
      <c r="A1200" s="71">
        <v>2024</v>
      </c>
      <c r="B1200" s="72" t="s">
        <v>230</v>
      </c>
      <c r="C1200" s="73" t="s">
        <v>225</v>
      </c>
      <c r="D1200" s="73" t="s">
        <v>155</v>
      </c>
      <c r="E1200" s="73" t="str">
        <f>VLOOKUP(D1200,clientes!$C$3:$D$60,2,FALSE)</f>
        <v>ADISSEO</v>
      </c>
      <c r="F1200" s="73" t="s">
        <v>16</v>
      </c>
      <c r="G1200" s="73" t="str">
        <f>VLOOKUP(F1200,'[2]Lista de Produtos CLASSIFICAÇÃO'!$E$103:$F$114,2,FALSE)</f>
        <v>Outros</v>
      </c>
      <c r="H1200" s="74">
        <v>6000</v>
      </c>
    </row>
    <row r="1201" spans="1:8" x14ac:dyDescent="0.25">
      <c r="A1201" s="75">
        <v>2024</v>
      </c>
      <c r="B1201" s="76" t="s">
        <v>231</v>
      </c>
      <c r="C1201" s="77" t="s">
        <v>225</v>
      </c>
      <c r="D1201" s="77" t="s">
        <v>155</v>
      </c>
      <c r="E1201" s="73" t="str">
        <f>VLOOKUP(D1201,clientes!$C$3:$D$60,2,FALSE)</f>
        <v>ADISSEO</v>
      </c>
      <c r="F1201" s="77" t="s">
        <v>16</v>
      </c>
      <c r="G1201" s="73" t="str">
        <f>VLOOKUP(F1201,'[2]Lista de Produtos CLASSIFICAÇÃO'!$E$103:$F$114,2,FALSE)</f>
        <v>Outros</v>
      </c>
      <c r="H1201" s="78">
        <v>6000</v>
      </c>
    </row>
    <row r="1202" spans="1:8" x14ac:dyDescent="0.25">
      <c r="A1202" s="71">
        <v>2024</v>
      </c>
      <c r="B1202" s="72" t="s">
        <v>226</v>
      </c>
      <c r="C1202" s="73" t="s">
        <v>232</v>
      </c>
      <c r="D1202" s="73" t="s">
        <v>176</v>
      </c>
      <c r="E1202" s="73" t="str">
        <f>VLOOKUP(D1202,clientes!$C$3:$D$60,2,FALSE)</f>
        <v>AGROPALMA</v>
      </c>
      <c r="F1202" s="73" t="s">
        <v>123</v>
      </c>
      <c r="G1202" s="73" t="str">
        <f>VLOOKUP(F1202,'[2]Lista de Produtos CLASSIFICAÇÃO'!$E$103:$F$114,2,FALSE)</f>
        <v>Aquecidos</v>
      </c>
      <c r="H1202" s="74">
        <v>5300</v>
      </c>
    </row>
    <row r="1203" spans="1:8" x14ac:dyDescent="0.25">
      <c r="A1203" s="75">
        <v>2024</v>
      </c>
      <c r="B1203" s="76" t="s">
        <v>227</v>
      </c>
      <c r="C1203" s="77" t="s">
        <v>232</v>
      </c>
      <c r="D1203" s="77" t="s">
        <v>176</v>
      </c>
      <c r="E1203" s="73" t="str">
        <f>VLOOKUP(D1203,clientes!$C$3:$D$60,2,FALSE)</f>
        <v>AGROPALMA</v>
      </c>
      <c r="F1203" s="77" t="s">
        <v>123</v>
      </c>
      <c r="G1203" s="73" t="str">
        <f>VLOOKUP(F1203,'[2]Lista de Produtos CLASSIFICAÇÃO'!$E$103:$F$114,2,FALSE)</f>
        <v>Aquecidos</v>
      </c>
      <c r="H1203" s="78">
        <v>5300</v>
      </c>
    </row>
    <row r="1204" spans="1:8" x14ac:dyDescent="0.25">
      <c r="A1204" s="71">
        <v>2024</v>
      </c>
      <c r="B1204" s="72" t="s">
        <v>228</v>
      </c>
      <c r="C1204" s="73" t="s">
        <v>232</v>
      </c>
      <c r="D1204" s="73" t="s">
        <v>176</v>
      </c>
      <c r="E1204" s="73" t="str">
        <f>VLOOKUP(D1204,clientes!$C$3:$D$60,2,FALSE)</f>
        <v>AGROPALMA</v>
      </c>
      <c r="F1204" s="73" t="s">
        <v>123</v>
      </c>
      <c r="G1204" s="73" t="str">
        <f>VLOOKUP(F1204,'[2]Lista de Produtos CLASSIFICAÇÃO'!$E$103:$F$114,2,FALSE)</f>
        <v>Aquecidos</v>
      </c>
      <c r="H1204" s="74">
        <v>5300</v>
      </c>
    </row>
    <row r="1205" spans="1:8" x14ac:dyDescent="0.25">
      <c r="A1205" s="75">
        <v>2024</v>
      </c>
      <c r="B1205" s="76" t="s">
        <v>229</v>
      </c>
      <c r="C1205" s="77" t="s">
        <v>232</v>
      </c>
      <c r="D1205" s="77" t="s">
        <v>176</v>
      </c>
      <c r="E1205" s="73" t="str">
        <f>VLOOKUP(D1205,clientes!$C$3:$D$60,2,FALSE)</f>
        <v>AGROPALMA</v>
      </c>
      <c r="F1205" s="77" t="s">
        <v>123</v>
      </c>
      <c r="G1205" s="73" t="str">
        <f>VLOOKUP(F1205,'[2]Lista de Produtos CLASSIFICAÇÃO'!$E$103:$F$114,2,FALSE)</f>
        <v>Aquecidos</v>
      </c>
      <c r="H1205" s="78">
        <v>5300</v>
      </c>
    </row>
    <row r="1206" spans="1:8" x14ac:dyDescent="0.25">
      <c r="A1206" s="71">
        <v>2024</v>
      </c>
      <c r="B1206" s="72" t="s">
        <v>210</v>
      </c>
      <c r="C1206" s="73" t="s">
        <v>232</v>
      </c>
      <c r="D1206" s="73" t="s">
        <v>176</v>
      </c>
      <c r="E1206" s="73" t="str">
        <f>VLOOKUP(D1206,clientes!$C$3:$D$60,2,FALSE)</f>
        <v>AGROPALMA</v>
      </c>
      <c r="F1206" s="73" t="s">
        <v>123</v>
      </c>
      <c r="G1206" s="73" t="str">
        <f>VLOOKUP(F1206,'[2]Lista de Produtos CLASSIFICAÇÃO'!$E$103:$F$114,2,FALSE)</f>
        <v>Aquecidos</v>
      </c>
      <c r="H1206" s="74">
        <v>5300</v>
      </c>
    </row>
    <row r="1207" spans="1:8" x14ac:dyDescent="0.25">
      <c r="A1207" s="75">
        <v>2024</v>
      </c>
      <c r="B1207" s="76" t="s">
        <v>211</v>
      </c>
      <c r="C1207" s="77" t="s">
        <v>232</v>
      </c>
      <c r="D1207" s="77" t="s">
        <v>176</v>
      </c>
      <c r="E1207" s="73" t="str">
        <f>VLOOKUP(D1207,clientes!$C$3:$D$60,2,FALSE)</f>
        <v>AGROPALMA</v>
      </c>
      <c r="F1207" s="77" t="s">
        <v>123</v>
      </c>
      <c r="G1207" s="73" t="str">
        <f>VLOOKUP(F1207,'[2]Lista de Produtos CLASSIFICAÇÃO'!$E$103:$F$114,2,FALSE)</f>
        <v>Aquecidos</v>
      </c>
      <c r="H1207" s="78">
        <v>5300</v>
      </c>
    </row>
    <row r="1208" spans="1:8" x14ac:dyDescent="0.25">
      <c r="A1208" s="71">
        <v>2024</v>
      </c>
      <c r="B1208" s="72" t="s">
        <v>212</v>
      </c>
      <c r="C1208" s="73" t="s">
        <v>232</v>
      </c>
      <c r="D1208" s="73" t="s">
        <v>176</v>
      </c>
      <c r="E1208" s="73" t="str">
        <f>VLOOKUP(D1208,clientes!$C$3:$D$60,2,FALSE)</f>
        <v>AGROPALMA</v>
      </c>
      <c r="F1208" s="73" t="s">
        <v>123</v>
      </c>
      <c r="G1208" s="73" t="str">
        <f>VLOOKUP(F1208,'[2]Lista de Produtos CLASSIFICAÇÃO'!$E$103:$F$114,2,FALSE)</f>
        <v>Aquecidos</v>
      </c>
      <c r="H1208" s="74">
        <v>5300</v>
      </c>
    </row>
    <row r="1209" spans="1:8" x14ac:dyDescent="0.25">
      <c r="A1209" s="75">
        <v>2024</v>
      </c>
      <c r="B1209" s="76" t="s">
        <v>213</v>
      </c>
      <c r="C1209" s="77" t="s">
        <v>232</v>
      </c>
      <c r="D1209" s="77" t="s">
        <v>176</v>
      </c>
      <c r="E1209" s="73" t="str">
        <f>VLOOKUP(D1209,clientes!$C$3:$D$60,2,FALSE)</f>
        <v>AGROPALMA</v>
      </c>
      <c r="F1209" s="77" t="s">
        <v>123</v>
      </c>
      <c r="G1209" s="73" t="str">
        <f>VLOOKUP(F1209,'[2]Lista de Produtos CLASSIFICAÇÃO'!$E$103:$F$114,2,FALSE)</f>
        <v>Aquecidos</v>
      </c>
      <c r="H1209" s="78">
        <v>5300</v>
      </c>
    </row>
    <row r="1210" spans="1:8" x14ac:dyDescent="0.25">
      <c r="A1210" s="71">
        <v>2024</v>
      </c>
      <c r="B1210" s="72" t="s">
        <v>214</v>
      </c>
      <c r="C1210" s="73" t="s">
        <v>232</v>
      </c>
      <c r="D1210" s="73" t="s">
        <v>176</v>
      </c>
      <c r="E1210" s="73" t="str">
        <f>VLOOKUP(D1210,clientes!$C$3:$D$60,2,FALSE)</f>
        <v>AGROPALMA</v>
      </c>
      <c r="F1210" s="73" t="s">
        <v>123</v>
      </c>
      <c r="G1210" s="73" t="str">
        <f>VLOOKUP(F1210,'[2]Lista de Produtos CLASSIFICAÇÃO'!$E$103:$F$114,2,FALSE)</f>
        <v>Aquecidos</v>
      </c>
      <c r="H1210" s="74">
        <v>5300</v>
      </c>
    </row>
    <row r="1211" spans="1:8" x14ac:dyDescent="0.25">
      <c r="A1211" s="75">
        <v>2024</v>
      </c>
      <c r="B1211" s="76" t="s">
        <v>215</v>
      </c>
      <c r="C1211" s="77" t="s">
        <v>232</v>
      </c>
      <c r="D1211" s="77" t="s">
        <v>176</v>
      </c>
      <c r="E1211" s="73" t="str">
        <f>VLOOKUP(D1211,clientes!$C$3:$D$60,2,FALSE)</f>
        <v>AGROPALMA</v>
      </c>
      <c r="F1211" s="77" t="s">
        <v>123</v>
      </c>
      <c r="G1211" s="73" t="str">
        <f>VLOOKUP(F1211,'[2]Lista de Produtos CLASSIFICAÇÃO'!$E$103:$F$114,2,FALSE)</f>
        <v>Aquecidos</v>
      </c>
      <c r="H1211" s="78">
        <v>5300</v>
      </c>
    </row>
    <row r="1212" spans="1:8" x14ac:dyDescent="0.25">
      <c r="A1212" s="71">
        <v>2024</v>
      </c>
      <c r="B1212" s="72" t="s">
        <v>230</v>
      </c>
      <c r="C1212" s="73" t="s">
        <v>232</v>
      </c>
      <c r="D1212" s="73" t="s">
        <v>176</v>
      </c>
      <c r="E1212" s="73" t="str">
        <f>VLOOKUP(D1212,clientes!$C$3:$D$60,2,FALSE)</f>
        <v>AGROPALMA</v>
      </c>
      <c r="F1212" s="73" t="s">
        <v>123</v>
      </c>
      <c r="G1212" s="73" t="str">
        <f>VLOOKUP(F1212,'[2]Lista de Produtos CLASSIFICAÇÃO'!$E$103:$F$114,2,FALSE)</f>
        <v>Aquecidos</v>
      </c>
      <c r="H1212" s="74">
        <v>5300</v>
      </c>
    </row>
    <row r="1213" spans="1:8" x14ac:dyDescent="0.25">
      <c r="A1213" s="75">
        <v>2024</v>
      </c>
      <c r="B1213" s="76" t="s">
        <v>231</v>
      </c>
      <c r="C1213" s="77" t="s">
        <v>232</v>
      </c>
      <c r="D1213" s="77" t="s">
        <v>176</v>
      </c>
      <c r="E1213" s="73" t="str">
        <f>VLOOKUP(D1213,clientes!$C$3:$D$60,2,FALSE)</f>
        <v>AGROPALMA</v>
      </c>
      <c r="F1213" s="77" t="s">
        <v>123</v>
      </c>
      <c r="G1213" s="73" t="str">
        <f>VLOOKUP(F1213,'[2]Lista de Produtos CLASSIFICAÇÃO'!$E$103:$F$114,2,FALSE)</f>
        <v>Aquecidos</v>
      </c>
      <c r="H1213" s="78">
        <v>5300</v>
      </c>
    </row>
    <row r="1214" spans="1:8" x14ac:dyDescent="0.25">
      <c r="A1214" s="71">
        <v>2024</v>
      </c>
      <c r="B1214" s="72" t="s">
        <v>226</v>
      </c>
      <c r="C1214" s="73" t="s">
        <v>232</v>
      </c>
      <c r="D1214" s="73" t="s">
        <v>188</v>
      </c>
      <c r="E1214" s="73" t="str">
        <f>VLOOKUP(D1214,clientes!$C$3:$D$60,2,FALSE)</f>
        <v>ARES MERCHANTS PTE LIMITE</v>
      </c>
      <c r="F1214" s="73" t="s">
        <v>123</v>
      </c>
      <c r="G1214" s="73" t="str">
        <f>VLOOKUP(F1214,'[2]Lista de Produtos CLASSIFICAÇÃO'!$E$103:$F$114,2,FALSE)</f>
        <v>Aquecidos</v>
      </c>
      <c r="H1214" s="74">
        <v>0</v>
      </c>
    </row>
    <row r="1215" spans="1:8" x14ac:dyDescent="0.25">
      <c r="A1215" s="75">
        <v>2024</v>
      </c>
      <c r="B1215" s="76" t="s">
        <v>227</v>
      </c>
      <c r="C1215" s="77" t="s">
        <v>232</v>
      </c>
      <c r="D1215" s="77" t="s">
        <v>188</v>
      </c>
      <c r="E1215" s="73" t="str">
        <f>VLOOKUP(D1215,clientes!$C$3:$D$60,2,FALSE)</f>
        <v>ARES MERCHANTS PTE LIMITE</v>
      </c>
      <c r="F1215" s="77" t="s">
        <v>123</v>
      </c>
      <c r="G1215" s="73" t="str">
        <f>VLOOKUP(F1215,'[2]Lista de Produtos CLASSIFICAÇÃO'!$E$103:$F$114,2,FALSE)</f>
        <v>Aquecidos</v>
      </c>
      <c r="H1215" s="78">
        <v>0</v>
      </c>
    </row>
    <row r="1216" spans="1:8" x14ac:dyDescent="0.25">
      <c r="A1216" s="71">
        <v>2024</v>
      </c>
      <c r="B1216" s="72" t="s">
        <v>228</v>
      </c>
      <c r="C1216" s="73" t="s">
        <v>232</v>
      </c>
      <c r="D1216" s="73" t="s">
        <v>188</v>
      </c>
      <c r="E1216" s="73" t="str">
        <f>VLOOKUP(D1216,clientes!$C$3:$D$60,2,FALSE)</f>
        <v>ARES MERCHANTS PTE LIMITE</v>
      </c>
      <c r="F1216" s="73" t="s">
        <v>123</v>
      </c>
      <c r="G1216" s="73" t="str">
        <f>VLOOKUP(F1216,'[2]Lista de Produtos CLASSIFICAÇÃO'!$E$103:$F$114,2,FALSE)</f>
        <v>Aquecidos</v>
      </c>
      <c r="H1216" s="74">
        <v>0</v>
      </c>
    </row>
    <row r="1217" spans="1:8" x14ac:dyDescent="0.25">
      <c r="A1217" s="75">
        <v>2024</v>
      </c>
      <c r="B1217" s="76" t="s">
        <v>229</v>
      </c>
      <c r="C1217" s="77" t="s">
        <v>232</v>
      </c>
      <c r="D1217" s="77" t="s">
        <v>188</v>
      </c>
      <c r="E1217" s="73" t="str">
        <f>VLOOKUP(D1217,clientes!$C$3:$D$60,2,FALSE)</f>
        <v>ARES MERCHANTS PTE LIMITE</v>
      </c>
      <c r="F1217" s="77" t="s">
        <v>123</v>
      </c>
      <c r="G1217" s="73" t="str">
        <f>VLOOKUP(F1217,'[2]Lista de Produtos CLASSIFICAÇÃO'!$E$103:$F$114,2,FALSE)</f>
        <v>Aquecidos</v>
      </c>
      <c r="H1217" s="78">
        <v>0</v>
      </c>
    </row>
    <row r="1218" spans="1:8" x14ac:dyDescent="0.25">
      <c r="A1218" s="71">
        <v>2024</v>
      </c>
      <c r="B1218" s="72" t="s">
        <v>210</v>
      </c>
      <c r="C1218" s="73" t="s">
        <v>232</v>
      </c>
      <c r="D1218" s="73" t="s">
        <v>188</v>
      </c>
      <c r="E1218" s="73" t="str">
        <f>VLOOKUP(D1218,clientes!$C$3:$D$60,2,FALSE)</f>
        <v>ARES MERCHANTS PTE LIMITE</v>
      </c>
      <c r="F1218" s="73" t="s">
        <v>123</v>
      </c>
      <c r="G1218" s="73" t="str">
        <f>VLOOKUP(F1218,'[2]Lista de Produtos CLASSIFICAÇÃO'!$E$103:$F$114,2,FALSE)</f>
        <v>Aquecidos</v>
      </c>
      <c r="H1218" s="74">
        <v>0</v>
      </c>
    </row>
    <row r="1219" spans="1:8" x14ac:dyDescent="0.25">
      <c r="A1219" s="75">
        <v>2024</v>
      </c>
      <c r="B1219" s="76" t="s">
        <v>211</v>
      </c>
      <c r="C1219" s="77" t="s">
        <v>232</v>
      </c>
      <c r="D1219" s="77" t="s">
        <v>188</v>
      </c>
      <c r="E1219" s="73" t="str">
        <f>VLOOKUP(D1219,clientes!$C$3:$D$60,2,FALSE)</f>
        <v>ARES MERCHANTS PTE LIMITE</v>
      </c>
      <c r="F1219" s="77" t="s">
        <v>123</v>
      </c>
      <c r="G1219" s="73" t="str">
        <f>VLOOKUP(F1219,'[2]Lista de Produtos CLASSIFICAÇÃO'!$E$103:$F$114,2,FALSE)</f>
        <v>Aquecidos</v>
      </c>
      <c r="H1219" s="78">
        <v>0</v>
      </c>
    </row>
    <row r="1220" spans="1:8" x14ac:dyDescent="0.25">
      <c r="A1220" s="71">
        <v>2024</v>
      </c>
      <c r="B1220" s="72" t="s">
        <v>212</v>
      </c>
      <c r="C1220" s="73" t="s">
        <v>232</v>
      </c>
      <c r="D1220" s="73" t="s">
        <v>188</v>
      </c>
      <c r="E1220" s="73" t="str">
        <f>VLOOKUP(D1220,clientes!$C$3:$D$60,2,FALSE)</f>
        <v>ARES MERCHANTS PTE LIMITE</v>
      </c>
      <c r="F1220" s="73" t="s">
        <v>123</v>
      </c>
      <c r="G1220" s="73" t="str">
        <f>VLOOKUP(F1220,'[2]Lista de Produtos CLASSIFICAÇÃO'!$E$103:$F$114,2,FALSE)</f>
        <v>Aquecidos</v>
      </c>
      <c r="H1220" s="74">
        <v>0</v>
      </c>
    </row>
    <row r="1221" spans="1:8" x14ac:dyDescent="0.25">
      <c r="A1221" s="75">
        <v>2024</v>
      </c>
      <c r="B1221" s="76" t="s">
        <v>213</v>
      </c>
      <c r="C1221" s="77" t="s">
        <v>232</v>
      </c>
      <c r="D1221" s="77" t="s">
        <v>188</v>
      </c>
      <c r="E1221" s="73" t="str">
        <f>VLOOKUP(D1221,clientes!$C$3:$D$60,2,FALSE)</f>
        <v>ARES MERCHANTS PTE LIMITE</v>
      </c>
      <c r="F1221" s="77" t="s">
        <v>123</v>
      </c>
      <c r="G1221" s="73" t="str">
        <f>VLOOKUP(F1221,'[2]Lista de Produtos CLASSIFICAÇÃO'!$E$103:$F$114,2,FALSE)</f>
        <v>Aquecidos</v>
      </c>
      <c r="H1221" s="78">
        <v>0</v>
      </c>
    </row>
    <row r="1222" spans="1:8" x14ac:dyDescent="0.25">
      <c r="A1222" s="71">
        <v>2024</v>
      </c>
      <c r="B1222" s="72" t="s">
        <v>214</v>
      </c>
      <c r="C1222" s="73" t="s">
        <v>232</v>
      </c>
      <c r="D1222" s="73" t="s">
        <v>188</v>
      </c>
      <c r="E1222" s="73" t="str">
        <f>VLOOKUP(D1222,clientes!$C$3:$D$60,2,FALSE)</f>
        <v>ARES MERCHANTS PTE LIMITE</v>
      </c>
      <c r="F1222" s="73" t="s">
        <v>123</v>
      </c>
      <c r="G1222" s="73" t="str">
        <f>VLOOKUP(F1222,'[2]Lista de Produtos CLASSIFICAÇÃO'!$E$103:$F$114,2,FALSE)</f>
        <v>Aquecidos</v>
      </c>
      <c r="H1222" s="74">
        <v>0</v>
      </c>
    </row>
    <row r="1223" spans="1:8" x14ac:dyDescent="0.25">
      <c r="A1223" s="75">
        <v>2024</v>
      </c>
      <c r="B1223" s="76" t="s">
        <v>215</v>
      </c>
      <c r="C1223" s="77" t="s">
        <v>232</v>
      </c>
      <c r="D1223" s="77" t="s">
        <v>188</v>
      </c>
      <c r="E1223" s="73" t="str">
        <f>VLOOKUP(D1223,clientes!$C$3:$D$60,2,FALSE)</f>
        <v>ARES MERCHANTS PTE LIMITE</v>
      </c>
      <c r="F1223" s="77" t="s">
        <v>123</v>
      </c>
      <c r="G1223" s="73" t="str">
        <f>VLOOKUP(F1223,'[2]Lista de Produtos CLASSIFICAÇÃO'!$E$103:$F$114,2,FALSE)</f>
        <v>Aquecidos</v>
      </c>
      <c r="H1223" s="78">
        <v>0</v>
      </c>
    </row>
    <row r="1224" spans="1:8" x14ac:dyDescent="0.25">
      <c r="A1224" s="71">
        <v>2024</v>
      </c>
      <c r="B1224" s="72" t="s">
        <v>230</v>
      </c>
      <c r="C1224" s="73" t="s">
        <v>232</v>
      </c>
      <c r="D1224" s="73" t="s">
        <v>188</v>
      </c>
      <c r="E1224" s="73" t="str">
        <f>VLOOKUP(D1224,clientes!$C$3:$D$60,2,FALSE)</f>
        <v>ARES MERCHANTS PTE LIMITE</v>
      </c>
      <c r="F1224" s="73" t="s">
        <v>123</v>
      </c>
      <c r="G1224" s="73" t="str">
        <f>VLOOKUP(F1224,'[2]Lista de Produtos CLASSIFICAÇÃO'!$E$103:$F$114,2,FALSE)</f>
        <v>Aquecidos</v>
      </c>
      <c r="H1224" s="74">
        <v>0</v>
      </c>
    </row>
    <row r="1225" spans="1:8" x14ac:dyDescent="0.25">
      <c r="A1225" s="75">
        <v>2024</v>
      </c>
      <c r="B1225" s="76" t="s">
        <v>231</v>
      </c>
      <c r="C1225" s="77" t="s">
        <v>232</v>
      </c>
      <c r="D1225" s="77" t="s">
        <v>188</v>
      </c>
      <c r="E1225" s="73" t="str">
        <f>VLOOKUP(D1225,clientes!$C$3:$D$60,2,FALSE)</f>
        <v>ARES MERCHANTS PTE LIMITE</v>
      </c>
      <c r="F1225" s="77" t="s">
        <v>123</v>
      </c>
      <c r="G1225" s="73" t="str">
        <f>VLOOKUP(F1225,'[2]Lista de Produtos CLASSIFICAÇÃO'!$E$103:$F$114,2,FALSE)</f>
        <v>Aquecidos</v>
      </c>
      <c r="H1225" s="78">
        <v>0</v>
      </c>
    </row>
    <row r="1226" spans="1:8" x14ac:dyDescent="0.25">
      <c r="A1226" s="71">
        <v>2024</v>
      </c>
      <c r="B1226" s="72" t="s">
        <v>226</v>
      </c>
      <c r="C1226" s="73" t="s">
        <v>233</v>
      </c>
      <c r="D1226" s="73" t="s">
        <v>182</v>
      </c>
      <c r="E1226" s="73" t="str">
        <f>VLOOKUP(D1226,clientes!$C$3:$D$60,2,FALSE)</f>
        <v>ATEM</v>
      </c>
      <c r="F1226" s="73" t="s">
        <v>120</v>
      </c>
      <c r="G1226" s="73" t="str">
        <f>VLOOKUP(F1226,'[2]Lista de Produtos CLASSIFICAÇÃO'!$E$103:$F$114,2,FALSE)</f>
        <v>Derivados</v>
      </c>
      <c r="H1226" s="74">
        <v>20082</v>
      </c>
    </row>
    <row r="1227" spans="1:8" x14ac:dyDescent="0.25">
      <c r="A1227" s="75">
        <v>2024</v>
      </c>
      <c r="B1227" s="76" t="s">
        <v>227</v>
      </c>
      <c r="C1227" s="77" t="s">
        <v>233</v>
      </c>
      <c r="D1227" s="77" t="s">
        <v>182</v>
      </c>
      <c r="E1227" s="73" t="str">
        <f>VLOOKUP(D1227,clientes!$C$3:$D$60,2,FALSE)</f>
        <v>ATEM</v>
      </c>
      <c r="F1227" s="77" t="s">
        <v>120</v>
      </c>
      <c r="G1227" s="73" t="str">
        <f>VLOOKUP(F1227,'[2]Lista de Produtos CLASSIFICAÇÃO'!$E$103:$F$114,2,FALSE)</f>
        <v>Derivados</v>
      </c>
      <c r="H1227" s="78">
        <v>20082</v>
      </c>
    </row>
    <row r="1228" spans="1:8" x14ac:dyDescent="0.25">
      <c r="A1228" s="71">
        <v>2024</v>
      </c>
      <c r="B1228" s="72" t="s">
        <v>228</v>
      </c>
      <c r="C1228" s="73" t="s">
        <v>233</v>
      </c>
      <c r="D1228" s="73" t="s">
        <v>182</v>
      </c>
      <c r="E1228" s="73" t="str">
        <f>VLOOKUP(D1228,clientes!$C$3:$D$60,2,FALSE)</f>
        <v>ATEM</v>
      </c>
      <c r="F1228" s="73" t="s">
        <v>120</v>
      </c>
      <c r="G1228" s="73" t="str">
        <f>VLOOKUP(F1228,'[2]Lista de Produtos CLASSIFICAÇÃO'!$E$103:$F$114,2,FALSE)</f>
        <v>Derivados</v>
      </c>
      <c r="H1228" s="74">
        <v>20082</v>
      </c>
    </row>
    <row r="1229" spans="1:8" x14ac:dyDescent="0.25">
      <c r="A1229" s="75">
        <v>2024</v>
      </c>
      <c r="B1229" s="76" t="s">
        <v>229</v>
      </c>
      <c r="C1229" s="77" t="s">
        <v>233</v>
      </c>
      <c r="D1229" s="77" t="s">
        <v>182</v>
      </c>
      <c r="E1229" s="73" t="str">
        <f>VLOOKUP(D1229,clientes!$C$3:$D$60,2,FALSE)</f>
        <v>ATEM</v>
      </c>
      <c r="F1229" s="77" t="s">
        <v>120</v>
      </c>
      <c r="G1229" s="73" t="str">
        <f>VLOOKUP(F1229,'[2]Lista de Produtos CLASSIFICAÇÃO'!$E$103:$F$114,2,FALSE)</f>
        <v>Derivados</v>
      </c>
      <c r="H1229" s="78">
        <v>20082</v>
      </c>
    </row>
    <row r="1230" spans="1:8" x14ac:dyDescent="0.25">
      <c r="A1230" s="71">
        <v>2024</v>
      </c>
      <c r="B1230" s="72" t="s">
        <v>210</v>
      </c>
      <c r="C1230" s="73" t="s">
        <v>233</v>
      </c>
      <c r="D1230" s="73" t="s">
        <v>182</v>
      </c>
      <c r="E1230" s="73" t="str">
        <f>VLOOKUP(D1230,clientes!$C$3:$D$60,2,FALSE)</f>
        <v>ATEM</v>
      </c>
      <c r="F1230" s="73" t="s">
        <v>120</v>
      </c>
      <c r="G1230" s="73" t="str">
        <f>VLOOKUP(F1230,'[2]Lista de Produtos CLASSIFICAÇÃO'!$E$103:$F$114,2,FALSE)</f>
        <v>Derivados</v>
      </c>
      <c r="H1230" s="74">
        <v>20082</v>
      </c>
    </row>
    <row r="1231" spans="1:8" x14ac:dyDescent="0.25">
      <c r="A1231" s="75">
        <v>2024</v>
      </c>
      <c r="B1231" s="76" t="s">
        <v>211</v>
      </c>
      <c r="C1231" s="77" t="s">
        <v>233</v>
      </c>
      <c r="D1231" s="77" t="s">
        <v>182</v>
      </c>
      <c r="E1231" s="73" t="str">
        <f>VLOOKUP(D1231,clientes!$C$3:$D$60,2,FALSE)</f>
        <v>ATEM</v>
      </c>
      <c r="F1231" s="77" t="s">
        <v>120</v>
      </c>
      <c r="G1231" s="73" t="str">
        <f>VLOOKUP(F1231,'[2]Lista de Produtos CLASSIFICAÇÃO'!$E$103:$F$114,2,FALSE)</f>
        <v>Derivados</v>
      </c>
      <c r="H1231" s="78">
        <v>20082</v>
      </c>
    </row>
    <row r="1232" spans="1:8" x14ac:dyDescent="0.25">
      <c r="A1232" s="71">
        <v>2024</v>
      </c>
      <c r="B1232" s="72" t="s">
        <v>212</v>
      </c>
      <c r="C1232" s="73" t="s">
        <v>233</v>
      </c>
      <c r="D1232" s="73" t="s">
        <v>182</v>
      </c>
      <c r="E1232" s="73" t="str">
        <f>VLOOKUP(D1232,clientes!$C$3:$D$60,2,FALSE)</f>
        <v>ATEM</v>
      </c>
      <c r="F1232" s="73" t="s">
        <v>120</v>
      </c>
      <c r="G1232" s="73" t="str">
        <f>VLOOKUP(F1232,'[2]Lista de Produtos CLASSIFICAÇÃO'!$E$103:$F$114,2,FALSE)</f>
        <v>Derivados</v>
      </c>
      <c r="H1232" s="74">
        <v>20082</v>
      </c>
    </row>
    <row r="1233" spans="1:8" x14ac:dyDescent="0.25">
      <c r="A1233" s="75">
        <v>2024</v>
      </c>
      <c r="B1233" s="76" t="s">
        <v>213</v>
      </c>
      <c r="C1233" s="77" t="s">
        <v>233</v>
      </c>
      <c r="D1233" s="77" t="s">
        <v>182</v>
      </c>
      <c r="E1233" s="73" t="str">
        <f>VLOOKUP(D1233,clientes!$C$3:$D$60,2,FALSE)</f>
        <v>ATEM</v>
      </c>
      <c r="F1233" s="77" t="s">
        <v>120</v>
      </c>
      <c r="G1233" s="73" t="str">
        <f>VLOOKUP(F1233,'[2]Lista de Produtos CLASSIFICAÇÃO'!$E$103:$F$114,2,FALSE)</f>
        <v>Derivados</v>
      </c>
      <c r="H1233" s="78">
        <v>20082</v>
      </c>
    </row>
    <row r="1234" spans="1:8" x14ac:dyDescent="0.25">
      <c r="A1234" s="71">
        <v>2024</v>
      </c>
      <c r="B1234" s="72" t="s">
        <v>214</v>
      </c>
      <c r="C1234" s="73" t="s">
        <v>233</v>
      </c>
      <c r="D1234" s="73" t="s">
        <v>182</v>
      </c>
      <c r="E1234" s="73" t="str">
        <f>VLOOKUP(D1234,clientes!$C$3:$D$60,2,FALSE)</f>
        <v>ATEM</v>
      </c>
      <c r="F1234" s="73" t="s">
        <v>120</v>
      </c>
      <c r="G1234" s="73" t="str">
        <f>VLOOKUP(F1234,'[2]Lista de Produtos CLASSIFICAÇÃO'!$E$103:$F$114,2,FALSE)</f>
        <v>Derivados</v>
      </c>
      <c r="H1234" s="74">
        <v>20082</v>
      </c>
    </row>
    <row r="1235" spans="1:8" x14ac:dyDescent="0.25">
      <c r="A1235" s="75">
        <v>2024</v>
      </c>
      <c r="B1235" s="76" t="s">
        <v>215</v>
      </c>
      <c r="C1235" s="77" t="s">
        <v>233</v>
      </c>
      <c r="D1235" s="77" t="s">
        <v>182</v>
      </c>
      <c r="E1235" s="73" t="str">
        <f>VLOOKUP(D1235,clientes!$C$3:$D$60,2,FALSE)</f>
        <v>ATEM</v>
      </c>
      <c r="F1235" s="77" t="s">
        <v>120</v>
      </c>
      <c r="G1235" s="73" t="str">
        <f>VLOOKUP(F1235,'[2]Lista de Produtos CLASSIFICAÇÃO'!$E$103:$F$114,2,FALSE)</f>
        <v>Derivados</v>
      </c>
      <c r="H1235" s="78">
        <v>20082</v>
      </c>
    </row>
    <row r="1236" spans="1:8" x14ac:dyDescent="0.25">
      <c r="A1236" s="71">
        <v>2024</v>
      </c>
      <c r="B1236" s="72" t="s">
        <v>230</v>
      </c>
      <c r="C1236" s="73" t="s">
        <v>233</v>
      </c>
      <c r="D1236" s="73" t="s">
        <v>182</v>
      </c>
      <c r="E1236" s="73" t="str">
        <f>VLOOKUP(D1236,clientes!$C$3:$D$60,2,FALSE)</f>
        <v>ATEM</v>
      </c>
      <c r="F1236" s="73" t="s">
        <v>120</v>
      </c>
      <c r="G1236" s="73" t="str">
        <f>VLOOKUP(F1236,'[2]Lista de Produtos CLASSIFICAÇÃO'!$E$103:$F$114,2,FALSE)</f>
        <v>Derivados</v>
      </c>
      <c r="H1236" s="74">
        <v>20082</v>
      </c>
    </row>
    <row r="1237" spans="1:8" x14ac:dyDescent="0.25">
      <c r="A1237" s="75">
        <v>2024</v>
      </c>
      <c r="B1237" s="76" t="s">
        <v>231</v>
      </c>
      <c r="C1237" s="77" t="s">
        <v>233</v>
      </c>
      <c r="D1237" s="77" t="s">
        <v>182</v>
      </c>
      <c r="E1237" s="73" t="str">
        <f>VLOOKUP(D1237,clientes!$C$3:$D$60,2,FALSE)</f>
        <v>ATEM</v>
      </c>
      <c r="F1237" s="77" t="s">
        <v>120</v>
      </c>
      <c r="G1237" s="73" t="str">
        <f>VLOOKUP(F1237,'[2]Lista de Produtos CLASSIFICAÇÃO'!$E$103:$F$114,2,FALSE)</f>
        <v>Derivados</v>
      </c>
      <c r="H1237" s="78">
        <v>20082</v>
      </c>
    </row>
    <row r="1238" spans="1:8" x14ac:dyDescent="0.25">
      <c r="A1238" s="71">
        <v>2024</v>
      </c>
      <c r="B1238" s="72" t="s">
        <v>226</v>
      </c>
      <c r="C1238" s="73" t="s">
        <v>232</v>
      </c>
      <c r="D1238" s="73" t="s">
        <v>165</v>
      </c>
      <c r="E1238" s="73" t="str">
        <f>VLOOKUP(D1238,clientes!$C$3:$D$60,2,FALSE)</f>
        <v>BRF</v>
      </c>
      <c r="F1238" s="73" t="s">
        <v>123</v>
      </c>
      <c r="G1238" s="73" t="str">
        <f>VLOOKUP(F1238,'[2]Lista de Produtos CLASSIFICAÇÃO'!$E$103:$F$114,2,FALSE)</f>
        <v>Aquecidos</v>
      </c>
      <c r="H1238" s="74">
        <v>6000</v>
      </c>
    </row>
    <row r="1239" spans="1:8" x14ac:dyDescent="0.25">
      <c r="A1239" s="75">
        <v>2024</v>
      </c>
      <c r="B1239" s="76" t="s">
        <v>227</v>
      </c>
      <c r="C1239" s="77" t="s">
        <v>232</v>
      </c>
      <c r="D1239" s="77" t="s">
        <v>165</v>
      </c>
      <c r="E1239" s="73" t="str">
        <f>VLOOKUP(D1239,clientes!$C$3:$D$60,2,FALSE)</f>
        <v>BRF</v>
      </c>
      <c r="F1239" s="77" t="s">
        <v>123</v>
      </c>
      <c r="G1239" s="73" t="str">
        <f>VLOOKUP(F1239,'[2]Lista de Produtos CLASSIFICAÇÃO'!$E$103:$F$114,2,FALSE)</f>
        <v>Aquecidos</v>
      </c>
      <c r="H1239" s="78">
        <v>6000</v>
      </c>
    </row>
    <row r="1240" spans="1:8" x14ac:dyDescent="0.25">
      <c r="A1240" s="71">
        <v>2024</v>
      </c>
      <c r="B1240" s="72" t="s">
        <v>228</v>
      </c>
      <c r="C1240" s="73" t="s">
        <v>232</v>
      </c>
      <c r="D1240" s="73" t="s">
        <v>165</v>
      </c>
      <c r="E1240" s="73" t="str">
        <f>VLOOKUP(D1240,clientes!$C$3:$D$60,2,FALSE)</f>
        <v>BRF</v>
      </c>
      <c r="F1240" s="73" t="s">
        <v>123</v>
      </c>
      <c r="G1240" s="73" t="str">
        <f>VLOOKUP(F1240,'[2]Lista de Produtos CLASSIFICAÇÃO'!$E$103:$F$114,2,FALSE)</f>
        <v>Aquecidos</v>
      </c>
      <c r="H1240" s="74">
        <v>6000</v>
      </c>
    </row>
    <row r="1241" spans="1:8" x14ac:dyDescent="0.25">
      <c r="A1241" s="75">
        <v>2024</v>
      </c>
      <c r="B1241" s="76" t="s">
        <v>229</v>
      </c>
      <c r="C1241" s="77" t="s">
        <v>232</v>
      </c>
      <c r="D1241" s="77" t="s">
        <v>165</v>
      </c>
      <c r="E1241" s="73" t="str">
        <f>VLOOKUP(D1241,clientes!$C$3:$D$60,2,FALSE)</f>
        <v>BRF</v>
      </c>
      <c r="F1241" s="77" t="s">
        <v>123</v>
      </c>
      <c r="G1241" s="73" t="str">
        <f>VLOOKUP(F1241,'[2]Lista de Produtos CLASSIFICAÇÃO'!$E$103:$F$114,2,FALSE)</f>
        <v>Aquecidos</v>
      </c>
      <c r="H1241" s="78">
        <v>6000</v>
      </c>
    </row>
    <row r="1242" spans="1:8" x14ac:dyDescent="0.25">
      <c r="A1242" s="71">
        <v>2024</v>
      </c>
      <c r="B1242" s="72" t="s">
        <v>210</v>
      </c>
      <c r="C1242" s="73" t="s">
        <v>232</v>
      </c>
      <c r="D1242" s="73" t="s">
        <v>165</v>
      </c>
      <c r="E1242" s="73" t="str">
        <f>VLOOKUP(D1242,clientes!$C$3:$D$60,2,FALSE)</f>
        <v>BRF</v>
      </c>
      <c r="F1242" s="73" t="s">
        <v>123</v>
      </c>
      <c r="G1242" s="73" t="str">
        <f>VLOOKUP(F1242,'[2]Lista de Produtos CLASSIFICAÇÃO'!$E$103:$F$114,2,FALSE)</f>
        <v>Aquecidos</v>
      </c>
      <c r="H1242" s="74">
        <v>6000</v>
      </c>
    </row>
    <row r="1243" spans="1:8" x14ac:dyDescent="0.25">
      <c r="A1243" s="75">
        <v>2024</v>
      </c>
      <c r="B1243" s="76" t="s">
        <v>211</v>
      </c>
      <c r="C1243" s="77" t="s">
        <v>232</v>
      </c>
      <c r="D1243" s="77" t="s">
        <v>165</v>
      </c>
      <c r="E1243" s="73" t="str">
        <f>VLOOKUP(D1243,clientes!$C$3:$D$60,2,FALSE)</f>
        <v>BRF</v>
      </c>
      <c r="F1243" s="77" t="s">
        <v>123</v>
      </c>
      <c r="G1243" s="73" t="str">
        <f>VLOOKUP(F1243,'[2]Lista de Produtos CLASSIFICAÇÃO'!$E$103:$F$114,2,FALSE)</f>
        <v>Aquecidos</v>
      </c>
      <c r="H1243" s="78">
        <v>6000</v>
      </c>
    </row>
    <row r="1244" spans="1:8" x14ac:dyDescent="0.25">
      <c r="A1244" s="71">
        <v>2024</v>
      </c>
      <c r="B1244" s="72" t="s">
        <v>212</v>
      </c>
      <c r="C1244" s="73" t="s">
        <v>232</v>
      </c>
      <c r="D1244" s="73" t="s">
        <v>165</v>
      </c>
      <c r="E1244" s="73" t="str">
        <f>VLOOKUP(D1244,clientes!$C$3:$D$60,2,FALSE)</f>
        <v>BRF</v>
      </c>
      <c r="F1244" s="73" t="s">
        <v>123</v>
      </c>
      <c r="G1244" s="73" t="str">
        <f>VLOOKUP(F1244,'[2]Lista de Produtos CLASSIFICAÇÃO'!$E$103:$F$114,2,FALSE)</f>
        <v>Aquecidos</v>
      </c>
      <c r="H1244" s="74">
        <v>6000</v>
      </c>
    </row>
    <row r="1245" spans="1:8" x14ac:dyDescent="0.25">
      <c r="A1245" s="75">
        <v>2024</v>
      </c>
      <c r="B1245" s="76" t="s">
        <v>213</v>
      </c>
      <c r="C1245" s="77" t="s">
        <v>232</v>
      </c>
      <c r="D1245" s="77" t="s">
        <v>165</v>
      </c>
      <c r="E1245" s="73" t="str">
        <f>VLOOKUP(D1245,clientes!$C$3:$D$60,2,FALSE)</f>
        <v>BRF</v>
      </c>
      <c r="F1245" s="77" t="s">
        <v>123</v>
      </c>
      <c r="G1245" s="73" t="str">
        <f>VLOOKUP(F1245,'[2]Lista de Produtos CLASSIFICAÇÃO'!$E$103:$F$114,2,FALSE)</f>
        <v>Aquecidos</v>
      </c>
      <c r="H1245" s="78">
        <v>6000</v>
      </c>
    </row>
    <row r="1246" spans="1:8" x14ac:dyDescent="0.25">
      <c r="A1246" s="71">
        <v>2024</v>
      </c>
      <c r="B1246" s="72" t="s">
        <v>214</v>
      </c>
      <c r="C1246" s="73" t="s">
        <v>232</v>
      </c>
      <c r="D1246" s="73" t="s">
        <v>165</v>
      </c>
      <c r="E1246" s="73" t="str">
        <f>VLOOKUP(D1246,clientes!$C$3:$D$60,2,FALSE)</f>
        <v>BRF</v>
      </c>
      <c r="F1246" s="73" t="s">
        <v>123</v>
      </c>
      <c r="G1246" s="73" t="str">
        <f>VLOOKUP(F1246,'[2]Lista de Produtos CLASSIFICAÇÃO'!$E$103:$F$114,2,FALSE)</f>
        <v>Aquecidos</v>
      </c>
      <c r="H1246" s="74">
        <v>6000</v>
      </c>
    </row>
    <row r="1247" spans="1:8" x14ac:dyDescent="0.25">
      <c r="A1247" s="75">
        <v>2024</v>
      </c>
      <c r="B1247" s="76" t="s">
        <v>215</v>
      </c>
      <c r="C1247" s="77" t="s">
        <v>232</v>
      </c>
      <c r="D1247" s="77" t="s">
        <v>165</v>
      </c>
      <c r="E1247" s="73" t="str">
        <f>VLOOKUP(D1247,clientes!$C$3:$D$60,2,FALSE)</f>
        <v>BRF</v>
      </c>
      <c r="F1247" s="77" t="s">
        <v>123</v>
      </c>
      <c r="G1247" s="73" t="str">
        <f>VLOOKUP(F1247,'[2]Lista de Produtos CLASSIFICAÇÃO'!$E$103:$F$114,2,FALSE)</f>
        <v>Aquecidos</v>
      </c>
      <c r="H1247" s="78">
        <v>6000</v>
      </c>
    </row>
    <row r="1248" spans="1:8" x14ac:dyDescent="0.25">
      <c r="A1248" s="71">
        <v>2024</v>
      </c>
      <c r="B1248" s="72" t="s">
        <v>230</v>
      </c>
      <c r="C1248" s="73" t="s">
        <v>232</v>
      </c>
      <c r="D1248" s="73" t="s">
        <v>165</v>
      </c>
      <c r="E1248" s="73" t="str">
        <f>VLOOKUP(D1248,clientes!$C$3:$D$60,2,FALSE)</f>
        <v>BRF</v>
      </c>
      <c r="F1248" s="73" t="s">
        <v>123</v>
      </c>
      <c r="G1248" s="73" t="str">
        <f>VLOOKUP(F1248,'[2]Lista de Produtos CLASSIFICAÇÃO'!$E$103:$F$114,2,FALSE)</f>
        <v>Aquecidos</v>
      </c>
      <c r="H1248" s="74">
        <v>6000</v>
      </c>
    </row>
    <row r="1249" spans="1:8" x14ac:dyDescent="0.25">
      <c r="A1249" s="75">
        <v>2024</v>
      </c>
      <c r="B1249" s="76" t="s">
        <v>231</v>
      </c>
      <c r="C1249" s="77" t="s">
        <v>232</v>
      </c>
      <c r="D1249" s="77" t="s">
        <v>165</v>
      </c>
      <c r="E1249" s="73" t="str">
        <f>VLOOKUP(D1249,clientes!$C$3:$D$60,2,FALSE)</f>
        <v>BRF</v>
      </c>
      <c r="F1249" s="77" t="s">
        <v>123</v>
      </c>
      <c r="G1249" s="73" t="str">
        <f>VLOOKUP(F1249,'[2]Lista de Produtos CLASSIFICAÇÃO'!$E$103:$F$114,2,FALSE)</f>
        <v>Aquecidos</v>
      </c>
      <c r="H1249" s="78">
        <v>6000</v>
      </c>
    </row>
    <row r="1250" spans="1:8" x14ac:dyDescent="0.25">
      <c r="A1250" s="71">
        <v>2024</v>
      </c>
      <c r="B1250" s="72" t="s">
        <v>226</v>
      </c>
      <c r="C1250" s="73" t="s">
        <v>233</v>
      </c>
      <c r="D1250" s="73" t="s">
        <v>179</v>
      </c>
      <c r="E1250" s="73" t="str">
        <f>VLOOKUP(D1250,clientes!$C$3:$D$60,2,FALSE)</f>
        <v>BSBIOS</v>
      </c>
      <c r="F1250" s="73" t="s">
        <v>26</v>
      </c>
      <c r="G1250" s="73" t="str">
        <f>VLOOKUP(F1250,'[2]Lista de Produtos CLASSIFICAÇÃO'!$E$103:$F$114,2,FALSE)</f>
        <v>Biocombustíveis</v>
      </c>
      <c r="H1250" s="74">
        <v>1622</v>
      </c>
    </row>
    <row r="1251" spans="1:8" x14ac:dyDescent="0.25">
      <c r="A1251" s="75">
        <v>2024</v>
      </c>
      <c r="B1251" s="76" t="s">
        <v>227</v>
      </c>
      <c r="C1251" s="77" t="s">
        <v>233</v>
      </c>
      <c r="D1251" s="77" t="s">
        <v>179</v>
      </c>
      <c r="E1251" s="73" t="str">
        <f>VLOOKUP(D1251,clientes!$C$3:$D$60,2,FALSE)</f>
        <v>BSBIOS</v>
      </c>
      <c r="F1251" s="77" t="s">
        <v>26</v>
      </c>
      <c r="G1251" s="73" t="str">
        <f>VLOOKUP(F1251,'[2]Lista de Produtos CLASSIFICAÇÃO'!$E$103:$F$114,2,FALSE)</f>
        <v>Biocombustíveis</v>
      </c>
      <c r="H1251" s="78">
        <v>1622</v>
      </c>
    </row>
    <row r="1252" spans="1:8" x14ac:dyDescent="0.25">
      <c r="A1252" s="71">
        <v>2024</v>
      </c>
      <c r="B1252" s="72" t="s">
        <v>228</v>
      </c>
      <c r="C1252" s="73" t="s">
        <v>233</v>
      </c>
      <c r="D1252" s="73" t="s">
        <v>179</v>
      </c>
      <c r="E1252" s="73" t="str">
        <f>VLOOKUP(D1252,clientes!$C$3:$D$60,2,FALSE)</f>
        <v>BSBIOS</v>
      </c>
      <c r="F1252" s="73" t="s">
        <v>26</v>
      </c>
      <c r="G1252" s="73" t="str">
        <f>VLOOKUP(F1252,'[2]Lista de Produtos CLASSIFICAÇÃO'!$E$103:$F$114,2,FALSE)</f>
        <v>Biocombustíveis</v>
      </c>
      <c r="H1252" s="74">
        <v>1622</v>
      </c>
    </row>
    <row r="1253" spans="1:8" x14ac:dyDescent="0.25">
      <c r="A1253" s="75">
        <v>2024</v>
      </c>
      <c r="B1253" s="76" t="s">
        <v>229</v>
      </c>
      <c r="C1253" s="77" t="s">
        <v>233</v>
      </c>
      <c r="D1253" s="77" t="s">
        <v>179</v>
      </c>
      <c r="E1253" s="73" t="str">
        <f>VLOOKUP(D1253,clientes!$C$3:$D$60,2,FALSE)</f>
        <v>BSBIOS</v>
      </c>
      <c r="F1253" s="77" t="s">
        <v>26</v>
      </c>
      <c r="G1253" s="73" t="str">
        <f>VLOOKUP(F1253,'[2]Lista de Produtos CLASSIFICAÇÃO'!$E$103:$F$114,2,FALSE)</f>
        <v>Biocombustíveis</v>
      </c>
      <c r="H1253" s="78">
        <v>1622</v>
      </c>
    </row>
    <row r="1254" spans="1:8" x14ac:dyDescent="0.25">
      <c r="A1254" s="71">
        <v>2024</v>
      </c>
      <c r="B1254" s="72" t="s">
        <v>210</v>
      </c>
      <c r="C1254" s="73" t="s">
        <v>233</v>
      </c>
      <c r="D1254" s="73" t="s">
        <v>179</v>
      </c>
      <c r="E1254" s="73" t="str">
        <f>VLOOKUP(D1254,clientes!$C$3:$D$60,2,FALSE)</f>
        <v>BSBIOS</v>
      </c>
      <c r="F1254" s="73" t="s">
        <v>26</v>
      </c>
      <c r="G1254" s="73" t="str">
        <f>VLOOKUP(F1254,'[2]Lista de Produtos CLASSIFICAÇÃO'!$E$103:$F$114,2,FALSE)</f>
        <v>Biocombustíveis</v>
      </c>
      <c r="H1254" s="74">
        <v>1622</v>
      </c>
    </row>
    <row r="1255" spans="1:8" x14ac:dyDescent="0.25">
      <c r="A1255" s="75">
        <v>2024</v>
      </c>
      <c r="B1255" s="76" t="s">
        <v>211</v>
      </c>
      <c r="C1255" s="77" t="s">
        <v>233</v>
      </c>
      <c r="D1255" s="77" t="s">
        <v>179</v>
      </c>
      <c r="E1255" s="73" t="str">
        <f>VLOOKUP(D1255,clientes!$C$3:$D$60,2,FALSE)</f>
        <v>BSBIOS</v>
      </c>
      <c r="F1255" s="77" t="s">
        <v>26</v>
      </c>
      <c r="G1255" s="73" t="str">
        <f>VLOOKUP(F1255,'[2]Lista de Produtos CLASSIFICAÇÃO'!$E$103:$F$114,2,FALSE)</f>
        <v>Biocombustíveis</v>
      </c>
      <c r="H1255" s="78">
        <v>1622</v>
      </c>
    </row>
    <row r="1256" spans="1:8" x14ac:dyDescent="0.25">
      <c r="A1256" s="71">
        <v>2024</v>
      </c>
      <c r="B1256" s="72" t="s">
        <v>212</v>
      </c>
      <c r="C1256" s="73" t="s">
        <v>233</v>
      </c>
      <c r="D1256" s="73" t="s">
        <v>179</v>
      </c>
      <c r="E1256" s="73" t="str">
        <f>VLOOKUP(D1256,clientes!$C$3:$D$60,2,FALSE)</f>
        <v>BSBIOS</v>
      </c>
      <c r="F1256" s="73" t="s">
        <v>26</v>
      </c>
      <c r="G1256" s="73" t="str">
        <f>VLOOKUP(F1256,'[2]Lista de Produtos CLASSIFICAÇÃO'!$E$103:$F$114,2,FALSE)</f>
        <v>Biocombustíveis</v>
      </c>
      <c r="H1256" s="74">
        <v>1622</v>
      </c>
    </row>
    <row r="1257" spans="1:8" x14ac:dyDescent="0.25">
      <c r="A1257" s="75">
        <v>2024</v>
      </c>
      <c r="B1257" s="76" t="s">
        <v>213</v>
      </c>
      <c r="C1257" s="77" t="s">
        <v>233</v>
      </c>
      <c r="D1257" s="77" t="s">
        <v>179</v>
      </c>
      <c r="E1257" s="73" t="str">
        <f>VLOOKUP(D1257,clientes!$C$3:$D$60,2,FALSE)</f>
        <v>BSBIOS</v>
      </c>
      <c r="F1257" s="77" t="s">
        <v>26</v>
      </c>
      <c r="G1257" s="73" t="str">
        <f>VLOOKUP(F1257,'[2]Lista de Produtos CLASSIFICAÇÃO'!$E$103:$F$114,2,FALSE)</f>
        <v>Biocombustíveis</v>
      </c>
      <c r="H1257" s="78">
        <v>1622</v>
      </c>
    </row>
    <row r="1258" spans="1:8" x14ac:dyDescent="0.25">
      <c r="A1258" s="71">
        <v>2024</v>
      </c>
      <c r="B1258" s="72" t="s">
        <v>214</v>
      </c>
      <c r="C1258" s="73" t="s">
        <v>233</v>
      </c>
      <c r="D1258" s="73" t="s">
        <v>179</v>
      </c>
      <c r="E1258" s="73" t="str">
        <f>VLOOKUP(D1258,clientes!$C$3:$D$60,2,FALSE)</f>
        <v>BSBIOS</v>
      </c>
      <c r="F1258" s="73" t="s">
        <v>26</v>
      </c>
      <c r="G1258" s="73" t="str">
        <f>VLOOKUP(F1258,'[2]Lista de Produtos CLASSIFICAÇÃO'!$E$103:$F$114,2,FALSE)</f>
        <v>Biocombustíveis</v>
      </c>
      <c r="H1258" s="74">
        <v>1622</v>
      </c>
    </row>
    <row r="1259" spans="1:8" x14ac:dyDescent="0.25">
      <c r="A1259" s="75">
        <v>2024</v>
      </c>
      <c r="B1259" s="76" t="s">
        <v>215</v>
      </c>
      <c r="C1259" s="77" t="s">
        <v>233</v>
      </c>
      <c r="D1259" s="77" t="s">
        <v>179</v>
      </c>
      <c r="E1259" s="73" t="str">
        <f>VLOOKUP(D1259,clientes!$C$3:$D$60,2,FALSE)</f>
        <v>BSBIOS</v>
      </c>
      <c r="F1259" s="77" t="s">
        <v>26</v>
      </c>
      <c r="G1259" s="73" t="str">
        <f>VLOOKUP(F1259,'[2]Lista de Produtos CLASSIFICAÇÃO'!$E$103:$F$114,2,FALSE)</f>
        <v>Biocombustíveis</v>
      </c>
      <c r="H1259" s="78">
        <v>1622</v>
      </c>
    </row>
    <row r="1260" spans="1:8" x14ac:dyDescent="0.25">
      <c r="A1260" s="71">
        <v>2024</v>
      </c>
      <c r="B1260" s="72" t="s">
        <v>230</v>
      </c>
      <c r="C1260" s="73" t="s">
        <v>233</v>
      </c>
      <c r="D1260" s="73" t="s">
        <v>179</v>
      </c>
      <c r="E1260" s="73" t="str">
        <f>VLOOKUP(D1260,clientes!$C$3:$D$60,2,FALSE)</f>
        <v>BSBIOS</v>
      </c>
      <c r="F1260" s="73" t="s">
        <v>26</v>
      </c>
      <c r="G1260" s="73" t="str">
        <f>VLOOKUP(F1260,'[2]Lista de Produtos CLASSIFICAÇÃO'!$E$103:$F$114,2,FALSE)</f>
        <v>Biocombustíveis</v>
      </c>
      <c r="H1260" s="74">
        <v>1622</v>
      </c>
    </row>
    <row r="1261" spans="1:8" x14ac:dyDescent="0.25">
      <c r="A1261" s="75">
        <v>2024</v>
      </c>
      <c r="B1261" s="76" t="s">
        <v>231</v>
      </c>
      <c r="C1261" s="77" t="s">
        <v>233</v>
      </c>
      <c r="D1261" s="77" t="s">
        <v>179</v>
      </c>
      <c r="E1261" s="73" t="str">
        <f>VLOOKUP(D1261,clientes!$C$3:$D$60,2,FALSE)</f>
        <v>BSBIOS</v>
      </c>
      <c r="F1261" s="77" t="s">
        <v>26</v>
      </c>
      <c r="G1261" s="73" t="str">
        <f>VLOOKUP(F1261,'[2]Lista de Produtos CLASSIFICAÇÃO'!$E$103:$F$114,2,FALSE)</f>
        <v>Biocombustíveis</v>
      </c>
      <c r="H1261" s="78">
        <v>1622</v>
      </c>
    </row>
    <row r="1262" spans="1:8" x14ac:dyDescent="0.25">
      <c r="A1262" s="71">
        <v>2024</v>
      </c>
      <c r="B1262" s="72" t="s">
        <v>226</v>
      </c>
      <c r="C1262" s="73" t="s">
        <v>225</v>
      </c>
      <c r="D1262" s="73" t="s">
        <v>164</v>
      </c>
      <c r="E1262" s="73" t="str">
        <f>VLOOKUP(D1262,clientes!$C$3:$D$60,2,FALSE)</f>
        <v>BRASKEM</v>
      </c>
      <c r="F1262" s="73" t="s">
        <v>115</v>
      </c>
      <c r="G1262" s="73" t="str">
        <f>VLOOKUP(F1262,'[2]Lista de Produtos CLASSIFICAÇÃO'!$E$103:$F$114,2,FALSE)</f>
        <v>Soda Caustica</v>
      </c>
      <c r="H1262" s="74">
        <v>13200</v>
      </c>
    </row>
    <row r="1263" spans="1:8" x14ac:dyDescent="0.25">
      <c r="A1263" s="75">
        <v>2024</v>
      </c>
      <c r="B1263" s="76" t="s">
        <v>227</v>
      </c>
      <c r="C1263" s="77" t="s">
        <v>225</v>
      </c>
      <c r="D1263" s="77" t="s">
        <v>164</v>
      </c>
      <c r="E1263" s="73" t="str">
        <f>VLOOKUP(D1263,clientes!$C$3:$D$60,2,FALSE)</f>
        <v>BRASKEM</v>
      </c>
      <c r="F1263" s="77" t="s">
        <v>115</v>
      </c>
      <c r="G1263" s="73" t="str">
        <f>VLOOKUP(F1263,'[2]Lista de Produtos CLASSIFICAÇÃO'!$E$103:$F$114,2,FALSE)</f>
        <v>Soda Caustica</v>
      </c>
      <c r="H1263" s="78">
        <v>13200</v>
      </c>
    </row>
    <row r="1264" spans="1:8" x14ac:dyDescent="0.25">
      <c r="A1264" s="71">
        <v>2024</v>
      </c>
      <c r="B1264" s="72" t="s">
        <v>228</v>
      </c>
      <c r="C1264" s="73" t="s">
        <v>225</v>
      </c>
      <c r="D1264" s="73" t="s">
        <v>164</v>
      </c>
      <c r="E1264" s="73" t="str">
        <f>VLOOKUP(D1264,clientes!$C$3:$D$60,2,FALSE)</f>
        <v>BRASKEM</v>
      </c>
      <c r="F1264" s="73" t="s">
        <v>115</v>
      </c>
      <c r="G1264" s="73" t="str">
        <f>VLOOKUP(F1264,'[2]Lista de Produtos CLASSIFICAÇÃO'!$E$103:$F$114,2,FALSE)</f>
        <v>Soda Caustica</v>
      </c>
      <c r="H1264" s="74">
        <v>13200</v>
      </c>
    </row>
    <row r="1265" spans="1:8" x14ac:dyDescent="0.25">
      <c r="A1265" s="75">
        <v>2024</v>
      </c>
      <c r="B1265" s="76" t="s">
        <v>229</v>
      </c>
      <c r="C1265" s="77" t="s">
        <v>225</v>
      </c>
      <c r="D1265" s="77" t="s">
        <v>164</v>
      </c>
      <c r="E1265" s="73" t="str">
        <f>VLOOKUP(D1265,clientes!$C$3:$D$60,2,FALSE)</f>
        <v>BRASKEM</v>
      </c>
      <c r="F1265" s="77" t="s">
        <v>115</v>
      </c>
      <c r="G1265" s="73" t="str">
        <f>VLOOKUP(F1265,'[2]Lista de Produtos CLASSIFICAÇÃO'!$E$103:$F$114,2,FALSE)</f>
        <v>Soda Caustica</v>
      </c>
      <c r="H1265" s="78">
        <v>13200</v>
      </c>
    </row>
    <row r="1266" spans="1:8" x14ac:dyDescent="0.25">
      <c r="A1266" s="71">
        <v>2024</v>
      </c>
      <c r="B1266" s="72" t="s">
        <v>210</v>
      </c>
      <c r="C1266" s="73" t="s">
        <v>225</v>
      </c>
      <c r="D1266" s="73" t="s">
        <v>164</v>
      </c>
      <c r="E1266" s="73" t="str">
        <f>VLOOKUP(D1266,clientes!$C$3:$D$60,2,FALSE)</f>
        <v>BRASKEM</v>
      </c>
      <c r="F1266" s="73" t="s">
        <v>115</v>
      </c>
      <c r="G1266" s="73" t="str">
        <f>VLOOKUP(F1266,'[2]Lista de Produtos CLASSIFICAÇÃO'!$E$103:$F$114,2,FALSE)</f>
        <v>Soda Caustica</v>
      </c>
      <c r="H1266" s="74">
        <v>13200</v>
      </c>
    </row>
    <row r="1267" spans="1:8" x14ac:dyDescent="0.25">
      <c r="A1267" s="75">
        <v>2024</v>
      </c>
      <c r="B1267" s="76" t="s">
        <v>211</v>
      </c>
      <c r="C1267" s="77" t="s">
        <v>225</v>
      </c>
      <c r="D1267" s="77" t="s">
        <v>164</v>
      </c>
      <c r="E1267" s="73" t="str">
        <f>VLOOKUP(D1267,clientes!$C$3:$D$60,2,FALSE)</f>
        <v>BRASKEM</v>
      </c>
      <c r="F1267" s="77" t="s">
        <v>115</v>
      </c>
      <c r="G1267" s="73" t="str">
        <f>VLOOKUP(F1267,'[2]Lista de Produtos CLASSIFICAÇÃO'!$E$103:$F$114,2,FALSE)</f>
        <v>Soda Caustica</v>
      </c>
      <c r="H1267" s="78">
        <v>13200</v>
      </c>
    </row>
    <row r="1268" spans="1:8" x14ac:dyDescent="0.25">
      <c r="A1268" s="71">
        <v>2024</v>
      </c>
      <c r="B1268" s="72" t="s">
        <v>212</v>
      </c>
      <c r="C1268" s="73" t="s">
        <v>225</v>
      </c>
      <c r="D1268" s="73" t="s">
        <v>164</v>
      </c>
      <c r="E1268" s="73" t="str">
        <f>VLOOKUP(D1268,clientes!$C$3:$D$60,2,FALSE)</f>
        <v>BRASKEM</v>
      </c>
      <c r="F1268" s="73" t="s">
        <v>115</v>
      </c>
      <c r="G1268" s="73" t="str">
        <f>VLOOKUP(F1268,'[2]Lista de Produtos CLASSIFICAÇÃO'!$E$103:$F$114,2,FALSE)</f>
        <v>Soda Caustica</v>
      </c>
      <c r="H1268" s="74">
        <v>13200</v>
      </c>
    </row>
    <row r="1269" spans="1:8" x14ac:dyDescent="0.25">
      <c r="A1269" s="75">
        <v>2024</v>
      </c>
      <c r="B1269" s="76" t="s">
        <v>213</v>
      </c>
      <c r="C1269" s="77" t="s">
        <v>225</v>
      </c>
      <c r="D1269" s="77" t="s">
        <v>164</v>
      </c>
      <c r="E1269" s="73" t="str">
        <f>VLOOKUP(D1269,clientes!$C$3:$D$60,2,FALSE)</f>
        <v>BRASKEM</v>
      </c>
      <c r="F1269" s="77" t="s">
        <v>115</v>
      </c>
      <c r="G1269" s="73" t="str">
        <f>VLOOKUP(F1269,'[2]Lista de Produtos CLASSIFICAÇÃO'!$E$103:$F$114,2,FALSE)</f>
        <v>Soda Caustica</v>
      </c>
      <c r="H1269" s="78">
        <v>13200</v>
      </c>
    </row>
    <row r="1270" spans="1:8" x14ac:dyDescent="0.25">
      <c r="A1270" s="71">
        <v>2024</v>
      </c>
      <c r="B1270" s="72" t="s">
        <v>214</v>
      </c>
      <c r="C1270" s="73" t="s">
        <v>225</v>
      </c>
      <c r="D1270" s="73" t="s">
        <v>164</v>
      </c>
      <c r="E1270" s="73" t="str">
        <f>VLOOKUP(D1270,clientes!$C$3:$D$60,2,FALSE)</f>
        <v>BRASKEM</v>
      </c>
      <c r="F1270" s="73" t="s">
        <v>115</v>
      </c>
      <c r="G1270" s="73" t="str">
        <f>VLOOKUP(F1270,'[2]Lista de Produtos CLASSIFICAÇÃO'!$E$103:$F$114,2,FALSE)</f>
        <v>Soda Caustica</v>
      </c>
      <c r="H1270" s="74">
        <v>13200</v>
      </c>
    </row>
    <row r="1271" spans="1:8" x14ac:dyDescent="0.25">
      <c r="A1271" s="75">
        <v>2024</v>
      </c>
      <c r="B1271" s="76" t="s">
        <v>215</v>
      </c>
      <c r="C1271" s="77" t="s">
        <v>225</v>
      </c>
      <c r="D1271" s="77" t="s">
        <v>164</v>
      </c>
      <c r="E1271" s="73" t="str">
        <f>VLOOKUP(D1271,clientes!$C$3:$D$60,2,FALSE)</f>
        <v>BRASKEM</v>
      </c>
      <c r="F1271" s="77" t="s">
        <v>115</v>
      </c>
      <c r="G1271" s="73" t="str">
        <f>VLOOKUP(F1271,'[2]Lista de Produtos CLASSIFICAÇÃO'!$E$103:$F$114,2,FALSE)</f>
        <v>Soda Caustica</v>
      </c>
      <c r="H1271" s="78">
        <v>13200</v>
      </c>
    </row>
    <row r="1272" spans="1:8" x14ac:dyDescent="0.25">
      <c r="A1272" s="71">
        <v>2024</v>
      </c>
      <c r="B1272" s="72" t="s">
        <v>230</v>
      </c>
      <c r="C1272" s="73" t="s">
        <v>225</v>
      </c>
      <c r="D1272" s="73" t="s">
        <v>164</v>
      </c>
      <c r="E1272" s="73" t="str">
        <f>VLOOKUP(D1272,clientes!$C$3:$D$60,2,FALSE)</f>
        <v>BRASKEM</v>
      </c>
      <c r="F1272" s="73" t="s">
        <v>115</v>
      </c>
      <c r="G1272" s="73" t="str">
        <f>VLOOKUP(F1272,'[2]Lista de Produtos CLASSIFICAÇÃO'!$E$103:$F$114,2,FALSE)</f>
        <v>Soda Caustica</v>
      </c>
      <c r="H1272" s="74">
        <v>13200</v>
      </c>
    </row>
    <row r="1273" spans="1:8" x14ac:dyDescent="0.25">
      <c r="A1273" s="75">
        <v>2024</v>
      </c>
      <c r="B1273" s="76" t="s">
        <v>231</v>
      </c>
      <c r="C1273" s="77" t="s">
        <v>225</v>
      </c>
      <c r="D1273" s="77" t="s">
        <v>164</v>
      </c>
      <c r="E1273" s="73" t="str">
        <f>VLOOKUP(D1273,clientes!$C$3:$D$60,2,FALSE)</f>
        <v>BRASKEM</v>
      </c>
      <c r="F1273" s="77" t="s">
        <v>115</v>
      </c>
      <c r="G1273" s="73" t="str">
        <f>VLOOKUP(F1273,'[2]Lista de Produtos CLASSIFICAÇÃO'!$E$103:$F$114,2,FALSE)</f>
        <v>Soda Caustica</v>
      </c>
      <c r="H1273" s="78">
        <v>13200</v>
      </c>
    </row>
    <row r="1274" spans="1:8" x14ac:dyDescent="0.25">
      <c r="A1274" s="71">
        <v>2024</v>
      </c>
      <c r="B1274" s="72" t="s">
        <v>226</v>
      </c>
      <c r="C1274" s="73" t="s">
        <v>225</v>
      </c>
      <c r="D1274" s="73" t="s">
        <v>177</v>
      </c>
      <c r="E1274" s="73" t="str">
        <f>VLOOKUP(D1274,clientes!$C$3:$D$60,2,FALSE)</f>
        <v>BRENNTAG</v>
      </c>
      <c r="F1274" s="73" t="s">
        <v>115</v>
      </c>
      <c r="G1274" s="73" t="str">
        <f>VLOOKUP(F1274,'[2]Lista de Produtos CLASSIFICAÇÃO'!$E$103:$F$114,2,FALSE)</f>
        <v>Soda Caustica</v>
      </c>
      <c r="H1274" s="74">
        <v>20527</v>
      </c>
    </row>
    <row r="1275" spans="1:8" x14ac:dyDescent="0.25">
      <c r="A1275" s="75">
        <v>2024</v>
      </c>
      <c r="B1275" s="76" t="s">
        <v>227</v>
      </c>
      <c r="C1275" s="77" t="s">
        <v>225</v>
      </c>
      <c r="D1275" s="77" t="s">
        <v>177</v>
      </c>
      <c r="E1275" s="73" t="str">
        <f>VLOOKUP(D1275,clientes!$C$3:$D$60,2,FALSE)</f>
        <v>BRENNTAG</v>
      </c>
      <c r="F1275" s="77" t="s">
        <v>115</v>
      </c>
      <c r="G1275" s="73" t="str">
        <f>VLOOKUP(F1275,'[2]Lista de Produtos CLASSIFICAÇÃO'!$E$103:$F$114,2,FALSE)</f>
        <v>Soda Caustica</v>
      </c>
      <c r="H1275" s="78">
        <v>20527</v>
      </c>
    </row>
    <row r="1276" spans="1:8" x14ac:dyDescent="0.25">
      <c r="A1276" s="71">
        <v>2024</v>
      </c>
      <c r="B1276" s="72" t="s">
        <v>228</v>
      </c>
      <c r="C1276" s="73" t="s">
        <v>225</v>
      </c>
      <c r="D1276" s="73" t="s">
        <v>177</v>
      </c>
      <c r="E1276" s="73" t="str">
        <f>VLOOKUP(D1276,clientes!$C$3:$D$60,2,FALSE)</f>
        <v>BRENNTAG</v>
      </c>
      <c r="F1276" s="73" t="s">
        <v>115</v>
      </c>
      <c r="G1276" s="73" t="str">
        <f>VLOOKUP(F1276,'[2]Lista de Produtos CLASSIFICAÇÃO'!$E$103:$F$114,2,FALSE)</f>
        <v>Soda Caustica</v>
      </c>
      <c r="H1276" s="74">
        <v>20527</v>
      </c>
    </row>
    <row r="1277" spans="1:8" x14ac:dyDescent="0.25">
      <c r="A1277" s="75">
        <v>2024</v>
      </c>
      <c r="B1277" s="76" t="s">
        <v>229</v>
      </c>
      <c r="C1277" s="77" t="s">
        <v>225</v>
      </c>
      <c r="D1277" s="77" t="s">
        <v>177</v>
      </c>
      <c r="E1277" s="73" t="str">
        <f>VLOOKUP(D1277,clientes!$C$3:$D$60,2,FALSE)</f>
        <v>BRENNTAG</v>
      </c>
      <c r="F1277" s="77" t="s">
        <v>115</v>
      </c>
      <c r="G1277" s="73" t="str">
        <f>VLOOKUP(F1277,'[2]Lista de Produtos CLASSIFICAÇÃO'!$E$103:$F$114,2,FALSE)</f>
        <v>Soda Caustica</v>
      </c>
      <c r="H1277" s="78">
        <v>20527</v>
      </c>
    </row>
    <row r="1278" spans="1:8" x14ac:dyDescent="0.25">
      <c r="A1278" s="71">
        <v>2024</v>
      </c>
      <c r="B1278" s="72" t="s">
        <v>210</v>
      </c>
      <c r="C1278" s="73" t="s">
        <v>225</v>
      </c>
      <c r="D1278" s="73" t="s">
        <v>177</v>
      </c>
      <c r="E1278" s="73" t="str">
        <f>VLOOKUP(D1278,clientes!$C$3:$D$60,2,FALSE)</f>
        <v>BRENNTAG</v>
      </c>
      <c r="F1278" s="73" t="s">
        <v>115</v>
      </c>
      <c r="G1278" s="73" t="str">
        <f>VLOOKUP(F1278,'[2]Lista de Produtos CLASSIFICAÇÃO'!$E$103:$F$114,2,FALSE)</f>
        <v>Soda Caustica</v>
      </c>
      <c r="H1278" s="74">
        <v>20527</v>
      </c>
    </row>
    <row r="1279" spans="1:8" x14ac:dyDescent="0.25">
      <c r="A1279" s="75">
        <v>2024</v>
      </c>
      <c r="B1279" s="76" t="s">
        <v>211</v>
      </c>
      <c r="C1279" s="77" t="s">
        <v>225</v>
      </c>
      <c r="D1279" s="77" t="s">
        <v>177</v>
      </c>
      <c r="E1279" s="73" t="str">
        <f>VLOOKUP(D1279,clientes!$C$3:$D$60,2,FALSE)</f>
        <v>BRENNTAG</v>
      </c>
      <c r="F1279" s="77" t="s">
        <v>115</v>
      </c>
      <c r="G1279" s="73" t="str">
        <f>VLOOKUP(F1279,'[2]Lista de Produtos CLASSIFICAÇÃO'!$E$103:$F$114,2,FALSE)</f>
        <v>Soda Caustica</v>
      </c>
      <c r="H1279" s="78">
        <v>20527</v>
      </c>
    </row>
    <row r="1280" spans="1:8" x14ac:dyDescent="0.25">
      <c r="A1280" s="71">
        <v>2024</v>
      </c>
      <c r="B1280" s="72" t="s">
        <v>212</v>
      </c>
      <c r="C1280" s="73" t="s">
        <v>225</v>
      </c>
      <c r="D1280" s="73" t="s">
        <v>177</v>
      </c>
      <c r="E1280" s="73" t="str">
        <f>VLOOKUP(D1280,clientes!$C$3:$D$60,2,FALSE)</f>
        <v>BRENNTAG</v>
      </c>
      <c r="F1280" s="73" t="s">
        <v>115</v>
      </c>
      <c r="G1280" s="73" t="str">
        <f>VLOOKUP(F1280,'[2]Lista de Produtos CLASSIFICAÇÃO'!$E$103:$F$114,2,FALSE)</f>
        <v>Soda Caustica</v>
      </c>
      <c r="H1280" s="74">
        <v>20527</v>
      </c>
    </row>
    <row r="1281" spans="1:8" x14ac:dyDescent="0.25">
      <c r="A1281" s="75">
        <v>2024</v>
      </c>
      <c r="B1281" s="76" t="s">
        <v>213</v>
      </c>
      <c r="C1281" s="77" t="s">
        <v>225</v>
      </c>
      <c r="D1281" s="77" t="s">
        <v>177</v>
      </c>
      <c r="E1281" s="73" t="str">
        <f>VLOOKUP(D1281,clientes!$C$3:$D$60,2,FALSE)</f>
        <v>BRENNTAG</v>
      </c>
      <c r="F1281" s="77" t="s">
        <v>115</v>
      </c>
      <c r="G1281" s="73" t="str">
        <f>VLOOKUP(F1281,'[2]Lista de Produtos CLASSIFICAÇÃO'!$E$103:$F$114,2,FALSE)</f>
        <v>Soda Caustica</v>
      </c>
      <c r="H1281" s="78">
        <v>20527</v>
      </c>
    </row>
    <row r="1282" spans="1:8" x14ac:dyDescent="0.25">
      <c r="A1282" s="71">
        <v>2024</v>
      </c>
      <c r="B1282" s="72" t="s">
        <v>214</v>
      </c>
      <c r="C1282" s="73" t="s">
        <v>225</v>
      </c>
      <c r="D1282" s="73" t="s">
        <v>177</v>
      </c>
      <c r="E1282" s="73" t="str">
        <f>VLOOKUP(D1282,clientes!$C$3:$D$60,2,FALSE)</f>
        <v>BRENNTAG</v>
      </c>
      <c r="F1282" s="73" t="s">
        <v>115</v>
      </c>
      <c r="G1282" s="73" t="str">
        <f>VLOOKUP(F1282,'[2]Lista de Produtos CLASSIFICAÇÃO'!$E$103:$F$114,2,FALSE)</f>
        <v>Soda Caustica</v>
      </c>
      <c r="H1282" s="74">
        <v>20527</v>
      </c>
    </row>
    <row r="1283" spans="1:8" x14ac:dyDescent="0.25">
      <c r="A1283" s="75">
        <v>2024</v>
      </c>
      <c r="B1283" s="76" t="s">
        <v>215</v>
      </c>
      <c r="C1283" s="77" t="s">
        <v>225</v>
      </c>
      <c r="D1283" s="77" t="s">
        <v>177</v>
      </c>
      <c r="E1283" s="73" t="str">
        <f>VLOOKUP(D1283,clientes!$C$3:$D$60,2,FALSE)</f>
        <v>BRENNTAG</v>
      </c>
      <c r="F1283" s="77" t="s">
        <v>115</v>
      </c>
      <c r="G1283" s="73" t="str">
        <f>VLOOKUP(F1283,'[2]Lista de Produtos CLASSIFICAÇÃO'!$E$103:$F$114,2,FALSE)</f>
        <v>Soda Caustica</v>
      </c>
      <c r="H1283" s="78">
        <v>20527</v>
      </c>
    </row>
    <row r="1284" spans="1:8" x14ac:dyDescent="0.25">
      <c r="A1284" s="71">
        <v>2024</v>
      </c>
      <c r="B1284" s="72" t="s">
        <v>230</v>
      </c>
      <c r="C1284" s="73" t="s">
        <v>225</v>
      </c>
      <c r="D1284" s="73" t="s">
        <v>177</v>
      </c>
      <c r="E1284" s="73" t="str">
        <f>VLOOKUP(D1284,clientes!$C$3:$D$60,2,FALSE)</f>
        <v>BRENNTAG</v>
      </c>
      <c r="F1284" s="73" t="s">
        <v>115</v>
      </c>
      <c r="G1284" s="73" t="str">
        <f>VLOOKUP(F1284,'[2]Lista de Produtos CLASSIFICAÇÃO'!$E$103:$F$114,2,FALSE)</f>
        <v>Soda Caustica</v>
      </c>
      <c r="H1284" s="74">
        <v>20527</v>
      </c>
    </row>
    <row r="1285" spans="1:8" x14ac:dyDescent="0.25">
      <c r="A1285" s="75">
        <v>2024</v>
      </c>
      <c r="B1285" s="76" t="s">
        <v>231</v>
      </c>
      <c r="C1285" s="77" t="s">
        <v>225</v>
      </c>
      <c r="D1285" s="77" t="s">
        <v>177</v>
      </c>
      <c r="E1285" s="73" t="str">
        <f>VLOOKUP(D1285,clientes!$C$3:$D$60,2,FALSE)</f>
        <v>BRENNTAG</v>
      </c>
      <c r="F1285" s="77" t="s">
        <v>115</v>
      </c>
      <c r="G1285" s="73" t="str">
        <f>VLOOKUP(F1285,'[2]Lista de Produtos CLASSIFICAÇÃO'!$E$103:$F$114,2,FALSE)</f>
        <v>Soda Caustica</v>
      </c>
      <c r="H1285" s="78">
        <v>20527</v>
      </c>
    </row>
    <row r="1286" spans="1:8" x14ac:dyDescent="0.25">
      <c r="A1286" s="71">
        <v>2024</v>
      </c>
      <c r="B1286" s="72" t="s">
        <v>226</v>
      </c>
      <c r="C1286" s="73" t="s">
        <v>232</v>
      </c>
      <c r="D1286" s="73" t="s">
        <v>156</v>
      </c>
      <c r="E1286" s="73" t="str">
        <f>VLOOKUP(D1286,clientes!$C$3:$D$60,2,FALSE)</f>
        <v>BUNGE</v>
      </c>
      <c r="F1286" s="73" t="s">
        <v>123</v>
      </c>
      <c r="G1286" s="73" t="str">
        <f>VLOOKUP(F1286,'[2]Lista de Produtos CLASSIFICAÇÃO'!$E$103:$F$114,2,FALSE)</f>
        <v>Aquecidos</v>
      </c>
      <c r="H1286" s="74">
        <v>3600</v>
      </c>
    </row>
    <row r="1287" spans="1:8" x14ac:dyDescent="0.25">
      <c r="A1287" s="75">
        <v>2024</v>
      </c>
      <c r="B1287" s="76" t="s">
        <v>227</v>
      </c>
      <c r="C1287" s="77" t="s">
        <v>232</v>
      </c>
      <c r="D1287" s="77" t="s">
        <v>156</v>
      </c>
      <c r="E1287" s="73" t="str">
        <f>VLOOKUP(D1287,clientes!$C$3:$D$60,2,FALSE)</f>
        <v>BUNGE</v>
      </c>
      <c r="F1287" s="77" t="s">
        <v>123</v>
      </c>
      <c r="G1287" s="73" t="str">
        <f>VLOOKUP(F1287,'[2]Lista de Produtos CLASSIFICAÇÃO'!$E$103:$F$114,2,FALSE)</f>
        <v>Aquecidos</v>
      </c>
      <c r="H1287" s="78">
        <v>3600</v>
      </c>
    </row>
    <row r="1288" spans="1:8" x14ac:dyDescent="0.25">
      <c r="A1288" s="71">
        <v>2024</v>
      </c>
      <c r="B1288" s="72" t="s">
        <v>228</v>
      </c>
      <c r="C1288" s="73" t="s">
        <v>232</v>
      </c>
      <c r="D1288" s="73" t="s">
        <v>156</v>
      </c>
      <c r="E1288" s="73" t="str">
        <f>VLOOKUP(D1288,clientes!$C$3:$D$60,2,FALSE)</f>
        <v>BUNGE</v>
      </c>
      <c r="F1288" s="73" t="s">
        <v>123</v>
      </c>
      <c r="G1288" s="73" t="str">
        <f>VLOOKUP(F1288,'[2]Lista de Produtos CLASSIFICAÇÃO'!$E$103:$F$114,2,FALSE)</f>
        <v>Aquecidos</v>
      </c>
      <c r="H1288" s="74">
        <v>3600</v>
      </c>
    </row>
    <row r="1289" spans="1:8" x14ac:dyDescent="0.25">
      <c r="A1289" s="75">
        <v>2024</v>
      </c>
      <c r="B1289" s="76" t="s">
        <v>229</v>
      </c>
      <c r="C1289" s="77" t="s">
        <v>232</v>
      </c>
      <c r="D1289" s="77" t="s">
        <v>156</v>
      </c>
      <c r="E1289" s="73" t="str">
        <f>VLOOKUP(D1289,clientes!$C$3:$D$60,2,FALSE)</f>
        <v>BUNGE</v>
      </c>
      <c r="F1289" s="77" t="s">
        <v>123</v>
      </c>
      <c r="G1289" s="73" t="str">
        <f>VLOOKUP(F1289,'[2]Lista de Produtos CLASSIFICAÇÃO'!$E$103:$F$114,2,FALSE)</f>
        <v>Aquecidos</v>
      </c>
      <c r="H1289" s="78">
        <v>3600</v>
      </c>
    </row>
    <row r="1290" spans="1:8" x14ac:dyDescent="0.25">
      <c r="A1290" s="71">
        <v>2024</v>
      </c>
      <c r="B1290" s="72" t="s">
        <v>210</v>
      </c>
      <c r="C1290" s="73" t="s">
        <v>232</v>
      </c>
      <c r="D1290" s="73" t="s">
        <v>156</v>
      </c>
      <c r="E1290" s="73" t="str">
        <f>VLOOKUP(D1290,clientes!$C$3:$D$60,2,FALSE)</f>
        <v>BUNGE</v>
      </c>
      <c r="F1290" s="73" t="s">
        <v>123</v>
      </c>
      <c r="G1290" s="73" t="str">
        <f>VLOOKUP(F1290,'[2]Lista de Produtos CLASSIFICAÇÃO'!$E$103:$F$114,2,FALSE)</f>
        <v>Aquecidos</v>
      </c>
      <c r="H1290" s="74">
        <v>3600</v>
      </c>
    </row>
    <row r="1291" spans="1:8" x14ac:dyDescent="0.25">
      <c r="A1291" s="75">
        <v>2024</v>
      </c>
      <c r="B1291" s="76" t="s">
        <v>211</v>
      </c>
      <c r="C1291" s="77" t="s">
        <v>232</v>
      </c>
      <c r="D1291" s="77" t="s">
        <v>156</v>
      </c>
      <c r="E1291" s="73" t="str">
        <f>VLOOKUP(D1291,clientes!$C$3:$D$60,2,FALSE)</f>
        <v>BUNGE</v>
      </c>
      <c r="F1291" s="77" t="s">
        <v>123</v>
      </c>
      <c r="G1291" s="73" t="str">
        <f>VLOOKUP(F1291,'[2]Lista de Produtos CLASSIFICAÇÃO'!$E$103:$F$114,2,FALSE)</f>
        <v>Aquecidos</v>
      </c>
      <c r="H1291" s="78">
        <v>3600</v>
      </c>
    </row>
    <row r="1292" spans="1:8" x14ac:dyDescent="0.25">
      <c r="A1292" s="71">
        <v>2024</v>
      </c>
      <c r="B1292" s="72" t="s">
        <v>212</v>
      </c>
      <c r="C1292" s="73" t="s">
        <v>232</v>
      </c>
      <c r="D1292" s="73" t="s">
        <v>156</v>
      </c>
      <c r="E1292" s="73" t="str">
        <f>VLOOKUP(D1292,clientes!$C$3:$D$60,2,FALSE)</f>
        <v>BUNGE</v>
      </c>
      <c r="F1292" s="73" t="s">
        <v>123</v>
      </c>
      <c r="G1292" s="73" t="str">
        <f>VLOOKUP(F1292,'[2]Lista de Produtos CLASSIFICAÇÃO'!$E$103:$F$114,2,FALSE)</f>
        <v>Aquecidos</v>
      </c>
      <c r="H1292" s="74">
        <v>3600</v>
      </c>
    </row>
    <row r="1293" spans="1:8" x14ac:dyDescent="0.25">
      <c r="A1293" s="75">
        <v>2024</v>
      </c>
      <c r="B1293" s="76" t="s">
        <v>213</v>
      </c>
      <c r="C1293" s="77" t="s">
        <v>232</v>
      </c>
      <c r="D1293" s="77" t="s">
        <v>156</v>
      </c>
      <c r="E1293" s="73" t="str">
        <f>VLOOKUP(D1293,clientes!$C$3:$D$60,2,FALSE)</f>
        <v>BUNGE</v>
      </c>
      <c r="F1293" s="77" t="s">
        <v>123</v>
      </c>
      <c r="G1293" s="73" t="str">
        <f>VLOOKUP(F1293,'[2]Lista de Produtos CLASSIFICAÇÃO'!$E$103:$F$114,2,FALSE)</f>
        <v>Aquecidos</v>
      </c>
      <c r="H1293" s="78">
        <v>3600</v>
      </c>
    </row>
    <row r="1294" spans="1:8" x14ac:dyDescent="0.25">
      <c r="A1294" s="71">
        <v>2024</v>
      </c>
      <c r="B1294" s="72" t="s">
        <v>214</v>
      </c>
      <c r="C1294" s="73" t="s">
        <v>232</v>
      </c>
      <c r="D1294" s="73" t="s">
        <v>156</v>
      </c>
      <c r="E1294" s="73" t="str">
        <f>VLOOKUP(D1294,clientes!$C$3:$D$60,2,FALSE)</f>
        <v>BUNGE</v>
      </c>
      <c r="F1294" s="73" t="s">
        <v>123</v>
      </c>
      <c r="G1294" s="73" t="str">
        <f>VLOOKUP(F1294,'[2]Lista de Produtos CLASSIFICAÇÃO'!$E$103:$F$114,2,FALSE)</f>
        <v>Aquecidos</v>
      </c>
      <c r="H1294" s="74">
        <v>3600</v>
      </c>
    </row>
    <row r="1295" spans="1:8" x14ac:dyDescent="0.25">
      <c r="A1295" s="75">
        <v>2024</v>
      </c>
      <c r="B1295" s="76" t="s">
        <v>215</v>
      </c>
      <c r="C1295" s="77" t="s">
        <v>232</v>
      </c>
      <c r="D1295" s="77" t="s">
        <v>156</v>
      </c>
      <c r="E1295" s="73" t="str">
        <f>VLOOKUP(D1295,clientes!$C$3:$D$60,2,FALSE)</f>
        <v>BUNGE</v>
      </c>
      <c r="F1295" s="77" t="s">
        <v>123</v>
      </c>
      <c r="G1295" s="73" t="str">
        <f>VLOOKUP(F1295,'[2]Lista de Produtos CLASSIFICAÇÃO'!$E$103:$F$114,2,FALSE)</f>
        <v>Aquecidos</v>
      </c>
      <c r="H1295" s="78">
        <v>3600</v>
      </c>
    </row>
    <row r="1296" spans="1:8" x14ac:dyDescent="0.25">
      <c r="A1296" s="71">
        <v>2024</v>
      </c>
      <c r="B1296" s="72" t="s">
        <v>230</v>
      </c>
      <c r="C1296" s="73" t="s">
        <v>232</v>
      </c>
      <c r="D1296" s="73" t="s">
        <v>156</v>
      </c>
      <c r="E1296" s="73" t="str">
        <f>VLOOKUP(D1296,clientes!$C$3:$D$60,2,FALSE)</f>
        <v>BUNGE</v>
      </c>
      <c r="F1296" s="73" t="s">
        <v>123</v>
      </c>
      <c r="G1296" s="73" t="str">
        <f>VLOOKUP(F1296,'[2]Lista de Produtos CLASSIFICAÇÃO'!$E$103:$F$114,2,FALSE)</f>
        <v>Aquecidos</v>
      </c>
      <c r="H1296" s="74">
        <v>3600</v>
      </c>
    </row>
    <row r="1297" spans="1:8" x14ac:dyDescent="0.25">
      <c r="A1297" s="75">
        <v>2024</v>
      </c>
      <c r="B1297" s="76" t="s">
        <v>231</v>
      </c>
      <c r="C1297" s="77" t="s">
        <v>232</v>
      </c>
      <c r="D1297" s="77" t="s">
        <v>156</v>
      </c>
      <c r="E1297" s="73" t="str">
        <f>VLOOKUP(D1297,clientes!$C$3:$D$60,2,FALSE)</f>
        <v>BUNGE</v>
      </c>
      <c r="F1297" s="77" t="s">
        <v>123</v>
      </c>
      <c r="G1297" s="73" t="str">
        <f>VLOOKUP(F1297,'[2]Lista de Produtos CLASSIFICAÇÃO'!$E$103:$F$114,2,FALSE)</f>
        <v>Aquecidos</v>
      </c>
      <c r="H1297" s="78">
        <v>3600</v>
      </c>
    </row>
    <row r="1298" spans="1:8" x14ac:dyDescent="0.25">
      <c r="A1298" s="71">
        <v>2024</v>
      </c>
      <c r="B1298" s="72" t="s">
        <v>226</v>
      </c>
      <c r="C1298" s="73" t="s">
        <v>232</v>
      </c>
      <c r="D1298" s="73" t="s">
        <v>166</v>
      </c>
      <c r="E1298" s="73" t="str">
        <f>VLOOKUP(D1298,clientes!$C$3:$D$60,2,FALSE)</f>
        <v>CARGILL</v>
      </c>
      <c r="F1298" s="73" t="s">
        <v>123</v>
      </c>
      <c r="G1298" s="73" t="str">
        <f>VLOOKUP(F1298,'[2]Lista de Produtos CLASSIFICAÇÃO'!$E$103:$F$114,2,FALSE)</f>
        <v>Aquecidos</v>
      </c>
      <c r="H1298" s="74">
        <v>51303</v>
      </c>
    </row>
    <row r="1299" spans="1:8" x14ac:dyDescent="0.25">
      <c r="A1299" s="75">
        <v>2024</v>
      </c>
      <c r="B1299" s="76" t="s">
        <v>227</v>
      </c>
      <c r="C1299" s="77" t="s">
        <v>232</v>
      </c>
      <c r="D1299" s="77" t="s">
        <v>166</v>
      </c>
      <c r="E1299" s="73" t="str">
        <f>VLOOKUP(D1299,clientes!$C$3:$D$60,2,FALSE)</f>
        <v>CARGILL</v>
      </c>
      <c r="F1299" s="77" t="s">
        <v>123</v>
      </c>
      <c r="G1299" s="73" t="str">
        <f>VLOOKUP(F1299,'[2]Lista de Produtos CLASSIFICAÇÃO'!$E$103:$F$114,2,FALSE)</f>
        <v>Aquecidos</v>
      </c>
      <c r="H1299" s="78">
        <v>89290</v>
      </c>
    </row>
    <row r="1300" spans="1:8" x14ac:dyDescent="0.25">
      <c r="A1300" s="71">
        <v>2024</v>
      </c>
      <c r="B1300" s="72" t="s">
        <v>228</v>
      </c>
      <c r="C1300" s="73" t="s">
        <v>232</v>
      </c>
      <c r="D1300" s="73" t="s">
        <v>166</v>
      </c>
      <c r="E1300" s="73" t="str">
        <f>VLOOKUP(D1300,clientes!$C$3:$D$60,2,FALSE)</f>
        <v>CARGILL</v>
      </c>
      <c r="F1300" s="73" t="s">
        <v>123</v>
      </c>
      <c r="G1300" s="73" t="str">
        <f>VLOOKUP(F1300,'[2]Lista de Produtos CLASSIFICAÇÃO'!$E$103:$F$114,2,FALSE)</f>
        <v>Aquecidos</v>
      </c>
      <c r="H1300" s="74">
        <v>74977</v>
      </c>
    </row>
    <row r="1301" spans="1:8" x14ac:dyDescent="0.25">
      <c r="A1301" s="75">
        <v>2024</v>
      </c>
      <c r="B1301" s="76" t="s">
        <v>229</v>
      </c>
      <c r="C1301" s="77" t="s">
        <v>232</v>
      </c>
      <c r="D1301" s="77" t="s">
        <v>166</v>
      </c>
      <c r="E1301" s="73" t="str">
        <f>VLOOKUP(D1301,clientes!$C$3:$D$60,2,FALSE)</f>
        <v>CARGILL</v>
      </c>
      <c r="F1301" s="77" t="s">
        <v>123</v>
      </c>
      <c r="G1301" s="73" t="str">
        <f>VLOOKUP(F1301,'[2]Lista de Produtos CLASSIFICAÇÃO'!$E$103:$F$114,2,FALSE)</f>
        <v>Aquecidos</v>
      </c>
      <c r="H1301" s="78">
        <v>65805</v>
      </c>
    </row>
    <row r="1302" spans="1:8" x14ac:dyDescent="0.25">
      <c r="A1302" s="71">
        <v>2024</v>
      </c>
      <c r="B1302" s="72" t="s">
        <v>210</v>
      </c>
      <c r="C1302" s="73" t="s">
        <v>232</v>
      </c>
      <c r="D1302" s="73" t="s">
        <v>166</v>
      </c>
      <c r="E1302" s="73" t="str">
        <f>VLOOKUP(D1302,clientes!$C$3:$D$60,2,FALSE)</f>
        <v>CARGILL</v>
      </c>
      <c r="F1302" s="73" t="s">
        <v>123</v>
      </c>
      <c r="G1302" s="73" t="str">
        <f>VLOOKUP(F1302,'[2]Lista de Produtos CLASSIFICAÇÃO'!$E$103:$F$114,2,FALSE)</f>
        <v>Aquecidos</v>
      </c>
      <c r="H1302" s="74">
        <v>73409</v>
      </c>
    </row>
    <row r="1303" spans="1:8" x14ac:dyDescent="0.25">
      <c r="A1303" s="75">
        <v>2024</v>
      </c>
      <c r="B1303" s="76" t="s">
        <v>211</v>
      </c>
      <c r="C1303" s="77" t="s">
        <v>232</v>
      </c>
      <c r="D1303" s="77" t="s">
        <v>166</v>
      </c>
      <c r="E1303" s="73" t="str">
        <f>VLOOKUP(D1303,clientes!$C$3:$D$60,2,FALSE)</f>
        <v>CARGILL</v>
      </c>
      <c r="F1303" s="77" t="s">
        <v>123</v>
      </c>
      <c r="G1303" s="73" t="str">
        <f>VLOOKUP(F1303,'[2]Lista de Produtos CLASSIFICAÇÃO'!$E$103:$F$114,2,FALSE)</f>
        <v>Aquecidos</v>
      </c>
      <c r="H1303" s="78">
        <v>62188</v>
      </c>
    </row>
    <row r="1304" spans="1:8" x14ac:dyDescent="0.25">
      <c r="A1304" s="71">
        <v>2024</v>
      </c>
      <c r="B1304" s="72" t="s">
        <v>212</v>
      </c>
      <c r="C1304" s="73" t="s">
        <v>232</v>
      </c>
      <c r="D1304" s="73" t="s">
        <v>166</v>
      </c>
      <c r="E1304" s="73" t="str">
        <f>VLOOKUP(D1304,clientes!$C$3:$D$60,2,FALSE)</f>
        <v>CARGILL</v>
      </c>
      <c r="F1304" s="73" t="s">
        <v>123</v>
      </c>
      <c r="G1304" s="73" t="str">
        <f>VLOOKUP(F1304,'[2]Lista de Produtos CLASSIFICAÇÃO'!$E$103:$F$114,2,FALSE)</f>
        <v>Aquecidos</v>
      </c>
      <c r="H1304" s="74">
        <v>45173</v>
      </c>
    </row>
    <row r="1305" spans="1:8" x14ac:dyDescent="0.25">
      <c r="A1305" s="75">
        <v>2024</v>
      </c>
      <c r="B1305" s="76" t="s">
        <v>213</v>
      </c>
      <c r="C1305" s="77" t="s">
        <v>232</v>
      </c>
      <c r="D1305" s="77" t="s">
        <v>166</v>
      </c>
      <c r="E1305" s="73" t="str">
        <f>VLOOKUP(D1305,clientes!$C$3:$D$60,2,FALSE)</f>
        <v>CARGILL</v>
      </c>
      <c r="F1305" s="77" t="s">
        <v>123</v>
      </c>
      <c r="G1305" s="73" t="str">
        <f>VLOOKUP(F1305,'[2]Lista de Produtos CLASSIFICAÇÃO'!$E$103:$F$114,2,FALSE)</f>
        <v>Aquecidos</v>
      </c>
      <c r="H1305" s="78">
        <v>64651</v>
      </c>
    </row>
    <row r="1306" spans="1:8" x14ac:dyDescent="0.25">
      <c r="A1306" s="71">
        <v>2024</v>
      </c>
      <c r="B1306" s="72" t="s">
        <v>214</v>
      </c>
      <c r="C1306" s="73" t="s">
        <v>232</v>
      </c>
      <c r="D1306" s="73" t="s">
        <v>166</v>
      </c>
      <c r="E1306" s="73" t="str">
        <f>VLOOKUP(D1306,clientes!$C$3:$D$60,2,FALSE)</f>
        <v>CARGILL</v>
      </c>
      <c r="F1306" s="73" t="s">
        <v>123</v>
      </c>
      <c r="G1306" s="73" t="str">
        <f>VLOOKUP(F1306,'[2]Lista de Produtos CLASSIFICAÇÃO'!$E$103:$F$114,2,FALSE)</f>
        <v>Aquecidos</v>
      </c>
      <c r="H1306" s="74">
        <v>45169</v>
      </c>
    </row>
    <row r="1307" spans="1:8" x14ac:dyDescent="0.25">
      <c r="A1307" s="75">
        <v>2024</v>
      </c>
      <c r="B1307" s="76" t="s">
        <v>215</v>
      </c>
      <c r="C1307" s="77" t="s">
        <v>232</v>
      </c>
      <c r="D1307" s="77" t="s">
        <v>166</v>
      </c>
      <c r="E1307" s="73" t="str">
        <f>VLOOKUP(D1307,clientes!$C$3:$D$60,2,FALSE)</f>
        <v>CARGILL</v>
      </c>
      <c r="F1307" s="77" t="s">
        <v>123</v>
      </c>
      <c r="G1307" s="73" t="str">
        <f>VLOOKUP(F1307,'[2]Lista de Produtos CLASSIFICAÇÃO'!$E$103:$F$114,2,FALSE)</f>
        <v>Aquecidos</v>
      </c>
      <c r="H1307" s="78">
        <v>8608</v>
      </c>
    </row>
    <row r="1308" spans="1:8" x14ac:dyDescent="0.25">
      <c r="A1308" s="71">
        <v>2024</v>
      </c>
      <c r="B1308" s="72" t="s">
        <v>230</v>
      </c>
      <c r="C1308" s="73" t="s">
        <v>232</v>
      </c>
      <c r="D1308" s="73" t="s">
        <v>166</v>
      </c>
      <c r="E1308" s="73" t="str">
        <f>VLOOKUP(D1308,clientes!$C$3:$D$60,2,FALSE)</f>
        <v>CARGILL</v>
      </c>
      <c r="F1308" s="73" t="s">
        <v>123</v>
      </c>
      <c r="G1308" s="73" t="str">
        <f>VLOOKUP(F1308,'[2]Lista de Produtos CLASSIFICAÇÃO'!$E$103:$F$114,2,FALSE)</f>
        <v>Aquecidos</v>
      </c>
      <c r="H1308" s="74">
        <v>38260</v>
      </c>
    </row>
    <row r="1309" spans="1:8" x14ac:dyDescent="0.25">
      <c r="A1309" s="75">
        <v>2024</v>
      </c>
      <c r="B1309" s="76" t="s">
        <v>231</v>
      </c>
      <c r="C1309" s="77" t="s">
        <v>232</v>
      </c>
      <c r="D1309" s="77" t="s">
        <v>166</v>
      </c>
      <c r="E1309" s="73" t="str">
        <f>VLOOKUP(D1309,clientes!$C$3:$D$60,2,FALSE)</f>
        <v>CARGILL</v>
      </c>
      <c r="F1309" s="77" t="s">
        <v>123</v>
      </c>
      <c r="G1309" s="73" t="str">
        <f>VLOOKUP(F1309,'[2]Lista de Produtos CLASSIFICAÇÃO'!$E$103:$F$114,2,FALSE)</f>
        <v>Aquecidos</v>
      </c>
      <c r="H1309" s="78">
        <v>33478</v>
      </c>
    </row>
    <row r="1310" spans="1:8" x14ac:dyDescent="0.25">
      <c r="A1310" s="71">
        <v>2024</v>
      </c>
      <c r="B1310" s="72" t="s">
        <v>226</v>
      </c>
      <c r="C1310" s="73" t="s">
        <v>232</v>
      </c>
      <c r="D1310" s="73" t="s">
        <v>166</v>
      </c>
      <c r="E1310" s="73" t="str">
        <f>VLOOKUP(D1310,clientes!$C$3:$D$60,2,FALSE)</f>
        <v>CARGILL</v>
      </c>
      <c r="F1310" s="73" t="s">
        <v>122</v>
      </c>
      <c r="G1310" s="73" t="str">
        <f>VLOOKUP(F1310,'[2]Lista de Produtos CLASSIFICAÇÃO'!$E$103:$F$114,2,FALSE)</f>
        <v>Óleo Vegetal</v>
      </c>
      <c r="H1310" s="74">
        <v>4800</v>
      </c>
    </row>
    <row r="1311" spans="1:8" x14ac:dyDescent="0.25">
      <c r="A1311" s="75">
        <v>2024</v>
      </c>
      <c r="B1311" s="76" t="s">
        <v>227</v>
      </c>
      <c r="C1311" s="77" t="s">
        <v>232</v>
      </c>
      <c r="D1311" s="77" t="s">
        <v>166</v>
      </c>
      <c r="E1311" s="73" t="str">
        <f>VLOOKUP(D1311,clientes!$C$3:$D$60,2,FALSE)</f>
        <v>CARGILL</v>
      </c>
      <c r="F1311" s="77" t="s">
        <v>122</v>
      </c>
      <c r="G1311" s="73" t="str">
        <f>VLOOKUP(F1311,'[2]Lista de Produtos CLASSIFICAÇÃO'!$E$103:$F$114,2,FALSE)</f>
        <v>Óleo Vegetal</v>
      </c>
      <c r="H1311" s="78">
        <v>4800</v>
      </c>
    </row>
    <row r="1312" spans="1:8" x14ac:dyDescent="0.25">
      <c r="A1312" s="71">
        <v>2024</v>
      </c>
      <c r="B1312" s="72" t="s">
        <v>228</v>
      </c>
      <c r="C1312" s="73" t="s">
        <v>232</v>
      </c>
      <c r="D1312" s="73" t="s">
        <v>166</v>
      </c>
      <c r="E1312" s="73" t="str">
        <f>VLOOKUP(D1312,clientes!$C$3:$D$60,2,FALSE)</f>
        <v>CARGILL</v>
      </c>
      <c r="F1312" s="73" t="s">
        <v>122</v>
      </c>
      <c r="G1312" s="73" t="str">
        <f>VLOOKUP(F1312,'[2]Lista de Produtos CLASSIFICAÇÃO'!$E$103:$F$114,2,FALSE)</f>
        <v>Óleo Vegetal</v>
      </c>
      <c r="H1312" s="74">
        <v>4800</v>
      </c>
    </row>
    <row r="1313" spans="1:8" x14ac:dyDescent="0.25">
      <c r="A1313" s="75">
        <v>2024</v>
      </c>
      <c r="B1313" s="76" t="s">
        <v>229</v>
      </c>
      <c r="C1313" s="77" t="s">
        <v>232</v>
      </c>
      <c r="D1313" s="77" t="s">
        <v>166</v>
      </c>
      <c r="E1313" s="73" t="str">
        <f>VLOOKUP(D1313,clientes!$C$3:$D$60,2,FALSE)</f>
        <v>CARGILL</v>
      </c>
      <c r="F1313" s="77" t="s">
        <v>122</v>
      </c>
      <c r="G1313" s="73" t="str">
        <f>VLOOKUP(F1313,'[2]Lista de Produtos CLASSIFICAÇÃO'!$E$103:$F$114,2,FALSE)</f>
        <v>Óleo Vegetal</v>
      </c>
      <c r="H1313" s="78">
        <v>4800</v>
      </c>
    </row>
    <row r="1314" spans="1:8" x14ac:dyDescent="0.25">
      <c r="A1314" s="71">
        <v>2024</v>
      </c>
      <c r="B1314" s="72" t="s">
        <v>210</v>
      </c>
      <c r="C1314" s="73" t="s">
        <v>232</v>
      </c>
      <c r="D1314" s="73" t="s">
        <v>166</v>
      </c>
      <c r="E1314" s="73" t="str">
        <f>VLOOKUP(D1314,clientes!$C$3:$D$60,2,FALSE)</f>
        <v>CARGILL</v>
      </c>
      <c r="F1314" s="73" t="s">
        <v>122</v>
      </c>
      <c r="G1314" s="73" t="str">
        <f>VLOOKUP(F1314,'[2]Lista de Produtos CLASSIFICAÇÃO'!$E$103:$F$114,2,FALSE)</f>
        <v>Óleo Vegetal</v>
      </c>
      <c r="H1314" s="74">
        <v>4800</v>
      </c>
    </row>
    <row r="1315" spans="1:8" x14ac:dyDescent="0.25">
      <c r="A1315" s="75">
        <v>2024</v>
      </c>
      <c r="B1315" s="76" t="s">
        <v>211</v>
      </c>
      <c r="C1315" s="77" t="s">
        <v>232</v>
      </c>
      <c r="D1315" s="77" t="s">
        <v>166</v>
      </c>
      <c r="E1315" s="73" t="str">
        <f>VLOOKUP(D1315,clientes!$C$3:$D$60,2,FALSE)</f>
        <v>CARGILL</v>
      </c>
      <c r="F1315" s="77" t="s">
        <v>122</v>
      </c>
      <c r="G1315" s="73" t="str">
        <f>VLOOKUP(F1315,'[2]Lista de Produtos CLASSIFICAÇÃO'!$E$103:$F$114,2,FALSE)</f>
        <v>Óleo Vegetal</v>
      </c>
      <c r="H1315" s="78">
        <v>4800</v>
      </c>
    </row>
    <row r="1316" spans="1:8" x14ac:dyDescent="0.25">
      <c r="A1316" s="71">
        <v>2024</v>
      </c>
      <c r="B1316" s="72" t="s">
        <v>212</v>
      </c>
      <c r="C1316" s="73" t="s">
        <v>232</v>
      </c>
      <c r="D1316" s="73" t="s">
        <v>166</v>
      </c>
      <c r="E1316" s="73" t="str">
        <f>VLOOKUP(D1316,clientes!$C$3:$D$60,2,FALSE)</f>
        <v>CARGILL</v>
      </c>
      <c r="F1316" s="73" t="s">
        <v>122</v>
      </c>
      <c r="G1316" s="73" t="str">
        <f>VLOOKUP(F1316,'[2]Lista de Produtos CLASSIFICAÇÃO'!$E$103:$F$114,2,FALSE)</f>
        <v>Óleo Vegetal</v>
      </c>
      <c r="H1316" s="74">
        <v>4800</v>
      </c>
    </row>
    <row r="1317" spans="1:8" x14ac:dyDescent="0.25">
      <c r="A1317" s="75">
        <v>2024</v>
      </c>
      <c r="B1317" s="76" t="s">
        <v>213</v>
      </c>
      <c r="C1317" s="77" t="s">
        <v>232</v>
      </c>
      <c r="D1317" s="77" t="s">
        <v>166</v>
      </c>
      <c r="E1317" s="73" t="str">
        <f>VLOOKUP(D1317,clientes!$C$3:$D$60,2,FALSE)</f>
        <v>CARGILL</v>
      </c>
      <c r="F1317" s="77" t="s">
        <v>122</v>
      </c>
      <c r="G1317" s="73" t="str">
        <f>VLOOKUP(F1317,'[2]Lista de Produtos CLASSIFICAÇÃO'!$E$103:$F$114,2,FALSE)</f>
        <v>Óleo Vegetal</v>
      </c>
      <c r="H1317" s="78">
        <v>4800</v>
      </c>
    </row>
    <row r="1318" spans="1:8" x14ac:dyDescent="0.25">
      <c r="A1318" s="71">
        <v>2024</v>
      </c>
      <c r="B1318" s="72" t="s">
        <v>214</v>
      </c>
      <c r="C1318" s="73" t="s">
        <v>232</v>
      </c>
      <c r="D1318" s="73" t="s">
        <v>166</v>
      </c>
      <c r="E1318" s="73" t="str">
        <f>VLOOKUP(D1318,clientes!$C$3:$D$60,2,FALSE)</f>
        <v>CARGILL</v>
      </c>
      <c r="F1318" s="73" t="s">
        <v>122</v>
      </c>
      <c r="G1318" s="73" t="str">
        <f>VLOOKUP(F1318,'[2]Lista de Produtos CLASSIFICAÇÃO'!$E$103:$F$114,2,FALSE)</f>
        <v>Óleo Vegetal</v>
      </c>
      <c r="H1318" s="74">
        <v>4800</v>
      </c>
    </row>
    <row r="1319" spans="1:8" x14ac:dyDescent="0.25">
      <c r="A1319" s="75">
        <v>2024</v>
      </c>
      <c r="B1319" s="76" t="s">
        <v>215</v>
      </c>
      <c r="C1319" s="77" t="s">
        <v>232</v>
      </c>
      <c r="D1319" s="77" t="s">
        <v>166</v>
      </c>
      <c r="E1319" s="73" t="str">
        <f>VLOOKUP(D1319,clientes!$C$3:$D$60,2,FALSE)</f>
        <v>CARGILL</v>
      </c>
      <c r="F1319" s="77" t="s">
        <v>122</v>
      </c>
      <c r="G1319" s="73" t="str">
        <f>VLOOKUP(F1319,'[2]Lista de Produtos CLASSIFICAÇÃO'!$E$103:$F$114,2,FALSE)</f>
        <v>Óleo Vegetal</v>
      </c>
      <c r="H1319" s="78">
        <v>4800</v>
      </c>
    </row>
    <row r="1320" spans="1:8" x14ac:dyDescent="0.25">
      <c r="A1320" s="71">
        <v>2024</v>
      </c>
      <c r="B1320" s="72" t="s">
        <v>230</v>
      </c>
      <c r="C1320" s="73" t="s">
        <v>232</v>
      </c>
      <c r="D1320" s="73" t="s">
        <v>166</v>
      </c>
      <c r="E1320" s="73" t="str">
        <f>VLOOKUP(D1320,clientes!$C$3:$D$60,2,FALSE)</f>
        <v>CARGILL</v>
      </c>
      <c r="F1320" s="73" t="s">
        <v>122</v>
      </c>
      <c r="G1320" s="73" t="str">
        <f>VLOOKUP(F1320,'[2]Lista de Produtos CLASSIFICAÇÃO'!$E$103:$F$114,2,FALSE)</f>
        <v>Óleo Vegetal</v>
      </c>
      <c r="H1320" s="74">
        <v>4800</v>
      </c>
    </row>
    <row r="1321" spans="1:8" x14ac:dyDescent="0.25">
      <c r="A1321" s="75">
        <v>2024</v>
      </c>
      <c r="B1321" s="76" t="s">
        <v>231</v>
      </c>
      <c r="C1321" s="77" t="s">
        <v>232</v>
      </c>
      <c r="D1321" s="77" t="s">
        <v>166</v>
      </c>
      <c r="E1321" s="73" t="str">
        <f>VLOOKUP(D1321,clientes!$C$3:$D$60,2,FALSE)</f>
        <v>CARGILL</v>
      </c>
      <c r="F1321" s="77" t="s">
        <v>122</v>
      </c>
      <c r="G1321" s="73" t="str">
        <f>VLOOKUP(F1321,'[2]Lista de Produtos CLASSIFICAÇÃO'!$E$103:$F$114,2,FALSE)</f>
        <v>Óleo Vegetal</v>
      </c>
      <c r="H1321" s="78">
        <v>4800</v>
      </c>
    </row>
    <row r="1322" spans="1:8" x14ac:dyDescent="0.25">
      <c r="A1322" s="71">
        <v>2024</v>
      </c>
      <c r="B1322" s="72" t="s">
        <v>226</v>
      </c>
      <c r="C1322" s="73" t="s">
        <v>232</v>
      </c>
      <c r="D1322" s="73" t="s">
        <v>174</v>
      </c>
      <c r="E1322" s="73" t="str">
        <f>VLOOKUP(D1322,clientes!$C$3:$D$60,2,FALSE)</f>
        <v>CELENA</v>
      </c>
      <c r="F1322" s="73" t="s">
        <v>123</v>
      </c>
      <c r="G1322" s="73" t="str">
        <f>VLOOKUP(F1322,'[2]Lista de Produtos CLASSIFICAÇÃO'!$E$103:$F$114,2,FALSE)</f>
        <v>Aquecidos</v>
      </c>
      <c r="H1322" s="74">
        <v>8033</v>
      </c>
    </row>
    <row r="1323" spans="1:8" x14ac:dyDescent="0.25">
      <c r="A1323" s="75">
        <v>2024</v>
      </c>
      <c r="B1323" s="76" t="s">
        <v>226</v>
      </c>
      <c r="C1323" s="77" t="s">
        <v>232</v>
      </c>
      <c r="D1323" s="77" t="s">
        <v>174</v>
      </c>
      <c r="E1323" s="73" t="str">
        <f>VLOOKUP(D1323,clientes!$C$3:$D$60,2,FALSE)</f>
        <v>CELENA</v>
      </c>
      <c r="F1323" s="77" t="s">
        <v>123</v>
      </c>
      <c r="G1323" s="73" t="str">
        <f>VLOOKUP(F1323,'[2]Lista de Produtos CLASSIFICAÇÃO'!$E$103:$F$114,2,FALSE)</f>
        <v>Aquecidos</v>
      </c>
      <c r="H1323" s="78">
        <v>1600</v>
      </c>
    </row>
    <row r="1324" spans="1:8" x14ac:dyDescent="0.25">
      <c r="A1324" s="71">
        <v>2024</v>
      </c>
      <c r="B1324" s="72" t="s">
        <v>227</v>
      </c>
      <c r="C1324" s="73" t="s">
        <v>232</v>
      </c>
      <c r="D1324" s="73" t="s">
        <v>174</v>
      </c>
      <c r="E1324" s="73" t="str">
        <f>VLOOKUP(D1324,clientes!$C$3:$D$60,2,FALSE)</f>
        <v>CELENA</v>
      </c>
      <c r="F1324" s="73" t="s">
        <v>123</v>
      </c>
      <c r="G1324" s="73" t="str">
        <f>VLOOKUP(F1324,'[2]Lista de Produtos CLASSIFICAÇÃO'!$E$103:$F$114,2,FALSE)</f>
        <v>Aquecidos</v>
      </c>
      <c r="H1324" s="74">
        <v>8033</v>
      </c>
    </row>
    <row r="1325" spans="1:8" x14ac:dyDescent="0.25">
      <c r="A1325" s="75">
        <v>2024</v>
      </c>
      <c r="B1325" s="76" t="s">
        <v>227</v>
      </c>
      <c r="C1325" s="77" t="s">
        <v>232</v>
      </c>
      <c r="D1325" s="77" t="s">
        <v>174</v>
      </c>
      <c r="E1325" s="73" t="str">
        <f>VLOOKUP(D1325,clientes!$C$3:$D$60,2,FALSE)</f>
        <v>CELENA</v>
      </c>
      <c r="F1325" s="77" t="s">
        <v>123</v>
      </c>
      <c r="G1325" s="73" t="str">
        <f>VLOOKUP(F1325,'[2]Lista de Produtos CLASSIFICAÇÃO'!$E$103:$F$114,2,FALSE)</f>
        <v>Aquecidos</v>
      </c>
      <c r="H1325" s="78">
        <v>1600</v>
      </c>
    </row>
    <row r="1326" spans="1:8" x14ac:dyDescent="0.25">
      <c r="A1326" s="71">
        <v>2024</v>
      </c>
      <c r="B1326" s="72" t="s">
        <v>228</v>
      </c>
      <c r="C1326" s="73" t="s">
        <v>232</v>
      </c>
      <c r="D1326" s="73" t="s">
        <v>174</v>
      </c>
      <c r="E1326" s="73" t="str">
        <f>VLOOKUP(D1326,clientes!$C$3:$D$60,2,FALSE)</f>
        <v>CELENA</v>
      </c>
      <c r="F1326" s="73" t="s">
        <v>123</v>
      </c>
      <c r="G1326" s="73" t="str">
        <f>VLOOKUP(F1326,'[2]Lista de Produtos CLASSIFICAÇÃO'!$E$103:$F$114,2,FALSE)</f>
        <v>Aquecidos</v>
      </c>
      <c r="H1326" s="74">
        <v>8033</v>
      </c>
    </row>
    <row r="1327" spans="1:8" x14ac:dyDescent="0.25">
      <c r="A1327" s="75">
        <v>2024</v>
      </c>
      <c r="B1327" s="76" t="s">
        <v>228</v>
      </c>
      <c r="C1327" s="77" t="s">
        <v>232</v>
      </c>
      <c r="D1327" s="77" t="s">
        <v>174</v>
      </c>
      <c r="E1327" s="73" t="str">
        <f>VLOOKUP(D1327,clientes!$C$3:$D$60,2,FALSE)</f>
        <v>CELENA</v>
      </c>
      <c r="F1327" s="77" t="s">
        <v>123</v>
      </c>
      <c r="G1327" s="73" t="str">
        <f>VLOOKUP(F1327,'[2]Lista de Produtos CLASSIFICAÇÃO'!$E$103:$F$114,2,FALSE)</f>
        <v>Aquecidos</v>
      </c>
      <c r="H1327" s="78">
        <v>1600</v>
      </c>
    </row>
    <row r="1328" spans="1:8" x14ac:dyDescent="0.25">
      <c r="A1328" s="71">
        <v>2024</v>
      </c>
      <c r="B1328" s="72" t="s">
        <v>229</v>
      </c>
      <c r="C1328" s="73" t="s">
        <v>232</v>
      </c>
      <c r="D1328" s="73" t="s">
        <v>174</v>
      </c>
      <c r="E1328" s="73" t="str">
        <f>VLOOKUP(D1328,clientes!$C$3:$D$60,2,FALSE)</f>
        <v>CELENA</v>
      </c>
      <c r="F1328" s="73" t="s">
        <v>123</v>
      </c>
      <c r="G1328" s="73" t="str">
        <f>VLOOKUP(F1328,'[2]Lista de Produtos CLASSIFICAÇÃO'!$E$103:$F$114,2,FALSE)</f>
        <v>Aquecidos</v>
      </c>
      <c r="H1328" s="74">
        <v>8033</v>
      </c>
    </row>
    <row r="1329" spans="1:8" x14ac:dyDescent="0.25">
      <c r="A1329" s="75">
        <v>2024</v>
      </c>
      <c r="B1329" s="76" t="s">
        <v>229</v>
      </c>
      <c r="C1329" s="77" t="s">
        <v>232</v>
      </c>
      <c r="D1329" s="77" t="s">
        <v>174</v>
      </c>
      <c r="E1329" s="73" t="str">
        <f>VLOOKUP(D1329,clientes!$C$3:$D$60,2,FALSE)</f>
        <v>CELENA</v>
      </c>
      <c r="F1329" s="77" t="s">
        <v>123</v>
      </c>
      <c r="G1329" s="73" t="str">
        <f>VLOOKUP(F1329,'[2]Lista de Produtos CLASSIFICAÇÃO'!$E$103:$F$114,2,FALSE)</f>
        <v>Aquecidos</v>
      </c>
      <c r="H1329" s="78">
        <v>1600</v>
      </c>
    </row>
    <row r="1330" spans="1:8" x14ac:dyDescent="0.25">
      <c r="A1330" s="71">
        <v>2024</v>
      </c>
      <c r="B1330" s="72" t="s">
        <v>210</v>
      </c>
      <c r="C1330" s="73" t="s">
        <v>232</v>
      </c>
      <c r="D1330" s="73" t="s">
        <v>174</v>
      </c>
      <c r="E1330" s="73" t="str">
        <f>VLOOKUP(D1330,clientes!$C$3:$D$60,2,FALSE)</f>
        <v>CELENA</v>
      </c>
      <c r="F1330" s="73" t="s">
        <v>123</v>
      </c>
      <c r="G1330" s="73" t="str">
        <f>VLOOKUP(F1330,'[2]Lista de Produtos CLASSIFICAÇÃO'!$E$103:$F$114,2,FALSE)</f>
        <v>Aquecidos</v>
      </c>
      <c r="H1330" s="74">
        <v>8033</v>
      </c>
    </row>
    <row r="1331" spans="1:8" x14ac:dyDescent="0.25">
      <c r="A1331" s="75">
        <v>2024</v>
      </c>
      <c r="B1331" s="76" t="s">
        <v>210</v>
      </c>
      <c r="C1331" s="77" t="s">
        <v>232</v>
      </c>
      <c r="D1331" s="77" t="s">
        <v>174</v>
      </c>
      <c r="E1331" s="73" t="str">
        <f>VLOOKUP(D1331,clientes!$C$3:$D$60,2,FALSE)</f>
        <v>CELENA</v>
      </c>
      <c r="F1331" s="77" t="s">
        <v>123</v>
      </c>
      <c r="G1331" s="73" t="str">
        <f>VLOOKUP(F1331,'[2]Lista de Produtos CLASSIFICAÇÃO'!$E$103:$F$114,2,FALSE)</f>
        <v>Aquecidos</v>
      </c>
      <c r="H1331" s="78">
        <v>1600</v>
      </c>
    </row>
    <row r="1332" spans="1:8" x14ac:dyDescent="0.25">
      <c r="A1332" s="71">
        <v>2024</v>
      </c>
      <c r="B1332" s="72" t="s">
        <v>211</v>
      </c>
      <c r="C1332" s="73" t="s">
        <v>232</v>
      </c>
      <c r="D1332" s="73" t="s">
        <v>174</v>
      </c>
      <c r="E1332" s="73" t="str">
        <f>VLOOKUP(D1332,clientes!$C$3:$D$60,2,FALSE)</f>
        <v>CELENA</v>
      </c>
      <c r="F1332" s="73" t="s">
        <v>123</v>
      </c>
      <c r="G1332" s="73" t="str">
        <f>VLOOKUP(F1332,'[2]Lista de Produtos CLASSIFICAÇÃO'!$E$103:$F$114,2,FALSE)</f>
        <v>Aquecidos</v>
      </c>
      <c r="H1332" s="74">
        <v>8033</v>
      </c>
    </row>
    <row r="1333" spans="1:8" x14ac:dyDescent="0.25">
      <c r="A1333" s="75">
        <v>2024</v>
      </c>
      <c r="B1333" s="76" t="s">
        <v>211</v>
      </c>
      <c r="C1333" s="77" t="s">
        <v>232</v>
      </c>
      <c r="D1333" s="77" t="s">
        <v>174</v>
      </c>
      <c r="E1333" s="73" t="str">
        <f>VLOOKUP(D1333,clientes!$C$3:$D$60,2,FALSE)</f>
        <v>CELENA</v>
      </c>
      <c r="F1333" s="77" t="s">
        <v>123</v>
      </c>
      <c r="G1333" s="73" t="str">
        <f>VLOOKUP(F1333,'[2]Lista de Produtos CLASSIFICAÇÃO'!$E$103:$F$114,2,FALSE)</f>
        <v>Aquecidos</v>
      </c>
      <c r="H1333" s="78">
        <v>1600</v>
      </c>
    </row>
    <row r="1334" spans="1:8" x14ac:dyDescent="0.25">
      <c r="A1334" s="71">
        <v>2024</v>
      </c>
      <c r="B1334" s="72" t="s">
        <v>212</v>
      </c>
      <c r="C1334" s="73" t="s">
        <v>232</v>
      </c>
      <c r="D1334" s="73" t="s">
        <v>174</v>
      </c>
      <c r="E1334" s="73" t="str">
        <f>VLOOKUP(D1334,clientes!$C$3:$D$60,2,FALSE)</f>
        <v>CELENA</v>
      </c>
      <c r="F1334" s="73" t="s">
        <v>123</v>
      </c>
      <c r="G1334" s="73" t="str">
        <f>VLOOKUP(F1334,'[2]Lista de Produtos CLASSIFICAÇÃO'!$E$103:$F$114,2,FALSE)</f>
        <v>Aquecidos</v>
      </c>
      <c r="H1334" s="74">
        <v>8033</v>
      </c>
    </row>
    <row r="1335" spans="1:8" x14ac:dyDescent="0.25">
      <c r="A1335" s="75">
        <v>2024</v>
      </c>
      <c r="B1335" s="76" t="s">
        <v>212</v>
      </c>
      <c r="C1335" s="77" t="s">
        <v>232</v>
      </c>
      <c r="D1335" s="77" t="s">
        <v>174</v>
      </c>
      <c r="E1335" s="73" t="str">
        <f>VLOOKUP(D1335,clientes!$C$3:$D$60,2,FALSE)</f>
        <v>CELENA</v>
      </c>
      <c r="F1335" s="77" t="s">
        <v>123</v>
      </c>
      <c r="G1335" s="73" t="str">
        <f>VLOOKUP(F1335,'[2]Lista de Produtos CLASSIFICAÇÃO'!$E$103:$F$114,2,FALSE)</f>
        <v>Aquecidos</v>
      </c>
      <c r="H1335" s="78">
        <v>1600</v>
      </c>
    </row>
    <row r="1336" spans="1:8" x14ac:dyDescent="0.25">
      <c r="A1336" s="71">
        <v>2024</v>
      </c>
      <c r="B1336" s="72" t="s">
        <v>213</v>
      </c>
      <c r="C1336" s="73" t="s">
        <v>232</v>
      </c>
      <c r="D1336" s="73" t="s">
        <v>174</v>
      </c>
      <c r="E1336" s="73" t="str">
        <f>VLOOKUP(D1336,clientes!$C$3:$D$60,2,FALSE)</f>
        <v>CELENA</v>
      </c>
      <c r="F1336" s="73" t="s">
        <v>123</v>
      </c>
      <c r="G1336" s="73" t="str">
        <f>VLOOKUP(F1336,'[2]Lista de Produtos CLASSIFICAÇÃO'!$E$103:$F$114,2,FALSE)</f>
        <v>Aquecidos</v>
      </c>
      <c r="H1336" s="74">
        <v>8033</v>
      </c>
    </row>
    <row r="1337" spans="1:8" x14ac:dyDescent="0.25">
      <c r="A1337" s="75">
        <v>2024</v>
      </c>
      <c r="B1337" s="76" t="s">
        <v>213</v>
      </c>
      <c r="C1337" s="77" t="s">
        <v>232</v>
      </c>
      <c r="D1337" s="77" t="s">
        <v>174</v>
      </c>
      <c r="E1337" s="73" t="str">
        <f>VLOOKUP(D1337,clientes!$C$3:$D$60,2,FALSE)</f>
        <v>CELENA</v>
      </c>
      <c r="F1337" s="77" t="s">
        <v>123</v>
      </c>
      <c r="G1337" s="73" t="str">
        <f>VLOOKUP(F1337,'[2]Lista de Produtos CLASSIFICAÇÃO'!$E$103:$F$114,2,FALSE)</f>
        <v>Aquecidos</v>
      </c>
      <c r="H1337" s="78">
        <v>1600</v>
      </c>
    </row>
    <row r="1338" spans="1:8" x14ac:dyDescent="0.25">
      <c r="A1338" s="71">
        <v>2024</v>
      </c>
      <c r="B1338" s="72" t="s">
        <v>214</v>
      </c>
      <c r="C1338" s="73" t="s">
        <v>232</v>
      </c>
      <c r="D1338" s="73" t="s">
        <v>174</v>
      </c>
      <c r="E1338" s="73" t="str">
        <f>VLOOKUP(D1338,clientes!$C$3:$D$60,2,FALSE)</f>
        <v>CELENA</v>
      </c>
      <c r="F1338" s="73" t="s">
        <v>123</v>
      </c>
      <c r="G1338" s="73" t="str">
        <f>VLOOKUP(F1338,'[2]Lista de Produtos CLASSIFICAÇÃO'!$E$103:$F$114,2,FALSE)</f>
        <v>Aquecidos</v>
      </c>
      <c r="H1338" s="74">
        <v>8033</v>
      </c>
    </row>
    <row r="1339" spans="1:8" x14ac:dyDescent="0.25">
      <c r="A1339" s="75">
        <v>2024</v>
      </c>
      <c r="B1339" s="76" t="s">
        <v>214</v>
      </c>
      <c r="C1339" s="77" t="s">
        <v>232</v>
      </c>
      <c r="D1339" s="77" t="s">
        <v>174</v>
      </c>
      <c r="E1339" s="73" t="str">
        <f>VLOOKUP(D1339,clientes!$C$3:$D$60,2,FALSE)</f>
        <v>CELENA</v>
      </c>
      <c r="F1339" s="77" t="s">
        <v>123</v>
      </c>
      <c r="G1339" s="73" t="str">
        <f>VLOOKUP(F1339,'[2]Lista de Produtos CLASSIFICAÇÃO'!$E$103:$F$114,2,FALSE)</f>
        <v>Aquecidos</v>
      </c>
      <c r="H1339" s="78">
        <v>1600</v>
      </c>
    </row>
    <row r="1340" spans="1:8" x14ac:dyDescent="0.25">
      <c r="A1340" s="71">
        <v>2024</v>
      </c>
      <c r="B1340" s="72" t="s">
        <v>215</v>
      </c>
      <c r="C1340" s="73" t="s">
        <v>232</v>
      </c>
      <c r="D1340" s="73" t="s">
        <v>174</v>
      </c>
      <c r="E1340" s="73" t="str">
        <f>VLOOKUP(D1340,clientes!$C$3:$D$60,2,FALSE)</f>
        <v>CELENA</v>
      </c>
      <c r="F1340" s="73" t="s">
        <v>123</v>
      </c>
      <c r="G1340" s="73" t="str">
        <f>VLOOKUP(F1340,'[2]Lista de Produtos CLASSIFICAÇÃO'!$E$103:$F$114,2,FALSE)</f>
        <v>Aquecidos</v>
      </c>
      <c r="H1340" s="74">
        <v>8033</v>
      </c>
    </row>
    <row r="1341" spans="1:8" x14ac:dyDescent="0.25">
      <c r="A1341" s="75">
        <v>2024</v>
      </c>
      <c r="B1341" s="76" t="s">
        <v>215</v>
      </c>
      <c r="C1341" s="77" t="s">
        <v>232</v>
      </c>
      <c r="D1341" s="77" t="s">
        <v>174</v>
      </c>
      <c r="E1341" s="73" t="str">
        <f>VLOOKUP(D1341,clientes!$C$3:$D$60,2,FALSE)</f>
        <v>CELENA</v>
      </c>
      <c r="F1341" s="77" t="s">
        <v>123</v>
      </c>
      <c r="G1341" s="73" t="str">
        <f>VLOOKUP(F1341,'[2]Lista de Produtos CLASSIFICAÇÃO'!$E$103:$F$114,2,FALSE)</f>
        <v>Aquecidos</v>
      </c>
      <c r="H1341" s="78">
        <v>1600</v>
      </c>
    </row>
    <row r="1342" spans="1:8" x14ac:dyDescent="0.25">
      <c r="A1342" s="71">
        <v>2024</v>
      </c>
      <c r="B1342" s="72" t="s">
        <v>230</v>
      </c>
      <c r="C1342" s="73" t="s">
        <v>232</v>
      </c>
      <c r="D1342" s="73" t="s">
        <v>174</v>
      </c>
      <c r="E1342" s="73" t="str">
        <f>VLOOKUP(D1342,clientes!$C$3:$D$60,2,FALSE)</f>
        <v>CELENA</v>
      </c>
      <c r="F1342" s="73" t="s">
        <v>123</v>
      </c>
      <c r="G1342" s="73" t="str">
        <f>VLOOKUP(F1342,'[2]Lista de Produtos CLASSIFICAÇÃO'!$E$103:$F$114,2,FALSE)</f>
        <v>Aquecidos</v>
      </c>
      <c r="H1342" s="74">
        <v>8033</v>
      </c>
    </row>
    <row r="1343" spans="1:8" x14ac:dyDescent="0.25">
      <c r="A1343" s="75">
        <v>2024</v>
      </c>
      <c r="B1343" s="76" t="s">
        <v>230</v>
      </c>
      <c r="C1343" s="77" t="s">
        <v>232</v>
      </c>
      <c r="D1343" s="77" t="s">
        <v>174</v>
      </c>
      <c r="E1343" s="73" t="str">
        <f>VLOOKUP(D1343,clientes!$C$3:$D$60,2,FALSE)</f>
        <v>CELENA</v>
      </c>
      <c r="F1343" s="77" t="s">
        <v>123</v>
      </c>
      <c r="G1343" s="73" t="str">
        <f>VLOOKUP(F1343,'[2]Lista de Produtos CLASSIFICAÇÃO'!$E$103:$F$114,2,FALSE)</f>
        <v>Aquecidos</v>
      </c>
      <c r="H1343" s="78">
        <v>1600</v>
      </c>
    </row>
    <row r="1344" spans="1:8" x14ac:dyDescent="0.25">
      <c r="A1344" s="71">
        <v>2024</v>
      </c>
      <c r="B1344" s="72" t="s">
        <v>231</v>
      </c>
      <c r="C1344" s="73" t="s">
        <v>232</v>
      </c>
      <c r="D1344" s="73" t="s">
        <v>174</v>
      </c>
      <c r="E1344" s="73" t="str">
        <f>VLOOKUP(D1344,clientes!$C$3:$D$60,2,FALSE)</f>
        <v>CELENA</v>
      </c>
      <c r="F1344" s="73" t="s">
        <v>123</v>
      </c>
      <c r="G1344" s="73" t="str">
        <f>VLOOKUP(F1344,'[2]Lista de Produtos CLASSIFICAÇÃO'!$E$103:$F$114,2,FALSE)</f>
        <v>Aquecidos</v>
      </c>
      <c r="H1344" s="74">
        <v>8033</v>
      </c>
    </row>
    <row r="1345" spans="1:8" x14ac:dyDescent="0.25">
      <c r="A1345" s="75">
        <v>2024</v>
      </c>
      <c r="B1345" s="76" t="s">
        <v>231</v>
      </c>
      <c r="C1345" s="77" t="s">
        <v>232</v>
      </c>
      <c r="D1345" s="77" t="s">
        <v>174</v>
      </c>
      <c r="E1345" s="73" t="str">
        <f>VLOOKUP(D1345,clientes!$C$3:$D$60,2,FALSE)</f>
        <v>CELENA</v>
      </c>
      <c r="F1345" s="77" t="s">
        <v>123</v>
      </c>
      <c r="G1345" s="73" t="str">
        <f>VLOOKUP(F1345,'[2]Lista de Produtos CLASSIFICAÇÃO'!$E$103:$F$114,2,FALSE)</f>
        <v>Aquecidos</v>
      </c>
      <c r="H1345" s="78">
        <v>1600</v>
      </c>
    </row>
    <row r="1346" spans="1:8" x14ac:dyDescent="0.25">
      <c r="A1346" s="71">
        <v>2024</v>
      </c>
      <c r="B1346" s="72" t="s">
        <v>226</v>
      </c>
      <c r="C1346" s="73" t="s">
        <v>232</v>
      </c>
      <c r="D1346" s="73" t="s">
        <v>181</v>
      </c>
      <c r="E1346" s="73" t="str">
        <f>VLOOKUP(D1346,clientes!$C$3:$D$60,2,FALSE)</f>
        <v>COAMO</v>
      </c>
      <c r="F1346" s="73" t="s">
        <v>123</v>
      </c>
      <c r="G1346" s="73" t="str">
        <f>VLOOKUP(F1346,'[2]Lista de Produtos CLASSIFICAÇÃO'!$E$103:$F$114,2,FALSE)</f>
        <v>Aquecidos</v>
      </c>
      <c r="H1346" s="74">
        <v>10000</v>
      </c>
    </row>
    <row r="1347" spans="1:8" x14ac:dyDescent="0.25">
      <c r="A1347" s="75">
        <v>2024</v>
      </c>
      <c r="B1347" s="76" t="s">
        <v>227</v>
      </c>
      <c r="C1347" s="77" t="s">
        <v>232</v>
      </c>
      <c r="D1347" s="77" t="s">
        <v>181</v>
      </c>
      <c r="E1347" s="73" t="str">
        <f>VLOOKUP(D1347,clientes!$C$3:$D$60,2,FALSE)</f>
        <v>COAMO</v>
      </c>
      <c r="F1347" s="77" t="s">
        <v>123</v>
      </c>
      <c r="G1347" s="73" t="str">
        <f>VLOOKUP(F1347,'[2]Lista de Produtos CLASSIFICAÇÃO'!$E$103:$F$114,2,FALSE)</f>
        <v>Aquecidos</v>
      </c>
      <c r="H1347" s="78">
        <v>10000</v>
      </c>
    </row>
    <row r="1348" spans="1:8" x14ac:dyDescent="0.25">
      <c r="A1348" s="71">
        <v>2024</v>
      </c>
      <c r="B1348" s="72" t="s">
        <v>228</v>
      </c>
      <c r="C1348" s="73" t="s">
        <v>232</v>
      </c>
      <c r="D1348" s="73" t="s">
        <v>181</v>
      </c>
      <c r="E1348" s="73" t="str">
        <f>VLOOKUP(D1348,clientes!$C$3:$D$60,2,FALSE)</f>
        <v>COAMO</v>
      </c>
      <c r="F1348" s="73" t="s">
        <v>123</v>
      </c>
      <c r="G1348" s="73" t="str">
        <f>VLOOKUP(F1348,'[2]Lista de Produtos CLASSIFICAÇÃO'!$E$103:$F$114,2,FALSE)</f>
        <v>Aquecidos</v>
      </c>
      <c r="H1348" s="74">
        <v>10000</v>
      </c>
    </row>
    <row r="1349" spans="1:8" x14ac:dyDescent="0.25">
      <c r="A1349" s="75">
        <v>2024</v>
      </c>
      <c r="B1349" s="76" t="s">
        <v>229</v>
      </c>
      <c r="C1349" s="77" t="s">
        <v>232</v>
      </c>
      <c r="D1349" s="77" t="s">
        <v>181</v>
      </c>
      <c r="E1349" s="73" t="str">
        <f>VLOOKUP(D1349,clientes!$C$3:$D$60,2,FALSE)</f>
        <v>COAMO</v>
      </c>
      <c r="F1349" s="77" t="s">
        <v>123</v>
      </c>
      <c r="G1349" s="73" t="str">
        <f>VLOOKUP(F1349,'[2]Lista de Produtos CLASSIFICAÇÃO'!$E$103:$F$114,2,FALSE)</f>
        <v>Aquecidos</v>
      </c>
      <c r="H1349" s="78">
        <v>0</v>
      </c>
    </row>
    <row r="1350" spans="1:8" x14ac:dyDescent="0.25">
      <c r="A1350" s="71">
        <v>2024</v>
      </c>
      <c r="B1350" s="72" t="s">
        <v>210</v>
      </c>
      <c r="C1350" s="73" t="s">
        <v>232</v>
      </c>
      <c r="D1350" s="73" t="s">
        <v>181</v>
      </c>
      <c r="E1350" s="73" t="str">
        <f>VLOOKUP(D1350,clientes!$C$3:$D$60,2,FALSE)</f>
        <v>COAMO</v>
      </c>
      <c r="F1350" s="73" t="s">
        <v>123</v>
      </c>
      <c r="G1350" s="73" t="str">
        <f>VLOOKUP(F1350,'[2]Lista de Produtos CLASSIFICAÇÃO'!$E$103:$F$114,2,FALSE)</f>
        <v>Aquecidos</v>
      </c>
      <c r="H1350" s="74">
        <v>0</v>
      </c>
    </row>
    <row r="1351" spans="1:8" x14ac:dyDescent="0.25">
      <c r="A1351" s="75">
        <v>2024</v>
      </c>
      <c r="B1351" s="76" t="s">
        <v>211</v>
      </c>
      <c r="C1351" s="77" t="s">
        <v>232</v>
      </c>
      <c r="D1351" s="77" t="s">
        <v>181</v>
      </c>
      <c r="E1351" s="73" t="str">
        <f>VLOOKUP(D1351,clientes!$C$3:$D$60,2,FALSE)</f>
        <v>COAMO</v>
      </c>
      <c r="F1351" s="77" t="s">
        <v>123</v>
      </c>
      <c r="G1351" s="73" t="str">
        <f>VLOOKUP(F1351,'[2]Lista de Produtos CLASSIFICAÇÃO'!$E$103:$F$114,2,FALSE)</f>
        <v>Aquecidos</v>
      </c>
      <c r="H1351" s="78">
        <v>0</v>
      </c>
    </row>
    <row r="1352" spans="1:8" x14ac:dyDescent="0.25">
      <c r="A1352" s="71">
        <v>2024</v>
      </c>
      <c r="B1352" s="72" t="s">
        <v>212</v>
      </c>
      <c r="C1352" s="73" t="s">
        <v>232</v>
      </c>
      <c r="D1352" s="73" t="s">
        <v>181</v>
      </c>
      <c r="E1352" s="73" t="str">
        <f>VLOOKUP(D1352,clientes!$C$3:$D$60,2,FALSE)</f>
        <v>COAMO</v>
      </c>
      <c r="F1352" s="73" t="s">
        <v>123</v>
      </c>
      <c r="G1352" s="73" t="str">
        <f>VLOOKUP(F1352,'[2]Lista de Produtos CLASSIFICAÇÃO'!$E$103:$F$114,2,FALSE)</f>
        <v>Aquecidos</v>
      </c>
      <c r="H1352" s="74">
        <v>0</v>
      </c>
    </row>
    <row r="1353" spans="1:8" x14ac:dyDescent="0.25">
      <c r="A1353" s="75">
        <v>2024</v>
      </c>
      <c r="B1353" s="76" t="s">
        <v>213</v>
      </c>
      <c r="C1353" s="77" t="s">
        <v>232</v>
      </c>
      <c r="D1353" s="77" t="s">
        <v>181</v>
      </c>
      <c r="E1353" s="73" t="str">
        <f>VLOOKUP(D1353,clientes!$C$3:$D$60,2,FALSE)</f>
        <v>COAMO</v>
      </c>
      <c r="F1353" s="77" t="s">
        <v>123</v>
      </c>
      <c r="G1353" s="73" t="str">
        <f>VLOOKUP(F1353,'[2]Lista de Produtos CLASSIFICAÇÃO'!$E$103:$F$114,2,FALSE)</f>
        <v>Aquecidos</v>
      </c>
      <c r="H1353" s="78">
        <v>0</v>
      </c>
    </row>
    <row r="1354" spans="1:8" x14ac:dyDescent="0.25">
      <c r="A1354" s="71">
        <v>2024</v>
      </c>
      <c r="B1354" s="72" t="s">
        <v>214</v>
      </c>
      <c r="C1354" s="73" t="s">
        <v>232</v>
      </c>
      <c r="D1354" s="73" t="s">
        <v>181</v>
      </c>
      <c r="E1354" s="73" t="str">
        <f>VLOOKUP(D1354,clientes!$C$3:$D$60,2,FALSE)</f>
        <v>COAMO</v>
      </c>
      <c r="F1354" s="73" t="s">
        <v>123</v>
      </c>
      <c r="G1354" s="73" t="str">
        <f>VLOOKUP(F1354,'[2]Lista de Produtos CLASSIFICAÇÃO'!$E$103:$F$114,2,FALSE)</f>
        <v>Aquecidos</v>
      </c>
      <c r="H1354" s="74">
        <v>0</v>
      </c>
    </row>
    <row r="1355" spans="1:8" x14ac:dyDescent="0.25">
      <c r="A1355" s="75">
        <v>2024</v>
      </c>
      <c r="B1355" s="76" t="s">
        <v>215</v>
      </c>
      <c r="C1355" s="77" t="s">
        <v>232</v>
      </c>
      <c r="D1355" s="77" t="s">
        <v>181</v>
      </c>
      <c r="E1355" s="73" t="str">
        <f>VLOOKUP(D1355,clientes!$C$3:$D$60,2,FALSE)</f>
        <v>COAMO</v>
      </c>
      <c r="F1355" s="77" t="s">
        <v>123</v>
      </c>
      <c r="G1355" s="73" t="str">
        <f>VLOOKUP(F1355,'[2]Lista de Produtos CLASSIFICAÇÃO'!$E$103:$F$114,2,FALSE)</f>
        <v>Aquecidos</v>
      </c>
      <c r="H1355" s="78">
        <v>0</v>
      </c>
    </row>
    <row r="1356" spans="1:8" x14ac:dyDescent="0.25">
      <c r="A1356" s="71">
        <v>2024</v>
      </c>
      <c r="B1356" s="72" t="s">
        <v>230</v>
      </c>
      <c r="C1356" s="73" t="s">
        <v>232</v>
      </c>
      <c r="D1356" s="73" t="s">
        <v>181</v>
      </c>
      <c r="E1356" s="73" t="str">
        <f>VLOOKUP(D1356,clientes!$C$3:$D$60,2,FALSE)</f>
        <v>COAMO</v>
      </c>
      <c r="F1356" s="73" t="s">
        <v>123</v>
      </c>
      <c r="G1356" s="73" t="str">
        <f>VLOOKUP(F1356,'[2]Lista de Produtos CLASSIFICAÇÃO'!$E$103:$F$114,2,FALSE)</f>
        <v>Aquecidos</v>
      </c>
      <c r="H1356" s="74">
        <v>0</v>
      </c>
    </row>
    <row r="1357" spans="1:8" x14ac:dyDescent="0.25">
      <c r="A1357" s="75">
        <v>2024</v>
      </c>
      <c r="B1357" s="76" t="s">
        <v>231</v>
      </c>
      <c r="C1357" s="77" t="s">
        <v>232</v>
      </c>
      <c r="D1357" s="77" t="s">
        <v>181</v>
      </c>
      <c r="E1357" s="73" t="str">
        <f>VLOOKUP(D1357,clientes!$C$3:$D$60,2,FALSE)</f>
        <v>COAMO</v>
      </c>
      <c r="F1357" s="77" t="s">
        <v>123</v>
      </c>
      <c r="G1357" s="73" t="str">
        <f>VLOOKUP(F1357,'[2]Lista de Produtos CLASSIFICAÇÃO'!$E$103:$F$114,2,FALSE)</f>
        <v>Aquecidos</v>
      </c>
      <c r="H1357" s="78">
        <v>0</v>
      </c>
    </row>
    <row r="1358" spans="1:8" x14ac:dyDescent="0.25">
      <c r="A1358" s="71">
        <v>2024</v>
      </c>
      <c r="B1358" s="72" t="s">
        <v>226</v>
      </c>
      <c r="C1358" s="73" t="s">
        <v>225</v>
      </c>
      <c r="D1358" s="73" t="s">
        <v>172</v>
      </c>
      <c r="E1358" s="73" t="str">
        <f>VLOOKUP(D1358,clientes!$C$3:$D$60,2,FALSE)</f>
        <v>EVONIK</v>
      </c>
      <c r="F1358" s="73" t="s">
        <v>124</v>
      </c>
      <c r="G1358" s="73" t="str">
        <f>VLOOKUP(F1358,'[2]Lista de Produtos CLASSIFICAÇÃO'!$E$103:$F$114,2,FALSE)</f>
        <v>Outros</v>
      </c>
      <c r="H1358" s="74">
        <v>6960</v>
      </c>
    </row>
    <row r="1359" spans="1:8" x14ac:dyDescent="0.25">
      <c r="A1359" s="75">
        <v>2024</v>
      </c>
      <c r="B1359" s="76" t="s">
        <v>227</v>
      </c>
      <c r="C1359" s="77" t="s">
        <v>225</v>
      </c>
      <c r="D1359" s="77" t="s">
        <v>172</v>
      </c>
      <c r="E1359" s="73" t="str">
        <f>VLOOKUP(D1359,clientes!$C$3:$D$60,2,FALSE)</f>
        <v>EVONIK</v>
      </c>
      <c r="F1359" s="77" t="s">
        <v>124</v>
      </c>
      <c r="G1359" s="73" t="str">
        <f>VLOOKUP(F1359,'[2]Lista de Produtos CLASSIFICAÇÃO'!$E$103:$F$114,2,FALSE)</f>
        <v>Outros</v>
      </c>
      <c r="H1359" s="78">
        <v>6960</v>
      </c>
    </row>
    <row r="1360" spans="1:8" x14ac:dyDescent="0.25">
      <c r="A1360" s="71">
        <v>2024</v>
      </c>
      <c r="B1360" s="72" t="s">
        <v>228</v>
      </c>
      <c r="C1360" s="73" t="s">
        <v>225</v>
      </c>
      <c r="D1360" s="73" t="s">
        <v>172</v>
      </c>
      <c r="E1360" s="73" t="str">
        <f>VLOOKUP(D1360,clientes!$C$3:$D$60,2,FALSE)</f>
        <v>EVONIK</v>
      </c>
      <c r="F1360" s="73" t="s">
        <v>124</v>
      </c>
      <c r="G1360" s="73" t="str">
        <f>VLOOKUP(F1360,'[2]Lista de Produtos CLASSIFICAÇÃO'!$E$103:$F$114,2,FALSE)</f>
        <v>Outros</v>
      </c>
      <c r="H1360" s="74">
        <v>6960</v>
      </c>
    </row>
    <row r="1361" spans="1:8" x14ac:dyDescent="0.25">
      <c r="A1361" s="75">
        <v>2024</v>
      </c>
      <c r="B1361" s="76" t="s">
        <v>229</v>
      </c>
      <c r="C1361" s="77" t="s">
        <v>225</v>
      </c>
      <c r="D1361" s="77" t="s">
        <v>172</v>
      </c>
      <c r="E1361" s="73" t="str">
        <f>VLOOKUP(D1361,clientes!$C$3:$D$60,2,FALSE)</f>
        <v>EVONIK</v>
      </c>
      <c r="F1361" s="77" t="s">
        <v>124</v>
      </c>
      <c r="G1361" s="73" t="str">
        <f>VLOOKUP(F1361,'[2]Lista de Produtos CLASSIFICAÇÃO'!$E$103:$F$114,2,FALSE)</f>
        <v>Outros</v>
      </c>
      <c r="H1361" s="78">
        <v>6960</v>
      </c>
    </row>
    <row r="1362" spans="1:8" x14ac:dyDescent="0.25">
      <c r="A1362" s="71">
        <v>2024</v>
      </c>
      <c r="B1362" s="72" t="s">
        <v>210</v>
      </c>
      <c r="C1362" s="73" t="s">
        <v>225</v>
      </c>
      <c r="D1362" s="73" t="s">
        <v>172</v>
      </c>
      <c r="E1362" s="73" t="str">
        <f>VLOOKUP(D1362,clientes!$C$3:$D$60,2,FALSE)</f>
        <v>EVONIK</v>
      </c>
      <c r="F1362" s="73" t="s">
        <v>124</v>
      </c>
      <c r="G1362" s="73" t="str">
        <f>VLOOKUP(F1362,'[2]Lista de Produtos CLASSIFICAÇÃO'!$E$103:$F$114,2,FALSE)</f>
        <v>Outros</v>
      </c>
      <c r="H1362" s="74">
        <v>6960</v>
      </c>
    </row>
    <row r="1363" spans="1:8" x14ac:dyDescent="0.25">
      <c r="A1363" s="75">
        <v>2024</v>
      </c>
      <c r="B1363" s="76" t="s">
        <v>211</v>
      </c>
      <c r="C1363" s="77" t="s">
        <v>225</v>
      </c>
      <c r="D1363" s="77" t="s">
        <v>172</v>
      </c>
      <c r="E1363" s="73" t="str">
        <f>VLOOKUP(D1363,clientes!$C$3:$D$60,2,FALSE)</f>
        <v>EVONIK</v>
      </c>
      <c r="F1363" s="77" t="s">
        <v>124</v>
      </c>
      <c r="G1363" s="73" t="str">
        <f>VLOOKUP(F1363,'[2]Lista de Produtos CLASSIFICAÇÃO'!$E$103:$F$114,2,FALSE)</f>
        <v>Outros</v>
      </c>
      <c r="H1363" s="78">
        <v>6960</v>
      </c>
    </row>
    <row r="1364" spans="1:8" x14ac:dyDescent="0.25">
      <c r="A1364" s="71">
        <v>2024</v>
      </c>
      <c r="B1364" s="72" t="s">
        <v>212</v>
      </c>
      <c r="C1364" s="73" t="s">
        <v>225</v>
      </c>
      <c r="D1364" s="73" t="s">
        <v>172</v>
      </c>
      <c r="E1364" s="73" t="str">
        <f>VLOOKUP(D1364,clientes!$C$3:$D$60,2,FALSE)</f>
        <v>EVONIK</v>
      </c>
      <c r="F1364" s="73" t="s">
        <v>124</v>
      </c>
      <c r="G1364" s="73" t="str">
        <f>VLOOKUP(F1364,'[2]Lista de Produtos CLASSIFICAÇÃO'!$E$103:$F$114,2,FALSE)</f>
        <v>Outros</v>
      </c>
      <c r="H1364" s="74">
        <v>6960</v>
      </c>
    </row>
    <row r="1365" spans="1:8" x14ac:dyDescent="0.25">
      <c r="A1365" s="75">
        <v>2024</v>
      </c>
      <c r="B1365" s="76" t="s">
        <v>213</v>
      </c>
      <c r="C1365" s="77" t="s">
        <v>225</v>
      </c>
      <c r="D1365" s="77" t="s">
        <v>172</v>
      </c>
      <c r="E1365" s="73" t="str">
        <f>VLOOKUP(D1365,clientes!$C$3:$D$60,2,FALSE)</f>
        <v>EVONIK</v>
      </c>
      <c r="F1365" s="77" t="s">
        <v>124</v>
      </c>
      <c r="G1365" s="73" t="str">
        <f>VLOOKUP(F1365,'[2]Lista de Produtos CLASSIFICAÇÃO'!$E$103:$F$114,2,FALSE)</f>
        <v>Outros</v>
      </c>
      <c r="H1365" s="78">
        <v>6960</v>
      </c>
    </row>
    <row r="1366" spans="1:8" x14ac:dyDescent="0.25">
      <c r="A1366" s="71">
        <v>2024</v>
      </c>
      <c r="B1366" s="72" t="s">
        <v>214</v>
      </c>
      <c r="C1366" s="73" t="s">
        <v>225</v>
      </c>
      <c r="D1366" s="73" t="s">
        <v>172</v>
      </c>
      <c r="E1366" s="73" t="str">
        <f>VLOOKUP(D1366,clientes!$C$3:$D$60,2,FALSE)</f>
        <v>EVONIK</v>
      </c>
      <c r="F1366" s="73" t="s">
        <v>124</v>
      </c>
      <c r="G1366" s="73" t="str">
        <f>VLOOKUP(F1366,'[2]Lista de Produtos CLASSIFICAÇÃO'!$E$103:$F$114,2,FALSE)</f>
        <v>Outros</v>
      </c>
      <c r="H1366" s="74">
        <v>6960</v>
      </c>
    </row>
    <row r="1367" spans="1:8" x14ac:dyDescent="0.25">
      <c r="A1367" s="75">
        <v>2024</v>
      </c>
      <c r="B1367" s="76" t="s">
        <v>215</v>
      </c>
      <c r="C1367" s="77" t="s">
        <v>225</v>
      </c>
      <c r="D1367" s="77" t="s">
        <v>172</v>
      </c>
      <c r="E1367" s="73" t="str">
        <f>VLOOKUP(D1367,clientes!$C$3:$D$60,2,FALSE)</f>
        <v>EVONIK</v>
      </c>
      <c r="F1367" s="77" t="s">
        <v>124</v>
      </c>
      <c r="G1367" s="73" t="str">
        <f>VLOOKUP(F1367,'[2]Lista de Produtos CLASSIFICAÇÃO'!$E$103:$F$114,2,FALSE)</f>
        <v>Outros</v>
      </c>
      <c r="H1367" s="78">
        <v>6960</v>
      </c>
    </row>
    <row r="1368" spans="1:8" x14ac:dyDescent="0.25">
      <c r="A1368" s="71">
        <v>2024</v>
      </c>
      <c r="B1368" s="72" t="s">
        <v>230</v>
      </c>
      <c r="C1368" s="73" t="s">
        <v>225</v>
      </c>
      <c r="D1368" s="73" t="s">
        <v>172</v>
      </c>
      <c r="E1368" s="73" t="str">
        <f>VLOOKUP(D1368,clientes!$C$3:$D$60,2,FALSE)</f>
        <v>EVONIK</v>
      </c>
      <c r="F1368" s="73" t="s">
        <v>124</v>
      </c>
      <c r="G1368" s="73" t="str">
        <f>VLOOKUP(F1368,'[2]Lista de Produtos CLASSIFICAÇÃO'!$E$103:$F$114,2,FALSE)</f>
        <v>Outros</v>
      </c>
      <c r="H1368" s="74">
        <v>6960</v>
      </c>
    </row>
    <row r="1369" spans="1:8" x14ac:dyDescent="0.25">
      <c r="A1369" s="75">
        <v>2024</v>
      </c>
      <c r="B1369" s="76" t="s">
        <v>231</v>
      </c>
      <c r="C1369" s="77" t="s">
        <v>225</v>
      </c>
      <c r="D1369" s="77" t="s">
        <v>172</v>
      </c>
      <c r="E1369" s="73" t="str">
        <f>VLOOKUP(D1369,clientes!$C$3:$D$60,2,FALSE)</f>
        <v>EVONIK</v>
      </c>
      <c r="F1369" s="77" t="s">
        <v>124</v>
      </c>
      <c r="G1369" s="73" t="str">
        <f>VLOOKUP(F1369,'[2]Lista de Produtos CLASSIFICAÇÃO'!$E$103:$F$114,2,FALSE)</f>
        <v>Outros</v>
      </c>
      <c r="H1369" s="78">
        <v>6960</v>
      </c>
    </row>
    <row r="1370" spans="1:8" x14ac:dyDescent="0.25">
      <c r="A1370" s="71">
        <v>2024</v>
      </c>
      <c r="B1370" s="72" t="s">
        <v>226</v>
      </c>
      <c r="C1370" s="73" t="s">
        <v>225</v>
      </c>
      <c r="D1370" s="73" t="s">
        <v>184</v>
      </c>
      <c r="E1370" s="73" t="str">
        <f>VLOOKUP(D1370,clientes!$C$3:$D$60,2,FALSE)</f>
        <v>INGREDION</v>
      </c>
      <c r="F1370" s="73" t="s">
        <v>122</v>
      </c>
      <c r="G1370" s="73" t="str">
        <f>VLOOKUP(F1370,'[2]Lista de Produtos CLASSIFICAÇÃO'!$E$103:$F$114,2,FALSE)</f>
        <v>Óleo Vegetal</v>
      </c>
      <c r="H1370" s="74">
        <v>15000</v>
      </c>
    </row>
    <row r="1371" spans="1:8" x14ac:dyDescent="0.25">
      <c r="A1371" s="75">
        <v>2024</v>
      </c>
      <c r="B1371" s="76" t="s">
        <v>227</v>
      </c>
      <c r="C1371" s="77" t="s">
        <v>225</v>
      </c>
      <c r="D1371" s="77" t="s">
        <v>184</v>
      </c>
      <c r="E1371" s="73" t="str">
        <f>VLOOKUP(D1371,clientes!$C$3:$D$60,2,FALSE)</f>
        <v>INGREDION</v>
      </c>
      <c r="F1371" s="77" t="s">
        <v>122</v>
      </c>
      <c r="G1371" s="73" t="str">
        <f>VLOOKUP(F1371,'[2]Lista de Produtos CLASSIFICAÇÃO'!$E$103:$F$114,2,FALSE)</f>
        <v>Óleo Vegetal</v>
      </c>
      <c r="H1371" s="78">
        <v>15000</v>
      </c>
    </row>
    <row r="1372" spans="1:8" x14ac:dyDescent="0.25">
      <c r="A1372" s="71">
        <v>2024</v>
      </c>
      <c r="B1372" s="72" t="s">
        <v>228</v>
      </c>
      <c r="C1372" s="73" t="s">
        <v>225</v>
      </c>
      <c r="D1372" s="73" t="s">
        <v>184</v>
      </c>
      <c r="E1372" s="73" t="str">
        <f>VLOOKUP(D1372,clientes!$C$3:$D$60,2,FALSE)</f>
        <v>INGREDION</v>
      </c>
      <c r="F1372" s="73" t="s">
        <v>122</v>
      </c>
      <c r="G1372" s="73" t="str">
        <f>VLOOKUP(F1372,'[2]Lista de Produtos CLASSIFICAÇÃO'!$E$103:$F$114,2,FALSE)</f>
        <v>Óleo Vegetal</v>
      </c>
      <c r="H1372" s="74">
        <v>15000</v>
      </c>
    </row>
    <row r="1373" spans="1:8" x14ac:dyDescent="0.25">
      <c r="A1373" s="75">
        <v>2024</v>
      </c>
      <c r="B1373" s="76" t="s">
        <v>229</v>
      </c>
      <c r="C1373" s="77" t="s">
        <v>225</v>
      </c>
      <c r="D1373" s="77" t="s">
        <v>184</v>
      </c>
      <c r="E1373" s="73" t="str">
        <f>VLOOKUP(D1373,clientes!$C$3:$D$60,2,FALSE)</f>
        <v>INGREDION</v>
      </c>
      <c r="F1373" s="77" t="s">
        <v>122</v>
      </c>
      <c r="G1373" s="73" t="str">
        <f>VLOOKUP(F1373,'[2]Lista de Produtos CLASSIFICAÇÃO'!$E$103:$F$114,2,FALSE)</f>
        <v>Óleo Vegetal</v>
      </c>
      <c r="H1373" s="78">
        <v>15000</v>
      </c>
    </row>
    <row r="1374" spans="1:8" x14ac:dyDescent="0.25">
      <c r="A1374" s="71">
        <v>2024</v>
      </c>
      <c r="B1374" s="72" t="s">
        <v>210</v>
      </c>
      <c r="C1374" s="73" t="s">
        <v>225</v>
      </c>
      <c r="D1374" s="73" t="s">
        <v>184</v>
      </c>
      <c r="E1374" s="73" t="str">
        <f>VLOOKUP(D1374,clientes!$C$3:$D$60,2,FALSE)</f>
        <v>INGREDION</v>
      </c>
      <c r="F1374" s="73" t="s">
        <v>122</v>
      </c>
      <c r="G1374" s="73" t="str">
        <f>VLOOKUP(F1374,'[2]Lista de Produtos CLASSIFICAÇÃO'!$E$103:$F$114,2,FALSE)</f>
        <v>Óleo Vegetal</v>
      </c>
      <c r="H1374" s="74">
        <v>15000</v>
      </c>
    </row>
    <row r="1375" spans="1:8" x14ac:dyDescent="0.25">
      <c r="A1375" s="75">
        <v>2024</v>
      </c>
      <c r="B1375" s="76" t="s">
        <v>211</v>
      </c>
      <c r="C1375" s="77" t="s">
        <v>225</v>
      </c>
      <c r="D1375" s="77" t="s">
        <v>184</v>
      </c>
      <c r="E1375" s="73" t="str">
        <f>VLOOKUP(D1375,clientes!$C$3:$D$60,2,FALSE)</f>
        <v>INGREDION</v>
      </c>
      <c r="F1375" s="77" t="s">
        <v>122</v>
      </c>
      <c r="G1375" s="73" t="str">
        <f>VLOOKUP(F1375,'[2]Lista de Produtos CLASSIFICAÇÃO'!$E$103:$F$114,2,FALSE)</f>
        <v>Óleo Vegetal</v>
      </c>
      <c r="H1375" s="78">
        <v>15000</v>
      </c>
    </row>
    <row r="1376" spans="1:8" x14ac:dyDescent="0.25">
      <c r="A1376" s="71">
        <v>2024</v>
      </c>
      <c r="B1376" s="72" t="s">
        <v>212</v>
      </c>
      <c r="C1376" s="73" t="s">
        <v>225</v>
      </c>
      <c r="D1376" s="73" t="s">
        <v>184</v>
      </c>
      <c r="E1376" s="73" t="str">
        <f>VLOOKUP(D1376,clientes!$C$3:$D$60,2,FALSE)</f>
        <v>INGREDION</v>
      </c>
      <c r="F1376" s="73" t="s">
        <v>122</v>
      </c>
      <c r="G1376" s="73" t="str">
        <f>VLOOKUP(F1376,'[2]Lista de Produtos CLASSIFICAÇÃO'!$E$103:$F$114,2,FALSE)</f>
        <v>Óleo Vegetal</v>
      </c>
      <c r="H1376" s="74">
        <v>15000</v>
      </c>
    </row>
    <row r="1377" spans="1:8" x14ac:dyDescent="0.25">
      <c r="A1377" s="75">
        <v>2024</v>
      </c>
      <c r="B1377" s="76" t="s">
        <v>213</v>
      </c>
      <c r="C1377" s="77" t="s">
        <v>225</v>
      </c>
      <c r="D1377" s="77" t="s">
        <v>184</v>
      </c>
      <c r="E1377" s="73" t="str">
        <f>VLOOKUP(D1377,clientes!$C$3:$D$60,2,FALSE)</f>
        <v>INGREDION</v>
      </c>
      <c r="F1377" s="77" t="s">
        <v>122</v>
      </c>
      <c r="G1377" s="73" t="str">
        <f>VLOOKUP(F1377,'[2]Lista de Produtos CLASSIFICAÇÃO'!$E$103:$F$114,2,FALSE)</f>
        <v>Óleo Vegetal</v>
      </c>
      <c r="H1377" s="78">
        <v>15000</v>
      </c>
    </row>
    <row r="1378" spans="1:8" x14ac:dyDescent="0.25">
      <c r="A1378" s="71">
        <v>2024</v>
      </c>
      <c r="B1378" s="72" t="s">
        <v>214</v>
      </c>
      <c r="C1378" s="73" t="s">
        <v>225</v>
      </c>
      <c r="D1378" s="73" t="s">
        <v>184</v>
      </c>
      <c r="E1378" s="73" t="str">
        <f>VLOOKUP(D1378,clientes!$C$3:$D$60,2,FALSE)</f>
        <v>INGREDION</v>
      </c>
      <c r="F1378" s="73" t="s">
        <v>122</v>
      </c>
      <c r="G1378" s="73" t="str">
        <f>VLOOKUP(F1378,'[2]Lista de Produtos CLASSIFICAÇÃO'!$E$103:$F$114,2,FALSE)</f>
        <v>Óleo Vegetal</v>
      </c>
      <c r="H1378" s="74">
        <v>15000</v>
      </c>
    </row>
    <row r="1379" spans="1:8" x14ac:dyDescent="0.25">
      <c r="A1379" s="75">
        <v>2024</v>
      </c>
      <c r="B1379" s="76" t="s">
        <v>215</v>
      </c>
      <c r="C1379" s="77" t="s">
        <v>225</v>
      </c>
      <c r="D1379" s="77" t="s">
        <v>184</v>
      </c>
      <c r="E1379" s="73" t="str">
        <f>VLOOKUP(D1379,clientes!$C$3:$D$60,2,FALSE)</f>
        <v>INGREDION</v>
      </c>
      <c r="F1379" s="77" t="s">
        <v>122</v>
      </c>
      <c r="G1379" s="73" t="str">
        <f>VLOOKUP(F1379,'[2]Lista de Produtos CLASSIFICAÇÃO'!$E$103:$F$114,2,FALSE)</f>
        <v>Óleo Vegetal</v>
      </c>
      <c r="H1379" s="78">
        <v>15000</v>
      </c>
    </row>
    <row r="1380" spans="1:8" x14ac:dyDescent="0.25">
      <c r="A1380" s="71">
        <v>2024</v>
      </c>
      <c r="B1380" s="72" t="s">
        <v>230</v>
      </c>
      <c r="C1380" s="73" t="s">
        <v>225</v>
      </c>
      <c r="D1380" s="73" t="s">
        <v>184</v>
      </c>
      <c r="E1380" s="73" t="str">
        <f>VLOOKUP(D1380,clientes!$C$3:$D$60,2,FALSE)</f>
        <v>INGREDION</v>
      </c>
      <c r="F1380" s="73" t="s">
        <v>122</v>
      </c>
      <c r="G1380" s="73" t="str">
        <f>VLOOKUP(F1380,'[2]Lista de Produtos CLASSIFICAÇÃO'!$E$103:$F$114,2,FALSE)</f>
        <v>Óleo Vegetal</v>
      </c>
      <c r="H1380" s="74">
        <v>15000</v>
      </c>
    </row>
    <row r="1381" spans="1:8" x14ac:dyDescent="0.25">
      <c r="A1381" s="75">
        <v>2024</v>
      </c>
      <c r="B1381" s="76" t="s">
        <v>231</v>
      </c>
      <c r="C1381" s="77" t="s">
        <v>225</v>
      </c>
      <c r="D1381" s="77" t="s">
        <v>184</v>
      </c>
      <c r="E1381" s="73" t="str">
        <f>VLOOKUP(D1381,clientes!$C$3:$D$60,2,FALSE)</f>
        <v>INGREDION</v>
      </c>
      <c r="F1381" s="77" t="s">
        <v>122</v>
      </c>
      <c r="G1381" s="73" t="str">
        <f>VLOOKUP(F1381,'[2]Lista de Produtos CLASSIFICAÇÃO'!$E$103:$F$114,2,FALSE)</f>
        <v>Óleo Vegetal</v>
      </c>
      <c r="H1381" s="78">
        <v>15000</v>
      </c>
    </row>
    <row r="1382" spans="1:8" x14ac:dyDescent="0.25">
      <c r="A1382" s="71">
        <v>2024</v>
      </c>
      <c r="B1382" s="72" t="s">
        <v>226</v>
      </c>
      <c r="C1382" s="73" t="s">
        <v>233</v>
      </c>
      <c r="D1382" s="73" t="s">
        <v>158</v>
      </c>
      <c r="E1382" s="73" t="str">
        <f>VLOOKUP(D1382,clientes!$C$3:$D$60,2,FALSE)</f>
        <v>IPIRANGA</v>
      </c>
      <c r="F1382" s="73" t="s">
        <v>120</v>
      </c>
      <c r="G1382" s="73" t="str">
        <f>VLOOKUP(F1382,'[2]Lista de Produtos CLASSIFICAÇÃO'!$E$103:$F$114,2,FALSE)</f>
        <v>Derivados</v>
      </c>
      <c r="H1382" s="74">
        <v>45000</v>
      </c>
    </row>
    <row r="1383" spans="1:8" x14ac:dyDescent="0.25">
      <c r="A1383" s="75">
        <v>2024</v>
      </c>
      <c r="B1383" s="76" t="s">
        <v>227</v>
      </c>
      <c r="C1383" s="77" t="s">
        <v>233</v>
      </c>
      <c r="D1383" s="77" t="s">
        <v>158</v>
      </c>
      <c r="E1383" s="73" t="str">
        <f>VLOOKUP(D1383,clientes!$C$3:$D$60,2,FALSE)</f>
        <v>IPIRANGA</v>
      </c>
      <c r="F1383" s="77" t="s">
        <v>120</v>
      </c>
      <c r="G1383" s="73" t="str">
        <f>VLOOKUP(F1383,'[2]Lista de Produtos CLASSIFICAÇÃO'!$E$103:$F$114,2,FALSE)</f>
        <v>Derivados</v>
      </c>
      <c r="H1383" s="78">
        <v>45000</v>
      </c>
    </row>
    <row r="1384" spans="1:8" x14ac:dyDescent="0.25">
      <c r="A1384" s="71">
        <v>2024</v>
      </c>
      <c r="B1384" s="72" t="s">
        <v>228</v>
      </c>
      <c r="C1384" s="73" t="s">
        <v>233</v>
      </c>
      <c r="D1384" s="73" t="s">
        <v>158</v>
      </c>
      <c r="E1384" s="73" t="str">
        <f>VLOOKUP(D1384,clientes!$C$3:$D$60,2,FALSE)</f>
        <v>IPIRANGA</v>
      </c>
      <c r="F1384" s="73" t="s">
        <v>120</v>
      </c>
      <c r="G1384" s="73" t="str">
        <f>VLOOKUP(F1384,'[2]Lista de Produtos CLASSIFICAÇÃO'!$E$103:$F$114,2,FALSE)</f>
        <v>Derivados</v>
      </c>
      <c r="H1384" s="74">
        <v>45000</v>
      </c>
    </row>
    <row r="1385" spans="1:8" x14ac:dyDescent="0.25">
      <c r="A1385" s="75">
        <v>2024</v>
      </c>
      <c r="B1385" s="76" t="s">
        <v>229</v>
      </c>
      <c r="C1385" s="77" t="s">
        <v>233</v>
      </c>
      <c r="D1385" s="77" t="s">
        <v>158</v>
      </c>
      <c r="E1385" s="73" t="str">
        <f>VLOOKUP(D1385,clientes!$C$3:$D$60,2,FALSE)</f>
        <v>IPIRANGA</v>
      </c>
      <c r="F1385" s="77" t="s">
        <v>120</v>
      </c>
      <c r="G1385" s="73" t="str">
        <f>VLOOKUP(F1385,'[2]Lista de Produtos CLASSIFICAÇÃO'!$E$103:$F$114,2,FALSE)</f>
        <v>Derivados</v>
      </c>
      <c r="H1385" s="78">
        <v>45000</v>
      </c>
    </row>
    <row r="1386" spans="1:8" x14ac:dyDescent="0.25">
      <c r="A1386" s="71">
        <v>2024</v>
      </c>
      <c r="B1386" s="72" t="s">
        <v>210</v>
      </c>
      <c r="C1386" s="73" t="s">
        <v>233</v>
      </c>
      <c r="D1386" s="73" t="s">
        <v>158</v>
      </c>
      <c r="E1386" s="73" t="str">
        <f>VLOOKUP(D1386,clientes!$C$3:$D$60,2,FALSE)</f>
        <v>IPIRANGA</v>
      </c>
      <c r="F1386" s="73" t="s">
        <v>120</v>
      </c>
      <c r="G1386" s="73" t="str">
        <f>VLOOKUP(F1386,'[2]Lista de Produtos CLASSIFICAÇÃO'!$E$103:$F$114,2,FALSE)</f>
        <v>Derivados</v>
      </c>
      <c r="H1386" s="74">
        <v>45000</v>
      </c>
    </row>
    <row r="1387" spans="1:8" x14ac:dyDescent="0.25">
      <c r="A1387" s="75">
        <v>2024</v>
      </c>
      <c r="B1387" s="76" t="s">
        <v>211</v>
      </c>
      <c r="C1387" s="77" t="s">
        <v>233</v>
      </c>
      <c r="D1387" s="77" t="s">
        <v>158</v>
      </c>
      <c r="E1387" s="73" t="str">
        <f>VLOOKUP(D1387,clientes!$C$3:$D$60,2,FALSE)</f>
        <v>IPIRANGA</v>
      </c>
      <c r="F1387" s="77" t="s">
        <v>120</v>
      </c>
      <c r="G1387" s="73" t="str">
        <f>VLOOKUP(F1387,'[2]Lista de Produtos CLASSIFICAÇÃO'!$E$103:$F$114,2,FALSE)</f>
        <v>Derivados</v>
      </c>
      <c r="H1387" s="78">
        <v>45000</v>
      </c>
    </row>
    <row r="1388" spans="1:8" x14ac:dyDescent="0.25">
      <c r="A1388" s="71">
        <v>2024</v>
      </c>
      <c r="B1388" s="72" t="s">
        <v>212</v>
      </c>
      <c r="C1388" s="73" t="s">
        <v>233</v>
      </c>
      <c r="D1388" s="73" t="s">
        <v>158</v>
      </c>
      <c r="E1388" s="73" t="str">
        <f>VLOOKUP(D1388,clientes!$C$3:$D$60,2,FALSE)</f>
        <v>IPIRANGA</v>
      </c>
      <c r="F1388" s="73" t="s">
        <v>120</v>
      </c>
      <c r="G1388" s="73" t="str">
        <f>VLOOKUP(F1388,'[2]Lista de Produtos CLASSIFICAÇÃO'!$E$103:$F$114,2,FALSE)</f>
        <v>Derivados</v>
      </c>
      <c r="H1388" s="74">
        <v>45000</v>
      </c>
    </row>
    <row r="1389" spans="1:8" x14ac:dyDescent="0.25">
      <c r="A1389" s="75">
        <v>2024</v>
      </c>
      <c r="B1389" s="76" t="s">
        <v>213</v>
      </c>
      <c r="C1389" s="77" t="s">
        <v>233</v>
      </c>
      <c r="D1389" s="77" t="s">
        <v>158</v>
      </c>
      <c r="E1389" s="73" t="str">
        <f>VLOOKUP(D1389,clientes!$C$3:$D$60,2,FALSE)</f>
        <v>IPIRANGA</v>
      </c>
      <c r="F1389" s="77" t="s">
        <v>120</v>
      </c>
      <c r="G1389" s="73" t="str">
        <f>VLOOKUP(F1389,'[2]Lista de Produtos CLASSIFICAÇÃO'!$E$103:$F$114,2,FALSE)</f>
        <v>Derivados</v>
      </c>
      <c r="H1389" s="78">
        <v>45000</v>
      </c>
    </row>
    <row r="1390" spans="1:8" x14ac:dyDescent="0.25">
      <c r="A1390" s="71">
        <v>2024</v>
      </c>
      <c r="B1390" s="72" t="s">
        <v>214</v>
      </c>
      <c r="C1390" s="73" t="s">
        <v>233</v>
      </c>
      <c r="D1390" s="73" t="s">
        <v>158</v>
      </c>
      <c r="E1390" s="73" t="str">
        <f>VLOOKUP(D1390,clientes!$C$3:$D$60,2,FALSE)</f>
        <v>IPIRANGA</v>
      </c>
      <c r="F1390" s="73" t="s">
        <v>120</v>
      </c>
      <c r="G1390" s="73" t="str">
        <f>VLOOKUP(F1390,'[2]Lista de Produtos CLASSIFICAÇÃO'!$E$103:$F$114,2,FALSE)</f>
        <v>Derivados</v>
      </c>
      <c r="H1390" s="74">
        <v>45000</v>
      </c>
    </row>
    <row r="1391" spans="1:8" x14ac:dyDescent="0.25">
      <c r="A1391" s="75">
        <v>2024</v>
      </c>
      <c r="B1391" s="76" t="s">
        <v>215</v>
      </c>
      <c r="C1391" s="77" t="s">
        <v>233</v>
      </c>
      <c r="D1391" s="77" t="s">
        <v>158</v>
      </c>
      <c r="E1391" s="73" t="str">
        <f>VLOOKUP(D1391,clientes!$C$3:$D$60,2,FALSE)</f>
        <v>IPIRANGA</v>
      </c>
      <c r="F1391" s="77" t="s">
        <v>120</v>
      </c>
      <c r="G1391" s="73" t="str">
        <f>VLOOKUP(F1391,'[2]Lista de Produtos CLASSIFICAÇÃO'!$E$103:$F$114,2,FALSE)</f>
        <v>Derivados</v>
      </c>
      <c r="H1391" s="78">
        <v>45000</v>
      </c>
    </row>
    <row r="1392" spans="1:8" x14ac:dyDescent="0.25">
      <c r="A1392" s="71">
        <v>2024</v>
      </c>
      <c r="B1392" s="72" t="s">
        <v>230</v>
      </c>
      <c r="C1392" s="73" t="s">
        <v>233</v>
      </c>
      <c r="D1392" s="73" t="s">
        <v>158</v>
      </c>
      <c r="E1392" s="73" t="str">
        <f>VLOOKUP(D1392,clientes!$C$3:$D$60,2,FALSE)</f>
        <v>IPIRANGA</v>
      </c>
      <c r="F1392" s="73" t="s">
        <v>120</v>
      </c>
      <c r="G1392" s="73" t="str">
        <f>VLOOKUP(F1392,'[2]Lista de Produtos CLASSIFICAÇÃO'!$E$103:$F$114,2,FALSE)</f>
        <v>Derivados</v>
      </c>
      <c r="H1392" s="74">
        <v>45000</v>
      </c>
    </row>
    <row r="1393" spans="1:8" x14ac:dyDescent="0.25">
      <c r="A1393" s="75">
        <v>2024</v>
      </c>
      <c r="B1393" s="76" t="s">
        <v>231</v>
      </c>
      <c r="C1393" s="77" t="s">
        <v>233</v>
      </c>
      <c r="D1393" s="77" t="s">
        <v>158</v>
      </c>
      <c r="E1393" s="73" t="str">
        <f>VLOOKUP(D1393,clientes!$C$3:$D$60,2,FALSE)</f>
        <v>IPIRANGA</v>
      </c>
      <c r="F1393" s="77" t="s">
        <v>120</v>
      </c>
      <c r="G1393" s="73" t="str">
        <f>VLOOKUP(F1393,'[2]Lista de Produtos CLASSIFICAÇÃO'!$E$103:$F$114,2,FALSE)</f>
        <v>Derivados</v>
      </c>
      <c r="H1393" s="78">
        <v>45000</v>
      </c>
    </row>
    <row r="1394" spans="1:8" x14ac:dyDescent="0.25">
      <c r="A1394" s="71">
        <v>2024</v>
      </c>
      <c r="B1394" s="72" t="s">
        <v>226</v>
      </c>
      <c r="C1394" s="73" t="s">
        <v>232</v>
      </c>
      <c r="D1394" s="73" t="s">
        <v>162</v>
      </c>
      <c r="E1394" s="73" t="str">
        <f>VLOOKUP(D1394,clientes!$C$3:$D$60,2,FALSE)</f>
        <v>JBS</v>
      </c>
      <c r="F1394" s="73" t="s">
        <v>123</v>
      </c>
      <c r="G1394" s="73" t="str">
        <f>VLOOKUP(F1394,'[2]Lista de Produtos CLASSIFICAÇÃO'!$E$103:$F$114,2,FALSE)</f>
        <v>Aquecidos</v>
      </c>
      <c r="H1394" s="74">
        <v>8500</v>
      </c>
    </row>
    <row r="1395" spans="1:8" x14ac:dyDescent="0.25">
      <c r="A1395" s="75">
        <v>2024</v>
      </c>
      <c r="B1395" s="76" t="s">
        <v>227</v>
      </c>
      <c r="C1395" s="77" t="s">
        <v>232</v>
      </c>
      <c r="D1395" s="77" t="s">
        <v>162</v>
      </c>
      <c r="E1395" s="73" t="str">
        <f>VLOOKUP(D1395,clientes!$C$3:$D$60,2,FALSE)</f>
        <v>JBS</v>
      </c>
      <c r="F1395" s="77" t="s">
        <v>123</v>
      </c>
      <c r="G1395" s="73" t="str">
        <f>VLOOKUP(F1395,'[2]Lista de Produtos CLASSIFICAÇÃO'!$E$103:$F$114,2,FALSE)</f>
        <v>Aquecidos</v>
      </c>
      <c r="H1395" s="78">
        <v>8500</v>
      </c>
    </row>
    <row r="1396" spans="1:8" x14ac:dyDescent="0.25">
      <c r="A1396" s="71">
        <v>2024</v>
      </c>
      <c r="B1396" s="72" t="s">
        <v>228</v>
      </c>
      <c r="C1396" s="73" t="s">
        <v>232</v>
      </c>
      <c r="D1396" s="73" t="s">
        <v>162</v>
      </c>
      <c r="E1396" s="73" t="str">
        <f>VLOOKUP(D1396,clientes!$C$3:$D$60,2,FALSE)</f>
        <v>JBS</v>
      </c>
      <c r="F1396" s="73" t="s">
        <v>123</v>
      </c>
      <c r="G1396" s="73" t="str">
        <f>VLOOKUP(F1396,'[2]Lista de Produtos CLASSIFICAÇÃO'!$E$103:$F$114,2,FALSE)</f>
        <v>Aquecidos</v>
      </c>
      <c r="H1396" s="74">
        <v>8500</v>
      </c>
    </row>
    <row r="1397" spans="1:8" x14ac:dyDescent="0.25">
      <c r="A1397" s="75">
        <v>2024</v>
      </c>
      <c r="B1397" s="76" t="s">
        <v>229</v>
      </c>
      <c r="C1397" s="77" t="s">
        <v>232</v>
      </c>
      <c r="D1397" s="77" t="s">
        <v>162</v>
      </c>
      <c r="E1397" s="73" t="str">
        <f>VLOOKUP(D1397,clientes!$C$3:$D$60,2,FALSE)</f>
        <v>JBS</v>
      </c>
      <c r="F1397" s="77" t="s">
        <v>123</v>
      </c>
      <c r="G1397" s="73" t="str">
        <f>VLOOKUP(F1397,'[2]Lista de Produtos CLASSIFICAÇÃO'!$E$103:$F$114,2,FALSE)</f>
        <v>Aquecidos</v>
      </c>
      <c r="H1397" s="78">
        <v>8500</v>
      </c>
    </row>
    <row r="1398" spans="1:8" x14ac:dyDescent="0.25">
      <c r="A1398" s="71">
        <v>2024</v>
      </c>
      <c r="B1398" s="72" t="s">
        <v>210</v>
      </c>
      <c r="C1398" s="73" t="s">
        <v>232</v>
      </c>
      <c r="D1398" s="73" t="s">
        <v>162</v>
      </c>
      <c r="E1398" s="73" t="str">
        <f>VLOOKUP(D1398,clientes!$C$3:$D$60,2,FALSE)</f>
        <v>JBS</v>
      </c>
      <c r="F1398" s="73" t="s">
        <v>123</v>
      </c>
      <c r="G1398" s="73" t="str">
        <f>VLOOKUP(F1398,'[2]Lista de Produtos CLASSIFICAÇÃO'!$E$103:$F$114,2,FALSE)</f>
        <v>Aquecidos</v>
      </c>
      <c r="H1398" s="74">
        <v>8500</v>
      </c>
    </row>
    <row r="1399" spans="1:8" x14ac:dyDescent="0.25">
      <c r="A1399" s="75">
        <v>2024</v>
      </c>
      <c r="B1399" s="76" t="s">
        <v>211</v>
      </c>
      <c r="C1399" s="77" t="s">
        <v>232</v>
      </c>
      <c r="D1399" s="77" t="s">
        <v>162</v>
      </c>
      <c r="E1399" s="73" t="str">
        <f>VLOOKUP(D1399,clientes!$C$3:$D$60,2,FALSE)</f>
        <v>JBS</v>
      </c>
      <c r="F1399" s="77" t="s">
        <v>123</v>
      </c>
      <c r="G1399" s="73" t="str">
        <f>VLOOKUP(F1399,'[2]Lista de Produtos CLASSIFICAÇÃO'!$E$103:$F$114,2,FALSE)</f>
        <v>Aquecidos</v>
      </c>
      <c r="H1399" s="78">
        <v>8500</v>
      </c>
    </row>
    <row r="1400" spans="1:8" x14ac:dyDescent="0.25">
      <c r="A1400" s="71">
        <v>2024</v>
      </c>
      <c r="B1400" s="72" t="s">
        <v>212</v>
      </c>
      <c r="C1400" s="73" t="s">
        <v>232</v>
      </c>
      <c r="D1400" s="73" t="s">
        <v>162</v>
      </c>
      <c r="E1400" s="73" t="str">
        <f>VLOOKUP(D1400,clientes!$C$3:$D$60,2,FALSE)</f>
        <v>JBS</v>
      </c>
      <c r="F1400" s="73" t="s">
        <v>123</v>
      </c>
      <c r="G1400" s="73" t="str">
        <f>VLOOKUP(F1400,'[2]Lista de Produtos CLASSIFICAÇÃO'!$E$103:$F$114,2,FALSE)</f>
        <v>Aquecidos</v>
      </c>
      <c r="H1400" s="74">
        <v>8500</v>
      </c>
    </row>
    <row r="1401" spans="1:8" x14ac:dyDescent="0.25">
      <c r="A1401" s="75">
        <v>2024</v>
      </c>
      <c r="B1401" s="76" t="s">
        <v>213</v>
      </c>
      <c r="C1401" s="77" t="s">
        <v>232</v>
      </c>
      <c r="D1401" s="77" t="s">
        <v>162</v>
      </c>
      <c r="E1401" s="73" t="str">
        <f>VLOOKUP(D1401,clientes!$C$3:$D$60,2,FALSE)</f>
        <v>JBS</v>
      </c>
      <c r="F1401" s="77" t="s">
        <v>123</v>
      </c>
      <c r="G1401" s="73" t="str">
        <f>VLOOKUP(F1401,'[2]Lista de Produtos CLASSIFICAÇÃO'!$E$103:$F$114,2,FALSE)</f>
        <v>Aquecidos</v>
      </c>
      <c r="H1401" s="78">
        <v>8500</v>
      </c>
    </row>
    <row r="1402" spans="1:8" x14ac:dyDescent="0.25">
      <c r="A1402" s="71">
        <v>2024</v>
      </c>
      <c r="B1402" s="72" t="s">
        <v>214</v>
      </c>
      <c r="C1402" s="73" t="s">
        <v>232</v>
      </c>
      <c r="D1402" s="73" t="s">
        <v>162</v>
      </c>
      <c r="E1402" s="73" t="str">
        <f>VLOOKUP(D1402,clientes!$C$3:$D$60,2,FALSE)</f>
        <v>JBS</v>
      </c>
      <c r="F1402" s="73" t="s">
        <v>123</v>
      </c>
      <c r="G1402" s="73" t="str">
        <f>VLOOKUP(F1402,'[2]Lista de Produtos CLASSIFICAÇÃO'!$E$103:$F$114,2,FALSE)</f>
        <v>Aquecidos</v>
      </c>
      <c r="H1402" s="74">
        <v>8500</v>
      </c>
    </row>
    <row r="1403" spans="1:8" x14ac:dyDescent="0.25">
      <c r="A1403" s="75">
        <v>2024</v>
      </c>
      <c r="B1403" s="76" t="s">
        <v>215</v>
      </c>
      <c r="C1403" s="77" t="s">
        <v>232</v>
      </c>
      <c r="D1403" s="77" t="s">
        <v>162</v>
      </c>
      <c r="E1403" s="73" t="str">
        <f>VLOOKUP(D1403,clientes!$C$3:$D$60,2,FALSE)</f>
        <v>JBS</v>
      </c>
      <c r="F1403" s="77" t="s">
        <v>123</v>
      </c>
      <c r="G1403" s="73" t="str">
        <f>VLOOKUP(F1403,'[2]Lista de Produtos CLASSIFICAÇÃO'!$E$103:$F$114,2,FALSE)</f>
        <v>Aquecidos</v>
      </c>
      <c r="H1403" s="78">
        <v>8500</v>
      </c>
    </row>
    <row r="1404" spans="1:8" x14ac:dyDescent="0.25">
      <c r="A1404" s="71">
        <v>2024</v>
      </c>
      <c r="B1404" s="72" t="s">
        <v>230</v>
      </c>
      <c r="C1404" s="73" t="s">
        <v>232</v>
      </c>
      <c r="D1404" s="73" t="s">
        <v>162</v>
      </c>
      <c r="E1404" s="73" t="str">
        <f>VLOOKUP(D1404,clientes!$C$3:$D$60,2,FALSE)</f>
        <v>JBS</v>
      </c>
      <c r="F1404" s="73" t="s">
        <v>123</v>
      </c>
      <c r="G1404" s="73" t="str">
        <f>VLOOKUP(F1404,'[2]Lista de Produtos CLASSIFICAÇÃO'!$E$103:$F$114,2,FALSE)</f>
        <v>Aquecidos</v>
      </c>
      <c r="H1404" s="74">
        <v>8500</v>
      </c>
    </row>
    <row r="1405" spans="1:8" x14ac:dyDescent="0.25">
      <c r="A1405" s="75">
        <v>2024</v>
      </c>
      <c r="B1405" s="76" t="s">
        <v>231</v>
      </c>
      <c r="C1405" s="77" t="s">
        <v>232</v>
      </c>
      <c r="D1405" s="77" t="s">
        <v>162</v>
      </c>
      <c r="E1405" s="73" t="str">
        <f>VLOOKUP(D1405,clientes!$C$3:$D$60,2,FALSE)</f>
        <v>JBS</v>
      </c>
      <c r="F1405" s="77" t="s">
        <v>123</v>
      </c>
      <c r="G1405" s="73" t="str">
        <f>VLOOKUP(F1405,'[2]Lista de Produtos CLASSIFICAÇÃO'!$E$103:$F$114,2,FALSE)</f>
        <v>Aquecidos</v>
      </c>
      <c r="H1405" s="78">
        <v>8500</v>
      </c>
    </row>
    <row r="1406" spans="1:8" x14ac:dyDescent="0.25">
      <c r="A1406" s="71">
        <v>2024</v>
      </c>
      <c r="B1406" s="72" t="s">
        <v>226</v>
      </c>
      <c r="C1406" s="73" t="s">
        <v>225</v>
      </c>
      <c r="D1406" s="73" t="s">
        <v>162</v>
      </c>
      <c r="E1406" s="73" t="str">
        <f>VLOOKUP(D1406,clientes!$C$3:$D$60,2,FALSE)</f>
        <v>JBS</v>
      </c>
      <c r="F1406" s="73" t="s">
        <v>115</v>
      </c>
      <c r="G1406" s="73" t="str">
        <f>VLOOKUP(F1406,'[2]Lista de Produtos CLASSIFICAÇÃO'!$E$103:$F$114,2,FALSE)</f>
        <v>Soda Caustica</v>
      </c>
      <c r="H1406" s="74">
        <v>5800</v>
      </c>
    </row>
    <row r="1407" spans="1:8" x14ac:dyDescent="0.25">
      <c r="A1407" s="75">
        <v>2024</v>
      </c>
      <c r="B1407" s="76" t="s">
        <v>227</v>
      </c>
      <c r="C1407" s="77" t="s">
        <v>225</v>
      </c>
      <c r="D1407" s="77" t="s">
        <v>162</v>
      </c>
      <c r="E1407" s="73" t="str">
        <f>VLOOKUP(D1407,clientes!$C$3:$D$60,2,FALSE)</f>
        <v>JBS</v>
      </c>
      <c r="F1407" s="77" t="s">
        <v>115</v>
      </c>
      <c r="G1407" s="73" t="str">
        <f>VLOOKUP(F1407,'[2]Lista de Produtos CLASSIFICAÇÃO'!$E$103:$F$114,2,FALSE)</f>
        <v>Soda Caustica</v>
      </c>
      <c r="H1407" s="78">
        <v>5800</v>
      </c>
    </row>
    <row r="1408" spans="1:8" x14ac:dyDescent="0.25">
      <c r="A1408" s="71">
        <v>2024</v>
      </c>
      <c r="B1408" s="72" t="s">
        <v>228</v>
      </c>
      <c r="C1408" s="73" t="s">
        <v>225</v>
      </c>
      <c r="D1408" s="73" t="s">
        <v>162</v>
      </c>
      <c r="E1408" s="73" t="str">
        <f>VLOOKUP(D1408,clientes!$C$3:$D$60,2,FALSE)</f>
        <v>JBS</v>
      </c>
      <c r="F1408" s="73" t="s">
        <v>115</v>
      </c>
      <c r="G1408" s="73" t="str">
        <f>VLOOKUP(F1408,'[2]Lista de Produtos CLASSIFICAÇÃO'!$E$103:$F$114,2,FALSE)</f>
        <v>Soda Caustica</v>
      </c>
      <c r="H1408" s="74">
        <v>5800</v>
      </c>
    </row>
    <row r="1409" spans="1:8" x14ac:dyDescent="0.25">
      <c r="A1409" s="75">
        <v>2024</v>
      </c>
      <c r="B1409" s="76" t="s">
        <v>229</v>
      </c>
      <c r="C1409" s="77" t="s">
        <v>225</v>
      </c>
      <c r="D1409" s="77" t="s">
        <v>162</v>
      </c>
      <c r="E1409" s="73" t="str">
        <f>VLOOKUP(D1409,clientes!$C$3:$D$60,2,FALSE)</f>
        <v>JBS</v>
      </c>
      <c r="F1409" s="77" t="s">
        <v>115</v>
      </c>
      <c r="G1409" s="73" t="str">
        <f>VLOOKUP(F1409,'[2]Lista de Produtos CLASSIFICAÇÃO'!$E$103:$F$114,2,FALSE)</f>
        <v>Soda Caustica</v>
      </c>
      <c r="H1409" s="78">
        <v>5800</v>
      </c>
    </row>
    <row r="1410" spans="1:8" x14ac:dyDescent="0.25">
      <c r="A1410" s="71">
        <v>2024</v>
      </c>
      <c r="B1410" s="72" t="s">
        <v>210</v>
      </c>
      <c r="C1410" s="73" t="s">
        <v>225</v>
      </c>
      <c r="D1410" s="73" t="s">
        <v>162</v>
      </c>
      <c r="E1410" s="73" t="str">
        <f>VLOOKUP(D1410,clientes!$C$3:$D$60,2,FALSE)</f>
        <v>JBS</v>
      </c>
      <c r="F1410" s="73" t="s">
        <v>115</v>
      </c>
      <c r="G1410" s="73" t="str">
        <f>VLOOKUP(F1410,'[2]Lista de Produtos CLASSIFICAÇÃO'!$E$103:$F$114,2,FALSE)</f>
        <v>Soda Caustica</v>
      </c>
      <c r="H1410" s="74">
        <v>5800</v>
      </c>
    </row>
    <row r="1411" spans="1:8" x14ac:dyDescent="0.25">
      <c r="A1411" s="75">
        <v>2024</v>
      </c>
      <c r="B1411" s="76" t="s">
        <v>211</v>
      </c>
      <c r="C1411" s="77" t="s">
        <v>225</v>
      </c>
      <c r="D1411" s="77" t="s">
        <v>162</v>
      </c>
      <c r="E1411" s="73" t="str">
        <f>VLOOKUP(D1411,clientes!$C$3:$D$60,2,FALSE)</f>
        <v>JBS</v>
      </c>
      <c r="F1411" s="77" t="s">
        <v>115</v>
      </c>
      <c r="G1411" s="73" t="str">
        <f>VLOOKUP(F1411,'[2]Lista de Produtos CLASSIFICAÇÃO'!$E$103:$F$114,2,FALSE)</f>
        <v>Soda Caustica</v>
      </c>
      <c r="H1411" s="78">
        <v>5800</v>
      </c>
    </row>
    <row r="1412" spans="1:8" x14ac:dyDescent="0.25">
      <c r="A1412" s="71">
        <v>2024</v>
      </c>
      <c r="B1412" s="72" t="s">
        <v>212</v>
      </c>
      <c r="C1412" s="73" t="s">
        <v>225</v>
      </c>
      <c r="D1412" s="73" t="s">
        <v>162</v>
      </c>
      <c r="E1412" s="73" t="str">
        <f>VLOOKUP(D1412,clientes!$C$3:$D$60,2,FALSE)</f>
        <v>JBS</v>
      </c>
      <c r="F1412" s="73" t="s">
        <v>115</v>
      </c>
      <c r="G1412" s="73" t="str">
        <f>VLOOKUP(F1412,'[2]Lista de Produtos CLASSIFICAÇÃO'!$E$103:$F$114,2,FALSE)</f>
        <v>Soda Caustica</v>
      </c>
      <c r="H1412" s="74">
        <v>5800</v>
      </c>
    </row>
    <row r="1413" spans="1:8" x14ac:dyDescent="0.25">
      <c r="A1413" s="75">
        <v>2024</v>
      </c>
      <c r="B1413" s="76" t="s">
        <v>213</v>
      </c>
      <c r="C1413" s="77" t="s">
        <v>225</v>
      </c>
      <c r="D1413" s="77" t="s">
        <v>162</v>
      </c>
      <c r="E1413" s="73" t="str">
        <f>VLOOKUP(D1413,clientes!$C$3:$D$60,2,FALSE)</f>
        <v>JBS</v>
      </c>
      <c r="F1413" s="77" t="s">
        <v>115</v>
      </c>
      <c r="G1413" s="73" t="str">
        <f>VLOOKUP(F1413,'[2]Lista de Produtos CLASSIFICAÇÃO'!$E$103:$F$114,2,FALSE)</f>
        <v>Soda Caustica</v>
      </c>
      <c r="H1413" s="78">
        <v>5800</v>
      </c>
    </row>
    <row r="1414" spans="1:8" x14ac:dyDescent="0.25">
      <c r="A1414" s="71">
        <v>2024</v>
      </c>
      <c r="B1414" s="72" t="s">
        <v>214</v>
      </c>
      <c r="C1414" s="73" t="s">
        <v>225</v>
      </c>
      <c r="D1414" s="73" t="s">
        <v>162</v>
      </c>
      <c r="E1414" s="73" t="str">
        <f>VLOOKUP(D1414,clientes!$C$3:$D$60,2,FALSE)</f>
        <v>JBS</v>
      </c>
      <c r="F1414" s="73" t="s">
        <v>115</v>
      </c>
      <c r="G1414" s="73" t="str">
        <f>VLOOKUP(F1414,'[2]Lista de Produtos CLASSIFICAÇÃO'!$E$103:$F$114,2,FALSE)</f>
        <v>Soda Caustica</v>
      </c>
      <c r="H1414" s="74">
        <v>5800</v>
      </c>
    </row>
    <row r="1415" spans="1:8" x14ac:dyDescent="0.25">
      <c r="A1415" s="75">
        <v>2024</v>
      </c>
      <c r="B1415" s="76" t="s">
        <v>215</v>
      </c>
      <c r="C1415" s="77" t="s">
        <v>225</v>
      </c>
      <c r="D1415" s="77" t="s">
        <v>162</v>
      </c>
      <c r="E1415" s="73" t="str">
        <f>VLOOKUP(D1415,clientes!$C$3:$D$60,2,FALSE)</f>
        <v>JBS</v>
      </c>
      <c r="F1415" s="77" t="s">
        <v>115</v>
      </c>
      <c r="G1415" s="73" t="str">
        <f>VLOOKUP(F1415,'[2]Lista de Produtos CLASSIFICAÇÃO'!$E$103:$F$114,2,FALSE)</f>
        <v>Soda Caustica</v>
      </c>
      <c r="H1415" s="78">
        <v>5800</v>
      </c>
    </row>
    <row r="1416" spans="1:8" x14ac:dyDescent="0.25">
      <c r="A1416" s="71">
        <v>2024</v>
      </c>
      <c r="B1416" s="72" t="s">
        <v>230</v>
      </c>
      <c r="C1416" s="73" t="s">
        <v>225</v>
      </c>
      <c r="D1416" s="73" t="s">
        <v>162</v>
      </c>
      <c r="E1416" s="73" t="str">
        <f>VLOOKUP(D1416,clientes!$C$3:$D$60,2,FALSE)</f>
        <v>JBS</v>
      </c>
      <c r="F1416" s="73" t="s">
        <v>115</v>
      </c>
      <c r="G1416" s="73" t="str">
        <f>VLOOKUP(F1416,'[2]Lista de Produtos CLASSIFICAÇÃO'!$E$103:$F$114,2,FALSE)</f>
        <v>Soda Caustica</v>
      </c>
      <c r="H1416" s="74">
        <v>5800</v>
      </c>
    </row>
    <row r="1417" spans="1:8" x14ac:dyDescent="0.25">
      <c r="A1417" s="75">
        <v>2024</v>
      </c>
      <c r="B1417" s="76" t="s">
        <v>231</v>
      </c>
      <c r="C1417" s="77" t="s">
        <v>225</v>
      </c>
      <c r="D1417" s="77" t="s">
        <v>162</v>
      </c>
      <c r="E1417" s="73" t="str">
        <f>VLOOKUP(D1417,clientes!$C$3:$D$60,2,FALSE)</f>
        <v>JBS</v>
      </c>
      <c r="F1417" s="77" t="s">
        <v>115</v>
      </c>
      <c r="G1417" s="73" t="str">
        <f>VLOOKUP(F1417,'[2]Lista de Produtos CLASSIFICAÇÃO'!$E$103:$F$114,2,FALSE)</f>
        <v>Soda Caustica</v>
      </c>
      <c r="H1417" s="78">
        <v>5800</v>
      </c>
    </row>
    <row r="1418" spans="1:8" x14ac:dyDescent="0.25">
      <c r="A1418" s="71">
        <v>2024</v>
      </c>
      <c r="B1418" s="72" t="s">
        <v>226</v>
      </c>
      <c r="C1418" s="73" t="s">
        <v>234</v>
      </c>
      <c r="D1418" s="73" t="s">
        <v>169</v>
      </c>
      <c r="E1418" s="73" t="str">
        <f>VLOOKUP(D1418,clientes!$C$3:$D$60,2,FALSE)</f>
        <v>METHANEX</v>
      </c>
      <c r="F1418" s="73" t="s">
        <v>22</v>
      </c>
      <c r="G1418" s="73" t="str">
        <f>VLOOKUP(F1418,'[2]Lista de Produtos CLASSIFICAÇÃO'!$E$103:$F$114,2,FALSE)</f>
        <v>Metanol</v>
      </c>
      <c r="H1418" s="74">
        <v>41000</v>
      </c>
    </row>
    <row r="1419" spans="1:8" x14ac:dyDescent="0.25">
      <c r="A1419" s="75">
        <v>2024</v>
      </c>
      <c r="B1419" s="76" t="s">
        <v>227</v>
      </c>
      <c r="C1419" s="77" t="s">
        <v>234</v>
      </c>
      <c r="D1419" s="77" t="s">
        <v>169</v>
      </c>
      <c r="E1419" s="73" t="str">
        <f>VLOOKUP(D1419,clientes!$C$3:$D$60,2,FALSE)</f>
        <v>METHANEX</v>
      </c>
      <c r="F1419" s="77" t="s">
        <v>22</v>
      </c>
      <c r="G1419" s="73" t="str">
        <f>VLOOKUP(F1419,'[2]Lista de Produtos CLASSIFICAÇÃO'!$E$103:$F$114,2,FALSE)</f>
        <v>Metanol</v>
      </c>
      <c r="H1419" s="78">
        <v>41000</v>
      </c>
    </row>
    <row r="1420" spans="1:8" x14ac:dyDescent="0.25">
      <c r="A1420" s="71">
        <v>2024</v>
      </c>
      <c r="B1420" s="72" t="s">
        <v>228</v>
      </c>
      <c r="C1420" s="73" t="s">
        <v>234</v>
      </c>
      <c r="D1420" s="73" t="s">
        <v>169</v>
      </c>
      <c r="E1420" s="73" t="str">
        <f>VLOOKUP(D1420,clientes!$C$3:$D$60,2,FALSE)</f>
        <v>METHANEX</v>
      </c>
      <c r="F1420" s="73" t="s">
        <v>22</v>
      </c>
      <c r="G1420" s="73" t="str">
        <f>VLOOKUP(F1420,'[2]Lista de Produtos CLASSIFICAÇÃO'!$E$103:$F$114,2,FALSE)</f>
        <v>Metanol</v>
      </c>
      <c r="H1420" s="74">
        <v>41000</v>
      </c>
    </row>
    <row r="1421" spans="1:8" x14ac:dyDescent="0.25">
      <c r="A1421" s="75">
        <v>2024</v>
      </c>
      <c r="B1421" s="76" t="s">
        <v>229</v>
      </c>
      <c r="C1421" s="77" t="s">
        <v>234</v>
      </c>
      <c r="D1421" s="77" t="s">
        <v>169</v>
      </c>
      <c r="E1421" s="73" t="str">
        <f>VLOOKUP(D1421,clientes!$C$3:$D$60,2,FALSE)</f>
        <v>METHANEX</v>
      </c>
      <c r="F1421" s="77" t="s">
        <v>22</v>
      </c>
      <c r="G1421" s="73" t="str">
        <f>VLOOKUP(F1421,'[2]Lista de Produtos CLASSIFICAÇÃO'!$E$103:$F$114,2,FALSE)</f>
        <v>Metanol</v>
      </c>
      <c r="H1421" s="78">
        <v>41000</v>
      </c>
    </row>
    <row r="1422" spans="1:8" x14ac:dyDescent="0.25">
      <c r="A1422" s="71">
        <v>2024</v>
      </c>
      <c r="B1422" s="72" t="s">
        <v>210</v>
      </c>
      <c r="C1422" s="73" t="s">
        <v>234</v>
      </c>
      <c r="D1422" s="73" t="s">
        <v>169</v>
      </c>
      <c r="E1422" s="73" t="str">
        <f>VLOOKUP(D1422,clientes!$C$3:$D$60,2,FALSE)</f>
        <v>METHANEX</v>
      </c>
      <c r="F1422" s="73" t="s">
        <v>22</v>
      </c>
      <c r="G1422" s="73" t="str">
        <f>VLOOKUP(F1422,'[2]Lista de Produtos CLASSIFICAÇÃO'!$E$103:$F$114,2,FALSE)</f>
        <v>Metanol</v>
      </c>
      <c r="H1422" s="74">
        <v>41000</v>
      </c>
    </row>
    <row r="1423" spans="1:8" x14ac:dyDescent="0.25">
      <c r="A1423" s="75">
        <v>2024</v>
      </c>
      <c r="B1423" s="76" t="s">
        <v>211</v>
      </c>
      <c r="C1423" s="77" t="s">
        <v>234</v>
      </c>
      <c r="D1423" s="77" t="s">
        <v>169</v>
      </c>
      <c r="E1423" s="73" t="str">
        <f>VLOOKUP(D1423,clientes!$C$3:$D$60,2,FALSE)</f>
        <v>METHANEX</v>
      </c>
      <c r="F1423" s="77" t="s">
        <v>22</v>
      </c>
      <c r="G1423" s="73" t="str">
        <f>VLOOKUP(F1423,'[2]Lista de Produtos CLASSIFICAÇÃO'!$E$103:$F$114,2,FALSE)</f>
        <v>Metanol</v>
      </c>
      <c r="H1423" s="78">
        <v>41000</v>
      </c>
    </row>
    <row r="1424" spans="1:8" x14ac:dyDescent="0.25">
      <c r="A1424" s="71">
        <v>2024</v>
      </c>
      <c r="B1424" s="72" t="s">
        <v>212</v>
      </c>
      <c r="C1424" s="73" t="s">
        <v>234</v>
      </c>
      <c r="D1424" s="73" t="s">
        <v>169</v>
      </c>
      <c r="E1424" s="73" t="str">
        <f>VLOOKUP(D1424,clientes!$C$3:$D$60,2,FALSE)</f>
        <v>METHANEX</v>
      </c>
      <c r="F1424" s="73" t="s">
        <v>22</v>
      </c>
      <c r="G1424" s="73" t="str">
        <f>VLOOKUP(F1424,'[2]Lista de Produtos CLASSIFICAÇÃO'!$E$103:$F$114,2,FALSE)</f>
        <v>Metanol</v>
      </c>
      <c r="H1424" s="74">
        <v>41000</v>
      </c>
    </row>
    <row r="1425" spans="1:8" x14ac:dyDescent="0.25">
      <c r="A1425" s="75">
        <v>2024</v>
      </c>
      <c r="B1425" s="76" t="s">
        <v>213</v>
      </c>
      <c r="C1425" s="77" t="s">
        <v>234</v>
      </c>
      <c r="D1425" s="77" t="s">
        <v>169</v>
      </c>
      <c r="E1425" s="73" t="str">
        <f>VLOOKUP(D1425,clientes!$C$3:$D$60,2,FALSE)</f>
        <v>METHANEX</v>
      </c>
      <c r="F1425" s="77" t="s">
        <v>22</v>
      </c>
      <c r="G1425" s="73" t="str">
        <f>VLOOKUP(F1425,'[2]Lista de Produtos CLASSIFICAÇÃO'!$E$103:$F$114,2,FALSE)</f>
        <v>Metanol</v>
      </c>
      <c r="H1425" s="78">
        <v>41000</v>
      </c>
    </row>
    <row r="1426" spans="1:8" x14ac:dyDescent="0.25">
      <c r="A1426" s="71">
        <v>2024</v>
      </c>
      <c r="B1426" s="72" t="s">
        <v>214</v>
      </c>
      <c r="C1426" s="73" t="s">
        <v>234</v>
      </c>
      <c r="D1426" s="73" t="s">
        <v>169</v>
      </c>
      <c r="E1426" s="73" t="str">
        <f>VLOOKUP(D1426,clientes!$C$3:$D$60,2,FALSE)</f>
        <v>METHANEX</v>
      </c>
      <c r="F1426" s="73" t="s">
        <v>22</v>
      </c>
      <c r="G1426" s="73" t="str">
        <f>VLOOKUP(F1426,'[2]Lista de Produtos CLASSIFICAÇÃO'!$E$103:$F$114,2,FALSE)</f>
        <v>Metanol</v>
      </c>
      <c r="H1426" s="74">
        <v>41000</v>
      </c>
    </row>
    <row r="1427" spans="1:8" x14ac:dyDescent="0.25">
      <c r="A1427" s="75">
        <v>2024</v>
      </c>
      <c r="B1427" s="76" t="s">
        <v>215</v>
      </c>
      <c r="C1427" s="77" t="s">
        <v>234</v>
      </c>
      <c r="D1427" s="77" t="s">
        <v>169</v>
      </c>
      <c r="E1427" s="73" t="str">
        <f>VLOOKUP(D1427,clientes!$C$3:$D$60,2,FALSE)</f>
        <v>METHANEX</v>
      </c>
      <c r="F1427" s="77" t="s">
        <v>22</v>
      </c>
      <c r="G1427" s="73" t="str">
        <f>VLOOKUP(F1427,'[2]Lista de Produtos CLASSIFICAÇÃO'!$E$103:$F$114,2,FALSE)</f>
        <v>Metanol</v>
      </c>
      <c r="H1427" s="78">
        <v>41000</v>
      </c>
    </row>
    <row r="1428" spans="1:8" x14ac:dyDescent="0.25">
      <c r="A1428" s="71">
        <v>2024</v>
      </c>
      <c r="B1428" s="72" t="s">
        <v>230</v>
      </c>
      <c r="C1428" s="73" t="s">
        <v>234</v>
      </c>
      <c r="D1428" s="73" t="s">
        <v>169</v>
      </c>
      <c r="E1428" s="73" t="str">
        <f>VLOOKUP(D1428,clientes!$C$3:$D$60,2,FALSE)</f>
        <v>METHANEX</v>
      </c>
      <c r="F1428" s="73" t="s">
        <v>22</v>
      </c>
      <c r="G1428" s="73" t="str">
        <f>VLOOKUP(F1428,'[2]Lista de Produtos CLASSIFICAÇÃO'!$E$103:$F$114,2,FALSE)</f>
        <v>Metanol</v>
      </c>
      <c r="H1428" s="74">
        <v>41000</v>
      </c>
    </row>
    <row r="1429" spans="1:8" x14ac:dyDescent="0.25">
      <c r="A1429" s="75">
        <v>2024</v>
      </c>
      <c r="B1429" s="76" t="s">
        <v>231</v>
      </c>
      <c r="C1429" s="77" t="s">
        <v>234</v>
      </c>
      <c r="D1429" s="77" t="s">
        <v>169</v>
      </c>
      <c r="E1429" s="73" t="str">
        <f>VLOOKUP(D1429,clientes!$C$3:$D$60,2,FALSE)</f>
        <v>METHANEX</v>
      </c>
      <c r="F1429" s="77" t="s">
        <v>22</v>
      </c>
      <c r="G1429" s="73" t="str">
        <f>VLOOKUP(F1429,'[2]Lista de Produtos CLASSIFICAÇÃO'!$E$103:$F$114,2,FALSE)</f>
        <v>Metanol</v>
      </c>
      <c r="H1429" s="78">
        <v>41000</v>
      </c>
    </row>
    <row r="1430" spans="1:8" x14ac:dyDescent="0.25">
      <c r="A1430" s="71">
        <v>2024</v>
      </c>
      <c r="B1430" s="72" t="s">
        <v>226</v>
      </c>
      <c r="C1430" s="73" t="s">
        <v>234</v>
      </c>
      <c r="D1430" s="73" t="s">
        <v>170</v>
      </c>
      <c r="E1430" s="73" t="str">
        <f>VLOOKUP(D1430,clientes!$C$3:$D$60,2,FALSE)</f>
        <v>MITSUBISHI</v>
      </c>
      <c r="F1430" s="73" t="s">
        <v>22</v>
      </c>
      <c r="G1430" s="73" t="str">
        <f>VLOOKUP(F1430,'[2]Lista de Produtos CLASSIFICAÇÃO'!$E$103:$F$114,2,FALSE)</f>
        <v>Metanol</v>
      </c>
      <c r="H1430" s="74">
        <v>85000</v>
      </c>
    </row>
    <row r="1431" spans="1:8" x14ac:dyDescent="0.25">
      <c r="A1431" s="75">
        <v>2024</v>
      </c>
      <c r="B1431" s="76" t="s">
        <v>227</v>
      </c>
      <c r="C1431" s="77" t="s">
        <v>234</v>
      </c>
      <c r="D1431" s="77" t="s">
        <v>170</v>
      </c>
      <c r="E1431" s="73" t="str">
        <f>VLOOKUP(D1431,clientes!$C$3:$D$60,2,FALSE)</f>
        <v>MITSUBISHI</v>
      </c>
      <c r="F1431" s="77" t="s">
        <v>22</v>
      </c>
      <c r="G1431" s="73" t="str">
        <f>VLOOKUP(F1431,'[2]Lista de Produtos CLASSIFICAÇÃO'!$E$103:$F$114,2,FALSE)</f>
        <v>Metanol</v>
      </c>
      <c r="H1431" s="78">
        <v>85000</v>
      </c>
    </row>
    <row r="1432" spans="1:8" x14ac:dyDescent="0.25">
      <c r="A1432" s="71">
        <v>2024</v>
      </c>
      <c r="B1432" s="72" t="s">
        <v>228</v>
      </c>
      <c r="C1432" s="73" t="s">
        <v>234</v>
      </c>
      <c r="D1432" s="73" t="s">
        <v>170</v>
      </c>
      <c r="E1432" s="73" t="str">
        <f>VLOOKUP(D1432,clientes!$C$3:$D$60,2,FALSE)</f>
        <v>MITSUBISHI</v>
      </c>
      <c r="F1432" s="73" t="s">
        <v>22</v>
      </c>
      <c r="G1432" s="73" t="str">
        <f>VLOOKUP(F1432,'[2]Lista de Produtos CLASSIFICAÇÃO'!$E$103:$F$114,2,FALSE)</f>
        <v>Metanol</v>
      </c>
      <c r="H1432" s="74">
        <v>85000</v>
      </c>
    </row>
    <row r="1433" spans="1:8" x14ac:dyDescent="0.25">
      <c r="A1433" s="75">
        <v>2024</v>
      </c>
      <c r="B1433" s="76" t="s">
        <v>229</v>
      </c>
      <c r="C1433" s="77" t="s">
        <v>234</v>
      </c>
      <c r="D1433" s="77" t="s">
        <v>170</v>
      </c>
      <c r="E1433" s="73" t="str">
        <f>VLOOKUP(D1433,clientes!$C$3:$D$60,2,FALSE)</f>
        <v>MITSUBISHI</v>
      </c>
      <c r="F1433" s="77" t="s">
        <v>22</v>
      </c>
      <c r="G1433" s="73" t="str">
        <f>VLOOKUP(F1433,'[2]Lista de Produtos CLASSIFICAÇÃO'!$E$103:$F$114,2,FALSE)</f>
        <v>Metanol</v>
      </c>
      <c r="H1433" s="78">
        <v>85000</v>
      </c>
    </row>
    <row r="1434" spans="1:8" x14ac:dyDescent="0.25">
      <c r="A1434" s="71">
        <v>2024</v>
      </c>
      <c r="B1434" s="72" t="s">
        <v>210</v>
      </c>
      <c r="C1434" s="73" t="s">
        <v>234</v>
      </c>
      <c r="D1434" s="73" t="s">
        <v>170</v>
      </c>
      <c r="E1434" s="73" t="str">
        <f>VLOOKUP(D1434,clientes!$C$3:$D$60,2,FALSE)</f>
        <v>MITSUBISHI</v>
      </c>
      <c r="F1434" s="73" t="s">
        <v>22</v>
      </c>
      <c r="G1434" s="73" t="str">
        <f>VLOOKUP(F1434,'[2]Lista de Produtos CLASSIFICAÇÃO'!$E$103:$F$114,2,FALSE)</f>
        <v>Metanol</v>
      </c>
      <c r="H1434" s="74">
        <v>85000</v>
      </c>
    </row>
    <row r="1435" spans="1:8" x14ac:dyDescent="0.25">
      <c r="A1435" s="75">
        <v>2024</v>
      </c>
      <c r="B1435" s="76" t="s">
        <v>211</v>
      </c>
      <c r="C1435" s="77" t="s">
        <v>234</v>
      </c>
      <c r="D1435" s="77" t="s">
        <v>170</v>
      </c>
      <c r="E1435" s="73" t="str">
        <f>VLOOKUP(D1435,clientes!$C$3:$D$60,2,FALSE)</f>
        <v>MITSUBISHI</v>
      </c>
      <c r="F1435" s="77" t="s">
        <v>22</v>
      </c>
      <c r="G1435" s="73" t="str">
        <f>VLOOKUP(F1435,'[2]Lista de Produtos CLASSIFICAÇÃO'!$E$103:$F$114,2,FALSE)</f>
        <v>Metanol</v>
      </c>
      <c r="H1435" s="78">
        <v>85000</v>
      </c>
    </row>
    <row r="1436" spans="1:8" x14ac:dyDescent="0.25">
      <c r="A1436" s="71">
        <v>2024</v>
      </c>
      <c r="B1436" s="72" t="s">
        <v>212</v>
      </c>
      <c r="C1436" s="73" t="s">
        <v>234</v>
      </c>
      <c r="D1436" s="73" t="s">
        <v>170</v>
      </c>
      <c r="E1436" s="73" t="str">
        <f>VLOOKUP(D1436,clientes!$C$3:$D$60,2,FALSE)</f>
        <v>MITSUBISHI</v>
      </c>
      <c r="F1436" s="73" t="s">
        <v>22</v>
      </c>
      <c r="G1436" s="73" t="str">
        <f>VLOOKUP(F1436,'[2]Lista de Produtos CLASSIFICAÇÃO'!$E$103:$F$114,2,FALSE)</f>
        <v>Metanol</v>
      </c>
      <c r="H1436" s="74">
        <v>85000</v>
      </c>
    </row>
    <row r="1437" spans="1:8" x14ac:dyDescent="0.25">
      <c r="A1437" s="75">
        <v>2024</v>
      </c>
      <c r="B1437" s="76" t="s">
        <v>213</v>
      </c>
      <c r="C1437" s="77" t="s">
        <v>234</v>
      </c>
      <c r="D1437" s="77" t="s">
        <v>170</v>
      </c>
      <c r="E1437" s="73" t="str">
        <f>VLOOKUP(D1437,clientes!$C$3:$D$60,2,FALSE)</f>
        <v>MITSUBISHI</v>
      </c>
      <c r="F1437" s="77" t="s">
        <v>22</v>
      </c>
      <c r="G1437" s="73" t="str">
        <f>VLOOKUP(F1437,'[2]Lista de Produtos CLASSIFICAÇÃO'!$E$103:$F$114,2,FALSE)</f>
        <v>Metanol</v>
      </c>
      <c r="H1437" s="78">
        <v>85000</v>
      </c>
    </row>
    <row r="1438" spans="1:8" x14ac:dyDescent="0.25">
      <c r="A1438" s="71">
        <v>2024</v>
      </c>
      <c r="B1438" s="72" t="s">
        <v>214</v>
      </c>
      <c r="C1438" s="73" t="s">
        <v>234</v>
      </c>
      <c r="D1438" s="73" t="s">
        <v>170</v>
      </c>
      <c r="E1438" s="73" t="str">
        <f>VLOOKUP(D1438,clientes!$C$3:$D$60,2,FALSE)</f>
        <v>MITSUBISHI</v>
      </c>
      <c r="F1438" s="73" t="s">
        <v>22</v>
      </c>
      <c r="G1438" s="73" t="str">
        <f>VLOOKUP(F1438,'[2]Lista de Produtos CLASSIFICAÇÃO'!$E$103:$F$114,2,FALSE)</f>
        <v>Metanol</v>
      </c>
      <c r="H1438" s="74">
        <v>85000</v>
      </c>
    </row>
    <row r="1439" spans="1:8" x14ac:dyDescent="0.25">
      <c r="A1439" s="75">
        <v>2024</v>
      </c>
      <c r="B1439" s="76" t="s">
        <v>215</v>
      </c>
      <c r="C1439" s="77" t="s">
        <v>234</v>
      </c>
      <c r="D1439" s="77" t="s">
        <v>170</v>
      </c>
      <c r="E1439" s="73" t="str">
        <f>VLOOKUP(D1439,clientes!$C$3:$D$60,2,FALSE)</f>
        <v>MITSUBISHI</v>
      </c>
      <c r="F1439" s="77" t="s">
        <v>22</v>
      </c>
      <c r="G1439" s="73" t="str">
        <f>VLOOKUP(F1439,'[2]Lista de Produtos CLASSIFICAÇÃO'!$E$103:$F$114,2,FALSE)</f>
        <v>Metanol</v>
      </c>
      <c r="H1439" s="78">
        <v>85000</v>
      </c>
    </row>
    <row r="1440" spans="1:8" x14ac:dyDescent="0.25">
      <c r="A1440" s="71">
        <v>2024</v>
      </c>
      <c r="B1440" s="72" t="s">
        <v>230</v>
      </c>
      <c r="C1440" s="73" t="s">
        <v>234</v>
      </c>
      <c r="D1440" s="73" t="s">
        <v>170</v>
      </c>
      <c r="E1440" s="73" t="str">
        <f>VLOOKUP(D1440,clientes!$C$3:$D$60,2,FALSE)</f>
        <v>MITSUBISHI</v>
      </c>
      <c r="F1440" s="73" t="s">
        <v>22</v>
      </c>
      <c r="G1440" s="73" t="str">
        <f>VLOOKUP(F1440,'[2]Lista de Produtos CLASSIFICAÇÃO'!$E$103:$F$114,2,FALSE)</f>
        <v>Metanol</v>
      </c>
      <c r="H1440" s="74">
        <v>85000</v>
      </c>
    </row>
    <row r="1441" spans="1:8" x14ac:dyDescent="0.25">
      <c r="A1441" s="75">
        <v>2024</v>
      </c>
      <c r="B1441" s="76" t="s">
        <v>231</v>
      </c>
      <c r="C1441" s="77" t="s">
        <v>234</v>
      </c>
      <c r="D1441" s="77" t="s">
        <v>170</v>
      </c>
      <c r="E1441" s="73" t="str">
        <f>VLOOKUP(D1441,clientes!$C$3:$D$60,2,FALSE)</f>
        <v>MITSUBISHI</v>
      </c>
      <c r="F1441" s="77" t="s">
        <v>22</v>
      </c>
      <c r="G1441" s="73" t="str">
        <f>VLOOKUP(F1441,'[2]Lista de Produtos CLASSIFICAÇÃO'!$E$103:$F$114,2,FALSE)</f>
        <v>Metanol</v>
      </c>
      <c r="H1441" s="78">
        <v>85000</v>
      </c>
    </row>
    <row r="1442" spans="1:8" x14ac:dyDescent="0.25">
      <c r="A1442" s="71">
        <v>2024</v>
      </c>
      <c r="B1442" s="72" t="s">
        <v>226</v>
      </c>
      <c r="C1442" s="73" t="s">
        <v>234</v>
      </c>
      <c r="D1442" s="73" t="s">
        <v>186</v>
      </c>
      <c r="E1442" s="73" t="str">
        <f>VLOOKUP(D1442,clientes!$C$3:$D$60,2,FALSE)</f>
        <v>OQ TRADING</v>
      </c>
      <c r="F1442" s="73" t="s">
        <v>22</v>
      </c>
      <c r="G1442" s="73" t="str">
        <f>VLOOKUP(F1442,'[2]Lista de Produtos CLASSIFICAÇÃO'!$E$103:$F$114,2,FALSE)</f>
        <v>Metanol</v>
      </c>
      <c r="H1442" s="74">
        <v>10000</v>
      </c>
    </row>
    <row r="1443" spans="1:8" x14ac:dyDescent="0.25">
      <c r="A1443" s="75">
        <v>2024</v>
      </c>
      <c r="B1443" s="76" t="s">
        <v>227</v>
      </c>
      <c r="C1443" s="77" t="s">
        <v>234</v>
      </c>
      <c r="D1443" s="77" t="s">
        <v>186</v>
      </c>
      <c r="E1443" s="73" t="str">
        <f>VLOOKUP(D1443,clientes!$C$3:$D$60,2,FALSE)</f>
        <v>OQ TRADING</v>
      </c>
      <c r="F1443" s="77" t="s">
        <v>22</v>
      </c>
      <c r="G1443" s="73" t="str">
        <f>VLOOKUP(F1443,'[2]Lista de Produtos CLASSIFICAÇÃO'!$E$103:$F$114,2,FALSE)</f>
        <v>Metanol</v>
      </c>
      <c r="H1443" s="78">
        <v>10000</v>
      </c>
    </row>
    <row r="1444" spans="1:8" x14ac:dyDescent="0.25">
      <c r="A1444" s="71">
        <v>2024</v>
      </c>
      <c r="B1444" s="72" t="s">
        <v>228</v>
      </c>
      <c r="C1444" s="73" t="s">
        <v>234</v>
      </c>
      <c r="D1444" s="73" t="s">
        <v>186</v>
      </c>
      <c r="E1444" s="73" t="str">
        <f>VLOOKUP(D1444,clientes!$C$3:$D$60,2,FALSE)</f>
        <v>OQ TRADING</v>
      </c>
      <c r="F1444" s="73" t="s">
        <v>22</v>
      </c>
      <c r="G1444" s="73" t="str">
        <f>VLOOKUP(F1444,'[2]Lista de Produtos CLASSIFICAÇÃO'!$E$103:$F$114,2,FALSE)</f>
        <v>Metanol</v>
      </c>
      <c r="H1444" s="74">
        <v>10000</v>
      </c>
    </row>
    <row r="1445" spans="1:8" x14ac:dyDescent="0.25">
      <c r="A1445" s="75">
        <v>2024</v>
      </c>
      <c r="B1445" s="76" t="s">
        <v>229</v>
      </c>
      <c r="C1445" s="77" t="s">
        <v>234</v>
      </c>
      <c r="D1445" s="77" t="s">
        <v>186</v>
      </c>
      <c r="E1445" s="73" t="str">
        <f>VLOOKUP(D1445,clientes!$C$3:$D$60,2,FALSE)</f>
        <v>OQ TRADING</v>
      </c>
      <c r="F1445" s="77" t="s">
        <v>22</v>
      </c>
      <c r="G1445" s="73" t="str">
        <f>VLOOKUP(F1445,'[2]Lista de Produtos CLASSIFICAÇÃO'!$E$103:$F$114,2,FALSE)</f>
        <v>Metanol</v>
      </c>
      <c r="H1445" s="78">
        <v>10000</v>
      </c>
    </row>
    <row r="1446" spans="1:8" x14ac:dyDescent="0.25">
      <c r="A1446" s="71">
        <v>2024</v>
      </c>
      <c r="B1446" s="72" t="s">
        <v>210</v>
      </c>
      <c r="C1446" s="73" t="s">
        <v>234</v>
      </c>
      <c r="D1446" s="73" t="s">
        <v>186</v>
      </c>
      <c r="E1446" s="73" t="str">
        <f>VLOOKUP(D1446,clientes!$C$3:$D$60,2,FALSE)</f>
        <v>OQ TRADING</v>
      </c>
      <c r="F1446" s="73" t="s">
        <v>22</v>
      </c>
      <c r="G1446" s="73" t="str">
        <f>VLOOKUP(F1446,'[2]Lista de Produtos CLASSIFICAÇÃO'!$E$103:$F$114,2,FALSE)</f>
        <v>Metanol</v>
      </c>
      <c r="H1446" s="74">
        <v>10000</v>
      </c>
    </row>
    <row r="1447" spans="1:8" x14ac:dyDescent="0.25">
      <c r="A1447" s="75">
        <v>2024</v>
      </c>
      <c r="B1447" s="76" t="s">
        <v>211</v>
      </c>
      <c r="C1447" s="77" t="s">
        <v>234</v>
      </c>
      <c r="D1447" s="77" t="s">
        <v>186</v>
      </c>
      <c r="E1447" s="73" t="str">
        <f>VLOOKUP(D1447,clientes!$C$3:$D$60,2,FALSE)</f>
        <v>OQ TRADING</v>
      </c>
      <c r="F1447" s="77" t="s">
        <v>22</v>
      </c>
      <c r="G1447" s="73" t="str">
        <f>VLOOKUP(F1447,'[2]Lista de Produtos CLASSIFICAÇÃO'!$E$103:$F$114,2,FALSE)</f>
        <v>Metanol</v>
      </c>
      <c r="H1447" s="78">
        <v>10000</v>
      </c>
    </row>
    <row r="1448" spans="1:8" x14ac:dyDescent="0.25">
      <c r="A1448" s="71">
        <v>2024</v>
      </c>
      <c r="B1448" s="72" t="s">
        <v>212</v>
      </c>
      <c r="C1448" s="73" t="s">
        <v>234</v>
      </c>
      <c r="D1448" s="73" t="s">
        <v>186</v>
      </c>
      <c r="E1448" s="73" t="str">
        <f>VLOOKUP(D1448,clientes!$C$3:$D$60,2,FALSE)</f>
        <v>OQ TRADING</v>
      </c>
      <c r="F1448" s="73" t="s">
        <v>22</v>
      </c>
      <c r="G1448" s="73" t="str">
        <f>VLOOKUP(F1448,'[2]Lista de Produtos CLASSIFICAÇÃO'!$E$103:$F$114,2,FALSE)</f>
        <v>Metanol</v>
      </c>
      <c r="H1448" s="74">
        <v>10000</v>
      </c>
    </row>
    <row r="1449" spans="1:8" x14ac:dyDescent="0.25">
      <c r="A1449" s="75">
        <v>2024</v>
      </c>
      <c r="B1449" s="76" t="s">
        <v>213</v>
      </c>
      <c r="C1449" s="77" t="s">
        <v>234</v>
      </c>
      <c r="D1449" s="77" t="s">
        <v>186</v>
      </c>
      <c r="E1449" s="73" t="str">
        <f>VLOOKUP(D1449,clientes!$C$3:$D$60,2,FALSE)</f>
        <v>OQ TRADING</v>
      </c>
      <c r="F1449" s="77" t="s">
        <v>22</v>
      </c>
      <c r="G1449" s="73" t="str">
        <f>VLOOKUP(F1449,'[2]Lista de Produtos CLASSIFICAÇÃO'!$E$103:$F$114,2,FALSE)</f>
        <v>Metanol</v>
      </c>
      <c r="H1449" s="78">
        <v>10000</v>
      </c>
    </row>
    <row r="1450" spans="1:8" x14ac:dyDescent="0.25">
      <c r="A1450" s="71">
        <v>2024</v>
      </c>
      <c r="B1450" s="72" t="s">
        <v>214</v>
      </c>
      <c r="C1450" s="73" t="s">
        <v>234</v>
      </c>
      <c r="D1450" s="73" t="s">
        <v>186</v>
      </c>
      <c r="E1450" s="73" t="str">
        <f>VLOOKUP(D1450,clientes!$C$3:$D$60,2,FALSE)</f>
        <v>OQ TRADING</v>
      </c>
      <c r="F1450" s="73" t="s">
        <v>22</v>
      </c>
      <c r="G1450" s="73" t="str">
        <f>VLOOKUP(F1450,'[2]Lista de Produtos CLASSIFICAÇÃO'!$E$103:$F$114,2,FALSE)</f>
        <v>Metanol</v>
      </c>
      <c r="H1450" s="74">
        <v>10000</v>
      </c>
    </row>
    <row r="1451" spans="1:8" x14ac:dyDescent="0.25">
      <c r="A1451" s="75">
        <v>2024</v>
      </c>
      <c r="B1451" s="76" t="s">
        <v>215</v>
      </c>
      <c r="C1451" s="77" t="s">
        <v>234</v>
      </c>
      <c r="D1451" s="77" t="s">
        <v>186</v>
      </c>
      <c r="E1451" s="73" t="str">
        <f>VLOOKUP(D1451,clientes!$C$3:$D$60,2,FALSE)</f>
        <v>OQ TRADING</v>
      </c>
      <c r="F1451" s="77" t="s">
        <v>22</v>
      </c>
      <c r="G1451" s="73" t="str">
        <f>VLOOKUP(F1451,'[2]Lista de Produtos CLASSIFICAÇÃO'!$E$103:$F$114,2,FALSE)</f>
        <v>Metanol</v>
      </c>
      <c r="H1451" s="78">
        <v>10000</v>
      </c>
    </row>
    <row r="1452" spans="1:8" x14ac:dyDescent="0.25">
      <c r="A1452" s="71">
        <v>2024</v>
      </c>
      <c r="B1452" s="72" t="s">
        <v>230</v>
      </c>
      <c r="C1452" s="73" t="s">
        <v>234</v>
      </c>
      <c r="D1452" s="73" t="s">
        <v>186</v>
      </c>
      <c r="E1452" s="73" t="str">
        <f>VLOOKUP(D1452,clientes!$C$3:$D$60,2,FALSE)</f>
        <v>OQ TRADING</v>
      </c>
      <c r="F1452" s="73" t="s">
        <v>22</v>
      </c>
      <c r="G1452" s="73" t="str">
        <f>VLOOKUP(F1452,'[2]Lista de Produtos CLASSIFICAÇÃO'!$E$103:$F$114,2,FALSE)</f>
        <v>Metanol</v>
      </c>
      <c r="H1452" s="74">
        <v>10000</v>
      </c>
    </row>
    <row r="1453" spans="1:8" x14ac:dyDescent="0.25">
      <c r="A1453" s="75">
        <v>2024</v>
      </c>
      <c r="B1453" s="76" t="s">
        <v>231</v>
      </c>
      <c r="C1453" s="77" t="s">
        <v>234</v>
      </c>
      <c r="D1453" s="77" t="s">
        <v>186</v>
      </c>
      <c r="E1453" s="73" t="str">
        <f>VLOOKUP(D1453,clientes!$C$3:$D$60,2,FALSE)</f>
        <v>OQ TRADING</v>
      </c>
      <c r="F1453" s="77" t="s">
        <v>22</v>
      </c>
      <c r="G1453" s="73" t="str">
        <f>VLOOKUP(F1453,'[2]Lista de Produtos CLASSIFICAÇÃO'!$E$103:$F$114,2,FALSE)</f>
        <v>Metanol</v>
      </c>
      <c r="H1453" s="78">
        <v>10000</v>
      </c>
    </row>
    <row r="1454" spans="1:8" x14ac:dyDescent="0.25">
      <c r="A1454" s="71">
        <v>2024</v>
      </c>
      <c r="B1454" s="72" t="s">
        <v>226</v>
      </c>
      <c r="C1454" s="73" t="s">
        <v>225</v>
      </c>
      <c r="D1454" s="73" t="s">
        <v>178</v>
      </c>
      <c r="E1454" s="73" t="str">
        <f>VLOOKUP(D1454,clientes!$C$3:$D$60,2,FALSE)</f>
        <v>OLIN BLUE CUBE</v>
      </c>
      <c r="F1454" s="73" t="s">
        <v>115</v>
      </c>
      <c r="G1454" s="73" t="str">
        <f>VLOOKUP(F1454,'[2]Lista de Produtos CLASSIFICAÇÃO'!$E$103:$F$114,2,FALSE)</f>
        <v>Soda Caustica</v>
      </c>
      <c r="H1454" s="74">
        <v>6500</v>
      </c>
    </row>
    <row r="1455" spans="1:8" x14ac:dyDescent="0.25">
      <c r="A1455" s="75">
        <v>2024</v>
      </c>
      <c r="B1455" s="76" t="s">
        <v>227</v>
      </c>
      <c r="C1455" s="77" t="s">
        <v>225</v>
      </c>
      <c r="D1455" s="77" t="s">
        <v>178</v>
      </c>
      <c r="E1455" s="73" t="str">
        <f>VLOOKUP(D1455,clientes!$C$3:$D$60,2,FALSE)</f>
        <v>OLIN BLUE CUBE</v>
      </c>
      <c r="F1455" s="77" t="s">
        <v>115</v>
      </c>
      <c r="G1455" s="73" t="str">
        <f>VLOOKUP(F1455,'[2]Lista de Produtos CLASSIFICAÇÃO'!$E$103:$F$114,2,FALSE)</f>
        <v>Soda Caustica</v>
      </c>
      <c r="H1455" s="78">
        <v>6500</v>
      </c>
    </row>
    <row r="1456" spans="1:8" x14ac:dyDescent="0.25">
      <c r="A1456" s="71">
        <v>2024</v>
      </c>
      <c r="B1456" s="72" t="s">
        <v>228</v>
      </c>
      <c r="C1456" s="73" t="s">
        <v>225</v>
      </c>
      <c r="D1456" s="73" t="s">
        <v>178</v>
      </c>
      <c r="E1456" s="73" t="str">
        <f>VLOOKUP(D1456,clientes!$C$3:$D$60,2,FALSE)</f>
        <v>OLIN BLUE CUBE</v>
      </c>
      <c r="F1456" s="73" t="s">
        <v>115</v>
      </c>
      <c r="G1456" s="73" t="str">
        <f>VLOOKUP(F1456,'[2]Lista de Produtos CLASSIFICAÇÃO'!$E$103:$F$114,2,FALSE)</f>
        <v>Soda Caustica</v>
      </c>
      <c r="H1456" s="74">
        <v>6500</v>
      </c>
    </row>
    <row r="1457" spans="1:8" x14ac:dyDescent="0.25">
      <c r="A1457" s="75">
        <v>2024</v>
      </c>
      <c r="B1457" s="76" t="s">
        <v>229</v>
      </c>
      <c r="C1457" s="77" t="s">
        <v>225</v>
      </c>
      <c r="D1457" s="77" t="s">
        <v>178</v>
      </c>
      <c r="E1457" s="73" t="str">
        <f>VLOOKUP(D1457,clientes!$C$3:$D$60,2,FALSE)</f>
        <v>OLIN BLUE CUBE</v>
      </c>
      <c r="F1457" s="77" t="s">
        <v>115</v>
      </c>
      <c r="G1457" s="73" t="str">
        <f>VLOOKUP(F1457,'[2]Lista de Produtos CLASSIFICAÇÃO'!$E$103:$F$114,2,FALSE)</f>
        <v>Soda Caustica</v>
      </c>
      <c r="H1457" s="78">
        <v>6500</v>
      </c>
    </row>
    <row r="1458" spans="1:8" x14ac:dyDescent="0.25">
      <c r="A1458" s="71">
        <v>2024</v>
      </c>
      <c r="B1458" s="72" t="s">
        <v>210</v>
      </c>
      <c r="C1458" s="73" t="s">
        <v>225</v>
      </c>
      <c r="D1458" s="73" t="s">
        <v>178</v>
      </c>
      <c r="E1458" s="73" t="str">
        <f>VLOOKUP(D1458,clientes!$C$3:$D$60,2,FALSE)</f>
        <v>OLIN BLUE CUBE</v>
      </c>
      <c r="F1458" s="73" t="s">
        <v>115</v>
      </c>
      <c r="G1458" s="73" t="str">
        <f>VLOOKUP(F1458,'[2]Lista de Produtos CLASSIFICAÇÃO'!$E$103:$F$114,2,FALSE)</f>
        <v>Soda Caustica</v>
      </c>
      <c r="H1458" s="74">
        <v>6500</v>
      </c>
    </row>
    <row r="1459" spans="1:8" x14ac:dyDescent="0.25">
      <c r="A1459" s="75">
        <v>2024</v>
      </c>
      <c r="B1459" s="76" t="s">
        <v>211</v>
      </c>
      <c r="C1459" s="77" t="s">
        <v>225</v>
      </c>
      <c r="D1459" s="77" t="s">
        <v>178</v>
      </c>
      <c r="E1459" s="73" t="str">
        <f>VLOOKUP(D1459,clientes!$C$3:$D$60,2,FALSE)</f>
        <v>OLIN BLUE CUBE</v>
      </c>
      <c r="F1459" s="77" t="s">
        <v>115</v>
      </c>
      <c r="G1459" s="73" t="str">
        <f>VLOOKUP(F1459,'[2]Lista de Produtos CLASSIFICAÇÃO'!$E$103:$F$114,2,FALSE)</f>
        <v>Soda Caustica</v>
      </c>
      <c r="H1459" s="78">
        <v>6500</v>
      </c>
    </row>
    <row r="1460" spans="1:8" x14ac:dyDescent="0.25">
      <c r="A1460" s="71">
        <v>2024</v>
      </c>
      <c r="B1460" s="72" t="s">
        <v>212</v>
      </c>
      <c r="C1460" s="73" t="s">
        <v>225</v>
      </c>
      <c r="D1460" s="73" t="s">
        <v>178</v>
      </c>
      <c r="E1460" s="73" t="str">
        <f>VLOOKUP(D1460,clientes!$C$3:$D$60,2,FALSE)</f>
        <v>OLIN BLUE CUBE</v>
      </c>
      <c r="F1460" s="73" t="s">
        <v>115</v>
      </c>
      <c r="G1460" s="73" t="str">
        <f>VLOOKUP(F1460,'[2]Lista de Produtos CLASSIFICAÇÃO'!$E$103:$F$114,2,FALSE)</f>
        <v>Soda Caustica</v>
      </c>
      <c r="H1460" s="74">
        <v>6500</v>
      </c>
    </row>
    <row r="1461" spans="1:8" x14ac:dyDescent="0.25">
      <c r="A1461" s="75">
        <v>2024</v>
      </c>
      <c r="B1461" s="76" t="s">
        <v>213</v>
      </c>
      <c r="C1461" s="77" t="s">
        <v>225</v>
      </c>
      <c r="D1461" s="77" t="s">
        <v>178</v>
      </c>
      <c r="E1461" s="73" t="str">
        <f>VLOOKUP(D1461,clientes!$C$3:$D$60,2,FALSE)</f>
        <v>OLIN BLUE CUBE</v>
      </c>
      <c r="F1461" s="77" t="s">
        <v>115</v>
      </c>
      <c r="G1461" s="73" t="str">
        <f>VLOOKUP(F1461,'[2]Lista de Produtos CLASSIFICAÇÃO'!$E$103:$F$114,2,FALSE)</f>
        <v>Soda Caustica</v>
      </c>
      <c r="H1461" s="78">
        <v>6500</v>
      </c>
    </row>
    <row r="1462" spans="1:8" x14ac:dyDescent="0.25">
      <c r="A1462" s="71">
        <v>2024</v>
      </c>
      <c r="B1462" s="72" t="s">
        <v>214</v>
      </c>
      <c r="C1462" s="73" t="s">
        <v>225</v>
      </c>
      <c r="D1462" s="73" t="s">
        <v>178</v>
      </c>
      <c r="E1462" s="73" t="str">
        <f>VLOOKUP(D1462,clientes!$C$3:$D$60,2,FALSE)</f>
        <v>OLIN BLUE CUBE</v>
      </c>
      <c r="F1462" s="73" t="s">
        <v>115</v>
      </c>
      <c r="G1462" s="73" t="str">
        <f>VLOOKUP(F1462,'[2]Lista de Produtos CLASSIFICAÇÃO'!$E$103:$F$114,2,FALSE)</f>
        <v>Soda Caustica</v>
      </c>
      <c r="H1462" s="74">
        <v>6500</v>
      </c>
    </row>
    <row r="1463" spans="1:8" x14ac:dyDescent="0.25">
      <c r="A1463" s="75">
        <v>2024</v>
      </c>
      <c r="B1463" s="76" t="s">
        <v>215</v>
      </c>
      <c r="C1463" s="77" t="s">
        <v>225</v>
      </c>
      <c r="D1463" s="77" t="s">
        <v>178</v>
      </c>
      <c r="E1463" s="73" t="str">
        <f>VLOOKUP(D1463,clientes!$C$3:$D$60,2,FALSE)</f>
        <v>OLIN BLUE CUBE</v>
      </c>
      <c r="F1463" s="77" t="s">
        <v>115</v>
      </c>
      <c r="G1463" s="73" t="str">
        <f>VLOOKUP(F1463,'[2]Lista de Produtos CLASSIFICAÇÃO'!$E$103:$F$114,2,FALSE)</f>
        <v>Soda Caustica</v>
      </c>
      <c r="H1463" s="78">
        <v>6500</v>
      </c>
    </row>
    <row r="1464" spans="1:8" x14ac:dyDescent="0.25">
      <c r="A1464" s="71">
        <v>2024</v>
      </c>
      <c r="B1464" s="72" t="s">
        <v>230</v>
      </c>
      <c r="C1464" s="73" t="s">
        <v>225</v>
      </c>
      <c r="D1464" s="73" t="s">
        <v>178</v>
      </c>
      <c r="E1464" s="73" t="str">
        <f>VLOOKUP(D1464,clientes!$C$3:$D$60,2,FALSE)</f>
        <v>OLIN BLUE CUBE</v>
      </c>
      <c r="F1464" s="73" t="s">
        <v>115</v>
      </c>
      <c r="G1464" s="73" t="str">
        <f>VLOOKUP(F1464,'[2]Lista de Produtos CLASSIFICAÇÃO'!$E$103:$F$114,2,FALSE)</f>
        <v>Soda Caustica</v>
      </c>
      <c r="H1464" s="74">
        <v>6500</v>
      </c>
    </row>
    <row r="1465" spans="1:8" x14ac:dyDescent="0.25">
      <c r="A1465" s="75">
        <v>2024</v>
      </c>
      <c r="B1465" s="76" t="s">
        <v>231</v>
      </c>
      <c r="C1465" s="77" t="s">
        <v>225</v>
      </c>
      <c r="D1465" s="77" t="s">
        <v>178</v>
      </c>
      <c r="E1465" s="73" t="str">
        <f>VLOOKUP(D1465,clientes!$C$3:$D$60,2,FALSE)</f>
        <v>OLIN BLUE CUBE</v>
      </c>
      <c r="F1465" s="77" t="s">
        <v>115</v>
      </c>
      <c r="G1465" s="73" t="str">
        <f>VLOOKUP(F1465,'[2]Lista de Produtos CLASSIFICAÇÃO'!$E$103:$F$114,2,FALSE)</f>
        <v>Soda Caustica</v>
      </c>
      <c r="H1465" s="78">
        <v>6500</v>
      </c>
    </row>
    <row r="1466" spans="1:8" x14ac:dyDescent="0.25">
      <c r="A1466" s="71">
        <v>2024</v>
      </c>
      <c r="B1466" s="72" t="s">
        <v>226</v>
      </c>
      <c r="C1466" s="73" t="s">
        <v>232</v>
      </c>
      <c r="D1466" s="73" t="s">
        <v>167</v>
      </c>
      <c r="E1466" s="73" t="str">
        <f>VLOOKUP(D1466,clientes!$C$3:$D$60,2,FALSE)</f>
        <v>POOL</v>
      </c>
      <c r="F1466" s="73" t="s">
        <v>122</v>
      </c>
      <c r="G1466" s="73" t="str">
        <f>VLOOKUP(F1466,'[2]Lista de Produtos CLASSIFICAÇÃO'!$E$103:$F$114,2,FALSE)</f>
        <v>Óleo Vegetal</v>
      </c>
      <c r="H1466" s="74">
        <v>0</v>
      </c>
    </row>
    <row r="1467" spans="1:8" x14ac:dyDescent="0.25">
      <c r="A1467" s="75">
        <v>2024</v>
      </c>
      <c r="B1467" s="76" t="s">
        <v>227</v>
      </c>
      <c r="C1467" s="77" t="s">
        <v>232</v>
      </c>
      <c r="D1467" s="77" t="s">
        <v>167</v>
      </c>
      <c r="E1467" s="73" t="str">
        <f>VLOOKUP(D1467,clientes!$C$3:$D$60,2,FALSE)</f>
        <v>POOL</v>
      </c>
      <c r="F1467" s="77" t="s">
        <v>122</v>
      </c>
      <c r="G1467" s="73" t="str">
        <f>VLOOKUP(F1467,'[2]Lista de Produtos CLASSIFICAÇÃO'!$E$103:$F$114,2,FALSE)</f>
        <v>Óleo Vegetal</v>
      </c>
      <c r="H1467" s="78">
        <v>0</v>
      </c>
    </row>
    <row r="1468" spans="1:8" x14ac:dyDescent="0.25">
      <c r="A1468" s="71">
        <v>2024</v>
      </c>
      <c r="B1468" s="72" t="s">
        <v>228</v>
      </c>
      <c r="C1468" s="73" t="s">
        <v>232</v>
      </c>
      <c r="D1468" s="73" t="s">
        <v>167</v>
      </c>
      <c r="E1468" s="73" t="str">
        <f>VLOOKUP(D1468,clientes!$C$3:$D$60,2,FALSE)</f>
        <v>POOL</v>
      </c>
      <c r="F1468" s="73" t="s">
        <v>122</v>
      </c>
      <c r="G1468" s="73" t="str">
        <f>VLOOKUP(F1468,'[2]Lista de Produtos CLASSIFICAÇÃO'!$E$103:$F$114,2,FALSE)</f>
        <v>Óleo Vegetal</v>
      </c>
      <c r="H1468" s="74">
        <v>0</v>
      </c>
    </row>
    <row r="1469" spans="1:8" x14ac:dyDescent="0.25">
      <c r="A1469" s="75">
        <v>2024</v>
      </c>
      <c r="B1469" s="76" t="s">
        <v>229</v>
      </c>
      <c r="C1469" s="77" t="s">
        <v>232</v>
      </c>
      <c r="D1469" s="77" t="s">
        <v>167</v>
      </c>
      <c r="E1469" s="73" t="str">
        <f>VLOOKUP(D1469,clientes!$C$3:$D$60,2,FALSE)</f>
        <v>POOL</v>
      </c>
      <c r="F1469" s="77" t="s">
        <v>122</v>
      </c>
      <c r="G1469" s="73" t="str">
        <f>VLOOKUP(F1469,'[2]Lista de Produtos CLASSIFICAÇÃO'!$E$103:$F$114,2,FALSE)</f>
        <v>Óleo Vegetal</v>
      </c>
      <c r="H1469" s="78">
        <v>0</v>
      </c>
    </row>
    <row r="1470" spans="1:8" x14ac:dyDescent="0.25">
      <c r="A1470" s="71">
        <v>2024</v>
      </c>
      <c r="B1470" s="72" t="s">
        <v>210</v>
      </c>
      <c r="C1470" s="73" t="s">
        <v>232</v>
      </c>
      <c r="D1470" s="73" t="s">
        <v>167</v>
      </c>
      <c r="E1470" s="73" t="str">
        <f>VLOOKUP(D1470,clientes!$C$3:$D$60,2,FALSE)</f>
        <v>POOL</v>
      </c>
      <c r="F1470" s="73" t="s">
        <v>122</v>
      </c>
      <c r="G1470" s="73" t="str">
        <f>VLOOKUP(F1470,'[2]Lista de Produtos CLASSIFICAÇÃO'!$E$103:$F$114,2,FALSE)</f>
        <v>Óleo Vegetal</v>
      </c>
      <c r="H1470" s="74">
        <v>0</v>
      </c>
    </row>
    <row r="1471" spans="1:8" x14ac:dyDescent="0.25">
      <c r="A1471" s="75">
        <v>2024</v>
      </c>
      <c r="B1471" s="76" t="s">
        <v>211</v>
      </c>
      <c r="C1471" s="77" t="s">
        <v>232</v>
      </c>
      <c r="D1471" s="77" t="s">
        <v>167</v>
      </c>
      <c r="E1471" s="73" t="str">
        <f>VLOOKUP(D1471,clientes!$C$3:$D$60,2,FALSE)</f>
        <v>POOL</v>
      </c>
      <c r="F1471" s="77" t="s">
        <v>122</v>
      </c>
      <c r="G1471" s="73" t="str">
        <f>VLOOKUP(F1471,'[2]Lista de Produtos CLASSIFICAÇÃO'!$E$103:$F$114,2,FALSE)</f>
        <v>Óleo Vegetal</v>
      </c>
      <c r="H1471" s="78">
        <v>0</v>
      </c>
    </row>
    <row r="1472" spans="1:8" x14ac:dyDescent="0.25">
      <c r="A1472" s="71">
        <v>2024</v>
      </c>
      <c r="B1472" s="72" t="s">
        <v>212</v>
      </c>
      <c r="C1472" s="73" t="s">
        <v>232</v>
      </c>
      <c r="D1472" s="73" t="s">
        <v>167</v>
      </c>
      <c r="E1472" s="73" t="str">
        <f>VLOOKUP(D1472,clientes!$C$3:$D$60,2,FALSE)</f>
        <v>POOL</v>
      </c>
      <c r="F1472" s="73" t="s">
        <v>122</v>
      </c>
      <c r="G1472" s="73" t="str">
        <f>VLOOKUP(F1472,'[2]Lista de Produtos CLASSIFICAÇÃO'!$E$103:$F$114,2,FALSE)</f>
        <v>Óleo Vegetal</v>
      </c>
      <c r="H1472" s="74">
        <v>0</v>
      </c>
    </row>
    <row r="1473" spans="1:8" x14ac:dyDescent="0.25">
      <c r="A1473" s="75">
        <v>2024</v>
      </c>
      <c r="B1473" s="76" t="s">
        <v>213</v>
      </c>
      <c r="C1473" s="77" t="s">
        <v>232</v>
      </c>
      <c r="D1473" s="77" t="s">
        <v>167</v>
      </c>
      <c r="E1473" s="73" t="str">
        <f>VLOOKUP(D1473,clientes!$C$3:$D$60,2,FALSE)</f>
        <v>POOL</v>
      </c>
      <c r="F1473" s="77" t="s">
        <v>122</v>
      </c>
      <c r="G1473" s="73" t="str">
        <f>VLOOKUP(F1473,'[2]Lista de Produtos CLASSIFICAÇÃO'!$E$103:$F$114,2,FALSE)</f>
        <v>Óleo Vegetal</v>
      </c>
      <c r="H1473" s="78">
        <v>0</v>
      </c>
    </row>
    <row r="1474" spans="1:8" x14ac:dyDescent="0.25">
      <c r="A1474" s="71">
        <v>2024</v>
      </c>
      <c r="B1474" s="72" t="s">
        <v>214</v>
      </c>
      <c r="C1474" s="73" t="s">
        <v>232</v>
      </c>
      <c r="D1474" s="73" t="s">
        <v>167</v>
      </c>
      <c r="E1474" s="73" t="str">
        <f>VLOOKUP(D1474,clientes!$C$3:$D$60,2,FALSE)</f>
        <v>POOL</v>
      </c>
      <c r="F1474" s="73" t="s">
        <v>122</v>
      </c>
      <c r="G1474" s="73" t="str">
        <f>VLOOKUP(F1474,'[2]Lista de Produtos CLASSIFICAÇÃO'!$E$103:$F$114,2,FALSE)</f>
        <v>Óleo Vegetal</v>
      </c>
      <c r="H1474" s="74">
        <v>0</v>
      </c>
    </row>
    <row r="1475" spans="1:8" x14ac:dyDescent="0.25">
      <c r="A1475" s="75">
        <v>2024</v>
      </c>
      <c r="B1475" s="76" t="s">
        <v>215</v>
      </c>
      <c r="C1475" s="77" t="s">
        <v>232</v>
      </c>
      <c r="D1475" s="77" t="s">
        <v>167</v>
      </c>
      <c r="E1475" s="73" t="str">
        <f>VLOOKUP(D1475,clientes!$C$3:$D$60,2,FALSE)</f>
        <v>POOL</v>
      </c>
      <c r="F1475" s="77" t="s">
        <v>122</v>
      </c>
      <c r="G1475" s="73" t="str">
        <f>VLOOKUP(F1475,'[2]Lista de Produtos CLASSIFICAÇÃO'!$E$103:$F$114,2,FALSE)</f>
        <v>Óleo Vegetal</v>
      </c>
      <c r="H1475" s="78">
        <v>0</v>
      </c>
    </row>
    <row r="1476" spans="1:8" x14ac:dyDescent="0.25">
      <c r="A1476" s="71">
        <v>2024</v>
      </c>
      <c r="B1476" s="72" t="s">
        <v>230</v>
      </c>
      <c r="C1476" s="73" t="s">
        <v>232</v>
      </c>
      <c r="D1476" s="73" t="s">
        <v>167</v>
      </c>
      <c r="E1476" s="73" t="str">
        <f>VLOOKUP(D1476,clientes!$C$3:$D$60,2,FALSE)</f>
        <v>POOL</v>
      </c>
      <c r="F1476" s="73" t="s">
        <v>122</v>
      </c>
      <c r="G1476" s="73" t="str">
        <f>VLOOKUP(F1476,'[2]Lista de Produtos CLASSIFICAÇÃO'!$E$103:$F$114,2,FALSE)</f>
        <v>Óleo Vegetal</v>
      </c>
      <c r="H1476" s="74">
        <v>0</v>
      </c>
    </row>
    <row r="1477" spans="1:8" x14ac:dyDescent="0.25">
      <c r="A1477" s="75">
        <v>2024</v>
      </c>
      <c r="B1477" s="76" t="s">
        <v>231</v>
      </c>
      <c r="C1477" s="77" t="s">
        <v>232</v>
      </c>
      <c r="D1477" s="77" t="s">
        <v>167</v>
      </c>
      <c r="E1477" s="73" t="str">
        <f>VLOOKUP(D1477,clientes!$C$3:$D$60,2,FALSE)</f>
        <v>POOL</v>
      </c>
      <c r="F1477" s="77" t="s">
        <v>122</v>
      </c>
      <c r="G1477" s="73" t="str">
        <f>VLOOKUP(F1477,'[2]Lista de Produtos CLASSIFICAÇÃO'!$E$103:$F$114,2,FALSE)</f>
        <v>Óleo Vegetal</v>
      </c>
      <c r="H1477" s="78">
        <v>0</v>
      </c>
    </row>
    <row r="1478" spans="1:8" x14ac:dyDescent="0.25">
      <c r="A1478" s="71">
        <v>2024</v>
      </c>
      <c r="B1478" s="72" t="s">
        <v>226</v>
      </c>
      <c r="C1478" s="73" t="s">
        <v>232</v>
      </c>
      <c r="D1478" s="73" t="s">
        <v>168</v>
      </c>
      <c r="E1478" s="73" t="str">
        <f>VLOOKUP(D1478,clientes!$C$3:$D$60,2,FALSE)</f>
        <v>POOL EXCEDENTE</v>
      </c>
      <c r="F1478" s="73" t="s">
        <v>122</v>
      </c>
      <c r="G1478" s="73" t="str">
        <f>VLOOKUP(F1478,'[2]Lista de Produtos CLASSIFICAÇÃO'!$E$103:$F$114,2,FALSE)</f>
        <v>Óleo Vegetal</v>
      </c>
      <c r="H1478" s="74">
        <v>104500</v>
      </c>
    </row>
    <row r="1479" spans="1:8" x14ac:dyDescent="0.25">
      <c r="A1479" s="75">
        <v>2024</v>
      </c>
      <c r="B1479" s="76" t="s">
        <v>227</v>
      </c>
      <c r="C1479" s="77" t="s">
        <v>232</v>
      </c>
      <c r="D1479" s="77" t="s">
        <v>168</v>
      </c>
      <c r="E1479" s="73" t="str">
        <f>VLOOKUP(D1479,clientes!$C$3:$D$60,2,FALSE)</f>
        <v>POOL EXCEDENTE</v>
      </c>
      <c r="F1479" s="77" t="s">
        <v>122</v>
      </c>
      <c r="G1479" s="73" t="str">
        <f>VLOOKUP(F1479,'[2]Lista de Produtos CLASSIFICAÇÃO'!$E$103:$F$114,2,FALSE)</f>
        <v>Óleo Vegetal</v>
      </c>
      <c r="H1479" s="78">
        <v>104500</v>
      </c>
    </row>
    <row r="1480" spans="1:8" x14ac:dyDescent="0.25">
      <c r="A1480" s="71">
        <v>2024</v>
      </c>
      <c r="B1480" s="72" t="s">
        <v>228</v>
      </c>
      <c r="C1480" s="73" t="s">
        <v>232</v>
      </c>
      <c r="D1480" s="73" t="s">
        <v>168</v>
      </c>
      <c r="E1480" s="73" t="str">
        <f>VLOOKUP(D1480,clientes!$C$3:$D$60,2,FALSE)</f>
        <v>POOL EXCEDENTE</v>
      </c>
      <c r="F1480" s="73" t="s">
        <v>122</v>
      </c>
      <c r="G1480" s="73" t="str">
        <f>VLOOKUP(F1480,'[2]Lista de Produtos CLASSIFICAÇÃO'!$E$103:$F$114,2,FALSE)</f>
        <v>Óleo Vegetal</v>
      </c>
      <c r="H1480" s="74">
        <v>104500</v>
      </c>
    </row>
    <row r="1481" spans="1:8" x14ac:dyDescent="0.25">
      <c r="A1481" s="75">
        <v>2024</v>
      </c>
      <c r="B1481" s="76" t="s">
        <v>229</v>
      </c>
      <c r="C1481" s="77" t="s">
        <v>232</v>
      </c>
      <c r="D1481" s="77" t="s">
        <v>168</v>
      </c>
      <c r="E1481" s="73" t="str">
        <f>VLOOKUP(D1481,clientes!$C$3:$D$60,2,FALSE)</f>
        <v>POOL EXCEDENTE</v>
      </c>
      <c r="F1481" s="77" t="s">
        <v>122</v>
      </c>
      <c r="G1481" s="73" t="str">
        <f>VLOOKUP(F1481,'[2]Lista de Produtos CLASSIFICAÇÃO'!$E$103:$F$114,2,FALSE)</f>
        <v>Óleo Vegetal</v>
      </c>
      <c r="H1481" s="78">
        <v>104500</v>
      </c>
    </row>
    <row r="1482" spans="1:8" x14ac:dyDescent="0.25">
      <c r="A1482" s="71">
        <v>2024</v>
      </c>
      <c r="B1482" s="72" t="s">
        <v>210</v>
      </c>
      <c r="C1482" s="73" t="s">
        <v>232</v>
      </c>
      <c r="D1482" s="73" t="s">
        <v>168</v>
      </c>
      <c r="E1482" s="73" t="str">
        <f>VLOOKUP(D1482,clientes!$C$3:$D$60,2,FALSE)</f>
        <v>POOL EXCEDENTE</v>
      </c>
      <c r="F1482" s="73" t="s">
        <v>122</v>
      </c>
      <c r="G1482" s="73" t="str">
        <f>VLOOKUP(F1482,'[2]Lista de Produtos CLASSIFICAÇÃO'!$E$103:$F$114,2,FALSE)</f>
        <v>Óleo Vegetal</v>
      </c>
      <c r="H1482" s="74">
        <v>104500</v>
      </c>
    </row>
    <row r="1483" spans="1:8" x14ac:dyDescent="0.25">
      <c r="A1483" s="75">
        <v>2024</v>
      </c>
      <c r="B1483" s="76" t="s">
        <v>211</v>
      </c>
      <c r="C1483" s="77" t="s">
        <v>232</v>
      </c>
      <c r="D1483" s="77" t="s">
        <v>168</v>
      </c>
      <c r="E1483" s="73" t="str">
        <f>VLOOKUP(D1483,clientes!$C$3:$D$60,2,FALSE)</f>
        <v>POOL EXCEDENTE</v>
      </c>
      <c r="F1483" s="77" t="s">
        <v>122</v>
      </c>
      <c r="G1483" s="73" t="str">
        <f>VLOOKUP(F1483,'[2]Lista de Produtos CLASSIFICAÇÃO'!$E$103:$F$114,2,FALSE)</f>
        <v>Óleo Vegetal</v>
      </c>
      <c r="H1483" s="78">
        <v>104500</v>
      </c>
    </row>
    <row r="1484" spans="1:8" x14ac:dyDescent="0.25">
      <c r="A1484" s="71">
        <v>2024</v>
      </c>
      <c r="B1484" s="72" t="s">
        <v>212</v>
      </c>
      <c r="C1484" s="73" t="s">
        <v>232</v>
      </c>
      <c r="D1484" s="73" t="s">
        <v>168</v>
      </c>
      <c r="E1484" s="73" t="str">
        <f>VLOOKUP(D1484,clientes!$C$3:$D$60,2,FALSE)</f>
        <v>POOL EXCEDENTE</v>
      </c>
      <c r="F1484" s="73" t="s">
        <v>122</v>
      </c>
      <c r="G1484" s="73" t="str">
        <f>VLOOKUP(F1484,'[2]Lista de Produtos CLASSIFICAÇÃO'!$E$103:$F$114,2,FALSE)</f>
        <v>Óleo Vegetal</v>
      </c>
      <c r="H1484" s="74">
        <v>104500</v>
      </c>
    </row>
    <row r="1485" spans="1:8" x14ac:dyDescent="0.25">
      <c r="A1485" s="75">
        <v>2024</v>
      </c>
      <c r="B1485" s="76" t="s">
        <v>213</v>
      </c>
      <c r="C1485" s="77" t="s">
        <v>232</v>
      </c>
      <c r="D1485" s="77" t="s">
        <v>168</v>
      </c>
      <c r="E1485" s="73" t="str">
        <f>VLOOKUP(D1485,clientes!$C$3:$D$60,2,FALSE)</f>
        <v>POOL EXCEDENTE</v>
      </c>
      <c r="F1485" s="77" t="s">
        <v>122</v>
      </c>
      <c r="G1485" s="73" t="str">
        <f>VLOOKUP(F1485,'[2]Lista de Produtos CLASSIFICAÇÃO'!$E$103:$F$114,2,FALSE)</f>
        <v>Óleo Vegetal</v>
      </c>
      <c r="H1485" s="78">
        <v>104500</v>
      </c>
    </row>
    <row r="1486" spans="1:8" x14ac:dyDescent="0.25">
      <c r="A1486" s="71">
        <v>2024</v>
      </c>
      <c r="B1486" s="72" t="s">
        <v>214</v>
      </c>
      <c r="C1486" s="73" t="s">
        <v>232</v>
      </c>
      <c r="D1486" s="73" t="s">
        <v>168</v>
      </c>
      <c r="E1486" s="73" t="str">
        <f>VLOOKUP(D1486,clientes!$C$3:$D$60,2,FALSE)</f>
        <v>POOL EXCEDENTE</v>
      </c>
      <c r="F1486" s="73" t="s">
        <v>122</v>
      </c>
      <c r="G1486" s="73" t="str">
        <f>VLOOKUP(F1486,'[2]Lista de Produtos CLASSIFICAÇÃO'!$E$103:$F$114,2,FALSE)</f>
        <v>Óleo Vegetal</v>
      </c>
      <c r="H1486" s="74">
        <v>104500</v>
      </c>
    </row>
    <row r="1487" spans="1:8" x14ac:dyDescent="0.25">
      <c r="A1487" s="75">
        <v>2024</v>
      </c>
      <c r="B1487" s="76" t="s">
        <v>215</v>
      </c>
      <c r="C1487" s="77" t="s">
        <v>232</v>
      </c>
      <c r="D1487" s="77" t="s">
        <v>168</v>
      </c>
      <c r="E1487" s="73" t="str">
        <f>VLOOKUP(D1487,clientes!$C$3:$D$60,2,FALSE)</f>
        <v>POOL EXCEDENTE</v>
      </c>
      <c r="F1487" s="77" t="s">
        <v>122</v>
      </c>
      <c r="G1487" s="73" t="str">
        <f>VLOOKUP(F1487,'[2]Lista de Produtos CLASSIFICAÇÃO'!$E$103:$F$114,2,FALSE)</f>
        <v>Óleo Vegetal</v>
      </c>
      <c r="H1487" s="78">
        <v>104500</v>
      </c>
    </row>
    <row r="1488" spans="1:8" x14ac:dyDescent="0.25">
      <c r="A1488" s="71">
        <v>2024</v>
      </c>
      <c r="B1488" s="72" t="s">
        <v>230</v>
      </c>
      <c r="C1488" s="73" t="s">
        <v>232</v>
      </c>
      <c r="D1488" s="73" t="s">
        <v>168</v>
      </c>
      <c r="E1488" s="73" t="str">
        <f>VLOOKUP(D1488,clientes!$C$3:$D$60,2,FALSE)</f>
        <v>POOL EXCEDENTE</v>
      </c>
      <c r="F1488" s="73" t="s">
        <v>122</v>
      </c>
      <c r="G1488" s="73" t="str">
        <f>VLOOKUP(F1488,'[2]Lista de Produtos CLASSIFICAÇÃO'!$E$103:$F$114,2,FALSE)</f>
        <v>Óleo Vegetal</v>
      </c>
      <c r="H1488" s="74">
        <v>104500</v>
      </c>
    </row>
    <row r="1489" spans="1:8" x14ac:dyDescent="0.25">
      <c r="A1489" s="75">
        <v>2024</v>
      </c>
      <c r="B1489" s="76" t="s">
        <v>231</v>
      </c>
      <c r="C1489" s="77" t="s">
        <v>232</v>
      </c>
      <c r="D1489" s="77" t="s">
        <v>168</v>
      </c>
      <c r="E1489" s="73" t="str">
        <f>VLOOKUP(D1489,clientes!$C$3:$D$60,2,FALSE)</f>
        <v>POOL EXCEDENTE</v>
      </c>
      <c r="F1489" s="77" t="s">
        <v>122</v>
      </c>
      <c r="G1489" s="73" t="str">
        <f>VLOOKUP(F1489,'[2]Lista de Produtos CLASSIFICAÇÃO'!$E$103:$F$114,2,FALSE)</f>
        <v>Óleo Vegetal</v>
      </c>
      <c r="H1489" s="78">
        <v>104500</v>
      </c>
    </row>
    <row r="1490" spans="1:8" x14ac:dyDescent="0.25">
      <c r="A1490" s="71">
        <v>2024</v>
      </c>
      <c r="B1490" s="72" t="s">
        <v>226</v>
      </c>
      <c r="C1490" s="73" t="s">
        <v>233</v>
      </c>
      <c r="D1490" s="73" t="s">
        <v>159</v>
      </c>
      <c r="E1490" s="73" t="str">
        <f>VLOOKUP(D1490,clientes!$C$3:$D$60,2,FALSE)</f>
        <v>RAIZEN</v>
      </c>
      <c r="F1490" s="73" t="s">
        <v>120</v>
      </c>
      <c r="G1490" s="73" t="str">
        <f>VLOOKUP(F1490,'[2]Lista de Produtos CLASSIFICAÇÃO'!$E$103:$F$114,2,FALSE)</f>
        <v>Derivados</v>
      </c>
      <c r="H1490" s="74">
        <v>25000</v>
      </c>
    </row>
    <row r="1491" spans="1:8" x14ac:dyDescent="0.25">
      <c r="A1491" s="75">
        <v>2024</v>
      </c>
      <c r="B1491" s="76" t="s">
        <v>227</v>
      </c>
      <c r="C1491" s="77" t="s">
        <v>233</v>
      </c>
      <c r="D1491" s="77" t="s">
        <v>159</v>
      </c>
      <c r="E1491" s="73" t="str">
        <f>VLOOKUP(D1491,clientes!$C$3:$D$60,2,FALSE)</f>
        <v>RAIZEN</v>
      </c>
      <c r="F1491" s="77" t="s">
        <v>120</v>
      </c>
      <c r="G1491" s="73" t="str">
        <f>VLOOKUP(F1491,'[2]Lista de Produtos CLASSIFICAÇÃO'!$E$103:$F$114,2,FALSE)</f>
        <v>Derivados</v>
      </c>
      <c r="H1491" s="78">
        <v>25000</v>
      </c>
    </row>
    <row r="1492" spans="1:8" x14ac:dyDescent="0.25">
      <c r="A1492" s="71">
        <v>2024</v>
      </c>
      <c r="B1492" s="72" t="s">
        <v>228</v>
      </c>
      <c r="C1492" s="73" t="s">
        <v>233</v>
      </c>
      <c r="D1492" s="73" t="s">
        <v>159</v>
      </c>
      <c r="E1492" s="73" t="str">
        <f>VLOOKUP(D1492,clientes!$C$3:$D$60,2,FALSE)</f>
        <v>RAIZEN</v>
      </c>
      <c r="F1492" s="73" t="s">
        <v>120</v>
      </c>
      <c r="G1492" s="73" t="str">
        <f>VLOOKUP(F1492,'[2]Lista de Produtos CLASSIFICAÇÃO'!$E$103:$F$114,2,FALSE)</f>
        <v>Derivados</v>
      </c>
      <c r="H1492" s="74">
        <v>25000</v>
      </c>
    </row>
    <row r="1493" spans="1:8" x14ac:dyDescent="0.25">
      <c r="A1493" s="75">
        <v>2024</v>
      </c>
      <c r="B1493" s="76" t="s">
        <v>229</v>
      </c>
      <c r="C1493" s="77" t="s">
        <v>233</v>
      </c>
      <c r="D1493" s="77" t="s">
        <v>159</v>
      </c>
      <c r="E1493" s="73" t="str">
        <f>VLOOKUP(D1493,clientes!$C$3:$D$60,2,FALSE)</f>
        <v>RAIZEN</v>
      </c>
      <c r="F1493" s="77" t="s">
        <v>120</v>
      </c>
      <c r="G1493" s="73" t="str">
        <f>VLOOKUP(F1493,'[2]Lista de Produtos CLASSIFICAÇÃO'!$E$103:$F$114,2,FALSE)</f>
        <v>Derivados</v>
      </c>
      <c r="H1493" s="78">
        <v>25000</v>
      </c>
    </row>
    <row r="1494" spans="1:8" x14ac:dyDescent="0.25">
      <c r="A1494" s="71">
        <v>2024</v>
      </c>
      <c r="B1494" s="72" t="s">
        <v>210</v>
      </c>
      <c r="C1494" s="73" t="s">
        <v>233</v>
      </c>
      <c r="D1494" s="73" t="s">
        <v>159</v>
      </c>
      <c r="E1494" s="73" t="str">
        <f>VLOOKUP(D1494,clientes!$C$3:$D$60,2,FALSE)</f>
        <v>RAIZEN</v>
      </c>
      <c r="F1494" s="73" t="s">
        <v>120</v>
      </c>
      <c r="G1494" s="73" t="str">
        <f>VLOOKUP(F1494,'[2]Lista de Produtos CLASSIFICAÇÃO'!$E$103:$F$114,2,FALSE)</f>
        <v>Derivados</v>
      </c>
      <c r="H1494" s="74">
        <v>25000</v>
      </c>
    </row>
    <row r="1495" spans="1:8" x14ac:dyDescent="0.25">
      <c r="A1495" s="75">
        <v>2024</v>
      </c>
      <c r="B1495" s="76" t="s">
        <v>211</v>
      </c>
      <c r="C1495" s="77" t="s">
        <v>233</v>
      </c>
      <c r="D1495" s="77" t="s">
        <v>159</v>
      </c>
      <c r="E1495" s="73" t="str">
        <f>VLOOKUP(D1495,clientes!$C$3:$D$60,2,FALSE)</f>
        <v>RAIZEN</v>
      </c>
      <c r="F1495" s="77" t="s">
        <v>120</v>
      </c>
      <c r="G1495" s="73" t="str">
        <f>VLOOKUP(F1495,'[2]Lista de Produtos CLASSIFICAÇÃO'!$E$103:$F$114,2,FALSE)</f>
        <v>Derivados</v>
      </c>
      <c r="H1495" s="78">
        <v>25000</v>
      </c>
    </row>
    <row r="1496" spans="1:8" x14ac:dyDescent="0.25">
      <c r="A1496" s="71">
        <v>2024</v>
      </c>
      <c r="B1496" s="72" t="s">
        <v>212</v>
      </c>
      <c r="C1496" s="73" t="s">
        <v>233</v>
      </c>
      <c r="D1496" s="73" t="s">
        <v>159</v>
      </c>
      <c r="E1496" s="73" t="str">
        <f>VLOOKUP(D1496,clientes!$C$3:$D$60,2,FALSE)</f>
        <v>RAIZEN</v>
      </c>
      <c r="F1496" s="73" t="s">
        <v>120</v>
      </c>
      <c r="G1496" s="73" t="str">
        <f>VLOOKUP(F1496,'[2]Lista de Produtos CLASSIFICAÇÃO'!$E$103:$F$114,2,FALSE)</f>
        <v>Derivados</v>
      </c>
      <c r="H1496" s="74">
        <v>25000</v>
      </c>
    </row>
    <row r="1497" spans="1:8" x14ac:dyDescent="0.25">
      <c r="A1497" s="75">
        <v>2024</v>
      </c>
      <c r="B1497" s="76" t="s">
        <v>213</v>
      </c>
      <c r="C1497" s="77" t="s">
        <v>233</v>
      </c>
      <c r="D1497" s="77" t="s">
        <v>159</v>
      </c>
      <c r="E1497" s="73" t="str">
        <f>VLOOKUP(D1497,clientes!$C$3:$D$60,2,FALSE)</f>
        <v>RAIZEN</v>
      </c>
      <c r="F1497" s="77" t="s">
        <v>120</v>
      </c>
      <c r="G1497" s="73" t="str">
        <f>VLOOKUP(F1497,'[2]Lista de Produtos CLASSIFICAÇÃO'!$E$103:$F$114,2,FALSE)</f>
        <v>Derivados</v>
      </c>
      <c r="H1497" s="78">
        <v>25000</v>
      </c>
    </row>
    <row r="1498" spans="1:8" x14ac:dyDescent="0.25">
      <c r="A1498" s="71">
        <v>2024</v>
      </c>
      <c r="B1498" s="72" t="s">
        <v>214</v>
      </c>
      <c r="C1498" s="73" t="s">
        <v>233</v>
      </c>
      <c r="D1498" s="73" t="s">
        <v>159</v>
      </c>
      <c r="E1498" s="73" t="str">
        <f>VLOOKUP(D1498,clientes!$C$3:$D$60,2,FALSE)</f>
        <v>RAIZEN</v>
      </c>
      <c r="F1498" s="73" t="s">
        <v>120</v>
      </c>
      <c r="G1498" s="73" t="str">
        <f>VLOOKUP(F1498,'[2]Lista de Produtos CLASSIFICAÇÃO'!$E$103:$F$114,2,FALSE)</f>
        <v>Derivados</v>
      </c>
      <c r="H1498" s="74">
        <v>25000</v>
      </c>
    </row>
    <row r="1499" spans="1:8" x14ac:dyDescent="0.25">
      <c r="A1499" s="75">
        <v>2024</v>
      </c>
      <c r="B1499" s="76" t="s">
        <v>215</v>
      </c>
      <c r="C1499" s="77" t="s">
        <v>233</v>
      </c>
      <c r="D1499" s="77" t="s">
        <v>159</v>
      </c>
      <c r="E1499" s="73" t="str">
        <f>VLOOKUP(D1499,clientes!$C$3:$D$60,2,FALSE)</f>
        <v>RAIZEN</v>
      </c>
      <c r="F1499" s="77" t="s">
        <v>120</v>
      </c>
      <c r="G1499" s="73" t="str">
        <f>VLOOKUP(F1499,'[2]Lista de Produtos CLASSIFICAÇÃO'!$E$103:$F$114,2,FALSE)</f>
        <v>Derivados</v>
      </c>
      <c r="H1499" s="78">
        <v>25000</v>
      </c>
    </row>
    <row r="1500" spans="1:8" x14ac:dyDescent="0.25">
      <c r="A1500" s="71">
        <v>2024</v>
      </c>
      <c r="B1500" s="72" t="s">
        <v>230</v>
      </c>
      <c r="C1500" s="73" t="s">
        <v>233</v>
      </c>
      <c r="D1500" s="73" t="s">
        <v>159</v>
      </c>
      <c r="E1500" s="73" t="str">
        <f>VLOOKUP(D1500,clientes!$C$3:$D$60,2,FALSE)</f>
        <v>RAIZEN</v>
      </c>
      <c r="F1500" s="73" t="s">
        <v>120</v>
      </c>
      <c r="G1500" s="73" t="str">
        <f>VLOOKUP(F1500,'[2]Lista de Produtos CLASSIFICAÇÃO'!$E$103:$F$114,2,FALSE)</f>
        <v>Derivados</v>
      </c>
      <c r="H1500" s="74">
        <v>25000</v>
      </c>
    </row>
    <row r="1501" spans="1:8" x14ac:dyDescent="0.25">
      <c r="A1501" s="75">
        <v>2024</v>
      </c>
      <c r="B1501" s="76" t="s">
        <v>231</v>
      </c>
      <c r="C1501" s="77" t="s">
        <v>233</v>
      </c>
      <c r="D1501" s="77" t="s">
        <v>159</v>
      </c>
      <c r="E1501" s="73" t="str">
        <f>VLOOKUP(D1501,clientes!$C$3:$D$60,2,FALSE)</f>
        <v>RAIZEN</v>
      </c>
      <c r="F1501" s="77" t="s">
        <v>120</v>
      </c>
      <c r="G1501" s="73" t="str">
        <f>VLOOKUP(F1501,'[2]Lista de Produtos CLASSIFICAÇÃO'!$E$103:$F$114,2,FALSE)</f>
        <v>Derivados</v>
      </c>
      <c r="H1501" s="78">
        <v>25000</v>
      </c>
    </row>
    <row r="1502" spans="1:8" x14ac:dyDescent="0.25">
      <c r="A1502" s="71">
        <v>2024</v>
      </c>
      <c r="B1502" s="72" t="s">
        <v>226</v>
      </c>
      <c r="C1502" s="73" t="s">
        <v>233</v>
      </c>
      <c r="D1502" s="73" t="s">
        <v>161</v>
      </c>
      <c r="E1502" s="73" t="str">
        <f>VLOOKUP(D1502,clientes!$C$3:$D$60,2,FALSE)</f>
        <v>SUL PLATA</v>
      </c>
      <c r="F1502" s="73" t="s">
        <v>120</v>
      </c>
      <c r="G1502" s="73" t="str">
        <f>VLOOKUP(F1502,'[2]Lista de Produtos CLASSIFICAÇÃO'!$E$103:$F$114,2,FALSE)</f>
        <v>Derivados</v>
      </c>
      <c r="H1502" s="74">
        <v>2900</v>
      </c>
    </row>
    <row r="1503" spans="1:8" x14ac:dyDescent="0.25">
      <c r="A1503" s="75">
        <v>2024</v>
      </c>
      <c r="B1503" s="76" t="s">
        <v>227</v>
      </c>
      <c r="C1503" s="77" t="s">
        <v>233</v>
      </c>
      <c r="D1503" s="77" t="s">
        <v>161</v>
      </c>
      <c r="E1503" s="73" t="str">
        <f>VLOOKUP(D1503,clientes!$C$3:$D$60,2,FALSE)</f>
        <v>SUL PLATA</v>
      </c>
      <c r="F1503" s="77" t="s">
        <v>120</v>
      </c>
      <c r="G1503" s="73" t="str">
        <f>VLOOKUP(F1503,'[2]Lista de Produtos CLASSIFICAÇÃO'!$E$103:$F$114,2,FALSE)</f>
        <v>Derivados</v>
      </c>
      <c r="H1503" s="78">
        <v>2900</v>
      </c>
    </row>
    <row r="1504" spans="1:8" x14ac:dyDescent="0.25">
      <c r="A1504" s="71">
        <v>2024</v>
      </c>
      <c r="B1504" s="72" t="s">
        <v>228</v>
      </c>
      <c r="C1504" s="73" t="s">
        <v>233</v>
      </c>
      <c r="D1504" s="73" t="s">
        <v>161</v>
      </c>
      <c r="E1504" s="73" t="str">
        <f>VLOOKUP(D1504,clientes!$C$3:$D$60,2,FALSE)</f>
        <v>SUL PLATA</v>
      </c>
      <c r="F1504" s="73" t="s">
        <v>120</v>
      </c>
      <c r="G1504" s="73" t="str">
        <f>VLOOKUP(F1504,'[2]Lista de Produtos CLASSIFICAÇÃO'!$E$103:$F$114,2,FALSE)</f>
        <v>Derivados</v>
      </c>
      <c r="H1504" s="74">
        <v>2900</v>
      </c>
    </row>
    <row r="1505" spans="1:8" x14ac:dyDescent="0.25">
      <c r="A1505" s="75">
        <v>2024</v>
      </c>
      <c r="B1505" s="76" t="s">
        <v>229</v>
      </c>
      <c r="C1505" s="77" t="s">
        <v>233</v>
      </c>
      <c r="D1505" s="77" t="s">
        <v>161</v>
      </c>
      <c r="E1505" s="73" t="str">
        <f>VLOOKUP(D1505,clientes!$C$3:$D$60,2,FALSE)</f>
        <v>SUL PLATA</v>
      </c>
      <c r="F1505" s="77" t="s">
        <v>120</v>
      </c>
      <c r="G1505" s="73" t="str">
        <f>VLOOKUP(F1505,'[2]Lista de Produtos CLASSIFICAÇÃO'!$E$103:$F$114,2,FALSE)</f>
        <v>Derivados</v>
      </c>
      <c r="H1505" s="78">
        <v>2900</v>
      </c>
    </row>
    <row r="1506" spans="1:8" x14ac:dyDescent="0.25">
      <c r="A1506" s="71">
        <v>2024</v>
      </c>
      <c r="B1506" s="72" t="s">
        <v>210</v>
      </c>
      <c r="C1506" s="73" t="s">
        <v>233</v>
      </c>
      <c r="D1506" s="73" t="s">
        <v>161</v>
      </c>
      <c r="E1506" s="73" t="str">
        <f>VLOOKUP(D1506,clientes!$C$3:$D$60,2,FALSE)</f>
        <v>SUL PLATA</v>
      </c>
      <c r="F1506" s="73" t="s">
        <v>120</v>
      </c>
      <c r="G1506" s="73" t="str">
        <f>VLOOKUP(F1506,'[2]Lista de Produtos CLASSIFICAÇÃO'!$E$103:$F$114,2,FALSE)</f>
        <v>Derivados</v>
      </c>
      <c r="H1506" s="74">
        <v>2900</v>
      </c>
    </row>
    <row r="1507" spans="1:8" x14ac:dyDescent="0.25">
      <c r="A1507" s="75">
        <v>2024</v>
      </c>
      <c r="B1507" s="76" t="s">
        <v>211</v>
      </c>
      <c r="C1507" s="77" t="s">
        <v>233</v>
      </c>
      <c r="D1507" s="77" t="s">
        <v>161</v>
      </c>
      <c r="E1507" s="73" t="str">
        <f>VLOOKUP(D1507,clientes!$C$3:$D$60,2,FALSE)</f>
        <v>SUL PLATA</v>
      </c>
      <c r="F1507" s="77" t="s">
        <v>120</v>
      </c>
      <c r="G1507" s="73" t="str">
        <f>VLOOKUP(F1507,'[2]Lista de Produtos CLASSIFICAÇÃO'!$E$103:$F$114,2,FALSE)</f>
        <v>Derivados</v>
      </c>
      <c r="H1507" s="78">
        <v>2900</v>
      </c>
    </row>
    <row r="1508" spans="1:8" x14ac:dyDescent="0.25">
      <c r="A1508" s="71">
        <v>2024</v>
      </c>
      <c r="B1508" s="72" t="s">
        <v>212</v>
      </c>
      <c r="C1508" s="73" t="s">
        <v>233</v>
      </c>
      <c r="D1508" s="73" t="s">
        <v>161</v>
      </c>
      <c r="E1508" s="73" t="str">
        <f>VLOOKUP(D1508,clientes!$C$3:$D$60,2,FALSE)</f>
        <v>SUL PLATA</v>
      </c>
      <c r="F1508" s="73" t="s">
        <v>120</v>
      </c>
      <c r="G1508" s="73" t="str">
        <f>VLOOKUP(F1508,'[2]Lista de Produtos CLASSIFICAÇÃO'!$E$103:$F$114,2,FALSE)</f>
        <v>Derivados</v>
      </c>
      <c r="H1508" s="74">
        <v>2900</v>
      </c>
    </row>
    <row r="1509" spans="1:8" x14ac:dyDescent="0.25">
      <c r="A1509" s="75">
        <v>2024</v>
      </c>
      <c r="B1509" s="76" t="s">
        <v>213</v>
      </c>
      <c r="C1509" s="77" t="s">
        <v>233</v>
      </c>
      <c r="D1509" s="77" t="s">
        <v>161</v>
      </c>
      <c r="E1509" s="73" t="str">
        <f>VLOOKUP(D1509,clientes!$C$3:$D$60,2,FALSE)</f>
        <v>SUL PLATA</v>
      </c>
      <c r="F1509" s="77" t="s">
        <v>120</v>
      </c>
      <c r="G1509" s="73" t="str">
        <f>VLOOKUP(F1509,'[2]Lista de Produtos CLASSIFICAÇÃO'!$E$103:$F$114,2,FALSE)</f>
        <v>Derivados</v>
      </c>
      <c r="H1509" s="78">
        <v>2900</v>
      </c>
    </row>
    <row r="1510" spans="1:8" x14ac:dyDescent="0.25">
      <c r="A1510" s="71">
        <v>2024</v>
      </c>
      <c r="B1510" s="72" t="s">
        <v>214</v>
      </c>
      <c r="C1510" s="73" t="s">
        <v>233</v>
      </c>
      <c r="D1510" s="73" t="s">
        <v>161</v>
      </c>
      <c r="E1510" s="73" t="str">
        <f>VLOOKUP(D1510,clientes!$C$3:$D$60,2,FALSE)</f>
        <v>SUL PLATA</v>
      </c>
      <c r="F1510" s="73" t="s">
        <v>120</v>
      </c>
      <c r="G1510" s="73" t="str">
        <f>VLOOKUP(F1510,'[2]Lista de Produtos CLASSIFICAÇÃO'!$E$103:$F$114,2,FALSE)</f>
        <v>Derivados</v>
      </c>
      <c r="H1510" s="74">
        <v>2900</v>
      </c>
    </row>
    <row r="1511" spans="1:8" x14ac:dyDescent="0.25">
      <c r="A1511" s="75">
        <v>2024</v>
      </c>
      <c r="B1511" s="76" t="s">
        <v>215</v>
      </c>
      <c r="C1511" s="77" t="s">
        <v>233</v>
      </c>
      <c r="D1511" s="77" t="s">
        <v>161</v>
      </c>
      <c r="E1511" s="73" t="str">
        <f>VLOOKUP(D1511,clientes!$C$3:$D$60,2,FALSE)</f>
        <v>SUL PLATA</v>
      </c>
      <c r="F1511" s="77" t="s">
        <v>120</v>
      </c>
      <c r="G1511" s="73" t="str">
        <f>VLOOKUP(F1511,'[2]Lista de Produtos CLASSIFICAÇÃO'!$E$103:$F$114,2,FALSE)</f>
        <v>Derivados</v>
      </c>
      <c r="H1511" s="78">
        <v>2900</v>
      </c>
    </row>
    <row r="1512" spans="1:8" x14ac:dyDescent="0.25">
      <c r="A1512" s="71">
        <v>2024</v>
      </c>
      <c r="B1512" s="72" t="s">
        <v>230</v>
      </c>
      <c r="C1512" s="73" t="s">
        <v>233</v>
      </c>
      <c r="D1512" s="73" t="s">
        <v>161</v>
      </c>
      <c r="E1512" s="73" t="str">
        <f>VLOOKUP(D1512,clientes!$C$3:$D$60,2,FALSE)</f>
        <v>SUL PLATA</v>
      </c>
      <c r="F1512" s="73" t="s">
        <v>120</v>
      </c>
      <c r="G1512" s="73" t="str">
        <f>VLOOKUP(F1512,'[2]Lista de Produtos CLASSIFICAÇÃO'!$E$103:$F$114,2,FALSE)</f>
        <v>Derivados</v>
      </c>
      <c r="H1512" s="74">
        <v>2900</v>
      </c>
    </row>
    <row r="1513" spans="1:8" x14ac:dyDescent="0.25">
      <c r="A1513" s="75">
        <v>2024</v>
      </c>
      <c r="B1513" s="76" t="s">
        <v>231</v>
      </c>
      <c r="C1513" s="77" t="s">
        <v>233</v>
      </c>
      <c r="D1513" s="77" t="s">
        <v>161</v>
      </c>
      <c r="E1513" s="73" t="str">
        <f>VLOOKUP(D1513,clientes!$C$3:$D$60,2,FALSE)</f>
        <v>SUL PLATA</v>
      </c>
      <c r="F1513" s="77" t="s">
        <v>120</v>
      </c>
      <c r="G1513" s="73" t="str">
        <f>VLOOKUP(F1513,'[2]Lista de Produtos CLASSIFICAÇÃO'!$E$103:$F$114,2,FALSE)</f>
        <v>Derivados</v>
      </c>
      <c r="H1513" s="78">
        <v>2900</v>
      </c>
    </row>
    <row r="1514" spans="1:8" x14ac:dyDescent="0.25">
      <c r="A1514" s="71">
        <v>2024</v>
      </c>
      <c r="B1514" s="72" t="s">
        <v>226</v>
      </c>
      <c r="C1514" s="73" t="s">
        <v>233</v>
      </c>
      <c r="D1514" s="73" t="s">
        <v>187</v>
      </c>
      <c r="E1514" s="73" t="str">
        <f>VLOOKUP(D1514,clientes!$C$3:$D$60,2,FALSE)</f>
        <v>TEREOS / INPASA / GLENCORE / FS</v>
      </c>
      <c r="F1514" s="73" t="s">
        <v>121</v>
      </c>
      <c r="G1514" s="73" t="str">
        <f>VLOOKUP(F1514,'[2]Lista de Produtos CLASSIFICAÇÃO'!$E$103:$F$114,2,FALSE)</f>
        <v>Biocombustíveis</v>
      </c>
      <c r="H1514" s="74">
        <v>7252</v>
      </c>
    </row>
    <row r="1515" spans="1:8" x14ac:dyDescent="0.25">
      <c r="A1515" s="75">
        <v>2024</v>
      </c>
      <c r="B1515" s="76" t="s">
        <v>227</v>
      </c>
      <c r="C1515" s="77" t="s">
        <v>233</v>
      </c>
      <c r="D1515" s="77" t="s">
        <v>187</v>
      </c>
      <c r="E1515" s="73" t="str">
        <f>VLOOKUP(D1515,clientes!$C$3:$D$60,2,FALSE)</f>
        <v>TEREOS / INPASA / GLENCORE / FS</v>
      </c>
      <c r="F1515" s="77" t="s">
        <v>121</v>
      </c>
      <c r="G1515" s="73" t="str">
        <f>VLOOKUP(F1515,'[2]Lista de Produtos CLASSIFICAÇÃO'!$E$103:$F$114,2,FALSE)</f>
        <v>Biocombustíveis</v>
      </c>
      <c r="H1515" s="78">
        <v>7252</v>
      </c>
    </row>
    <row r="1516" spans="1:8" x14ac:dyDescent="0.25">
      <c r="A1516" s="71">
        <v>2024</v>
      </c>
      <c r="B1516" s="72" t="s">
        <v>228</v>
      </c>
      <c r="C1516" s="73" t="s">
        <v>233</v>
      </c>
      <c r="D1516" s="73" t="s">
        <v>187</v>
      </c>
      <c r="E1516" s="73" t="str">
        <f>VLOOKUP(D1516,clientes!$C$3:$D$60,2,FALSE)</f>
        <v>TEREOS / INPASA / GLENCORE / FS</v>
      </c>
      <c r="F1516" s="73" t="s">
        <v>121</v>
      </c>
      <c r="G1516" s="73" t="str">
        <f>VLOOKUP(F1516,'[2]Lista de Produtos CLASSIFICAÇÃO'!$E$103:$F$114,2,FALSE)</f>
        <v>Biocombustíveis</v>
      </c>
      <c r="H1516" s="74">
        <v>7252</v>
      </c>
    </row>
    <row r="1517" spans="1:8" x14ac:dyDescent="0.25">
      <c r="A1517" s="75">
        <v>2024</v>
      </c>
      <c r="B1517" s="76" t="s">
        <v>229</v>
      </c>
      <c r="C1517" s="77" t="s">
        <v>233</v>
      </c>
      <c r="D1517" s="77" t="s">
        <v>187</v>
      </c>
      <c r="E1517" s="73" t="str">
        <f>VLOOKUP(D1517,clientes!$C$3:$D$60,2,FALSE)</f>
        <v>TEREOS / INPASA / GLENCORE / FS</v>
      </c>
      <c r="F1517" s="77" t="s">
        <v>121</v>
      </c>
      <c r="G1517" s="73" t="str">
        <f>VLOOKUP(F1517,'[2]Lista de Produtos CLASSIFICAÇÃO'!$E$103:$F$114,2,FALSE)</f>
        <v>Biocombustíveis</v>
      </c>
      <c r="H1517" s="78">
        <v>7252</v>
      </c>
    </row>
    <row r="1518" spans="1:8" x14ac:dyDescent="0.25">
      <c r="A1518" s="71">
        <v>2024</v>
      </c>
      <c r="B1518" s="72" t="s">
        <v>210</v>
      </c>
      <c r="C1518" s="73" t="s">
        <v>233</v>
      </c>
      <c r="D1518" s="73" t="s">
        <v>187</v>
      </c>
      <c r="E1518" s="73" t="str">
        <f>VLOOKUP(D1518,clientes!$C$3:$D$60,2,FALSE)</f>
        <v>TEREOS / INPASA / GLENCORE / FS</v>
      </c>
      <c r="F1518" s="73" t="s">
        <v>121</v>
      </c>
      <c r="G1518" s="73" t="str">
        <f>VLOOKUP(F1518,'[2]Lista de Produtos CLASSIFICAÇÃO'!$E$103:$F$114,2,FALSE)</f>
        <v>Biocombustíveis</v>
      </c>
      <c r="H1518" s="74">
        <v>7252</v>
      </c>
    </row>
    <row r="1519" spans="1:8" x14ac:dyDescent="0.25">
      <c r="A1519" s="75">
        <v>2024</v>
      </c>
      <c r="B1519" s="76" t="s">
        <v>211</v>
      </c>
      <c r="C1519" s="77" t="s">
        <v>233</v>
      </c>
      <c r="D1519" s="77" t="s">
        <v>187</v>
      </c>
      <c r="E1519" s="73" t="str">
        <f>VLOOKUP(D1519,clientes!$C$3:$D$60,2,FALSE)</f>
        <v>TEREOS / INPASA / GLENCORE / FS</v>
      </c>
      <c r="F1519" s="77" t="s">
        <v>121</v>
      </c>
      <c r="G1519" s="73" t="str">
        <f>VLOOKUP(F1519,'[2]Lista de Produtos CLASSIFICAÇÃO'!$E$103:$F$114,2,FALSE)</f>
        <v>Biocombustíveis</v>
      </c>
      <c r="H1519" s="78">
        <v>7252</v>
      </c>
    </row>
    <row r="1520" spans="1:8" x14ac:dyDescent="0.25">
      <c r="A1520" s="71">
        <v>2024</v>
      </c>
      <c r="B1520" s="72" t="s">
        <v>212</v>
      </c>
      <c r="C1520" s="73" t="s">
        <v>233</v>
      </c>
      <c r="D1520" s="73" t="s">
        <v>187</v>
      </c>
      <c r="E1520" s="73" t="str">
        <f>VLOOKUP(D1520,clientes!$C$3:$D$60,2,FALSE)</f>
        <v>TEREOS / INPASA / GLENCORE / FS</v>
      </c>
      <c r="F1520" s="73" t="s">
        <v>121</v>
      </c>
      <c r="G1520" s="73" t="str">
        <f>VLOOKUP(F1520,'[2]Lista de Produtos CLASSIFICAÇÃO'!$E$103:$F$114,2,FALSE)</f>
        <v>Biocombustíveis</v>
      </c>
      <c r="H1520" s="74">
        <v>7252</v>
      </c>
    </row>
    <row r="1521" spans="1:8" x14ac:dyDescent="0.25">
      <c r="A1521" s="75">
        <v>2024</v>
      </c>
      <c r="B1521" s="76" t="s">
        <v>213</v>
      </c>
      <c r="C1521" s="77" t="s">
        <v>233</v>
      </c>
      <c r="D1521" s="77" t="s">
        <v>187</v>
      </c>
      <c r="E1521" s="73" t="str">
        <f>VLOOKUP(D1521,clientes!$C$3:$D$60,2,FALSE)</f>
        <v>TEREOS / INPASA / GLENCORE / FS</v>
      </c>
      <c r="F1521" s="77" t="s">
        <v>121</v>
      </c>
      <c r="G1521" s="73" t="str">
        <f>VLOOKUP(F1521,'[2]Lista de Produtos CLASSIFICAÇÃO'!$E$103:$F$114,2,FALSE)</f>
        <v>Biocombustíveis</v>
      </c>
      <c r="H1521" s="78">
        <v>7252</v>
      </c>
    </row>
    <row r="1522" spans="1:8" x14ac:dyDescent="0.25">
      <c r="A1522" s="71">
        <v>2024</v>
      </c>
      <c r="B1522" s="72" t="s">
        <v>214</v>
      </c>
      <c r="C1522" s="73" t="s">
        <v>233</v>
      </c>
      <c r="D1522" s="73" t="s">
        <v>187</v>
      </c>
      <c r="E1522" s="73" t="str">
        <f>VLOOKUP(D1522,clientes!$C$3:$D$60,2,FALSE)</f>
        <v>TEREOS / INPASA / GLENCORE / FS</v>
      </c>
      <c r="F1522" s="73" t="s">
        <v>121</v>
      </c>
      <c r="G1522" s="73" t="str">
        <f>VLOOKUP(F1522,'[2]Lista de Produtos CLASSIFICAÇÃO'!$E$103:$F$114,2,FALSE)</f>
        <v>Biocombustíveis</v>
      </c>
      <c r="H1522" s="74">
        <v>7252</v>
      </c>
    </row>
    <row r="1523" spans="1:8" x14ac:dyDescent="0.25">
      <c r="A1523" s="75">
        <v>2024</v>
      </c>
      <c r="B1523" s="76" t="s">
        <v>215</v>
      </c>
      <c r="C1523" s="77" t="s">
        <v>233</v>
      </c>
      <c r="D1523" s="77" t="s">
        <v>187</v>
      </c>
      <c r="E1523" s="73" t="str">
        <f>VLOOKUP(D1523,clientes!$C$3:$D$60,2,FALSE)</f>
        <v>TEREOS / INPASA / GLENCORE / FS</v>
      </c>
      <c r="F1523" s="77" t="s">
        <v>121</v>
      </c>
      <c r="G1523" s="73" t="str">
        <f>VLOOKUP(F1523,'[2]Lista de Produtos CLASSIFICAÇÃO'!$E$103:$F$114,2,FALSE)</f>
        <v>Biocombustíveis</v>
      </c>
      <c r="H1523" s="78">
        <v>7252</v>
      </c>
    </row>
    <row r="1524" spans="1:8" x14ac:dyDescent="0.25">
      <c r="A1524" s="71">
        <v>2024</v>
      </c>
      <c r="B1524" s="72" t="s">
        <v>230</v>
      </c>
      <c r="C1524" s="73" t="s">
        <v>233</v>
      </c>
      <c r="D1524" s="73" t="s">
        <v>187</v>
      </c>
      <c r="E1524" s="73" t="str">
        <f>VLOOKUP(D1524,clientes!$C$3:$D$60,2,FALSE)</f>
        <v>TEREOS / INPASA / GLENCORE / FS</v>
      </c>
      <c r="F1524" s="73" t="s">
        <v>121</v>
      </c>
      <c r="G1524" s="73" t="str">
        <f>VLOOKUP(F1524,'[2]Lista de Produtos CLASSIFICAÇÃO'!$E$103:$F$114,2,FALSE)</f>
        <v>Biocombustíveis</v>
      </c>
      <c r="H1524" s="74">
        <v>7252</v>
      </c>
    </row>
    <row r="1525" spans="1:8" x14ac:dyDescent="0.25">
      <c r="A1525" s="75">
        <v>2024</v>
      </c>
      <c r="B1525" s="76" t="s">
        <v>231</v>
      </c>
      <c r="C1525" s="77" t="s">
        <v>233</v>
      </c>
      <c r="D1525" s="77" t="s">
        <v>187</v>
      </c>
      <c r="E1525" s="73" t="str">
        <f>VLOOKUP(D1525,clientes!$C$3:$D$60,2,FALSE)</f>
        <v>TEREOS / INPASA / GLENCORE / FS</v>
      </c>
      <c r="F1525" s="77" t="s">
        <v>121</v>
      </c>
      <c r="G1525" s="73" t="str">
        <f>VLOOKUP(F1525,'[2]Lista de Produtos CLASSIFICAÇÃO'!$E$103:$F$114,2,FALSE)</f>
        <v>Biocombustíveis</v>
      </c>
      <c r="H1525" s="78">
        <v>7252</v>
      </c>
    </row>
    <row r="1526" spans="1:8" x14ac:dyDescent="0.25">
      <c r="A1526" s="71">
        <v>2024</v>
      </c>
      <c r="B1526" s="72" t="s">
        <v>226</v>
      </c>
      <c r="C1526" s="73" t="s">
        <v>225</v>
      </c>
      <c r="D1526" s="73" t="s">
        <v>180</v>
      </c>
      <c r="E1526" s="73" t="str">
        <f>VLOOKUP(D1526,clientes!$C$3:$D$60,2,FALSE)</f>
        <v>TRICHEM</v>
      </c>
      <c r="F1526" s="73" t="s">
        <v>30</v>
      </c>
      <c r="G1526" s="73" t="str">
        <f>VLOOKUP(F1526,'[2]Lista de Produtos CLASSIFICAÇÃO'!$E$103:$F$114,2,FALSE)</f>
        <v>Outros</v>
      </c>
      <c r="H1526" s="74">
        <v>2500</v>
      </c>
    </row>
    <row r="1527" spans="1:8" x14ac:dyDescent="0.25">
      <c r="A1527" s="75">
        <v>2024</v>
      </c>
      <c r="B1527" s="76" t="s">
        <v>227</v>
      </c>
      <c r="C1527" s="77" t="s">
        <v>225</v>
      </c>
      <c r="D1527" s="77" t="s">
        <v>180</v>
      </c>
      <c r="E1527" s="73" t="str">
        <f>VLOOKUP(D1527,clientes!$C$3:$D$60,2,FALSE)</f>
        <v>TRICHEM</v>
      </c>
      <c r="F1527" s="77" t="s">
        <v>30</v>
      </c>
      <c r="G1527" s="73" t="str">
        <f>VLOOKUP(F1527,'[2]Lista de Produtos CLASSIFICAÇÃO'!$E$103:$F$114,2,FALSE)</f>
        <v>Outros</v>
      </c>
      <c r="H1527" s="78">
        <v>2500</v>
      </c>
    </row>
    <row r="1528" spans="1:8" x14ac:dyDescent="0.25">
      <c r="A1528" s="71">
        <v>2024</v>
      </c>
      <c r="B1528" s="72" t="s">
        <v>228</v>
      </c>
      <c r="C1528" s="73" t="s">
        <v>225</v>
      </c>
      <c r="D1528" s="73" t="s">
        <v>180</v>
      </c>
      <c r="E1528" s="73" t="str">
        <f>VLOOKUP(D1528,clientes!$C$3:$D$60,2,FALSE)</f>
        <v>TRICHEM</v>
      </c>
      <c r="F1528" s="73" t="s">
        <v>30</v>
      </c>
      <c r="G1528" s="73" t="str">
        <f>VLOOKUP(F1528,'[2]Lista de Produtos CLASSIFICAÇÃO'!$E$103:$F$114,2,FALSE)</f>
        <v>Outros</v>
      </c>
      <c r="H1528" s="74">
        <v>2500</v>
      </c>
    </row>
    <row r="1529" spans="1:8" x14ac:dyDescent="0.25">
      <c r="A1529" s="75">
        <v>2024</v>
      </c>
      <c r="B1529" s="76" t="s">
        <v>229</v>
      </c>
      <c r="C1529" s="77" t="s">
        <v>225</v>
      </c>
      <c r="D1529" s="77" t="s">
        <v>180</v>
      </c>
      <c r="E1529" s="73" t="str">
        <f>VLOOKUP(D1529,clientes!$C$3:$D$60,2,FALSE)</f>
        <v>TRICHEM</v>
      </c>
      <c r="F1529" s="77" t="s">
        <v>30</v>
      </c>
      <c r="G1529" s="73" t="str">
        <f>VLOOKUP(F1529,'[2]Lista de Produtos CLASSIFICAÇÃO'!$E$103:$F$114,2,FALSE)</f>
        <v>Outros</v>
      </c>
      <c r="H1529" s="78">
        <v>2500</v>
      </c>
    </row>
    <row r="1530" spans="1:8" x14ac:dyDescent="0.25">
      <c r="A1530" s="71">
        <v>2024</v>
      </c>
      <c r="B1530" s="72" t="s">
        <v>210</v>
      </c>
      <c r="C1530" s="73" t="s">
        <v>225</v>
      </c>
      <c r="D1530" s="73" t="s">
        <v>180</v>
      </c>
      <c r="E1530" s="73" t="str">
        <f>VLOOKUP(D1530,clientes!$C$3:$D$60,2,FALSE)</f>
        <v>TRICHEM</v>
      </c>
      <c r="F1530" s="73" t="s">
        <v>30</v>
      </c>
      <c r="G1530" s="73" t="str">
        <f>VLOOKUP(F1530,'[2]Lista de Produtos CLASSIFICAÇÃO'!$E$103:$F$114,2,FALSE)</f>
        <v>Outros</v>
      </c>
      <c r="H1530" s="74">
        <v>2500</v>
      </c>
    </row>
    <row r="1531" spans="1:8" x14ac:dyDescent="0.25">
      <c r="A1531" s="75">
        <v>2024</v>
      </c>
      <c r="B1531" s="76" t="s">
        <v>211</v>
      </c>
      <c r="C1531" s="77" t="s">
        <v>225</v>
      </c>
      <c r="D1531" s="77" t="s">
        <v>180</v>
      </c>
      <c r="E1531" s="73" t="str">
        <f>VLOOKUP(D1531,clientes!$C$3:$D$60,2,FALSE)</f>
        <v>TRICHEM</v>
      </c>
      <c r="F1531" s="77" t="s">
        <v>30</v>
      </c>
      <c r="G1531" s="73" t="str">
        <f>VLOOKUP(F1531,'[2]Lista de Produtos CLASSIFICAÇÃO'!$E$103:$F$114,2,FALSE)</f>
        <v>Outros</v>
      </c>
      <c r="H1531" s="78">
        <v>2500</v>
      </c>
    </row>
    <row r="1532" spans="1:8" x14ac:dyDescent="0.25">
      <c r="A1532" s="71">
        <v>2024</v>
      </c>
      <c r="B1532" s="72" t="s">
        <v>212</v>
      </c>
      <c r="C1532" s="73" t="s">
        <v>225</v>
      </c>
      <c r="D1532" s="73" t="s">
        <v>180</v>
      </c>
      <c r="E1532" s="73" t="str">
        <f>VLOOKUP(D1532,clientes!$C$3:$D$60,2,FALSE)</f>
        <v>TRICHEM</v>
      </c>
      <c r="F1532" s="73" t="s">
        <v>30</v>
      </c>
      <c r="G1532" s="73" t="str">
        <f>VLOOKUP(F1532,'[2]Lista de Produtos CLASSIFICAÇÃO'!$E$103:$F$114,2,FALSE)</f>
        <v>Outros</v>
      </c>
      <c r="H1532" s="74">
        <v>2500</v>
      </c>
    </row>
    <row r="1533" spans="1:8" x14ac:dyDescent="0.25">
      <c r="A1533" s="75">
        <v>2024</v>
      </c>
      <c r="B1533" s="76" t="s">
        <v>213</v>
      </c>
      <c r="C1533" s="77" t="s">
        <v>225</v>
      </c>
      <c r="D1533" s="77" t="s">
        <v>180</v>
      </c>
      <c r="E1533" s="73" t="str">
        <f>VLOOKUP(D1533,clientes!$C$3:$D$60,2,FALSE)</f>
        <v>TRICHEM</v>
      </c>
      <c r="F1533" s="77" t="s">
        <v>30</v>
      </c>
      <c r="G1533" s="73" t="str">
        <f>VLOOKUP(F1533,'[2]Lista de Produtos CLASSIFICAÇÃO'!$E$103:$F$114,2,FALSE)</f>
        <v>Outros</v>
      </c>
      <c r="H1533" s="78">
        <v>2500</v>
      </c>
    </row>
    <row r="1534" spans="1:8" x14ac:dyDescent="0.25">
      <c r="A1534" s="71">
        <v>2024</v>
      </c>
      <c r="B1534" s="72" t="s">
        <v>214</v>
      </c>
      <c r="C1534" s="73" t="s">
        <v>225</v>
      </c>
      <c r="D1534" s="73" t="s">
        <v>180</v>
      </c>
      <c r="E1534" s="73" t="str">
        <f>VLOOKUP(D1534,clientes!$C$3:$D$60,2,FALSE)</f>
        <v>TRICHEM</v>
      </c>
      <c r="F1534" s="73" t="s">
        <v>30</v>
      </c>
      <c r="G1534" s="73" t="str">
        <f>VLOOKUP(F1534,'[2]Lista de Produtos CLASSIFICAÇÃO'!$E$103:$F$114,2,FALSE)</f>
        <v>Outros</v>
      </c>
      <c r="H1534" s="74">
        <v>2500</v>
      </c>
    </row>
    <row r="1535" spans="1:8" x14ac:dyDescent="0.25">
      <c r="A1535" s="75">
        <v>2024</v>
      </c>
      <c r="B1535" s="76" t="s">
        <v>215</v>
      </c>
      <c r="C1535" s="77" t="s">
        <v>225</v>
      </c>
      <c r="D1535" s="77" t="s">
        <v>180</v>
      </c>
      <c r="E1535" s="73" t="str">
        <f>VLOOKUP(D1535,clientes!$C$3:$D$60,2,FALSE)</f>
        <v>TRICHEM</v>
      </c>
      <c r="F1535" s="77" t="s">
        <v>30</v>
      </c>
      <c r="G1535" s="73" t="str">
        <f>VLOOKUP(F1535,'[2]Lista de Produtos CLASSIFICAÇÃO'!$E$103:$F$114,2,FALSE)</f>
        <v>Outros</v>
      </c>
      <c r="H1535" s="78">
        <v>2500</v>
      </c>
    </row>
    <row r="1536" spans="1:8" x14ac:dyDescent="0.25">
      <c r="A1536" s="71">
        <v>2024</v>
      </c>
      <c r="B1536" s="72" t="s">
        <v>230</v>
      </c>
      <c r="C1536" s="73" t="s">
        <v>225</v>
      </c>
      <c r="D1536" s="73" t="s">
        <v>180</v>
      </c>
      <c r="E1536" s="73" t="str">
        <f>VLOOKUP(D1536,clientes!$C$3:$D$60,2,FALSE)</f>
        <v>TRICHEM</v>
      </c>
      <c r="F1536" s="73" t="s">
        <v>30</v>
      </c>
      <c r="G1536" s="73" t="str">
        <f>VLOOKUP(F1536,'[2]Lista de Produtos CLASSIFICAÇÃO'!$E$103:$F$114,2,FALSE)</f>
        <v>Outros</v>
      </c>
      <c r="H1536" s="74">
        <v>2500</v>
      </c>
    </row>
    <row r="1537" spans="1:8" x14ac:dyDescent="0.25">
      <c r="A1537" s="75">
        <v>2024</v>
      </c>
      <c r="B1537" s="76" t="s">
        <v>231</v>
      </c>
      <c r="C1537" s="77" t="s">
        <v>225</v>
      </c>
      <c r="D1537" s="77" t="s">
        <v>180</v>
      </c>
      <c r="E1537" s="73" t="str">
        <f>VLOOKUP(D1537,clientes!$C$3:$D$60,2,FALSE)</f>
        <v>TRICHEM</v>
      </c>
      <c r="F1537" s="77" t="s">
        <v>30</v>
      </c>
      <c r="G1537" s="73" t="str">
        <f>VLOOKUP(F1537,'[2]Lista de Produtos CLASSIFICAÇÃO'!$E$103:$F$114,2,FALSE)</f>
        <v>Outros</v>
      </c>
      <c r="H1537" s="78">
        <v>2500</v>
      </c>
    </row>
    <row r="1538" spans="1:8" x14ac:dyDescent="0.25">
      <c r="A1538" s="71">
        <v>2024</v>
      </c>
      <c r="B1538" s="72" t="s">
        <v>226</v>
      </c>
      <c r="C1538" s="73" t="s">
        <v>225</v>
      </c>
      <c r="D1538" s="73" t="s">
        <v>163</v>
      </c>
      <c r="E1538" s="73" t="str">
        <f>VLOOKUP(D1538,clientes!$C$3:$D$60,2,FALSE)</f>
        <v>TRICON ENERGY</v>
      </c>
      <c r="F1538" s="73" t="s">
        <v>115</v>
      </c>
      <c r="G1538" s="73" t="str">
        <f>VLOOKUP(F1538,'[2]Lista de Produtos CLASSIFICAÇÃO'!$E$103:$F$114,2,FALSE)</f>
        <v>Soda Caustica</v>
      </c>
      <c r="H1538" s="74">
        <v>3000</v>
      </c>
    </row>
    <row r="1539" spans="1:8" x14ac:dyDescent="0.25">
      <c r="A1539" s="75">
        <v>2024</v>
      </c>
      <c r="B1539" s="76" t="s">
        <v>227</v>
      </c>
      <c r="C1539" s="77" t="s">
        <v>225</v>
      </c>
      <c r="D1539" s="77" t="s">
        <v>163</v>
      </c>
      <c r="E1539" s="73" t="str">
        <f>VLOOKUP(D1539,clientes!$C$3:$D$60,2,FALSE)</f>
        <v>TRICON ENERGY</v>
      </c>
      <c r="F1539" s="77" t="s">
        <v>115</v>
      </c>
      <c r="G1539" s="73" t="str">
        <f>VLOOKUP(F1539,'[2]Lista de Produtos CLASSIFICAÇÃO'!$E$103:$F$114,2,FALSE)</f>
        <v>Soda Caustica</v>
      </c>
      <c r="H1539" s="78">
        <v>3000</v>
      </c>
    </row>
    <row r="1540" spans="1:8" x14ac:dyDescent="0.25">
      <c r="A1540" s="71">
        <v>2024</v>
      </c>
      <c r="B1540" s="72" t="s">
        <v>228</v>
      </c>
      <c r="C1540" s="73" t="s">
        <v>225</v>
      </c>
      <c r="D1540" s="73" t="s">
        <v>163</v>
      </c>
      <c r="E1540" s="73" t="str">
        <f>VLOOKUP(D1540,clientes!$C$3:$D$60,2,FALSE)</f>
        <v>TRICON ENERGY</v>
      </c>
      <c r="F1540" s="73" t="s">
        <v>115</v>
      </c>
      <c r="G1540" s="73" t="str">
        <f>VLOOKUP(F1540,'[2]Lista de Produtos CLASSIFICAÇÃO'!$E$103:$F$114,2,FALSE)</f>
        <v>Soda Caustica</v>
      </c>
      <c r="H1540" s="74">
        <v>3000</v>
      </c>
    </row>
    <row r="1541" spans="1:8" x14ac:dyDescent="0.25">
      <c r="A1541" s="75">
        <v>2024</v>
      </c>
      <c r="B1541" s="76" t="s">
        <v>229</v>
      </c>
      <c r="C1541" s="77" t="s">
        <v>225</v>
      </c>
      <c r="D1541" s="77" t="s">
        <v>163</v>
      </c>
      <c r="E1541" s="73" t="str">
        <f>VLOOKUP(D1541,clientes!$C$3:$D$60,2,FALSE)</f>
        <v>TRICON ENERGY</v>
      </c>
      <c r="F1541" s="77" t="s">
        <v>115</v>
      </c>
      <c r="G1541" s="73" t="str">
        <f>VLOOKUP(F1541,'[2]Lista de Produtos CLASSIFICAÇÃO'!$E$103:$F$114,2,FALSE)</f>
        <v>Soda Caustica</v>
      </c>
      <c r="H1541" s="78">
        <v>3000</v>
      </c>
    </row>
    <row r="1542" spans="1:8" x14ac:dyDescent="0.25">
      <c r="A1542" s="71">
        <v>2024</v>
      </c>
      <c r="B1542" s="72" t="s">
        <v>210</v>
      </c>
      <c r="C1542" s="73" t="s">
        <v>225</v>
      </c>
      <c r="D1542" s="73" t="s">
        <v>163</v>
      </c>
      <c r="E1542" s="73" t="str">
        <f>VLOOKUP(D1542,clientes!$C$3:$D$60,2,FALSE)</f>
        <v>TRICON ENERGY</v>
      </c>
      <c r="F1542" s="73" t="s">
        <v>115</v>
      </c>
      <c r="G1542" s="73" t="str">
        <f>VLOOKUP(F1542,'[2]Lista de Produtos CLASSIFICAÇÃO'!$E$103:$F$114,2,FALSE)</f>
        <v>Soda Caustica</v>
      </c>
      <c r="H1542" s="74">
        <v>3000</v>
      </c>
    </row>
    <row r="1543" spans="1:8" x14ac:dyDescent="0.25">
      <c r="A1543" s="75">
        <v>2024</v>
      </c>
      <c r="B1543" s="76" t="s">
        <v>211</v>
      </c>
      <c r="C1543" s="77" t="s">
        <v>225</v>
      </c>
      <c r="D1543" s="77" t="s">
        <v>163</v>
      </c>
      <c r="E1543" s="73" t="str">
        <f>VLOOKUP(D1543,clientes!$C$3:$D$60,2,FALSE)</f>
        <v>TRICON ENERGY</v>
      </c>
      <c r="F1543" s="77" t="s">
        <v>115</v>
      </c>
      <c r="G1543" s="73" t="str">
        <f>VLOOKUP(F1543,'[2]Lista de Produtos CLASSIFICAÇÃO'!$E$103:$F$114,2,FALSE)</f>
        <v>Soda Caustica</v>
      </c>
      <c r="H1543" s="78">
        <v>3000</v>
      </c>
    </row>
    <row r="1544" spans="1:8" x14ac:dyDescent="0.25">
      <c r="A1544" s="71">
        <v>2024</v>
      </c>
      <c r="B1544" s="72" t="s">
        <v>212</v>
      </c>
      <c r="C1544" s="73" t="s">
        <v>225</v>
      </c>
      <c r="D1544" s="73" t="s">
        <v>163</v>
      </c>
      <c r="E1544" s="73" t="str">
        <f>VLOOKUP(D1544,clientes!$C$3:$D$60,2,FALSE)</f>
        <v>TRICON ENERGY</v>
      </c>
      <c r="F1544" s="73" t="s">
        <v>115</v>
      </c>
      <c r="G1544" s="73" t="str">
        <f>VLOOKUP(F1544,'[2]Lista de Produtos CLASSIFICAÇÃO'!$E$103:$F$114,2,FALSE)</f>
        <v>Soda Caustica</v>
      </c>
      <c r="H1544" s="74">
        <v>3000</v>
      </c>
    </row>
    <row r="1545" spans="1:8" x14ac:dyDescent="0.25">
      <c r="A1545" s="75">
        <v>2024</v>
      </c>
      <c r="B1545" s="76" t="s">
        <v>213</v>
      </c>
      <c r="C1545" s="77" t="s">
        <v>225</v>
      </c>
      <c r="D1545" s="77" t="s">
        <v>163</v>
      </c>
      <c r="E1545" s="73" t="str">
        <f>VLOOKUP(D1545,clientes!$C$3:$D$60,2,FALSE)</f>
        <v>TRICON ENERGY</v>
      </c>
      <c r="F1545" s="77" t="s">
        <v>115</v>
      </c>
      <c r="G1545" s="73" t="str">
        <f>VLOOKUP(F1545,'[2]Lista de Produtos CLASSIFICAÇÃO'!$E$103:$F$114,2,FALSE)</f>
        <v>Soda Caustica</v>
      </c>
      <c r="H1545" s="78">
        <v>3000</v>
      </c>
    </row>
    <row r="1546" spans="1:8" x14ac:dyDescent="0.25">
      <c r="A1546" s="71">
        <v>2024</v>
      </c>
      <c r="B1546" s="72" t="s">
        <v>214</v>
      </c>
      <c r="C1546" s="73" t="s">
        <v>225</v>
      </c>
      <c r="D1546" s="73" t="s">
        <v>163</v>
      </c>
      <c r="E1546" s="73" t="str">
        <f>VLOOKUP(D1546,clientes!$C$3:$D$60,2,FALSE)</f>
        <v>TRICON ENERGY</v>
      </c>
      <c r="F1546" s="73" t="s">
        <v>115</v>
      </c>
      <c r="G1546" s="73" t="str">
        <f>VLOOKUP(F1546,'[2]Lista de Produtos CLASSIFICAÇÃO'!$E$103:$F$114,2,FALSE)</f>
        <v>Soda Caustica</v>
      </c>
      <c r="H1546" s="74">
        <v>3000</v>
      </c>
    </row>
    <row r="1547" spans="1:8" x14ac:dyDescent="0.25">
      <c r="A1547" s="75">
        <v>2024</v>
      </c>
      <c r="B1547" s="76" t="s">
        <v>215</v>
      </c>
      <c r="C1547" s="77" t="s">
        <v>225</v>
      </c>
      <c r="D1547" s="77" t="s">
        <v>163</v>
      </c>
      <c r="E1547" s="73" t="str">
        <f>VLOOKUP(D1547,clientes!$C$3:$D$60,2,FALSE)</f>
        <v>TRICON ENERGY</v>
      </c>
      <c r="F1547" s="77" t="s">
        <v>115</v>
      </c>
      <c r="G1547" s="73" t="str">
        <f>VLOOKUP(F1547,'[2]Lista de Produtos CLASSIFICAÇÃO'!$E$103:$F$114,2,FALSE)</f>
        <v>Soda Caustica</v>
      </c>
      <c r="H1547" s="78">
        <v>3000</v>
      </c>
    </row>
    <row r="1548" spans="1:8" x14ac:dyDescent="0.25">
      <c r="A1548" s="71">
        <v>2024</v>
      </c>
      <c r="B1548" s="72" t="s">
        <v>230</v>
      </c>
      <c r="C1548" s="73" t="s">
        <v>225</v>
      </c>
      <c r="D1548" s="73" t="s">
        <v>163</v>
      </c>
      <c r="E1548" s="73" t="str">
        <f>VLOOKUP(D1548,clientes!$C$3:$D$60,2,FALSE)</f>
        <v>TRICON ENERGY</v>
      </c>
      <c r="F1548" s="73" t="s">
        <v>115</v>
      </c>
      <c r="G1548" s="73" t="str">
        <f>VLOOKUP(F1548,'[2]Lista de Produtos CLASSIFICAÇÃO'!$E$103:$F$114,2,FALSE)</f>
        <v>Soda Caustica</v>
      </c>
      <c r="H1548" s="74">
        <v>3000</v>
      </c>
    </row>
    <row r="1549" spans="1:8" x14ac:dyDescent="0.25">
      <c r="A1549" s="75">
        <v>2024</v>
      </c>
      <c r="B1549" s="76" t="s">
        <v>231</v>
      </c>
      <c r="C1549" s="77" t="s">
        <v>225</v>
      </c>
      <c r="D1549" s="77" t="s">
        <v>163</v>
      </c>
      <c r="E1549" s="73" t="str">
        <f>VLOOKUP(D1549,clientes!$C$3:$D$60,2,FALSE)</f>
        <v>TRICON ENERGY</v>
      </c>
      <c r="F1549" s="77" t="s">
        <v>115</v>
      </c>
      <c r="G1549" s="73" t="str">
        <f>VLOOKUP(F1549,'[2]Lista de Produtos CLASSIFICAÇÃO'!$E$103:$F$114,2,FALSE)</f>
        <v>Soda Caustica</v>
      </c>
      <c r="H1549" s="78">
        <v>3000</v>
      </c>
    </row>
    <row r="1550" spans="1:8" x14ac:dyDescent="0.25">
      <c r="A1550" s="71">
        <v>2024</v>
      </c>
      <c r="B1550" s="72" t="s">
        <v>226</v>
      </c>
      <c r="C1550" s="73" t="s">
        <v>235</v>
      </c>
      <c r="D1550" s="73" t="s">
        <v>171</v>
      </c>
      <c r="E1550" s="73" t="str">
        <f>VLOOKUP(D1550,clientes!$C$3:$D$60,2,FALSE)</f>
        <v>VALENZ</v>
      </c>
      <c r="F1550" s="73" t="s">
        <v>22</v>
      </c>
      <c r="G1550" s="73" t="str">
        <f>VLOOKUP(F1550,'[2]Lista de Produtos CLASSIFICAÇÃO'!$E$103:$F$114,2,FALSE)</f>
        <v>Metanol</v>
      </c>
      <c r="H1550" s="74">
        <v>4400</v>
      </c>
    </row>
    <row r="1551" spans="1:8" x14ac:dyDescent="0.25">
      <c r="A1551" s="75">
        <v>2024</v>
      </c>
      <c r="B1551" s="76" t="s">
        <v>227</v>
      </c>
      <c r="C1551" s="77" t="s">
        <v>235</v>
      </c>
      <c r="D1551" s="77" t="s">
        <v>171</v>
      </c>
      <c r="E1551" s="73" t="str">
        <f>VLOOKUP(D1551,clientes!$C$3:$D$60,2,FALSE)</f>
        <v>VALENZ</v>
      </c>
      <c r="F1551" s="77" t="s">
        <v>22</v>
      </c>
      <c r="G1551" s="73" t="str">
        <f>VLOOKUP(F1551,'[2]Lista de Produtos CLASSIFICAÇÃO'!$E$103:$F$114,2,FALSE)</f>
        <v>Metanol</v>
      </c>
      <c r="H1551" s="78">
        <v>4400</v>
      </c>
    </row>
    <row r="1552" spans="1:8" x14ac:dyDescent="0.25">
      <c r="A1552" s="71">
        <v>2024</v>
      </c>
      <c r="B1552" s="72" t="s">
        <v>228</v>
      </c>
      <c r="C1552" s="73" t="s">
        <v>235</v>
      </c>
      <c r="D1552" s="73" t="s">
        <v>171</v>
      </c>
      <c r="E1552" s="73" t="str">
        <f>VLOOKUP(D1552,clientes!$C$3:$D$60,2,FALSE)</f>
        <v>VALENZ</v>
      </c>
      <c r="F1552" s="73" t="s">
        <v>22</v>
      </c>
      <c r="G1552" s="73" t="str">
        <f>VLOOKUP(F1552,'[2]Lista de Produtos CLASSIFICAÇÃO'!$E$103:$F$114,2,FALSE)</f>
        <v>Metanol</v>
      </c>
      <c r="H1552" s="74">
        <v>4400</v>
      </c>
    </row>
    <row r="1553" spans="1:8" x14ac:dyDescent="0.25">
      <c r="A1553" s="75">
        <v>2024</v>
      </c>
      <c r="B1553" s="76" t="s">
        <v>229</v>
      </c>
      <c r="C1553" s="77" t="s">
        <v>235</v>
      </c>
      <c r="D1553" s="77" t="s">
        <v>171</v>
      </c>
      <c r="E1553" s="73" t="str">
        <f>VLOOKUP(D1553,clientes!$C$3:$D$60,2,FALSE)</f>
        <v>VALENZ</v>
      </c>
      <c r="F1553" s="77" t="s">
        <v>22</v>
      </c>
      <c r="G1553" s="73" t="str">
        <f>VLOOKUP(F1553,'[2]Lista de Produtos CLASSIFICAÇÃO'!$E$103:$F$114,2,FALSE)</f>
        <v>Metanol</v>
      </c>
      <c r="H1553" s="78">
        <v>4400</v>
      </c>
    </row>
    <row r="1554" spans="1:8" x14ac:dyDescent="0.25">
      <c r="A1554" s="71">
        <v>2024</v>
      </c>
      <c r="B1554" s="72" t="s">
        <v>210</v>
      </c>
      <c r="C1554" s="73" t="s">
        <v>235</v>
      </c>
      <c r="D1554" s="73" t="s">
        <v>171</v>
      </c>
      <c r="E1554" s="73" t="str">
        <f>VLOOKUP(D1554,clientes!$C$3:$D$60,2,FALSE)</f>
        <v>VALENZ</v>
      </c>
      <c r="F1554" s="73" t="s">
        <v>22</v>
      </c>
      <c r="G1554" s="73" t="str">
        <f>VLOOKUP(F1554,'[2]Lista de Produtos CLASSIFICAÇÃO'!$E$103:$F$114,2,FALSE)</f>
        <v>Metanol</v>
      </c>
      <c r="H1554" s="74">
        <v>4400</v>
      </c>
    </row>
    <row r="1555" spans="1:8" x14ac:dyDescent="0.25">
      <c r="A1555" s="75">
        <v>2024</v>
      </c>
      <c r="B1555" s="76" t="s">
        <v>211</v>
      </c>
      <c r="C1555" s="77" t="s">
        <v>235</v>
      </c>
      <c r="D1555" s="77" t="s">
        <v>171</v>
      </c>
      <c r="E1555" s="73" t="str">
        <f>VLOOKUP(D1555,clientes!$C$3:$D$60,2,FALSE)</f>
        <v>VALENZ</v>
      </c>
      <c r="F1555" s="77" t="s">
        <v>22</v>
      </c>
      <c r="G1555" s="73" t="str">
        <f>VLOOKUP(F1555,'[2]Lista de Produtos CLASSIFICAÇÃO'!$E$103:$F$114,2,FALSE)</f>
        <v>Metanol</v>
      </c>
      <c r="H1555" s="78">
        <v>4400</v>
      </c>
    </row>
    <row r="1556" spans="1:8" x14ac:dyDescent="0.25">
      <c r="A1556" s="71">
        <v>2024</v>
      </c>
      <c r="B1556" s="72" t="s">
        <v>212</v>
      </c>
      <c r="C1556" s="73" t="s">
        <v>235</v>
      </c>
      <c r="D1556" s="73" t="s">
        <v>171</v>
      </c>
      <c r="E1556" s="73" t="str">
        <f>VLOOKUP(D1556,clientes!$C$3:$D$60,2,FALSE)</f>
        <v>VALENZ</v>
      </c>
      <c r="F1556" s="73" t="s">
        <v>22</v>
      </c>
      <c r="G1556" s="73" t="str">
        <f>VLOOKUP(F1556,'[2]Lista de Produtos CLASSIFICAÇÃO'!$E$103:$F$114,2,FALSE)</f>
        <v>Metanol</v>
      </c>
      <c r="H1556" s="74">
        <v>4400</v>
      </c>
    </row>
    <row r="1557" spans="1:8" x14ac:dyDescent="0.25">
      <c r="A1557" s="75">
        <v>2024</v>
      </c>
      <c r="B1557" s="76" t="s">
        <v>213</v>
      </c>
      <c r="C1557" s="77" t="s">
        <v>235</v>
      </c>
      <c r="D1557" s="77" t="s">
        <v>171</v>
      </c>
      <c r="E1557" s="73" t="str">
        <f>VLOOKUP(D1557,clientes!$C$3:$D$60,2,FALSE)</f>
        <v>VALENZ</v>
      </c>
      <c r="F1557" s="77" t="s">
        <v>22</v>
      </c>
      <c r="G1557" s="73" t="str">
        <f>VLOOKUP(F1557,'[2]Lista de Produtos CLASSIFICAÇÃO'!$E$103:$F$114,2,FALSE)</f>
        <v>Metanol</v>
      </c>
      <c r="H1557" s="78">
        <v>4400</v>
      </c>
    </row>
    <row r="1558" spans="1:8" x14ac:dyDescent="0.25">
      <c r="A1558" s="71">
        <v>2024</v>
      </c>
      <c r="B1558" s="72" t="s">
        <v>214</v>
      </c>
      <c r="C1558" s="73" t="s">
        <v>235</v>
      </c>
      <c r="D1558" s="73" t="s">
        <v>171</v>
      </c>
      <c r="E1558" s="73" t="str">
        <f>VLOOKUP(D1558,clientes!$C$3:$D$60,2,FALSE)</f>
        <v>VALENZ</v>
      </c>
      <c r="F1558" s="73" t="s">
        <v>22</v>
      </c>
      <c r="G1558" s="73" t="str">
        <f>VLOOKUP(F1558,'[2]Lista de Produtos CLASSIFICAÇÃO'!$E$103:$F$114,2,FALSE)</f>
        <v>Metanol</v>
      </c>
      <c r="H1558" s="74">
        <v>4400</v>
      </c>
    </row>
    <row r="1559" spans="1:8" x14ac:dyDescent="0.25">
      <c r="A1559" s="75">
        <v>2024</v>
      </c>
      <c r="B1559" s="76" t="s">
        <v>215</v>
      </c>
      <c r="C1559" s="77" t="s">
        <v>235</v>
      </c>
      <c r="D1559" s="77" t="s">
        <v>171</v>
      </c>
      <c r="E1559" s="73" t="str">
        <f>VLOOKUP(D1559,clientes!$C$3:$D$60,2,FALSE)</f>
        <v>VALENZ</v>
      </c>
      <c r="F1559" s="77" t="s">
        <v>22</v>
      </c>
      <c r="G1559" s="73" t="str">
        <f>VLOOKUP(F1559,'[2]Lista de Produtos CLASSIFICAÇÃO'!$E$103:$F$114,2,FALSE)</f>
        <v>Metanol</v>
      </c>
      <c r="H1559" s="78">
        <v>4400</v>
      </c>
    </row>
    <row r="1560" spans="1:8" x14ac:dyDescent="0.25">
      <c r="A1560" s="71">
        <v>2024</v>
      </c>
      <c r="B1560" s="72" t="s">
        <v>230</v>
      </c>
      <c r="C1560" s="73" t="s">
        <v>235</v>
      </c>
      <c r="D1560" s="73" t="s">
        <v>171</v>
      </c>
      <c r="E1560" s="73" t="str">
        <f>VLOOKUP(D1560,clientes!$C$3:$D$60,2,FALSE)</f>
        <v>VALENZ</v>
      </c>
      <c r="F1560" s="73" t="s">
        <v>22</v>
      </c>
      <c r="G1560" s="73" t="str">
        <f>VLOOKUP(F1560,'[2]Lista de Produtos CLASSIFICAÇÃO'!$E$103:$F$114,2,FALSE)</f>
        <v>Metanol</v>
      </c>
      <c r="H1560" s="74">
        <v>4400</v>
      </c>
    </row>
    <row r="1561" spans="1:8" x14ac:dyDescent="0.25">
      <c r="A1561" s="75">
        <v>2024</v>
      </c>
      <c r="B1561" s="76" t="s">
        <v>231</v>
      </c>
      <c r="C1561" s="77" t="s">
        <v>235</v>
      </c>
      <c r="D1561" s="77" t="s">
        <v>171</v>
      </c>
      <c r="E1561" s="73" t="str">
        <f>VLOOKUP(D1561,clientes!$C$3:$D$60,2,FALSE)</f>
        <v>VALENZ</v>
      </c>
      <c r="F1561" s="77" t="s">
        <v>22</v>
      </c>
      <c r="G1561" s="73" t="str">
        <f>VLOOKUP(F1561,'[2]Lista de Produtos CLASSIFICAÇÃO'!$E$103:$F$114,2,FALSE)</f>
        <v>Metanol</v>
      </c>
      <c r="H1561" s="78">
        <v>4400</v>
      </c>
    </row>
    <row r="1562" spans="1:8" x14ac:dyDescent="0.25">
      <c r="A1562" s="71">
        <v>2024</v>
      </c>
      <c r="B1562" s="72" t="s">
        <v>226</v>
      </c>
      <c r="C1562" s="73" t="s">
        <v>225</v>
      </c>
      <c r="D1562" s="73" t="s">
        <v>160</v>
      </c>
      <c r="E1562" s="73" t="str">
        <f>VLOOKUP(D1562,clientes!$C$3:$D$60,2,FALSE)</f>
        <v>VIBRA</v>
      </c>
      <c r="F1562" s="73" t="s">
        <v>120</v>
      </c>
      <c r="G1562" s="73" t="str">
        <f>VLOOKUP(F1562,'[2]Lista de Produtos CLASSIFICAÇÃO'!$E$103:$F$114,2,FALSE)</f>
        <v>Derivados</v>
      </c>
      <c r="H1562" s="74">
        <v>45000</v>
      </c>
    </row>
    <row r="1563" spans="1:8" x14ac:dyDescent="0.25">
      <c r="A1563" s="75">
        <v>2024</v>
      </c>
      <c r="B1563" s="76" t="s">
        <v>227</v>
      </c>
      <c r="C1563" s="77" t="s">
        <v>225</v>
      </c>
      <c r="D1563" s="77" t="s">
        <v>160</v>
      </c>
      <c r="E1563" s="73" t="str">
        <f>VLOOKUP(D1563,clientes!$C$3:$D$60,2,FALSE)</f>
        <v>VIBRA</v>
      </c>
      <c r="F1563" s="77" t="s">
        <v>120</v>
      </c>
      <c r="G1563" s="73" t="str">
        <f>VLOOKUP(F1563,'[2]Lista de Produtos CLASSIFICAÇÃO'!$E$103:$F$114,2,FALSE)</f>
        <v>Derivados</v>
      </c>
      <c r="H1563" s="78">
        <v>45000</v>
      </c>
    </row>
    <row r="1564" spans="1:8" x14ac:dyDescent="0.25">
      <c r="A1564" s="71">
        <v>2024</v>
      </c>
      <c r="B1564" s="72" t="s">
        <v>228</v>
      </c>
      <c r="C1564" s="73" t="s">
        <v>225</v>
      </c>
      <c r="D1564" s="73" t="s">
        <v>160</v>
      </c>
      <c r="E1564" s="73" t="str">
        <f>VLOOKUP(D1564,clientes!$C$3:$D$60,2,FALSE)</f>
        <v>VIBRA</v>
      </c>
      <c r="F1564" s="73" t="s">
        <v>120</v>
      </c>
      <c r="G1564" s="73" t="str">
        <f>VLOOKUP(F1564,'[2]Lista de Produtos CLASSIFICAÇÃO'!$E$103:$F$114,2,FALSE)</f>
        <v>Derivados</v>
      </c>
      <c r="H1564" s="74">
        <v>45000</v>
      </c>
    </row>
    <row r="1565" spans="1:8" x14ac:dyDescent="0.25">
      <c r="A1565" s="75">
        <v>2024</v>
      </c>
      <c r="B1565" s="76" t="s">
        <v>229</v>
      </c>
      <c r="C1565" s="77" t="s">
        <v>225</v>
      </c>
      <c r="D1565" s="77" t="s">
        <v>160</v>
      </c>
      <c r="E1565" s="73" t="str">
        <f>VLOOKUP(D1565,clientes!$C$3:$D$60,2,FALSE)</f>
        <v>VIBRA</v>
      </c>
      <c r="F1565" s="77" t="s">
        <v>120</v>
      </c>
      <c r="G1565" s="73" t="str">
        <f>VLOOKUP(F1565,'[2]Lista de Produtos CLASSIFICAÇÃO'!$E$103:$F$114,2,FALSE)</f>
        <v>Derivados</v>
      </c>
      <c r="H1565" s="78">
        <v>45000</v>
      </c>
    </row>
    <row r="1566" spans="1:8" x14ac:dyDescent="0.25">
      <c r="A1566" s="71">
        <v>2024</v>
      </c>
      <c r="B1566" s="72" t="s">
        <v>210</v>
      </c>
      <c r="C1566" s="73" t="s">
        <v>225</v>
      </c>
      <c r="D1566" s="73" t="s">
        <v>160</v>
      </c>
      <c r="E1566" s="73" t="str">
        <f>VLOOKUP(D1566,clientes!$C$3:$D$60,2,FALSE)</f>
        <v>VIBRA</v>
      </c>
      <c r="F1566" s="73" t="s">
        <v>120</v>
      </c>
      <c r="G1566" s="73" t="str">
        <f>VLOOKUP(F1566,'[2]Lista de Produtos CLASSIFICAÇÃO'!$E$103:$F$114,2,FALSE)</f>
        <v>Derivados</v>
      </c>
      <c r="H1566" s="74">
        <v>45000</v>
      </c>
    </row>
    <row r="1567" spans="1:8" x14ac:dyDescent="0.25">
      <c r="A1567" s="75">
        <v>2024</v>
      </c>
      <c r="B1567" s="76" t="s">
        <v>211</v>
      </c>
      <c r="C1567" s="77" t="s">
        <v>225</v>
      </c>
      <c r="D1567" s="77" t="s">
        <v>160</v>
      </c>
      <c r="E1567" s="73" t="str">
        <f>VLOOKUP(D1567,clientes!$C$3:$D$60,2,FALSE)</f>
        <v>VIBRA</v>
      </c>
      <c r="F1567" s="77" t="s">
        <v>120</v>
      </c>
      <c r="G1567" s="73" t="str">
        <f>VLOOKUP(F1567,'[2]Lista de Produtos CLASSIFICAÇÃO'!$E$103:$F$114,2,FALSE)</f>
        <v>Derivados</v>
      </c>
      <c r="H1567" s="78">
        <v>45000</v>
      </c>
    </row>
    <row r="1568" spans="1:8" x14ac:dyDescent="0.25">
      <c r="A1568" s="71">
        <v>2024</v>
      </c>
      <c r="B1568" s="72" t="s">
        <v>212</v>
      </c>
      <c r="C1568" s="73" t="s">
        <v>225</v>
      </c>
      <c r="D1568" s="73" t="s">
        <v>160</v>
      </c>
      <c r="E1568" s="73" t="str">
        <f>VLOOKUP(D1568,clientes!$C$3:$D$60,2,FALSE)</f>
        <v>VIBRA</v>
      </c>
      <c r="F1568" s="73" t="s">
        <v>120</v>
      </c>
      <c r="G1568" s="73" t="str">
        <f>VLOOKUP(F1568,'[2]Lista de Produtos CLASSIFICAÇÃO'!$E$103:$F$114,2,FALSE)</f>
        <v>Derivados</v>
      </c>
      <c r="H1568" s="74">
        <v>45000</v>
      </c>
    </row>
    <row r="1569" spans="1:8" x14ac:dyDescent="0.25">
      <c r="A1569" s="75">
        <v>2024</v>
      </c>
      <c r="B1569" s="76" t="s">
        <v>213</v>
      </c>
      <c r="C1569" s="77" t="s">
        <v>225</v>
      </c>
      <c r="D1569" s="77" t="s">
        <v>160</v>
      </c>
      <c r="E1569" s="73" t="str">
        <f>VLOOKUP(D1569,clientes!$C$3:$D$60,2,FALSE)</f>
        <v>VIBRA</v>
      </c>
      <c r="F1569" s="77" t="s">
        <v>120</v>
      </c>
      <c r="G1569" s="73" t="str">
        <f>VLOOKUP(F1569,'[2]Lista de Produtos CLASSIFICAÇÃO'!$E$103:$F$114,2,FALSE)</f>
        <v>Derivados</v>
      </c>
      <c r="H1569" s="78">
        <v>45000</v>
      </c>
    </row>
    <row r="1570" spans="1:8" x14ac:dyDescent="0.25">
      <c r="A1570" s="71">
        <v>2024</v>
      </c>
      <c r="B1570" s="72" t="s">
        <v>214</v>
      </c>
      <c r="C1570" s="73" t="s">
        <v>225</v>
      </c>
      <c r="D1570" s="73" t="s">
        <v>160</v>
      </c>
      <c r="E1570" s="73" t="str">
        <f>VLOOKUP(D1570,clientes!$C$3:$D$60,2,FALSE)</f>
        <v>VIBRA</v>
      </c>
      <c r="F1570" s="73" t="s">
        <v>120</v>
      </c>
      <c r="G1570" s="73" t="str">
        <f>VLOOKUP(F1570,'[2]Lista de Produtos CLASSIFICAÇÃO'!$E$103:$F$114,2,FALSE)</f>
        <v>Derivados</v>
      </c>
      <c r="H1570" s="74">
        <v>45000</v>
      </c>
    </row>
    <row r="1571" spans="1:8" x14ac:dyDescent="0.25">
      <c r="A1571" s="75">
        <v>2024</v>
      </c>
      <c r="B1571" s="76" t="s">
        <v>215</v>
      </c>
      <c r="C1571" s="77" t="s">
        <v>225</v>
      </c>
      <c r="D1571" s="77" t="s">
        <v>160</v>
      </c>
      <c r="E1571" s="73" t="str">
        <f>VLOOKUP(D1571,clientes!$C$3:$D$60,2,FALSE)</f>
        <v>VIBRA</v>
      </c>
      <c r="F1571" s="77" t="s">
        <v>120</v>
      </c>
      <c r="G1571" s="73" t="str">
        <f>VLOOKUP(F1571,'[2]Lista de Produtos CLASSIFICAÇÃO'!$E$103:$F$114,2,FALSE)</f>
        <v>Derivados</v>
      </c>
      <c r="H1571" s="78">
        <v>45000</v>
      </c>
    </row>
    <row r="1572" spans="1:8" x14ac:dyDescent="0.25">
      <c r="A1572" s="71">
        <v>2024</v>
      </c>
      <c r="B1572" s="72" t="s">
        <v>230</v>
      </c>
      <c r="C1572" s="73" t="s">
        <v>225</v>
      </c>
      <c r="D1572" s="73" t="s">
        <v>160</v>
      </c>
      <c r="E1572" s="73" t="str">
        <f>VLOOKUP(D1572,clientes!$C$3:$D$60,2,FALSE)</f>
        <v>VIBRA</v>
      </c>
      <c r="F1572" s="73" t="s">
        <v>120</v>
      </c>
      <c r="G1572" s="73" t="str">
        <f>VLOOKUP(F1572,'[2]Lista de Produtos CLASSIFICAÇÃO'!$E$103:$F$114,2,FALSE)</f>
        <v>Derivados</v>
      </c>
      <c r="H1572" s="74">
        <v>45000</v>
      </c>
    </row>
    <row r="1573" spans="1:8" x14ac:dyDescent="0.25">
      <c r="A1573" s="75">
        <v>2024</v>
      </c>
      <c r="B1573" s="76" t="s">
        <v>231</v>
      </c>
      <c r="C1573" s="77" t="s">
        <v>225</v>
      </c>
      <c r="D1573" s="77" t="s">
        <v>160</v>
      </c>
      <c r="E1573" s="73" t="str">
        <f>VLOOKUP(D1573,clientes!$C$3:$D$60,2,FALSE)</f>
        <v>VIBRA</v>
      </c>
      <c r="F1573" s="77" t="s">
        <v>120</v>
      </c>
      <c r="G1573" s="73" t="str">
        <f>VLOOKUP(F1573,'[2]Lista de Produtos CLASSIFICAÇÃO'!$E$103:$F$114,2,FALSE)</f>
        <v>Derivados</v>
      </c>
      <c r="H1573" s="78">
        <v>45000</v>
      </c>
    </row>
    <row r="1574" spans="1:8" x14ac:dyDescent="0.25">
      <c r="A1574" s="71">
        <v>2024</v>
      </c>
      <c r="B1574" s="72" t="s">
        <v>226</v>
      </c>
      <c r="C1574" s="73" t="s">
        <v>235</v>
      </c>
      <c r="D1574" s="73" t="s">
        <v>173</v>
      </c>
      <c r="E1574" s="73" t="str">
        <f>VLOOKUP(D1574,clientes!$C$3:$D$60,2,FALSE)</f>
        <v>YPF SOCIEDAD ANONIMA</v>
      </c>
      <c r="F1574" s="73" t="s">
        <v>22</v>
      </c>
      <c r="G1574" s="73" t="str">
        <f>VLOOKUP(F1574,'[2]Lista de Produtos CLASSIFICAÇÃO'!$E$103:$F$114,2,FALSE)</f>
        <v>Metanol</v>
      </c>
      <c r="H1574" s="74">
        <v>4500</v>
      </c>
    </row>
    <row r="1575" spans="1:8" x14ac:dyDescent="0.25">
      <c r="A1575" s="75">
        <v>2024</v>
      </c>
      <c r="B1575" s="76" t="s">
        <v>227</v>
      </c>
      <c r="C1575" s="77" t="s">
        <v>235</v>
      </c>
      <c r="D1575" s="77" t="s">
        <v>173</v>
      </c>
      <c r="E1575" s="73" t="str">
        <f>VLOOKUP(D1575,clientes!$C$3:$D$60,2,FALSE)</f>
        <v>YPF SOCIEDAD ANONIMA</v>
      </c>
      <c r="F1575" s="77" t="s">
        <v>22</v>
      </c>
      <c r="G1575" s="73" t="str">
        <f>VLOOKUP(F1575,'[2]Lista de Produtos CLASSIFICAÇÃO'!$E$103:$F$114,2,FALSE)</f>
        <v>Metanol</v>
      </c>
      <c r="H1575" s="78">
        <v>4500</v>
      </c>
    </row>
    <row r="1576" spans="1:8" x14ac:dyDescent="0.25">
      <c r="A1576" s="71">
        <v>2024</v>
      </c>
      <c r="B1576" s="72" t="s">
        <v>228</v>
      </c>
      <c r="C1576" s="73" t="s">
        <v>235</v>
      </c>
      <c r="D1576" s="73" t="s">
        <v>173</v>
      </c>
      <c r="E1576" s="73" t="str">
        <f>VLOOKUP(D1576,clientes!$C$3:$D$60,2,FALSE)</f>
        <v>YPF SOCIEDAD ANONIMA</v>
      </c>
      <c r="F1576" s="73" t="s">
        <v>22</v>
      </c>
      <c r="G1576" s="73" t="str">
        <f>VLOOKUP(F1576,'[2]Lista de Produtos CLASSIFICAÇÃO'!$E$103:$F$114,2,FALSE)</f>
        <v>Metanol</v>
      </c>
      <c r="H1576" s="74">
        <v>4500</v>
      </c>
    </row>
    <row r="1577" spans="1:8" x14ac:dyDescent="0.25">
      <c r="A1577" s="75">
        <v>2024</v>
      </c>
      <c r="B1577" s="76" t="s">
        <v>229</v>
      </c>
      <c r="C1577" s="77" t="s">
        <v>235</v>
      </c>
      <c r="D1577" s="77" t="s">
        <v>173</v>
      </c>
      <c r="E1577" s="73" t="str">
        <f>VLOOKUP(D1577,clientes!$C$3:$D$60,2,FALSE)</f>
        <v>YPF SOCIEDAD ANONIMA</v>
      </c>
      <c r="F1577" s="77" t="s">
        <v>22</v>
      </c>
      <c r="G1577" s="73" t="str">
        <f>VLOOKUP(F1577,'[2]Lista de Produtos CLASSIFICAÇÃO'!$E$103:$F$114,2,FALSE)</f>
        <v>Metanol</v>
      </c>
      <c r="H1577" s="78">
        <v>4500</v>
      </c>
    </row>
    <row r="1578" spans="1:8" x14ac:dyDescent="0.25">
      <c r="A1578" s="71">
        <v>2024</v>
      </c>
      <c r="B1578" s="72" t="s">
        <v>210</v>
      </c>
      <c r="C1578" s="73" t="s">
        <v>235</v>
      </c>
      <c r="D1578" s="73" t="s">
        <v>173</v>
      </c>
      <c r="E1578" s="73" t="str">
        <f>VLOOKUP(D1578,clientes!$C$3:$D$60,2,FALSE)</f>
        <v>YPF SOCIEDAD ANONIMA</v>
      </c>
      <c r="F1578" s="73" t="s">
        <v>22</v>
      </c>
      <c r="G1578" s="73" t="str">
        <f>VLOOKUP(F1578,'[2]Lista de Produtos CLASSIFICAÇÃO'!$E$103:$F$114,2,FALSE)</f>
        <v>Metanol</v>
      </c>
      <c r="H1578" s="74">
        <v>4500</v>
      </c>
    </row>
    <row r="1579" spans="1:8" x14ac:dyDescent="0.25">
      <c r="A1579" s="75">
        <v>2024</v>
      </c>
      <c r="B1579" s="76" t="s">
        <v>211</v>
      </c>
      <c r="C1579" s="77" t="s">
        <v>235</v>
      </c>
      <c r="D1579" s="77" t="s">
        <v>173</v>
      </c>
      <c r="E1579" s="73" t="str">
        <f>VLOOKUP(D1579,clientes!$C$3:$D$60,2,FALSE)</f>
        <v>YPF SOCIEDAD ANONIMA</v>
      </c>
      <c r="F1579" s="77" t="s">
        <v>22</v>
      </c>
      <c r="G1579" s="73" t="str">
        <f>VLOOKUP(F1579,'[2]Lista de Produtos CLASSIFICAÇÃO'!$E$103:$F$114,2,FALSE)</f>
        <v>Metanol</v>
      </c>
      <c r="H1579" s="78">
        <v>4500</v>
      </c>
    </row>
    <row r="1580" spans="1:8" x14ac:dyDescent="0.25">
      <c r="A1580" s="71">
        <v>2024</v>
      </c>
      <c r="B1580" s="72" t="s">
        <v>212</v>
      </c>
      <c r="C1580" s="73" t="s">
        <v>235</v>
      </c>
      <c r="D1580" s="73" t="s">
        <v>173</v>
      </c>
      <c r="E1580" s="73" t="str">
        <f>VLOOKUP(D1580,clientes!$C$3:$D$60,2,FALSE)</f>
        <v>YPF SOCIEDAD ANONIMA</v>
      </c>
      <c r="F1580" s="73" t="s">
        <v>22</v>
      </c>
      <c r="G1580" s="73" t="str">
        <f>VLOOKUP(F1580,'[2]Lista de Produtos CLASSIFICAÇÃO'!$E$103:$F$114,2,FALSE)</f>
        <v>Metanol</v>
      </c>
      <c r="H1580" s="74">
        <v>4500</v>
      </c>
    </row>
    <row r="1581" spans="1:8" x14ac:dyDescent="0.25">
      <c r="A1581" s="75">
        <v>2024</v>
      </c>
      <c r="B1581" s="76" t="s">
        <v>213</v>
      </c>
      <c r="C1581" s="77" t="s">
        <v>235</v>
      </c>
      <c r="D1581" s="77" t="s">
        <v>173</v>
      </c>
      <c r="E1581" s="73" t="str">
        <f>VLOOKUP(D1581,clientes!$C$3:$D$60,2,FALSE)</f>
        <v>YPF SOCIEDAD ANONIMA</v>
      </c>
      <c r="F1581" s="77" t="s">
        <v>22</v>
      </c>
      <c r="G1581" s="73" t="str">
        <f>VLOOKUP(F1581,'[2]Lista de Produtos CLASSIFICAÇÃO'!$E$103:$F$114,2,FALSE)</f>
        <v>Metanol</v>
      </c>
      <c r="H1581" s="78">
        <v>4500</v>
      </c>
    </row>
    <row r="1582" spans="1:8" x14ac:dyDescent="0.25">
      <c r="A1582" s="71">
        <v>2024</v>
      </c>
      <c r="B1582" s="72" t="s">
        <v>214</v>
      </c>
      <c r="C1582" s="73" t="s">
        <v>235</v>
      </c>
      <c r="D1582" s="73" t="s">
        <v>173</v>
      </c>
      <c r="E1582" s="73" t="str">
        <f>VLOOKUP(D1582,clientes!$C$3:$D$60,2,FALSE)</f>
        <v>YPF SOCIEDAD ANONIMA</v>
      </c>
      <c r="F1582" s="73" t="s">
        <v>22</v>
      </c>
      <c r="G1582" s="73" t="str">
        <f>VLOOKUP(F1582,'[2]Lista de Produtos CLASSIFICAÇÃO'!$E$103:$F$114,2,FALSE)</f>
        <v>Metanol</v>
      </c>
      <c r="H1582" s="74">
        <v>4500</v>
      </c>
    </row>
    <row r="1583" spans="1:8" x14ac:dyDescent="0.25">
      <c r="A1583" s="75">
        <v>2024</v>
      </c>
      <c r="B1583" s="76" t="s">
        <v>215</v>
      </c>
      <c r="C1583" s="77" t="s">
        <v>235</v>
      </c>
      <c r="D1583" s="77" t="s">
        <v>173</v>
      </c>
      <c r="E1583" s="73" t="str">
        <f>VLOOKUP(D1583,clientes!$C$3:$D$60,2,FALSE)</f>
        <v>YPF SOCIEDAD ANONIMA</v>
      </c>
      <c r="F1583" s="77" t="s">
        <v>22</v>
      </c>
      <c r="G1583" s="73" t="str">
        <f>VLOOKUP(F1583,'[2]Lista de Produtos CLASSIFICAÇÃO'!$E$103:$F$114,2,FALSE)</f>
        <v>Metanol</v>
      </c>
      <c r="H1583" s="78">
        <v>4500</v>
      </c>
    </row>
    <row r="1584" spans="1:8" x14ac:dyDescent="0.25">
      <c r="A1584" s="71">
        <v>2024</v>
      </c>
      <c r="B1584" s="72" t="s">
        <v>230</v>
      </c>
      <c r="C1584" s="73" t="s">
        <v>235</v>
      </c>
      <c r="D1584" s="73" t="s">
        <v>173</v>
      </c>
      <c r="E1584" s="73" t="str">
        <f>VLOOKUP(D1584,clientes!$C$3:$D$60,2,FALSE)</f>
        <v>YPF SOCIEDAD ANONIMA</v>
      </c>
      <c r="F1584" s="73" t="s">
        <v>22</v>
      </c>
      <c r="G1584" s="73" t="str">
        <f>VLOOKUP(F1584,'[2]Lista de Produtos CLASSIFICAÇÃO'!$E$103:$F$114,2,FALSE)</f>
        <v>Metanol</v>
      </c>
      <c r="H1584" s="74">
        <v>4500</v>
      </c>
    </row>
    <row r="1585" spans="1:8" x14ac:dyDescent="0.25">
      <c r="A1585" s="75">
        <v>2024</v>
      </c>
      <c r="B1585" s="76" t="s">
        <v>231</v>
      </c>
      <c r="C1585" s="77" t="s">
        <v>235</v>
      </c>
      <c r="D1585" s="77" t="s">
        <v>173</v>
      </c>
      <c r="E1585" s="73" t="str">
        <f>VLOOKUP(D1585,clientes!$C$3:$D$60,2,FALSE)</f>
        <v>YPF SOCIEDAD ANONIMA</v>
      </c>
      <c r="F1585" s="77" t="s">
        <v>22</v>
      </c>
      <c r="G1585" s="73" t="str">
        <f>VLOOKUP(F1585,'[2]Lista de Produtos CLASSIFICAÇÃO'!$E$103:$F$114,2,FALSE)</f>
        <v>Metanol</v>
      </c>
      <c r="H1585" s="78">
        <v>4500</v>
      </c>
    </row>
    <row r="1586" spans="1:8" x14ac:dyDescent="0.25">
      <c r="A1586" s="71">
        <v>2024</v>
      </c>
      <c r="B1586" s="72" t="s">
        <v>226</v>
      </c>
      <c r="C1586" s="73" t="s">
        <v>225</v>
      </c>
      <c r="D1586" s="73" t="s">
        <v>173</v>
      </c>
      <c r="E1586" s="73" t="str">
        <f>VLOOKUP(D1586,clientes!$C$3:$D$60,2,FALSE)</f>
        <v>YPF SOCIEDAD ANONIMA</v>
      </c>
      <c r="F1586" s="73" t="s">
        <v>183</v>
      </c>
      <c r="G1586" s="73" t="str">
        <f>VLOOKUP(F1586,'[2]Lista de Produtos CLASSIFICAÇÃO'!$E$103:$F$114,2,FALSE)</f>
        <v>Outros</v>
      </c>
      <c r="H1586" s="74">
        <v>2826</v>
      </c>
    </row>
    <row r="1587" spans="1:8" x14ac:dyDescent="0.25">
      <c r="A1587" s="75">
        <v>2024</v>
      </c>
      <c r="B1587" s="76" t="s">
        <v>227</v>
      </c>
      <c r="C1587" s="77" t="s">
        <v>225</v>
      </c>
      <c r="D1587" s="77" t="s">
        <v>173</v>
      </c>
      <c r="E1587" s="73" t="str">
        <f>VLOOKUP(D1587,clientes!$C$3:$D$60,2,FALSE)</f>
        <v>YPF SOCIEDAD ANONIMA</v>
      </c>
      <c r="F1587" s="77" t="s">
        <v>183</v>
      </c>
      <c r="G1587" s="73" t="str">
        <f>VLOOKUP(F1587,'[2]Lista de Produtos CLASSIFICAÇÃO'!$E$103:$F$114,2,FALSE)</f>
        <v>Outros</v>
      </c>
      <c r="H1587" s="78">
        <v>2826</v>
      </c>
    </row>
    <row r="1588" spans="1:8" x14ac:dyDescent="0.25">
      <c r="A1588" s="71">
        <v>2024</v>
      </c>
      <c r="B1588" s="72" t="s">
        <v>228</v>
      </c>
      <c r="C1588" s="73" t="s">
        <v>225</v>
      </c>
      <c r="D1588" s="73" t="s">
        <v>173</v>
      </c>
      <c r="E1588" s="73" t="str">
        <f>VLOOKUP(D1588,clientes!$C$3:$D$60,2,FALSE)</f>
        <v>YPF SOCIEDAD ANONIMA</v>
      </c>
      <c r="F1588" s="73" t="s">
        <v>183</v>
      </c>
      <c r="G1588" s="73" t="str">
        <f>VLOOKUP(F1588,'[2]Lista de Produtos CLASSIFICAÇÃO'!$E$103:$F$114,2,FALSE)</f>
        <v>Outros</v>
      </c>
      <c r="H1588" s="74">
        <v>2826</v>
      </c>
    </row>
    <row r="1589" spans="1:8" x14ac:dyDescent="0.25">
      <c r="A1589" s="75">
        <v>2024</v>
      </c>
      <c r="B1589" s="76" t="s">
        <v>229</v>
      </c>
      <c r="C1589" s="77" t="s">
        <v>225</v>
      </c>
      <c r="D1589" s="77" t="s">
        <v>173</v>
      </c>
      <c r="E1589" s="73" t="str">
        <f>VLOOKUP(D1589,clientes!$C$3:$D$60,2,FALSE)</f>
        <v>YPF SOCIEDAD ANONIMA</v>
      </c>
      <c r="F1589" s="77" t="s">
        <v>183</v>
      </c>
      <c r="G1589" s="73" t="str">
        <f>VLOOKUP(F1589,'[2]Lista de Produtos CLASSIFICAÇÃO'!$E$103:$F$114,2,FALSE)</f>
        <v>Outros</v>
      </c>
      <c r="H1589" s="78">
        <v>2826</v>
      </c>
    </row>
    <row r="1590" spans="1:8" x14ac:dyDescent="0.25">
      <c r="A1590" s="71">
        <v>2024</v>
      </c>
      <c r="B1590" s="72" t="s">
        <v>210</v>
      </c>
      <c r="C1590" s="73" t="s">
        <v>225</v>
      </c>
      <c r="D1590" s="73" t="s">
        <v>173</v>
      </c>
      <c r="E1590" s="73" t="str">
        <f>VLOOKUP(D1590,clientes!$C$3:$D$60,2,FALSE)</f>
        <v>YPF SOCIEDAD ANONIMA</v>
      </c>
      <c r="F1590" s="73" t="s">
        <v>183</v>
      </c>
      <c r="G1590" s="73" t="str">
        <f>VLOOKUP(F1590,'[2]Lista de Produtos CLASSIFICAÇÃO'!$E$103:$F$114,2,FALSE)</f>
        <v>Outros</v>
      </c>
      <c r="H1590" s="74">
        <v>2826</v>
      </c>
    </row>
    <row r="1591" spans="1:8" x14ac:dyDescent="0.25">
      <c r="A1591" s="75">
        <v>2024</v>
      </c>
      <c r="B1591" s="76" t="s">
        <v>211</v>
      </c>
      <c r="C1591" s="77" t="s">
        <v>225</v>
      </c>
      <c r="D1591" s="77" t="s">
        <v>173</v>
      </c>
      <c r="E1591" s="73" t="str">
        <f>VLOOKUP(D1591,clientes!$C$3:$D$60,2,FALSE)</f>
        <v>YPF SOCIEDAD ANONIMA</v>
      </c>
      <c r="F1591" s="77" t="s">
        <v>183</v>
      </c>
      <c r="G1591" s="73" t="str">
        <f>VLOOKUP(F1591,'[2]Lista de Produtos CLASSIFICAÇÃO'!$E$103:$F$114,2,FALSE)</f>
        <v>Outros</v>
      </c>
      <c r="H1591" s="78">
        <v>2826</v>
      </c>
    </row>
    <row r="1592" spans="1:8" x14ac:dyDescent="0.25">
      <c r="A1592" s="71">
        <v>2024</v>
      </c>
      <c r="B1592" s="72" t="s">
        <v>212</v>
      </c>
      <c r="C1592" s="73" t="s">
        <v>225</v>
      </c>
      <c r="D1592" s="73" t="s">
        <v>173</v>
      </c>
      <c r="E1592" s="73" t="str">
        <f>VLOOKUP(D1592,clientes!$C$3:$D$60,2,FALSE)</f>
        <v>YPF SOCIEDAD ANONIMA</v>
      </c>
      <c r="F1592" s="73" t="s">
        <v>183</v>
      </c>
      <c r="G1592" s="73" t="str">
        <f>VLOOKUP(F1592,'[2]Lista de Produtos CLASSIFICAÇÃO'!$E$103:$F$114,2,FALSE)</f>
        <v>Outros</v>
      </c>
      <c r="H1592" s="74">
        <v>2826</v>
      </c>
    </row>
    <row r="1593" spans="1:8" x14ac:dyDescent="0.25">
      <c r="A1593" s="75">
        <v>2024</v>
      </c>
      <c r="B1593" s="76" t="s">
        <v>213</v>
      </c>
      <c r="C1593" s="77" t="s">
        <v>225</v>
      </c>
      <c r="D1593" s="77" t="s">
        <v>173</v>
      </c>
      <c r="E1593" s="73" t="str">
        <f>VLOOKUP(D1593,clientes!$C$3:$D$60,2,FALSE)</f>
        <v>YPF SOCIEDAD ANONIMA</v>
      </c>
      <c r="F1593" s="77" t="s">
        <v>183</v>
      </c>
      <c r="G1593" s="73" t="str">
        <f>VLOOKUP(F1593,'[2]Lista de Produtos CLASSIFICAÇÃO'!$E$103:$F$114,2,FALSE)</f>
        <v>Outros</v>
      </c>
      <c r="H1593" s="78">
        <v>2826</v>
      </c>
    </row>
    <row r="1594" spans="1:8" x14ac:dyDescent="0.25">
      <c r="A1594" s="71">
        <v>2024</v>
      </c>
      <c r="B1594" s="72" t="s">
        <v>214</v>
      </c>
      <c r="C1594" s="73" t="s">
        <v>225</v>
      </c>
      <c r="D1594" s="73" t="s">
        <v>173</v>
      </c>
      <c r="E1594" s="73" t="str">
        <f>VLOOKUP(D1594,clientes!$C$3:$D$60,2,FALSE)</f>
        <v>YPF SOCIEDAD ANONIMA</v>
      </c>
      <c r="F1594" s="73" t="s">
        <v>183</v>
      </c>
      <c r="G1594" s="73" t="str">
        <f>VLOOKUP(F1594,'[2]Lista de Produtos CLASSIFICAÇÃO'!$E$103:$F$114,2,FALSE)</f>
        <v>Outros</v>
      </c>
      <c r="H1594" s="74">
        <v>2826</v>
      </c>
    </row>
    <row r="1595" spans="1:8" x14ac:dyDescent="0.25">
      <c r="A1595" s="75">
        <v>2024</v>
      </c>
      <c r="B1595" s="76" t="s">
        <v>215</v>
      </c>
      <c r="C1595" s="77" t="s">
        <v>225</v>
      </c>
      <c r="D1595" s="77" t="s">
        <v>173</v>
      </c>
      <c r="E1595" s="73" t="str">
        <f>VLOOKUP(D1595,clientes!$C$3:$D$60,2,FALSE)</f>
        <v>YPF SOCIEDAD ANONIMA</v>
      </c>
      <c r="F1595" s="77" t="s">
        <v>183</v>
      </c>
      <c r="G1595" s="73" t="str">
        <f>VLOOKUP(F1595,'[2]Lista de Produtos CLASSIFICAÇÃO'!$E$103:$F$114,2,FALSE)</f>
        <v>Outros</v>
      </c>
      <c r="H1595" s="78">
        <v>2826</v>
      </c>
    </row>
    <row r="1596" spans="1:8" x14ac:dyDescent="0.25">
      <c r="A1596" s="71">
        <v>2024</v>
      </c>
      <c r="B1596" s="72" t="s">
        <v>230</v>
      </c>
      <c r="C1596" s="73" t="s">
        <v>225</v>
      </c>
      <c r="D1596" s="73" t="s">
        <v>173</v>
      </c>
      <c r="E1596" s="73" t="str">
        <f>VLOOKUP(D1596,clientes!$C$3:$D$60,2,FALSE)</f>
        <v>YPF SOCIEDAD ANONIMA</v>
      </c>
      <c r="F1596" s="73" t="s">
        <v>183</v>
      </c>
      <c r="G1596" s="73" t="str">
        <f>VLOOKUP(F1596,'[2]Lista de Produtos CLASSIFICAÇÃO'!$E$103:$F$114,2,FALSE)</f>
        <v>Outros</v>
      </c>
      <c r="H1596" s="74">
        <v>2826</v>
      </c>
    </row>
    <row r="1597" spans="1:8" x14ac:dyDescent="0.25">
      <c r="A1597" s="75">
        <v>2024</v>
      </c>
      <c r="B1597" s="76" t="s">
        <v>231</v>
      </c>
      <c r="C1597" s="77" t="s">
        <v>225</v>
      </c>
      <c r="D1597" s="77" t="s">
        <v>173</v>
      </c>
      <c r="E1597" s="73" t="str">
        <f>VLOOKUP(D1597,clientes!$C$3:$D$60,2,FALSE)</f>
        <v>YPF SOCIEDAD ANONIMA</v>
      </c>
      <c r="F1597" s="77" t="s">
        <v>183</v>
      </c>
      <c r="G1597" s="73" t="str">
        <f>VLOOKUP(F1597,'[2]Lista de Produtos CLASSIFICAÇÃO'!$E$103:$F$114,2,FALSE)</f>
        <v>Outros</v>
      </c>
      <c r="H1597" s="78">
        <v>2826</v>
      </c>
    </row>
    <row r="1598" spans="1:8" x14ac:dyDescent="0.25">
      <c r="A1598" s="71">
        <v>2025</v>
      </c>
      <c r="B1598" s="72" t="s">
        <v>226</v>
      </c>
      <c r="C1598" s="73" t="s">
        <v>232</v>
      </c>
      <c r="D1598" s="73" t="s">
        <v>175</v>
      </c>
      <c r="E1598" s="73" t="str">
        <f>VLOOKUP(D1598,clientes!$C$3:$D$60,2,FALSE)</f>
        <v>AAK DO BRASIL</v>
      </c>
      <c r="F1598" s="73" t="s">
        <v>123</v>
      </c>
      <c r="G1598" s="73" t="str">
        <f>VLOOKUP(F1598,'[2]Lista de Produtos CLASSIFICAÇÃO'!$E$103:$F$114,2,FALSE)</f>
        <v>Aquecidos</v>
      </c>
      <c r="H1598" s="74">
        <v>10600</v>
      </c>
    </row>
    <row r="1599" spans="1:8" x14ac:dyDescent="0.25">
      <c r="A1599" s="75">
        <v>2025</v>
      </c>
      <c r="B1599" s="76" t="s">
        <v>227</v>
      </c>
      <c r="C1599" s="77" t="s">
        <v>232</v>
      </c>
      <c r="D1599" s="77" t="s">
        <v>175</v>
      </c>
      <c r="E1599" s="73" t="str">
        <f>VLOOKUP(D1599,clientes!$C$3:$D$60,2,FALSE)</f>
        <v>AAK DO BRASIL</v>
      </c>
      <c r="F1599" s="77" t="s">
        <v>123</v>
      </c>
      <c r="G1599" s="73" t="str">
        <f>VLOOKUP(F1599,'[2]Lista de Produtos CLASSIFICAÇÃO'!$E$103:$F$114,2,FALSE)</f>
        <v>Aquecidos</v>
      </c>
      <c r="H1599" s="78">
        <v>10600</v>
      </c>
    </row>
    <row r="1600" spans="1:8" x14ac:dyDescent="0.25">
      <c r="A1600" s="71">
        <v>2025</v>
      </c>
      <c r="B1600" s="72" t="s">
        <v>228</v>
      </c>
      <c r="C1600" s="73" t="s">
        <v>232</v>
      </c>
      <c r="D1600" s="73" t="s">
        <v>175</v>
      </c>
      <c r="E1600" s="73" t="str">
        <f>VLOOKUP(D1600,clientes!$C$3:$D$60,2,FALSE)</f>
        <v>AAK DO BRASIL</v>
      </c>
      <c r="F1600" s="73" t="s">
        <v>123</v>
      </c>
      <c r="G1600" s="73" t="str">
        <f>VLOOKUP(F1600,'[2]Lista de Produtos CLASSIFICAÇÃO'!$E$103:$F$114,2,FALSE)</f>
        <v>Aquecidos</v>
      </c>
      <c r="H1600" s="74">
        <v>10600</v>
      </c>
    </row>
    <row r="1601" spans="1:8" x14ac:dyDescent="0.25">
      <c r="A1601" s="75">
        <v>2025</v>
      </c>
      <c r="B1601" s="76" t="s">
        <v>229</v>
      </c>
      <c r="C1601" s="77" t="s">
        <v>232</v>
      </c>
      <c r="D1601" s="77" t="s">
        <v>175</v>
      </c>
      <c r="E1601" s="73" t="str">
        <f>VLOOKUP(D1601,clientes!$C$3:$D$60,2,FALSE)</f>
        <v>AAK DO BRASIL</v>
      </c>
      <c r="F1601" s="77" t="s">
        <v>123</v>
      </c>
      <c r="G1601" s="73" t="str">
        <f>VLOOKUP(F1601,'[2]Lista de Produtos CLASSIFICAÇÃO'!$E$103:$F$114,2,FALSE)</f>
        <v>Aquecidos</v>
      </c>
      <c r="H1601" s="78">
        <v>10600</v>
      </c>
    </row>
    <row r="1602" spans="1:8" x14ac:dyDescent="0.25">
      <c r="A1602" s="71">
        <v>2025</v>
      </c>
      <c r="B1602" s="72" t="s">
        <v>210</v>
      </c>
      <c r="C1602" s="73" t="s">
        <v>232</v>
      </c>
      <c r="D1602" s="73" t="s">
        <v>175</v>
      </c>
      <c r="E1602" s="73" t="str">
        <f>VLOOKUP(D1602,clientes!$C$3:$D$60,2,FALSE)</f>
        <v>AAK DO BRASIL</v>
      </c>
      <c r="F1602" s="73" t="s">
        <v>123</v>
      </c>
      <c r="G1602" s="73" t="str">
        <f>VLOOKUP(F1602,'[2]Lista de Produtos CLASSIFICAÇÃO'!$E$103:$F$114,2,FALSE)</f>
        <v>Aquecidos</v>
      </c>
      <c r="H1602" s="74">
        <v>10600</v>
      </c>
    </row>
    <row r="1603" spans="1:8" x14ac:dyDescent="0.25">
      <c r="A1603" s="75">
        <v>2025</v>
      </c>
      <c r="B1603" s="76" t="s">
        <v>211</v>
      </c>
      <c r="C1603" s="77" t="s">
        <v>232</v>
      </c>
      <c r="D1603" s="77" t="s">
        <v>175</v>
      </c>
      <c r="E1603" s="73" t="str">
        <f>VLOOKUP(D1603,clientes!$C$3:$D$60,2,FALSE)</f>
        <v>AAK DO BRASIL</v>
      </c>
      <c r="F1603" s="77" t="s">
        <v>123</v>
      </c>
      <c r="G1603" s="73" t="str">
        <f>VLOOKUP(F1603,'[2]Lista de Produtos CLASSIFICAÇÃO'!$E$103:$F$114,2,FALSE)</f>
        <v>Aquecidos</v>
      </c>
      <c r="H1603" s="78">
        <v>10600</v>
      </c>
    </row>
    <row r="1604" spans="1:8" x14ac:dyDescent="0.25">
      <c r="A1604" s="71">
        <v>2025</v>
      </c>
      <c r="B1604" s="72" t="s">
        <v>212</v>
      </c>
      <c r="C1604" s="73" t="s">
        <v>232</v>
      </c>
      <c r="D1604" s="73" t="s">
        <v>175</v>
      </c>
      <c r="E1604" s="73" t="str">
        <f>VLOOKUP(D1604,clientes!$C$3:$D$60,2,FALSE)</f>
        <v>AAK DO BRASIL</v>
      </c>
      <c r="F1604" s="73" t="s">
        <v>123</v>
      </c>
      <c r="G1604" s="73" t="str">
        <f>VLOOKUP(F1604,'[2]Lista de Produtos CLASSIFICAÇÃO'!$E$103:$F$114,2,FALSE)</f>
        <v>Aquecidos</v>
      </c>
      <c r="H1604" s="74">
        <v>10600</v>
      </c>
    </row>
    <row r="1605" spans="1:8" x14ac:dyDescent="0.25">
      <c r="A1605" s="75">
        <v>2025</v>
      </c>
      <c r="B1605" s="76" t="s">
        <v>213</v>
      </c>
      <c r="C1605" s="77" t="s">
        <v>232</v>
      </c>
      <c r="D1605" s="77" t="s">
        <v>175</v>
      </c>
      <c r="E1605" s="73" t="str">
        <f>VLOOKUP(D1605,clientes!$C$3:$D$60,2,FALSE)</f>
        <v>AAK DO BRASIL</v>
      </c>
      <c r="F1605" s="77" t="s">
        <v>123</v>
      </c>
      <c r="G1605" s="73" t="str">
        <f>VLOOKUP(F1605,'[2]Lista de Produtos CLASSIFICAÇÃO'!$E$103:$F$114,2,FALSE)</f>
        <v>Aquecidos</v>
      </c>
      <c r="H1605" s="78">
        <v>10600</v>
      </c>
    </row>
    <row r="1606" spans="1:8" x14ac:dyDescent="0.25">
      <c r="A1606" s="71">
        <v>2025</v>
      </c>
      <c r="B1606" s="72" t="s">
        <v>214</v>
      </c>
      <c r="C1606" s="73" t="s">
        <v>232</v>
      </c>
      <c r="D1606" s="73" t="s">
        <v>175</v>
      </c>
      <c r="E1606" s="73" t="str">
        <f>VLOOKUP(D1606,clientes!$C$3:$D$60,2,FALSE)</f>
        <v>AAK DO BRASIL</v>
      </c>
      <c r="F1606" s="73" t="s">
        <v>123</v>
      </c>
      <c r="G1606" s="73" t="str">
        <f>VLOOKUP(F1606,'[2]Lista de Produtos CLASSIFICAÇÃO'!$E$103:$F$114,2,FALSE)</f>
        <v>Aquecidos</v>
      </c>
      <c r="H1606" s="74">
        <v>10600</v>
      </c>
    </row>
    <row r="1607" spans="1:8" x14ac:dyDescent="0.25">
      <c r="A1607" s="75">
        <v>2025</v>
      </c>
      <c r="B1607" s="76" t="s">
        <v>215</v>
      </c>
      <c r="C1607" s="77" t="s">
        <v>232</v>
      </c>
      <c r="D1607" s="77" t="s">
        <v>175</v>
      </c>
      <c r="E1607" s="73" t="str">
        <f>VLOOKUP(D1607,clientes!$C$3:$D$60,2,FALSE)</f>
        <v>AAK DO BRASIL</v>
      </c>
      <c r="F1607" s="77" t="s">
        <v>123</v>
      </c>
      <c r="G1607" s="73" t="str">
        <f>VLOOKUP(F1607,'[2]Lista de Produtos CLASSIFICAÇÃO'!$E$103:$F$114,2,FALSE)</f>
        <v>Aquecidos</v>
      </c>
      <c r="H1607" s="78">
        <v>10600</v>
      </c>
    </row>
    <row r="1608" spans="1:8" x14ac:dyDescent="0.25">
      <c r="A1608" s="71">
        <v>2025</v>
      </c>
      <c r="B1608" s="72" t="s">
        <v>230</v>
      </c>
      <c r="C1608" s="73" t="s">
        <v>232</v>
      </c>
      <c r="D1608" s="73" t="s">
        <v>175</v>
      </c>
      <c r="E1608" s="73" t="str">
        <f>VLOOKUP(D1608,clientes!$C$3:$D$60,2,FALSE)</f>
        <v>AAK DO BRASIL</v>
      </c>
      <c r="F1608" s="73" t="s">
        <v>123</v>
      </c>
      <c r="G1608" s="73" t="str">
        <f>VLOOKUP(F1608,'[2]Lista de Produtos CLASSIFICAÇÃO'!$E$103:$F$114,2,FALSE)</f>
        <v>Aquecidos</v>
      </c>
      <c r="H1608" s="74">
        <v>10600</v>
      </c>
    </row>
    <row r="1609" spans="1:8" x14ac:dyDescent="0.25">
      <c r="A1609" s="75">
        <v>2025</v>
      </c>
      <c r="B1609" s="76" t="s">
        <v>231</v>
      </c>
      <c r="C1609" s="77" t="s">
        <v>232</v>
      </c>
      <c r="D1609" s="77" t="s">
        <v>175</v>
      </c>
      <c r="E1609" s="73" t="str">
        <f>VLOOKUP(D1609,clientes!$C$3:$D$60,2,FALSE)</f>
        <v>AAK DO BRASIL</v>
      </c>
      <c r="F1609" s="77" t="s">
        <v>123</v>
      </c>
      <c r="G1609" s="73" t="str">
        <f>VLOOKUP(F1609,'[2]Lista de Produtos CLASSIFICAÇÃO'!$E$103:$F$114,2,FALSE)</f>
        <v>Aquecidos</v>
      </c>
      <c r="H1609" s="78">
        <v>10600</v>
      </c>
    </row>
    <row r="1610" spans="1:8" x14ac:dyDescent="0.25">
      <c r="A1610" s="71">
        <v>2025</v>
      </c>
      <c r="B1610" s="72" t="s">
        <v>226</v>
      </c>
      <c r="C1610" s="73" t="s">
        <v>225</v>
      </c>
      <c r="D1610" s="73" t="s">
        <v>157</v>
      </c>
      <c r="E1610" s="73" t="str">
        <f>VLOOKUP(D1610,clientes!$C$3:$D$60,2,FALSE)</f>
        <v>ADM</v>
      </c>
      <c r="F1610" s="73" t="s">
        <v>122</v>
      </c>
      <c r="G1610" s="73" t="str">
        <f>VLOOKUP(F1610,'[2]Lista de Produtos CLASSIFICAÇÃO'!$E$103:$F$114,2,FALSE)</f>
        <v>Óleo Vegetal</v>
      </c>
      <c r="H1610" s="74">
        <v>3000</v>
      </c>
    </row>
    <row r="1611" spans="1:8" x14ac:dyDescent="0.25">
      <c r="A1611" s="75">
        <v>2025</v>
      </c>
      <c r="B1611" s="76" t="s">
        <v>227</v>
      </c>
      <c r="C1611" s="77" t="s">
        <v>225</v>
      </c>
      <c r="D1611" s="77" t="s">
        <v>157</v>
      </c>
      <c r="E1611" s="73" t="str">
        <f>VLOOKUP(D1611,clientes!$C$3:$D$60,2,FALSE)</f>
        <v>ADM</v>
      </c>
      <c r="F1611" s="77" t="s">
        <v>122</v>
      </c>
      <c r="G1611" s="73" t="str">
        <f>VLOOKUP(F1611,'[2]Lista de Produtos CLASSIFICAÇÃO'!$E$103:$F$114,2,FALSE)</f>
        <v>Óleo Vegetal</v>
      </c>
      <c r="H1611" s="78">
        <v>3000</v>
      </c>
    </row>
    <row r="1612" spans="1:8" x14ac:dyDescent="0.25">
      <c r="A1612" s="71">
        <v>2025</v>
      </c>
      <c r="B1612" s="72" t="s">
        <v>228</v>
      </c>
      <c r="C1612" s="73" t="s">
        <v>225</v>
      </c>
      <c r="D1612" s="73" t="s">
        <v>157</v>
      </c>
      <c r="E1612" s="73" t="str">
        <f>VLOOKUP(D1612,clientes!$C$3:$D$60,2,FALSE)</f>
        <v>ADM</v>
      </c>
      <c r="F1612" s="73" t="s">
        <v>122</v>
      </c>
      <c r="G1612" s="73" t="str">
        <f>VLOOKUP(F1612,'[2]Lista de Produtos CLASSIFICAÇÃO'!$E$103:$F$114,2,FALSE)</f>
        <v>Óleo Vegetal</v>
      </c>
      <c r="H1612" s="74">
        <v>3000</v>
      </c>
    </row>
    <row r="1613" spans="1:8" x14ac:dyDescent="0.25">
      <c r="A1613" s="75">
        <v>2025</v>
      </c>
      <c r="B1613" s="76" t="s">
        <v>229</v>
      </c>
      <c r="C1613" s="77" t="s">
        <v>225</v>
      </c>
      <c r="D1613" s="77" t="s">
        <v>157</v>
      </c>
      <c r="E1613" s="73" t="str">
        <f>VLOOKUP(D1613,clientes!$C$3:$D$60,2,FALSE)</f>
        <v>ADM</v>
      </c>
      <c r="F1613" s="77" t="s">
        <v>122</v>
      </c>
      <c r="G1613" s="73" t="str">
        <f>VLOOKUP(F1613,'[2]Lista de Produtos CLASSIFICAÇÃO'!$E$103:$F$114,2,FALSE)</f>
        <v>Óleo Vegetal</v>
      </c>
      <c r="H1613" s="78">
        <v>3000</v>
      </c>
    </row>
    <row r="1614" spans="1:8" x14ac:dyDescent="0.25">
      <c r="A1614" s="71">
        <v>2025</v>
      </c>
      <c r="B1614" s="72" t="s">
        <v>210</v>
      </c>
      <c r="C1614" s="73" t="s">
        <v>225</v>
      </c>
      <c r="D1614" s="73" t="s">
        <v>157</v>
      </c>
      <c r="E1614" s="73" t="str">
        <f>VLOOKUP(D1614,clientes!$C$3:$D$60,2,FALSE)</f>
        <v>ADM</v>
      </c>
      <c r="F1614" s="73" t="s">
        <v>122</v>
      </c>
      <c r="G1614" s="73" t="str">
        <f>VLOOKUP(F1614,'[2]Lista de Produtos CLASSIFICAÇÃO'!$E$103:$F$114,2,FALSE)</f>
        <v>Óleo Vegetal</v>
      </c>
      <c r="H1614" s="74">
        <v>3000</v>
      </c>
    </row>
    <row r="1615" spans="1:8" x14ac:dyDescent="0.25">
      <c r="A1615" s="75">
        <v>2025</v>
      </c>
      <c r="B1615" s="76" t="s">
        <v>211</v>
      </c>
      <c r="C1615" s="77" t="s">
        <v>225</v>
      </c>
      <c r="D1615" s="77" t="s">
        <v>157</v>
      </c>
      <c r="E1615" s="73" t="str">
        <f>VLOOKUP(D1615,clientes!$C$3:$D$60,2,FALSE)</f>
        <v>ADM</v>
      </c>
      <c r="F1615" s="77" t="s">
        <v>122</v>
      </c>
      <c r="G1615" s="73" t="str">
        <f>VLOOKUP(F1615,'[2]Lista de Produtos CLASSIFICAÇÃO'!$E$103:$F$114,2,FALSE)</f>
        <v>Óleo Vegetal</v>
      </c>
      <c r="H1615" s="78">
        <v>3000</v>
      </c>
    </row>
    <row r="1616" spans="1:8" x14ac:dyDescent="0.25">
      <c r="A1616" s="71">
        <v>2025</v>
      </c>
      <c r="B1616" s="72" t="s">
        <v>212</v>
      </c>
      <c r="C1616" s="73" t="s">
        <v>225</v>
      </c>
      <c r="D1616" s="73" t="s">
        <v>157</v>
      </c>
      <c r="E1616" s="73" t="str">
        <f>VLOOKUP(D1616,clientes!$C$3:$D$60,2,FALSE)</f>
        <v>ADM</v>
      </c>
      <c r="F1616" s="73" t="s">
        <v>122</v>
      </c>
      <c r="G1616" s="73" t="str">
        <f>VLOOKUP(F1616,'[2]Lista de Produtos CLASSIFICAÇÃO'!$E$103:$F$114,2,FALSE)</f>
        <v>Óleo Vegetal</v>
      </c>
      <c r="H1616" s="74">
        <v>3000</v>
      </c>
    </row>
    <row r="1617" spans="1:8" x14ac:dyDescent="0.25">
      <c r="A1617" s="75">
        <v>2025</v>
      </c>
      <c r="B1617" s="76" t="s">
        <v>213</v>
      </c>
      <c r="C1617" s="77" t="s">
        <v>225</v>
      </c>
      <c r="D1617" s="77" t="s">
        <v>157</v>
      </c>
      <c r="E1617" s="73" t="str">
        <f>VLOOKUP(D1617,clientes!$C$3:$D$60,2,FALSE)</f>
        <v>ADM</v>
      </c>
      <c r="F1617" s="77" t="s">
        <v>122</v>
      </c>
      <c r="G1617" s="73" t="str">
        <f>VLOOKUP(F1617,'[2]Lista de Produtos CLASSIFICAÇÃO'!$E$103:$F$114,2,FALSE)</f>
        <v>Óleo Vegetal</v>
      </c>
      <c r="H1617" s="78">
        <v>3000</v>
      </c>
    </row>
    <row r="1618" spans="1:8" x14ac:dyDescent="0.25">
      <c r="A1618" s="71">
        <v>2025</v>
      </c>
      <c r="B1618" s="72" t="s">
        <v>214</v>
      </c>
      <c r="C1618" s="73" t="s">
        <v>225</v>
      </c>
      <c r="D1618" s="73" t="s">
        <v>157</v>
      </c>
      <c r="E1618" s="73" t="str">
        <f>VLOOKUP(D1618,clientes!$C$3:$D$60,2,FALSE)</f>
        <v>ADM</v>
      </c>
      <c r="F1618" s="73" t="s">
        <v>122</v>
      </c>
      <c r="G1618" s="73" t="str">
        <f>VLOOKUP(F1618,'[2]Lista de Produtos CLASSIFICAÇÃO'!$E$103:$F$114,2,FALSE)</f>
        <v>Óleo Vegetal</v>
      </c>
      <c r="H1618" s="74">
        <v>3000</v>
      </c>
    </row>
    <row r="1619" spans="1:8" x14ac:dyDescent="0.25">
      <c r="A1619" s="75">
        <v>2025</v>
      </c>
      <c r="B1619" s="76" t="s">
        <v>215</v>
      </c>
      <c r="C1619" s="77" t="s">
        <v>225</v>
      </c>
      <c r="D1619" s="77" t="s">
        <v>157</v>
      </c>
      <c r="E1619" s="73" t="str">
        <f>VLOOKUP(D1619,clientes!$C$3:$D$60,2,FALSE)</f>
        <v>ADM</v>
      </c>
      <c r="F1619" s="77" t="s">
        <v>122</v>
      </c>
      <c r="G1619" s="73" t="str">
        <f>VLOOKUP(F1619,'[2]Lista de Produtos CLASSIFICAÇÃO'!$E$103:$F$114,2,FALSE)</f>
        <v>Óleo Vegetal</v>
      </c>
      <c r="H1619" s="78">
        <v>3000</v>
      </c>
    </row>
    <row r="1620" spans="1:8" x14ac:dyDescent="0.25">
      <c r="A1620" s="71">
        <v>2025</v>
      </c>
      <c r="B1620" s="72" t="s">
        <v>230</v>
      </c>
      <c r="C1620" s="73" t="s">
        <v>225</v>
      </c>
      <c r="D1620" s="73" t="s">
        <v>157</v>
      </c>
      <c r="E1620" s="73" t="str">
        <f>VLOOKUP(D1620,clientes!$C$3:$D$60,2,FALSE)</f>
        <v>ADM</v>
      </c>
      <c r="F1620" s="73" t="s">
        <v>122</v>
      </c>
      <c r="G1620" s="73" t="str">
        <f>VLOOKUP(F1620,'[2]Lista de Produtos CLASSIFICAÇÃO'!$E$103:$F$114,2,FALSE)</f>
        <v>Óleo Vegetal</v>
      </c>
      <c r="H1620" s="74">
        <v>3000</v>
      </c>
    </row>
    <row r="1621" spans="1:8" x14ac:dyDescent="0.25">
      <c r="A1621" s="75">
        <v>2025</v>
      </c>
      <c r="B1621" s="76" t="s">
        <v>231</v>
      </c>
      <c r="C1621" s="77" t="s">
        <v>225</v>
      </c>
      <c r="D1621" s="77" t="s">
        <v>157</v>
      </c>
      <c r="E1621" s="73" t="str">
        <f>VLOOKUP(D1621,clientes!$C$3:$D$60,2,FALSE)</f>
        <v>ADM</v>
      </c>
      <c r="F1621" s="77" t="s">
        <v>122</v>
      </c>
      <c r="G1621" s="73" t="str">
        <f>VLOOKUP(F1621,'[2]Lista de Produtos CLASSIFICAÇÃO'!$E$103:$F$114,2,FALSE)</f>
        <v>Óleo Vegetal</v>
      </c>
      <c r="H1621" s="78">
        <v>3000</v>
      </c>
    </row>
    <row r="1622" spans="1:8" x14ac:dyDescent="0.25">
      <c r="A1622" s="71">
        <v>2025</v>
      </c>
      <c r="B1622" s="72" t="s">
        <v>226</v>
      </c>
      <c r="C1622" s="73" t="s">
        <v>225</v>
      </c>
      <c r="D1622" s="73" t="s">
        <v>18</v>
      </c>
      <c r="E1622" s="73" t="str">
        <f>VLOOKUP(D1622,clientes!$C$3:$D$60,2,FALSE)</f>
        <v>ACOSTAGEM</v>
      </c>
      <c r="F1622" s="73" t="s">
        <v>17</v>
      </c>
      <c r="G1622" s="73" t="str">
        <f>VLOOKUP(F1622,'[2]Lista de Produtos CLASSIFICAÇÃO'!$E$103:$F$114,2,FALSE)</f>
        <v>Acostagem</v>
      </c>
      <c r="H1622" s="74">
        <v>0</v>
      </c>
    </row>
    <row r="1623" spans="1:8" x14ac:dyDescent="0.25">
      <c r="A1623" s="75">
        <v>2025</v>
      </c>
      <c r="B1623" s="76" t="s">
        <v>227</v>
      </c>
      <c r="C1623" s="77" t="s">
        <v>225</v>
      </c>
      <c r="D1623" s="77" t="s">
        <v>18</v>
      </c>
      <c r="E1623" s="73" t="str">
        <f>VLOOKUP(D1623,clientes!$C$3:$D$60,2,FALSE)</f>
        <v>ACOSTAGEM</v>
      </c>
      <c r="F1623" s="77" t="s">
        <v>17</v>
      </c>
      <c r="G1623" s="73" t="str">
        <f>VLOOKUP(F1623,'[2]Lista de Produtos CLASSIFICAÇÃO'!$E$103:$F$114,2,FALSE)</f>
        <v>Acostagem</v>
      </c>
      <c r="H1623" s="78">
        <v>0</v>
      </c>
    </row>
    <row r="1624" spans="1:8" x14ac:dyDescent="0.25">
      <c r="A1624" s="71">
        <v>2025</v>
      </c>
      <c r="B1624" s="72" t="s">
        <v>228</v>
      </c>
      <c r="C1624" s="73" t="s">
        <v>225</v>
      </c>
      <c r="D1624" s="73" t="s">
        <v>18</v>
      </c>
      <c r="E1624" s="73" t="str">
        <f>VLOOKUP(D1624,clientes!$C$3:$D$60,2,FALSE)</f>
        <v>ACOSTAGEM</v>
      </c>
      <c r="F1624" s="73" t="s">
        <v>17</v>
      </c>
      <c r="G1624" s="73" t="str">
        <f>VLOOKUP(F1624,'[2]Lista de Produtos CLASSIFICAÇÃO'!$E$103:$F$114,2,FALSE)</f>
        <v>Acostagem</v>
      </c>
      <c r="H1624" s="74">
        <v>0</v>
      </c>
    </row>
    <row r="1625" spans="1:8" x14ac:dyDescent="0.25">
      <c r="A1625" s="75">
        <v>2025</v>
      </c>
      <c r="B1625" s="76" t="s">
        <v>229</v>
      </c>
      <c r="C1625" s="77" t="s">
        <v>225</v>
      </c>
      <c r="D1625" s="77" t="s">
        <v>18</v>
      </c>
      <c r="E1625" s="73" t="str">
        <f>VLOOKUP(D1625,clientes!$C$3:$D$60,2,FALSE)</f>
        <v>ACOSTAGEM</v>
      </c>
      <c r="F1625" s="77" t="s">
        <v>17</v>
      </c>
      <c r="G1625" s="73" t="str">
        <f>VLOOKUP(F1625,'[2]Lista de Produtos CLASSIFICAÇÃO'!$E$103:$F$114,2,FALSE)</f>
        <v>Acostagem</v>
      </c>
      <c r="H1625" s="78">
        <v>0</v>
      </c>
    </row>
    <row r="1626" spans="1:8" x14ac:dyDescent="0.25">
      <c r="A1626" s="71">
        <v>2025</v>
      </c>
      <c r="B1626" s="72" t="s">
        <v>210</v>
      </c>
      <c r="C1626" s="73" t="s">
        <v>225</v>
      </c>
      <c r="D1626" s="73" t="s">
        <v>18</v>
      </c>
      <c r="E1626" s="73" t="str">
        <f>VLOOKUP(D1626,clientes!$C$3:$D$60,2,FALSE)</f>
        <v>ACOSTAGEM</v>
      </c>
      <c r="F1626" s="73" t="s">
        <v>17</v>
      </c>
      <c r="G1626" s="73" t="str">
        <f>VLOOKUP(F1626,'[2]Lista de Produtos CLASSIFICAÇÃO'!$E$103:$F$114,2,FALSE)</f>
        <v>Acostagem</v>
      </c>
      <c r="H1626" s="74">
        <v>0</v>
      </c>
    </row>
    <row r="1627" spans="1:8" x14ac:dyDescent="0.25">
      <c r="A1627" s="75">
        <v>2025</v>
      </c>
      <c r="B1627" s="76" t="s">
        <v>211</v>
      </c>
      <c r="C1627" s="77" t="s">
        <v>225</v>
      </c>
      <c r="D1627" s="77" t="s">
        <v>18</v>
      </c>
      <c r="E1627" s="73" t="str">
        <f>VLOOKUP(D1627,clientes!$C$3:$D$60,2,FALSE)</f>
        <v>ACOSTAGEM</v>
      </c>
      <c r="F1627" s="77" t="s">
        <v>17</v>
      </c>
      <c r="G1627" s="73" t="str">
        <f>VLOOKUP(F1627,'[2]Lista de Produtos CLASSIFICAÇÃO'!$E$103:$F$114,2,FALSE)</f>
        <v>Acostagem</v>
      </c>
      <c r="H1627" s="78">
        <v>0</v>
      </c>
    </row>
    <row r="1628" spans="1:8" x14ac:dyDescent="0.25">
      <c r="A1628" s="71">
        <v>2025</v>
      </c>
      <c r="B1628" s="72" t="s">
        <v>212</v>
      </c>
      <c r="C1628" s="73" t="s">
        <v>225</v>
      </c>
      <c r="D1628" s="73" t="s">
        <v>18</v>
      </c>
      <c r="E1628" s="73" t="str">
        <f>VLOOKUP(D1628,clientes!$C$3:$D$60,2,FALSE)</f>
        <v>ACOSTAGEM</v>
      </c>
      <c r="F1628" s="73" t="s">
        <v>17</v>
      </c>
      <c r="G1628" s="73" t="str">
        <f>VLOOKUP(F1628,'[2]Lista de Produtos CLASSIFICAÇÃO'!$E$103:$F$114,2,FALSE)</f>
        <v>Acostagem</v>
      </c>
      <c r="H1628" s="74">
        <v>0</v>
      </c>
    </row>
    <row r="1629" spans="1:8" x14ac:dyDescent="0.25">
      <c r="A1629" s="75">
        <v>2025</v>
      </c>
      <c r="B1629" s="76" t="s">
        <v>213</v>
      </c>
      <c r="C1629" s="77" t="s">
        <v>225</v>
      </c>
      <c r="D1629" s="77" t="s">
        <v>18</v>
      </c>
      <c r="E1629" s="73" t="str">
        <f>VLOOKUP(D1629,clientes!$C$3:$D$60,2,FALSE)</f>
        <v>ACOSTAGEM</v>
      </c>
      <c r="F1629" s="77" t="s">
        <v>17</v>
      </c>
      <c r="G1629" s="73" t="str">
        <f>VLOOKUP(F1629,'[2]Lista de Produtos CLASSIFICAÇÃO'!$E$103:$F$114,2,FALSE)</f>
        <v>Acostagem</v>
      </c>
      <c r="H1629" s="78">
        <v>0</v>
      </c>
    </row>
    <row r="1630" spans="1:8" x14ac:dyDescent="0.25">
      <c r="A1630" s="71">
        <v>2025</v>
      </c>
      <c r="B1630" s="72" t="s">
        <v>214</v>
      </c>
      <c r="C1630" s="73" t="s">
        <v>225</v>
      </c>
      <c r="D1630" s="73" t="s">
        <v>18</v>
      </c>
      <c r="E1630" s="73" t="str">
        <f>VLOOKUP(D1630,clientes!$C$3:$D$60,2,FALSE)</f>
        <v>ACOSTAGEM</v>
      </c>
      <c r="F1630" s="73" t="s">
        <v>17</v>
      </c>
      <c r="G1630" s="73" t="str">
        <f>VLOOKUP(F1630,'[2]Lista de Produtos CLASSIFICAÇÃO'!$E$103:$F$114,2,FALSE)</f>
        <v>Acostagem</v>
      </c>
      <c r="H1630" s="74">
        <v>0</v>
      </c>
    </row>
    <row r="1631" spans="1:8" x14ac:dyDescent="0.25">
      <c r="A1631" s="75">
        <v>2025</v>
      </c>
      <c r="B1631" s="76" t="s">
        <v>215</v>
      </c>
      <c r="C1631" s="77" t="s">
        <v>225</v>
      </c>
      <c r="D1631" s="77" t="s">
        <v>18</v>
      </c>
      <c r="E1631" s="73" t="str">
        <f>VLOOKUP(D1631,clientes!$C$3:$D$60,2,FALSE)</f>
        <v>ACOSTAGEM</v>
      </c>
      <c r="F1631" s="77" t="s">
        <v>17</v>
      </c>
      <c r="G1631" s="73" t="str">
        <f>VLOOKUP(F1631,'[2]Lista de Produtos CLASSIFICAÇÃO'!$E$103:$F$114,2,FALSE)</f>
        <v>Acostagem</v>
      </c>
      <c r="H1631" s="78">
        <v>0</v>
      </c>
    </row>
    <row r="1632" spans="1:8" x14ac:dyDescent="0.25">
      <c r="A1632" s="71">
        <v>2025</v>
      </c>
      <c r="B1632" s="72" t="s">
        <v>230</v>
      </c>
      <c r="C1632" s="73" t="s">
        <v>225</v>
      </c>
      <c r="D1632" s="73" t="s">
        <v>18</v>
      </c>
      <c r="E1632" s="73" t="str">
        <f>VLOOKUP(D1632,clientes!$C$3:$D$60,2,FALSE)</f>
        <v>ACOSTAGEM</v>
      </c>
      <c r="F1632" s="73" t="s">
        <v>17</v>
      </c>
      <c r="G1632" s="73" t="str">
        <f>VLOOKUP(F1632,'[2]Lista de Produtos CLASSIFICAÇÃO'!$E$103:$F$114,2,FALSE)</f>
        <v>Acostagem</v>
      </c>
      <c r="H1632" s="74">
        <v>0</v>
      </c>
    </row>
    <row r="1633" spans="1:8" x14ac:dyDescent="0.25">
      <c r="A1633" s="75">
        <v>2025</v>
      </c>
      <c r="B1633" s="76" t="s">
        <v>231</v>
      </c>
      <c r="C1633" s="77" t="s">
        <v>225</v>
      </c>
      <c r="D1633" s="77" t="s">
        <v>18</v>
      </c>
      <c r="E1633" s="73" t="str">
        <f>VLOOKUP(D1633,clientes!$C$3:$D$60,2,FALSE)</f>
        <v>ACOSTAGEM</v>
      </c>
      <c r="F1633" s="77" t="s">
        <v>17</v>
      </c>
      <c r="G1633" s="73" t="str">
        <f>VLOOKUP(F1633,'[2]Lista de Produtos CLASSIFICAÇÃO'!$E$103:$F$114,2,FALSE)</f>
        <v>Acostagem</v>
      </c>
      <c r="H1633" s="78">
        <v>0</v>
      </c>
    </row>
    <row r="1634" spans="1:8" x14ac:dyDescent="0.25">
      <c r="A1634" s="71">
        <v>2025</v>
      </c>
      <c r="B1634" s="72" t="s">
        <v>226</v>
      </c>
      <c r="C1634" s="73"/>
      <c r="D1634" s="73" t="s">
        <v>294</v>
      </c>
      <c r="E1634" s="73" t="e">
        <f>VLOOKUP(D1634,clientes!$C$3:$D$60,2,FALSE)</f>
        <v>#N/A</v>
      </c>
      <c r="F1634" s="73" t="s">
        <v>295</v>
      </c>
      <c r="G1634" s="73" t="e">
        <f>VLOOKUP(F1634,'[2]Lista de Produtos CLASSIFICAÇÃO'!$E$103:$F$114,2,FALSE)</f>
        <v>#N/A</v>
      </c>
      <c r="H1634" s="74">
        <v>676919</v>
      </c>
    </row>
    <row r="1635" spans="1:8" x14ac:dyDescent="0.25">
      <c r="A1635" s="75">
        <v>2025</v>
      </c>
      <c r="B1635" s="76" t="s">
        <v>227</v>
      </c>
      <c r="C1635" s="77"/>
      <c r="D1635" s="77" t="s">
        <v>294</v>
      </c>
      <c r="E1635" s="73" t="e">
        <f>VLOOKUP(D1635,clientes!$C$3:$D$60,2,FALSE)</f>
        <v>#N/A</v>
      </c>
      <c r="F1635" s="77" t="s">
        <v>295</v>
      </c>
      <c r="G1635" s="73" t="e">
        <f>VLOOKUP(F1635,'[2]Lista de Produtos CLASSIFICAÇÃO'!$E$103:$F$114,2,FALSE)</f>
        <v>#N/A</v>
      </c>
      <c r="H1635" s="78">
        <v>673633</v>
      </c>
    </row>
    <row r="1636" spans="1:8" x14ac:dyDescent="0.25">
      <c r="A1636" s="71">
        <v>2025</v>
      </c>
      <c r="B1636" s="72" t="s">
        <v>228</v>
      </c>
      <c r="C1636" s="73"/>
      <c r="D1636" s="73" t="s">
        <v>294</v>
      </c>
      <c r="E1636" s="73" t="e">
        <f>VLOOKUP(D1636,clientes!$C$3:$D$60,2,FALSE)</f>
        <v>#N/A</v>
      </c>
      <c r="F1636" s="73" t="s">
        <v>295</v>
      </c>
      <c r="G1636" s="73" t="e">
        <f>VLOOKUP(F1636,'[2]Lista de Produtos CLASSIFICAÇÃO'!$E$103:$F$114,2,FALSE)</f>
        <v>#N/A</v>
      </c>
      <c r="H1636" s="74">
        <v>715654</v>
      </c>
    </row>
    <row r="1637" spans="1:8" x14ac:dyDescent="0.25">
      <c r="A1637" s="75">
        <v>2025</v>
      </c>
      <c r="B1637" s="76" t="s">
        <v>229</v>
      </c>
      <c r="C1637" s="77"/>
      <c r="D1637" s="77" t="s">
        <v>294</v>
      </c>
      <c r="E1637" s="73" t="e">
        <f>VLOOKUP(D1637,clientes!$C$3:$D$60,2,FALSE)</f>
        <v>#N/A</v>
      </c>
      <c r="F1637" s="77" t="s">
        <v>295</v>
      </c>
      <c r="G1637" s="73" t="e">
        <f>VLOOKUP(F1637,'[2]Lista de Produtos CLASSIFICAÇÃO'!$E$103:$F$114,2,FALSE)</f>
        <v>#N/A</v>
      </c>
      <c r="H1637" s="78">
        <v>691224</v>
      </c>
    </row>
    <row r="1638" spans="1:8" x14ac:dyDescent="0.25">
      <c r="A1638" s="71">
        <v>2025</v>
      </c>
      <c r="B1638" s="72" t="s">
        <v>210</v>
      </c>
      <c r="C1638" s="73"/>
      <c r="D1638" s="73" t="s">
        <v>294</v>
      </c>
      <c r="E1638" s="73" t="e">
        <f>VLOOKUP(D1638,clientes!$C$3:$D$60,2,FALSE)</f>
        <v>#N/A</v>
      </c>
      <c r="F1638" s="73" t="s">
        <v>295</v>
      </c>
      <c r="G1638" s="73" t="e">
        <f>VLOOKUP(F1638,'[2]Lista de Produtos CLASSIFICAÇÃO'!$E$103:$F$114,2,FALSE)</f>
        <v>#N/A</v>
      </c>
      <c r="H1638" s="74">
        <v>698729</v>
      </c>
    </row>
    <row r="1639" spans="1:8" x14ac:dyDescent="0.25">
      <c r="A1639" s="75">
        <v>2025</v>
      </c>
      <c r="B1639" s="76" t="s">
        <v>211</v>
      </c>
      <c r="C1639" s="77"/>
      <c r="D1639" s="77" t="s">
        <v>294</v>
      </c>
      <c r="E1639" s="73" t="e">
        <f>VLOOKUP(D1639,clientes!$C$3:$D$60,2,FALSE)</f>
        <v>#N/A</v>
      </c>
      <c r="F1639" s="77" t="s">
        <v>295</v>
      </c>
      <c r="G1639" s="73" t="e">
        <f>VLOOKUP(F1639,'[2]Lista de Produtos CLASSIFICAÇÃO'!$E$103:$F$114,2,FALSE)</f>
        <v>#N/A</v>
      </c>
      <c r="H1639" s="78">
        <v>703037</v>
      </c>
    </row>
    <row r="1640" spans="1:8" x14ac:dyDescent="0.25">
      <c r="A1640" s="71">
        <v>2025</v>
      </c>
      <c r="B1640" s="72" t="s">
        <v>212</v>
      </c>
      <c r="C1640" s="73"/>
      <c r="D1640" s="73" t="s">
        <v>294</v>
      </c>
      <c r="E1640" s="73" t="e">
        <f>VLOOKUP(D1640,clientes!$C$3:$D$60,2,FALSE)</f>
        <v>#N/A</v>
      </c>
      <c r="F1640" s="73" t="s">
        <v>295</v>
      </c>
      <c r="G1640" s="73" t="e">
        <f>VLOOKUP(F1640,'[2]Lista de Produtos CLASSIFICAÇÃO'!$E$103:$F$114,2,FALSE)</f>
        <v>#N/A</v>
      </c>
      <c r="H1640" s="74">
        <v>723980</v>
      </c>
    </row>
    <row r="1641" spans="1:8" x14ac:dyDescent="0.25">
      <c r="A1641" s="75">
        <v>2025</v>
      </c>
      <c r="B1641" s="76" t="s">
        <v>213</v>
      </c>
      <c r="C1641" s="77"/>
      <c r="D1641" s="77" t="s">
        <v>294</v>
      </c>
      <c r="E1641" s="73" t="e">
        <f>VLOOKUP(D1641,clientes!$C$3:$D$60,2,FALSE)</f>
        <v>#N/A</v>
      </c>
      <c r="F1641" s="77" t="s">
        <v>295</v>
      </c>
      <c r="G1641" s="73" t="e">
        <f>VLOOKUP(F1641,'[2]Lista de Produtos CLASSIFICAÇÃO'!$E$103:$F$114,2,FALSE)</f>
        <v>#N/A</v>
      </c>
      <c r="H1641" s="78">
        <v>692084</v>
      </c>
    </row>
    <row r="1642" spans="1:8" x14ac:dyDescent="0.25">
      <c r="A1642" s="71">
        <v>2025</v>
      </c>
      <c r="B1642" s="72" t="s">
        <v>214</v>
      </c>
      <c r="C1642" s="73"/>
      <c r="D1642" s="73" t="s">
        <v>294</v>
      </c>
      <c r="E1642" s="73" t="e">
        <f>VLOOKUP(D1642,clientes!$C$3:$D$60,2,FALSE)</f>
        <v>#N/A</v>
      </c>
      <c r="F1642" s="73" t="s">
        <v>295</v>
      </c>
      <c r="G1642" s="73" t="e">
        <f>VLOOKUP(F1642,'[2]Lista de Produtos CLASSIFICAÇÃO'!$E$103:$F$114,2,FALSE)</f>
        <v>#N/A</v>
      </c>
      <c r="H1642" s="74">
        <v>691270</v>
      </c>
    </row>
    <row r="1643" spans="1:8" x14ac:dyDescent="0.25">
      <c r="A1643" s="75">
        <v>2025</v>
      </c>
      <c r="B1643" s="76" t="s">
        <v>215</v>
      </c>
      <c r="C1643" s="77"/>
      <c r="D1643" s="77" t="s">
        <v>294</v>
      </c>
      <c r="E1643" s="73" t="e">
        <f>VLOOKUP(D1643,clientes!$C$3:$D$60,2,FALSE)</f>
        <v>#N/A</v>
      </c>
      <c r="F1643" s="77" t="s">
        <v>295</v>
      </c>
      <c r="G1643" s="73" t="e">
        <f>VLOOKUP(F1643,'[2]Lista de Produtos CLASSIFICAÇÃO'!$E$103:$F$114,2,FALSE)</f>
        <v>#N/A</v>
      </c>
      <c r="H1643" s="78">
        <v>686837</v>
      </c>
    </row>
    <row r="1644" spans="1:8" x14ac:dyDescent="0.25">
      <c r="A1644" s="71">
        <v>2025</v>
      </c>
      <c r="B1644" s="72" t="s">
        <v>230</v>
      </c>
      <c r="C1644" s="73"/>
      <c r="D1644" s="73" t="s">
        <v>294</v>
      </c>
      <c r="E1644" s="73" t="e">
        <f>VLOOKUP(D1644,clientes!$C$3:$D$60,2,FALSE)</f>
        <v>#N/A</v>
      </c>
      <c r="F1644" s="73" t="s">
        <v>295</v>
      </c>
      <c r="G1644" s="73" t="e">
        <f>VLOOKUP(F1644,'[2]Lista de Produtos CLASSIFICAÇÃO'!$E$103:$F$114,2,FALSE)</f>
        <v>#N/A</v>
      </c>
      <c r="H1644" s="74">
        <v>683647</v>
      </c>
    </row>
    <row r="1645" spans="1:8" x14ac:dyDescent="0.25">
      <c r="A1645" s="75">
        <v>2025</v>
      </c>
      <c r="B1645" s="76" t="s">
        <v>231</v>
      </c>
      <c r="C1645" s="77"/>
      <c r="D1645" s="77" t="s">
        <v>294</v>
      </c>
      <c r="E1645" s="73" t="e">
        <f>VLOOKUP(D1645,clientes!$C$3:$D$60,2,FALSE)</f>
        <v>#N/A</v>
      </c>
      <c r="F1645" s="77" t="s">
        <v>295</v>
      </c>
      <c r="G1645" s="73" t="e">
        <f>VLOOKUP(F1645,'[2]Lista de Produtos CLASSIFICAÇÃO'!$E$103:$F$114,2,FALSE)</f>
        <v>#N/A</v>
      </c>
      <c r="H1645" s="78">
        <v>672787</v>
      </c>
    </row>
    <row r="1646" spans="1:8" x14ac:dyDescent="0.25">
      <c r="A1646" s="71">
        <v>2025</v>
      </c>
      <c r="B1646" s="72" t="s">
        <v>226</v>
      </c>
      <c r="C1646" s="73" t="s">
        <v>225</v>
      </c>
      <c r="D1646" s="73" t="s">
        <v>155</v>
      </c>
      <c r="E1646" s="73" t="str">
        <f>VLOOKUP(D1646,clientes!$C$3:$D$60,2,FALSE)</f>
        <v>ADISSEO</v>
      </c>
      <c r="F1646" s="73" t="s">
        <v>16</v>
      </c>
      <c r="G1646" s="73" t="str">
        <f>VLOOKUP(F1646,'[2]Lista de Produtos CLASSIFICAÇÃO'!$E$103:$F$114,2,FALSE)</f>
        <v>Outros</v>
      </c>
      <c r="H1646" s="74">
        <v>8500</v>
      </c>
    </row>
    <row r="1647" spans="1:8" x14ac:dyDescent="0.25">
      <c r="A1647" s="75">
        <v>2025</v>
      </c>
      <c r="B1647" s="76" t="s">
        <v>227</v>
      </c>
      <c r="C1647" s="77" t="s">
        <v>225</v>
      </c>
      <c r="D1647" s="77" t="s">
        <v>155</v>
      </c>
      <c r="E1647" s="73" t="str">
        <f>VLOOKUP(D1647,clientes!$C$3:$D$60,2,FALSE)</f>
        <v>ADISSEO</v>
      </c>
      <c r="F1647" s="77" t="s">
        <v>16</v>
      </c>
      <c r="G1647" s="73" t="str">
        <f>VLOOKUP(F1647,'[2]Lista de Produtos CLASSIFICAÇÃO'!$E$103:$F$114,2,FALSE)</f>
        <v>Outros</v>
      </c>
      <c r="H1647" s="78">
        <v>8500</v>
      </c>
    </row>
    <row r="1648" spans="1:8" x14ac:dyDescent="0.25">
      <c r="A1648" s="71">
        <v>2025</v>
      </c>
      <c r="B1648" s="72" t="s">
        <v>228</v>
      </c>
      <c r="C1648" s="73" t="s">
        <v>225</v>
      </c>
      <c r="D1648" s="73" t="s">
        <v>155</v>
      </c>
      <c r="E1648" s="73" t="str">
        <f>VLOOKUP(D1648,clientes!$C$3:$D$60,2,FALSE)</f>
        <v>ADISSEO</v>
      </c>
      <c r="F1648" s="73" t="s">
        <v>16</v>
      </c>
      <c r="G1648" s="73" t="str">
        <f>VLOOKUP(F1648,'[2]Lista de Produtos CLASSIFICAÇÃO'!$E$103:$F$114,2,FALSE)</f>
        <v>Outros</v>
      </c>
      <c r="H1648" s="74">
        <v>8500</v>
      </c>
    </row>
    <row r="1649" spans="1:8" x14ac:dyDescent="0.25">
      <c r="A1649" s="75">
        <v>2025</v>
      </c>
      <c r="B1649" s="76" t="s">
        <v>229</v>
      </c>
      <c r="C1649" s="77" t="s">
        <v>225</v>
      </c>
      <c r="D1649" s="77" t="s">
        <v>155</v>
      </c>
      <c r="E1649" s="73" t="str">
        <f>VLOOKUP(D1649,clientes!$C$3:$D$60,2,FALSE)</f>
        <v>ADISSEO</v>
      </c>
      <c r="F1649" s="77" t="s">
        <v>16</v>
      </c>
      <c r="G1649" s="73" t="str">
        <f>VLOOKUP(F1649,'[2]Lista de Produtos CLASSIFICAÇÃO'!$E$103:$F$114,2,FALSE)</f>
        <v>Outros</v>
      </c>
      <c r="H1649" s="78">
        <v>8500</v>
      </c>
    </row>
    <row r="1650" spans="1:8" x14ac:dyDescent="0.25">
      <c r="A1650" s="71">
        <v>2025</v>
      </c>
      <c r="B1650" s="72" t="s">
        <v>210</v>
      </c>
      <c r="C1650" s="73" t="s">
        <v>225</v>
      </c>
      <c r="D1650" s="73" t="s">
        <v>155</v>
      </c>
      <c r="E1650" s="73" t="str">
        <f>VLOOKUP(D1650,clientes!$C$3:$D$60,2,FALSE)</f>
        <v>ADISSEO</v>
      </c>
      <c r="F1650" s="73" t="s">
        <v>16</v>
      </c>
      <c r="G1650" s="73" t="str">
        <f>VLOOKUP(F1650,'[2]Lista de Produtos CLASSIFICAÇÃO'!$E$103:$F$114,2,FALSE)</f>
        <v>Outros</v>
      </c>
      <c r="H1650" s="74">
        <v>8500</v>
      </c>
    </row>
    <row r="1651" spans="1:8" x14ac:dyDescent="0.25">
      <c r="A1651" s="75">
        <v>2025</v>
      </c>
      <c r="B1651" s="76" t="s">
        <v>211</v>
      </c>
      <c r="C1651" s="77" t="s">
        <v>225</v>
      </c>
      <c r="D1651" s="77" t="s">
        <v>155</v>
      </c>
      <c r="E1651" s="73" t="str">
        <f>VLOOKUP(D1651,clientes!$C$3:$D$60,2,FALSE)</f>
        <v>ADISSEO</v>
      </c>
      <c r="F1651" s="77" t="s">
        <v>16</v>
      </c>
      <c r="G1651" s="73" t="str">
        <f>VLOOKUP(F1651,'[2]Lista de Produtos CLASSIFICAÇÃO'!$E$103:$F$114,2,FALSE)</f>
        <v>Outros</v>
      </c>
      <c r="H1651" s="78">
        <v>8500</v>
      </c>
    </row>
    <row r="1652" spans="1:8" x14ac:dyDescent="0.25">
      <c r="A1652" s="71">
        <v>2025</v>
      </c>
      <c r="B1652" s="72" t="s">
        <v>212</v>
      </c>
      <c r="C1652" s="73" t="s">
        <v>225</v>
      </c>
      <c r="D1652" s="73" t="s">
        <v>155</v>
      </c>
      <c r="E1652" s="73" t="str">
        <f>VLOOKUP(D1652,clientes!$C$3:$D$60,2,FALSE)</f>
        <v>ADISSEO</v>
      </c>
      <c r="F1652" s="73" t="s">
        <v>16</v>
      </c>
      <c r="G1652" s="73" t="str">
        <f>VLOOKUP(F1652,'[2]Lista de Produtos CLASSIFICAÇÃO'!$E$103:$F$114,2,FALSE)</f>
        <v>Outros</v>
      </c>
      <c r="H1652" s="74">
        <v>8500</v>
      </c>
    </row>
    <row r="1653" spans="1:8" x14ac:dyDescent="0.25">
      <c r="A1653" s="75">
        <v>2025</v>
      </c>
      <c r="B1653" s="76" t="s">
        <v>213</v>
      </c>
      <c r="C1653" s="77" t="s">
        <v>225</v>
      </c>
      <c r="D1653" s="77" t="s">
        <v>155</v>
      </c>
      <c r="E1653" s="73" t="str">
        <f>VLOOKUP(D1653,clientes!$C$3:$D$60,2,FALSE)</f>
        <v>ADISSEO</v>
      </c>
      <c r="F1653" s="77" t="s">
        <v>16</v>
      </c>
      <c r="G1653" s="73" t="str">
        <f>VLOOKUP(F1653,'[2]Lista de Produtos CLASSIFICAÇÃO'!$E$103:$F$114,2,FALSE)</f>
        <v>Outros</v>
      </c>
      <c r="H1653" s="78">
        <v>8500</v>
      </c>
    </row>
    <row r="1654" spans="1:8" x14ac:dyDescent="0.25">
      <c r="A1654" s="71">
        <v>2025</v>
      </c>
      <c r="B1654" s="72" t="s">
        <v>214</v>
      </c>
      <c r="C1654" s="73" t="s">
        <v>225</v>
      </c>
      <c r="D1654" s="73" t="s">
        <v>155</v>
      </c>
      <c r="E1654" s="73" t="str">
        <f>VLOOKUP(D1654,clientes!$C$3:$D$60,2,FALSE)</f>
        <v>ADISSEO</v>
      </c>
      <c r="F1654" s="73" t="s">
        <v>16</v>
      </c>
      <c r="G1654" s="73" t="str">
        <f>VLOOKUP(F1654,'[2]Lista de Produtos CLASSIFICAÇÃO'!$E$103:$F$114,2,FALSE)</f>
        <v>Outros</v>
      </c>
      <c r="H1654" s="74">
        <v>8500</v>
      </c>
    </row>
    <row r="1655" spans="1:8" x14ac:dyDescent="0.25">
      <c r="A1655" s="75">
        <v>2025</v>
      </c>
      <c r="B1655" s="76" t="s">
        <v>215</v>
      </c>
      <c r="C1655" s="77" t="s">
        <v>225</v>
      </c>
      <c r="D1655" s="77" t="s">
        <v>155</v>
      </c>
      <c r="E1655" s="73" t="str">
        <f>VLOOKUP(D1655,clientes!$C$3:$D$60,2,FALSE)</f>
        <v>ADISSEO</v>
      </c>
      <c r="F1655" s="77" t="s">
        <v>16</v>
      </c>
      <c r="G1655" s="73" t="str">
        <f>VLOOKUP(F1655,'[2]Lista de Produtos CLASSIFICAÇÃO'!$E$103:$F$114,2,FALSE)</f>
        <v>Outros</v>
      </c>
      <c r="H1655" s="78">
        <v>8500</v>
      </c>
    </row>
    <row r="1656" spans="1:8" x14ac:dyDescent="0.25">
      <c r="A1656" s="71">
        <v>2025</v>
      </c>
      <c r="B1656" s="72" t="s">
        <v>230</v>
      </c>
      <c r="C1656" s="73" t="s">
        <v>225</v>
      </c>
      <c r="D1656" s="73" t="s">
        <v>155</v>
      </c>
      <c r="E1656" s="73" t="str">
        <f>VLOOKUP(D1656,clientes!$C$3:$D$60,2,FALSE)</f>
        <v>ADISSEO</v>
      </c>
      <c r="F1656" s="73" t="s">
        <v>16</v>
      </c>
      <c r="G1656" s="73" t="str">
        <f>VLOOKUP(F1656,'[2]Lista de Produtos CLASSIFICAÇÃO'!$E$103:$F$114,2,FALSE)</f>
        <v>Outros</v>
      </c>
      <c r="H1656" s="74">
        <v>8500</v>
      </c>
    </row>
    <row r="1657" spans="1:8" x14ac:dyDescent="0.25">
      <c r="A1657" s="75">
        <v>2025</v>
      </c>
      <c r="B1657" s="76" t="s">
        <v>231</v>
      </c>
      <c r="C1657" s="77" t="s">
        <v>225</v>
      </c>
      <c r="D1657" s="77" t="s">
        <v>155</v>
      </c>
      <c r="E1657" s="73" t="str">
        <f>VLOOKUP(D1657,clientes!$C$3:$D$60,2,FALSE)</f>
        <v>ADISSEO</v>
      </c>
      <c r="F1657" s="77" t="s">
        <v>16</v>
      </c>
      <c r="G1657" s="73" t="str">
        <f>VLOOKUP(F1657,'[2]Lista de Produtos CLASSIFICAÇÃO'!$E$103:$F$114,2,FALSE)</f>
        <v>Outros</v>
      </c>
      <c r="H1657" s="78">
        <v>8500</v>
      </c>
    </row>
    <row r="1658" spans="1:8" x14ac:dyDescent="0.25">
      <c r="A1658" s="71">
        <v>2025</v>
      </c>
      <c r="B1658" s="72" t="s">
        <v>226</v>
      </c>
      <c r="C1658" s="73" t="s">
        <v>232</v>
      </c>
      <c r="D1658" s="73" t="s">
        <v>176</v>
      </c>
      <c r="E1658" s="73" t="str">
        <f>VLOOKUP(D1658,clientes!$C$3:$D$60,2,FALSE)</f>
        <v>AGROPALMA</v>
      </c>
      <c r="F1658" s="73" t="s">
        <v>123</v>
      </c>
      <c r="G1658" s="73" t="str">
        <f>VLOOKUP(F1658,'[2]Lista de Produtos CLASSIFICAÇÃO'!$E$103:$F$114,2,FALSE)</f>
        <v>Aquecidos</v>
      </c>
      <c r="H1658" s="74">
        <v>4800</v>
      </c>
    </row>
    <row r="1659" spans="1:8" x14ac:dyDescent="0.25">
      <c r="A1659" s="75">
        <v>2025</v>
      </c>
      <c r="B1659" s="76" t="s">
        <v>227</v>
      </c>
      <c r="C1659" s="77" t="s">
        <v>232</v>
      </c>
      <c r="D1659" s="77" t="s">
        <v>176</v>
      </c>
      <c r="E1659" s="73" t="str">
        <f>VLOOKUP(D1659,clientes!$C$3:$D$60,2,FALSE)</f>
        <v>AGROPALMA</v>
      </c>
      <c r="F1659" s="77" t="s">
        <v>123</v>
      </c>
      <c r="G1659" s="73" t="str">
        <f>VLOOKUP(F1659,'[2]Lista de Produtos CLASSIFICAÇÃO'!$E$103:$F$114,2,FALSE)</f>
        <v>Aquecidos</v>
      </c>
      <c r="H1659" s="78">
        <v>4800</v>
      </c>
    </row>
    <row r="1660" spans="1:8" x14ac:dyDescent="0.25">
      <c r="A1660" s="71">
        <v>2025</v>
      </c>
      <c r="B1660" s="72" t="s">
        <v>228</v>
      </c>
      <c r="C1660" s="73" t="s">
        <v>232</v>
      </c>
      <c r="D1660" s="73" t="s">
        <v>176</v>
      </c>
      <c r="E1660" s="73" t="str">
        <f>VLOOKUP(D1660,clientes!$C$3:$D$60,2,FALSE)</f>
        <v>AGROPALMA</v>
      </c>
      <c r="F1660" s="73" t="s">
        <v>123</v>
      </c>
      <c r="G1660" s="73" t="str">
        <f>VLOOKUP(F1660,'[2]Lista de Produtos CLASSIFICAÇÃO'!$E$103:$F$114,2,FALSE)</f>
        <v>Aquecidos</v>
      </c>
      <c r="H1660" s="74">
        <v>4800</v>
      </c>
    </row>
    <row r="1661" spans="1:8" x14ac:dyDescent="0.25">
      <c r="A1661" s="75">
        <v>2025</v>
      </c>
      <c r="B1661" s="76" t="s">
        <v>229</v>
      </c>
      <c r="C1661" s="77" t="s">
        <v>232</v>
      </c>
      <c r="D1661" s="77" t="s">
        <v>176</v>
      </c>
      <c r="E1661" s="73" t="str">
        <f>VLOOKUP(D1661,clientes!$C$3:$D$60,2,FALSE)</f>
        <v>AGROPALMA</v>
      </c>
      <c r="F1661" s="77" t="s">
        <v>123</v>
      </c>
      <c r="G1661" s="73" t="str">
        <f>VLOOKUP(F1661,'[2]Lista de Produtos CLASSIFICAÇÃO'!$E$103:$F$114,2,FALSE)</f>
        <v>Aquecidos</v>
      </c>
      <c r="H1661" s="78">
        <v>4800</v>
      </c>
    </row>
    <row r="1662" spans="1:8" x14ac:dyDescent="0.25">
      <c r="A1662" s="71">
        <v>2025</v>
      </c>
      <c r="B1662" s="72" t="s">
        <v>210</v>
      </c>
      <c r="C1662" s="73" t="s">
        <v>232</v>
      </c>
      <c r="D1662" s="73" t="s">
        <v>176</v>
      </c>
      <c r="E1662" s="73" t="str">
        <f>VLOOKUP(D1662,clientes!$C$3:$D$60,2,FALSE)</f>
        <v>AGROPALMA</v>
      </c>
      <c r="F1662" s="73" t="s">
        <v>123</v>
      </c>
      <c r="G1662" s="73" t="str">
        <f>VLOOKUP(F1662,'[2]Lista de Produtos CLASSIFICAÇÃO'!$E$103:$F$114,2,FALSE)</f>
        <v>Aquecidos</v>
      </c>
      <c r="H1662" s="74">
        <v>4800</v>
      </c>
    </row>
    <row r="1663" spans="1:8" x14ac:dyDescent="0.25">
      <c r="A1663" s="75">
        <v>2025</v>
      </c>
      <c r="B1663" s="76" t="s">
        <v>211</v>
      </c>
      <c r="C1663" s="77" t="s">
        <v>232</v>
      </c>
      <c r="D1663" s="77" t="s">
        <v>176</v>
      </c>
      <c r="E1663" s="73" t="str">
        <f>VLOOKUP(D1663,clientes!$C$3:$D$60,2,FALSE)</f>
        <v>AGROPALMA</v>
      </c>
      <c r="F1663" s="77" t="s">
        <v>123</v>
      </c>
      <c r="G1663" s="73" t="str">
        <f>VLOOKUP(F1663,'[2]Lista de Produtos CLASSIFICAÇÃO'!$E$103:$F$114,2,FALSE)</f>
        <v>Aquecidos</v>
      </c>
      <c r="H1663" s="78">
        <v>4800</v>
      </c>
    </row>
    <row r="1664" spans="1:8" x14ac:dyDescent="0.25">
      <c r="A1664" s="71">
        <v>2025</v>
      </c>
      <c r="B1664" s="72" t="s">
        <v>212</v>
      </c>
      <c r="C1664" s="73" t="s">
        <v>232</v>
      </c>
      <c r="D1664" s="73" t="s">
        <v>176</v>
      </c>
      <c r="E1664" s="73" t="str">
        <f>VLOOKUP(D1664,clientes!$C$3:$D$60,2,FALSE)</f>
        <v>AGROPALMA</v>
      </c>
      <c r="F1664" s="73" t="s">
        <v>123</v>
      </c>
      <c r="G1664" s="73" t="str">
        <f>VLOOKUP(F1664,'[2]Lista de Produtos CLASSIFICAÇÃO'!$E$103:$F$114,2,FALSE)</f>
        <v>Aquecidos</v>
      </c>
      <c r="H1664" s="74">
        <v>4800</v>
      </c>
    </row>
    <row r="1665" spans="1:8" x14ac:dyDescent="0.25">
      <c r="A1665" s="75">
        <v>2025</v>
      </c>
      <c r="B1665" s="76" t="s">
        <v>213</v>
      </c>
      <c r="C1665" s="77" t="s">
        <v>232</v>
      </c>
      <c r="D1665" s="77" t="s">
        <v>176</v>
      </c>
      <c r="E1665" s="73" t="str">
        <f>VLOOKUP(D1665,clientes!$C$3:$D$60,2,FALSE)</f>
        <v>AGROPALMA</v>
      </c>
      <c r="F1665" s="77" t="s">
        <v>123</v>
      </c>
      <c r="G1665" s="73" t="str">
        <f>VLOOKUP(F1665,'[2]Lista de Produtos CLASSIFICAÇÃO'!$E$103:$F$114,2,FALSE)</f>
        <v>Aquecidos</v>
      </c>
      <c r="H1665" s="78">
        <v>4800</v>
      </c>
    </row>
    <row r="1666" spans="1:8" x14ac:dyDescent="0.25">
      <c r="A1666" s="71">
        <v>2025</v>
      </c>
      <c r="B1666" s="72" t="s">
        <v>214</v>
      </c>
      <c r="C1666" s="73" t="s">
        <v>232</v>
      </c>
      <c r="D1666" s="73" t="s">
        <v>176</v>
      </c>
      <c r="E1666" s="73" t="str">
        <f>VLOOKUP(D1666,clientes!$C$3:$D$60,2,FALSE)</f>
        <v>AGROPALMA</v>
      </c>
      <c r="F1666" s="73" t="s">
        <v>123</v>
      </c>
      <c r="G1666" s="73" t="str">
        <f>VLOOKUP(F1666,'[2]Lista de Produtos CLASSIFICAÇÃO'!$E$103:$F$114,2,FALSE)</f>
        <v>Aquecidos</v>
      </c>
      <c r="H1666" s="74">
        <v>4800</v>
      </c>
    </row>
    <row r="1667" spans="1:8" x14ac:dyDescent="0.25">
      <c r="A1667" s="75">
        <v>2025</v>
      </c>
      <c r="B1667" s="76" t="s">
        <v>215</v>
      </c>
      <c r="C1667" s="77" t="s">
        <v>232</v>
      </c>
      <c r="D1667" s="77" t="s">
        <v>176</v>
      </c>
      <c r="E1667" s="73" t="str">
        <f>VLOOKUP(D1667,clientes!$C$3:$D$60,2,FALSE)</f>
        <v>AGROPALMA</v>
      </c>
      <c r="F1667" s="77" t="s">
        <v>123</v>
      </c>
      <c r="G1667" s="73" t="str">
        <f>VLOOKUP(F1667,'[2]Lista de Produtos CLASSIFICAÇÃO'!$E$103:$F$114,2,FALSE)</f>
        <v>Aquecidos</v>
      </c>
      <c r="H1667" s="78">
        <v>4800</v>
      </c>
    </row>
    <row r="1668" spans="1:8" x14ac:dyDescent="0.25">
      <c r="A1668" s="71">
        <v>2025</v>
      </c>
      <c r="B1668" s="72" t="s">
        <v>230</v>
      </c>
      <c r="C1668" s="73" t="s">
        <v>232</v>
      </c>
      <c r="D1668" s="73" t="s">
        <v>176</v>
      </c>
      <c r="E1668" s="73" t="str">
        <f>VLOOKUP(D1668,clientes!$C$3:$D$60,2,FALSE)</f>
        <v>AGROPALMA</v>
      </c>
      <c r="F1668" s="73" t="s">
        <v>123</v>
      </c>
      <c r="G1668" s="73" t="str">
        <f>VLOOKUP(F1668,'[2]Lista de Produtos CLASSIFICAÇÃO'!$E$103:$F$114,2,FALSE)</f>
        <v>Aquecidos</v>
      </c>
      <c r="H1668" s="74">
        <v>4800</v>
      </c>
    </row>
    <row r="1669" spans="1:8" x14ac:dyDescent="0.25">
      <c r="A1669" s="75">
        <v>2025</v>
      </c>
      <c r="B1669" s="76" t="s">
        <v>231</v>
      </c>
      <c r="C1669" s="77" t="s">
        <v>232</v>
      </c>
      <c r="D1669" s="77" t="s">
        <v>176</v>
      </c>
      <c r="E1669" s="73" t="str">
        <f>VLOOKUP(D1669,clientes!$C$3:$D$60,2,FALSE)</f>
        <v>AGROPALMA</v>
      </c>
      <c r="F1669" s="77" t="s">
        <v>123</v>
      </c>
      <c r="G1669" s="73" t="str">
        <f>VLOOKUP(F1669,'[2]Lista de Produtos CLASSIFICAÇÃO'!$E$103:$F$114,2,FALSE)</f>
        <v>Aquecidos</v>
      </c>
      <c r="H1669" s="78">
        <v>4800</v>
      </c>
    </row>
    <row r="1670" spans="1:8" x14ac:dyDescent="0.25">
      <c r="A1670" s="71">
        <v>2025</v>
      </c>
      <c r="B1670" s="72" t="s">
        <v>226</v>
      </c>
      <c r="C1670" s="73" t="s">
        <v>232</v>
      </c>
      <c r="D1670" s="73" t="s">
        <v>188</v>
      </c>
      <c r="E1670" s="73" t="str">
        <f>VLOOKUP(D1670,clientes!$C$3:$D$60,2,FALSE)</f>
        <v>ARES MERCHANTS PTE LIMITE</v>
      </c>
      <c r="F1670" s="73" t="s">
        <v>123</v>
      </c>
      <c r="G1670" s="73" t="str">
        <f>VLOOKUP(F1670,'[2]Lista de Produtos CLASSIFICAÇÃO'!$E$103:$F$114,2,FALSE)</f>
        <v>Aquecidos</v>
      </c>
      <c r="H1670" s="74">
        <v>7800</v>
      </c>
    </row>
    <row r="1671" spans="1:8" x14ac:dyDescent="0.25">
      <c r="A1671" s="75">
        <v>2025</v>
      </c>
      <c r="B1671" s="76" t="s">
        <v>227</v>
      </c>
      <c r="C1671" s="77" t="s">
        <v>232</v>
      </c>
      <c r="D1671" s="77" t="s">
        <v>188</v>
      </c>
      <c r="E1671" s="73" t="str">
        <f>VLOOKUP(D1671,clientes!$C$3:$D$60,2,FALSE)</f>
        <v>ARES MERCHANTS PTE LIMITE</v>
      </c>
      <c r="F1671" s="77" t="s">
        <v>123</v>
      </c>
      <c r="G1671" s="73" t="str">
        <f>VLOOKUP(F1671,'[2]Lista de Produtos CLASSIFICAÇÃO'!$E$103:$F$114,2,FALSE)</f>
        <v>Aquecidos</v>
      </c>
      <c r="H1671" s="78">
        <v>7800</v>
      </c>
    </row>
    <row r="1672" spans="1:8" x14ac:dyDescent="0.25">
      <c r="A1672" s="71">
        <v>2025</v>
      </c>
      <c r="B1672" s="72" t="s">
        <v>228</v>
      </c>
      <c r="C1672" s="73" t="s">
        <v>232</v>
      </c>
      <c r="D1672" s="73" t="s">
        <v>188</v>
      </c>
      <c r="E1672" s="73" t="str">
        <f>VLOOKUP(D1672,clientes!$C$3:$D$60,2,FALSE)</f>
        <v>ARES MERCHANTS PTE LIMITE</v>
      </c>
      <c r="F1672" s="73" t="s">
        <v>123</v>
      </c>
      <c r="G1672" s="73" t="str">
        <f>VLOOKUP(F1672,'[2]Lista de Produtos CLASSIFICAÇÃO'!$E$103:$F$114,2,FALSE)</f>
        <v>Aquecidos</v>
      </c>
      <c r="H1672" s="74">
        <v>7800</v>
      </c>
    </row>
    <row r="1673" spans="1:8" x14ac:dyDescent="0.25">
      <c r="A1673" s="75">
        <v>2025</v>
      </c>
      <c r="B1673" s="76" t="s">
        <v>229</v>
      </c>
      <c r="C1673" s="77" t="s">
        <v>232</v>
      </c>
      <c r="D1673" s="77" t="s">
        <v>188</v>
      </c>
      <c r="E1673" s="73" t="str">
        <f>VLOOKUP(D1673,clientes!$C$3:$D$60,2,FALSE)</f>
        <v>ARES MERCHANTS PTE LIMITE</v>
      </c>
      <c r="F1673" s="77" t="s">
        <v>123</v>
      </c>
      <c r="G1673" s="73" t="str">
        <f>VLOOKUP(F1673,'[2]Lista de Produtos CLASSIFICAÇÃO'!$E$103:$F$114,2,FALSE)</f>
        <v>Aquecidos</v>
      </c>
      <c r="H1673" s="78">
        <v>7800</v>
      </c>
    </row>
    <row r="1674" spans="1:8" x14ac:dyDescent="0.25">
      <c r="A1674" s="71">
        <v>2025</v>
      </c>
      <c r="B1674" s="72" t="s">
        <v>210</v>
      </c>
      <c r="C1674" s="73" t="s">
        <v>232</v>
      </c>
      <c r="D1674" s="73" t="s">
        <v>188</v>
      </c>
      <c r="E1674" s="73" t="str">
        <f>VLOOKUP(D1674,clientes!$C$3:$D$60,2,FALSE)</f>
        <v>ARES MERCHANTS PTE LIMITE</v>
      </c>
      <c r="F1674" s="73" t="s">
        <v>123</v>
      </c>
      <c r="G1674" s="73" t="str">
        <f>VLOOKUP(F1674,'[2]Lista de Produtos CLASSIFICAÇÃO'!$E$103:$F$114,2,FALSE)</f>
        <v>Aquecidos</v>
      </c>
      <c r="H1674" s="74">
        <v>7800</v>
      </c>
    </row>
    <row r="1675" spans="1:8" x14ac:dyDescent="0.25">
      <c r="A1675" s="75">
        <v>2025</v>
      </c>
      <c r="B1675" s="76" t="s">
        <v>211</v>
      </c>
      <c r="C1675" s="77" t="s">
        <v>232</v>
      </c>
      <c r="D1675" s="77" t="s">
        <v>188</v>
      </c>
      <c r="E1675" s="73" t="str">
        <f>VLOOKUP(D1675,clientes!$C$3:$D$60,2,FALSE)</f>
        <v>ARES MERCHANTS PTE LIMITE</v>
      </c>
      <c r="F1675" s="77" t="s">
        <v>123</v>
      </c>
      <c r="G1675" s="73" t="str">
        <f>VLOOKUP(F1675,'[2]Lista de Produtos CLASSIFICAÇÃO'!$E$103:$F$114,2,FALSE)</f>
        <v>Aquecidos</v>
      </c>
      <c r="H1675" s="78">
        <v>7800</v>
      </c>
    </row>
    <row r="1676" spans="1:8" x14ac:dyDescent="0.25">
      <c r="A1676" s="71">
        <v>2025</v>
      </c>
      <c r="B1676" s="72" t="s">
        <v>212</v>
      </c>
      <c r="C1676" s="73" t="s">
        <v>232</v>
      </c>
      <c r="D1676" s="73" t="s">
        <v>188</v>
      </c>
      <c r="E1676" s="73" t="str">
        <f>VLOOKUP(D1676,clientes!$C$3:$D$60,2,FALSE)</f>
        <v>ARES MERCHANTS PTE LIMITE</v>
      </c>
      <c r="F1676" s="73" t="s">
        <v>123</v>
      </c>
      <c r="G1676" s="73" t="str">
        <f>VLOOKUP(F1676,'[2]Lista de Produtos CLASSIFICAÇÃO'!$E$103:$F$114,2,FALSE)</f>
        <v>Aquecidos</v>
      </c>
      <c r="H1676" s="74">
        <v>7800</v>
      </c>
    </row>
    <row r="1677" spans="1:8" x14ac:dyDescent="0.25">
      <c r="A1677" s="75">
        <v>2025</v>
      </c>
      <c r="B1677" s="76" t="s">
        <v>213</v>
      </c>
      <c r="C1677" s="77" t="s">
        <v>232</v>
      </c>
      <c r="D1677" s="77" t="s">
        <v>188</v>
      </c>
      <c r="E1677" s="73" t="str">
        <f>VLOOKUP(D1677,clientes!$C$3:$D$60,2,FALSE)</f>
        <v>ARES MERCHANTS PTE LIMITE</v>
      </c>
      <c r="F1677" s="77" t="s">
        <v>123</v>
      </c>
      <c r="G1677" s="73" t="str">
        <f>VLOOKUP(F1677,'[2]Lista de Produtos CLASSIFICAÇÃO'!$E$103:$F$114,2,FALSE)</f>
        <v>Aquecidos</v>
      </c>
      <c r="H1677" s="78">
        <v>7800</v>
      </c>
    </row>
    <row r="1678" spans="1:8" x14ac:dyDescent="0.25">
      <c r="A1678" s="71">
        <v>2025</v>
      </c>
      <c r="B1678" s="72" t="s">
        <v>214</v>
      </c>
      <c r="C1678" s="73" t="s">
        <v>232</v>
      </c>
      <c r="D1678" s="73" t="s">
        <v>188</v>
      </c>
      <c r="E1678" s="73" t="str">
        <f>VLOOKUP(D1678,clientes!$C$3:$D$60,2,FALSE)</f>
        <v>ARES MERCHANTS PTE LIMITE</v>
      </c>
      <c r="F1678" s="73" t="s">
        <v>123</v>
      </c>
      <c r="G1678" s="73" t="str">
        <f>VLOOKUP(F1678,'[2]Lista de Produtos CLASSIFICAÇÃO'!$E$103:$F$114,2,FALSE)</f>
        <v>Aquecidos</v>
      </c>
      <c r="H1678" s="74">
        <v>7800</v>
      </c>
    </row>
    <row r="1679" spans="1:8" x14ac:dyDescent="0.25">
      <c r="A1679" s="75">
        <v>2025</v>
      </c>
      <c r="B1679" s="76" t="s">
        <v>215</v>
      </c>
      <c r="C1679" s="77" t="s">
        <v>232</v>
      </c>
      <c r="D1679" s="77" t="s">
        <v>188</v>
      </c>
      <c r="E1679" s="73" t="str">
        <f>VLOOKUP(D1679,clientes!$C$3:$D$60,2,FALSE)</f>
        <v>ARES MERCHANTS PTE LIMITE</v>
      </c>
      <c r="F1679" s="77" t="s">
        <v>123</v>
      </c>
      <c r="G1679" s="73" t="str">
        <f>VLOOKUP(F1679,'[2]Lista de Produtos CLASSIFICAÇÃO'!$E$103:$F$114,2,FALSE)</f>
        <v>Aquecidos</v>
      </c>
      <c r="H1679" s="78">
        <v>7800</v>
      </c>
    </row>
    <row r="1680" spans="1:8" x14ac:dyDescent="0.25">
      <c r="A1680" s="71">
        <v>2025</v>
      </c>
      <c r="B1680" s="72" t="s">
        <v>230</v>
      </c>
      <c r="C1680" s="73" t="s">
        <v>232</v>
      </c>
      <c r="D1680" s="73" t="s">
        <v>188</v>
      </c>
      <c r="E1680" s="73" t="str">
        <f>VLOOKUP(D1680,clientes!$C$3:$D$60,2,FALSE)</f>
        <v>ARES MERCHANTS PTE LIMITE</v>
      </c>
      <c r="F1680" s="73" t="s">
        <v>123</v>
      </c>
      <c r="G1680" s="73" t="str">
        <f>VLOOKUP(F1680,'[2]Lista de Produtos CLASSIFICAÇÃO'!$E$103:$F$114,2,FALSE)</f>
        <v>Aquecidos</v>
      </c>
      <c r="H1680" s="74">
        <v>7800</v>
      </c>
    </row>
    <row r="1681" spans="1:8" x14ac:dyDescent="0.25">
      <c r="A1681" s="75">
        <v>2025</v>
      </c>
      <c r="B1681" s="76" t="s">
        <v>231</v>
      </c>
      <c r="C1681" s="77" t="s">
        <v>232</v>
      </c>
      <c r="D1681" s="77" t="s">
        <v>188</v>
      </c>
      <c r="E1681" s="73" t="str">
        <f>VLOOKUP(D1681,clientes!$C$3:$D$60,2,FALSE)</f>
        <v>ARES MERCHANTS PTE LIMITE</v>
      </c>
      <c r="F1681" s="77" t="s">
        <v>123</v>
      </c>
      <c r="G1681" s="73" t="str">
        <f>VLOOKUP(F1681,'[2]Lista de Produtos CLASSIFICAÇÃO'!$E$103:$F$114,2,FALSE)</f>
        <v>Aquecidos</v>
      </c>
      <c r="H1681" s="78">
        <v>7800</v>
      </c>
    </row>
    <row r="1682" spans="1:8" x14ac:dyDescent="0.25">
      <c r="A1682" s="71">
        <v>2025</v>
      </c>
      <c r="B1682" s="72" t="s">
        <v>226</v>
      </c>
      <c r="C1682" s="73" t="s">
        <v>233</v>
      </c>
      <c r="D1682" s="73" t="s">
        <v>182</v>
      </c>
      <c r="E1682" s="73" t="str">
        <f>VLOOKUP(D1682,clientes!$C$3:$D$60,2,FALSE)</f>
        <v>ATEM</v>
      </c>
      <c r="F1682" s="73" t="s">
        <v>120</v>
      </c>
      <c r="G1682" s="73" t="str">
        <f>VLOOKUP(F1682,'[2]Lista de Produtos CLASSIFICAÇÃO'!$E$103:$F$114,2,FALSE)</f>
        <v>Derivados</v>
      </c>
      <c r="H1682" s="74">
        <v>10000</v>
      </c>
    </row>
    <row r="1683" spans="1:8" x14ac:dyDescent="0.25">
      <c r="A1683" s="75">
        <v>2025</v>
      </c>
      <c r="B1683" s="76" t="s">
        <v>227</v>
      </c>
      <c r="C1683" s="77" t="s">
        <v>233</v>
      </c>
      <c r="D1683" s="77" t="s">
        <v>182</v>
      </c>
      <c r="E1683" s="73" t="str">
        <f>VLOOKUP(D1683,clientes!$C$3:$D$60,2,FALSE)</f>
        <v>ATEM</v>
      </c>
      <c r="F1683" s="77" t="s">
        <v>120</v>
      </c>
      <c r="G1683" s="73" t="str">
        <f>VLOOKUP(F1683,'[2]Lista de Produtos CLASSIFICAÇÃO'!$E$103:$F$114,2,FALSE)</f>
        <v>Derivados</v>
      </c>
      <c r="H1683" s="78">
        <v>10000</v>
      </c>
    </row>
    <row r="1684" spans="1:8" x14ac:dyDescent="0.25">
      <c r="A1684" s="71">
        <v>2025</v>
      </c>
      <c r="B1684" s="72" t="s">
        <v>228</v>
      </c>
      <c r="C1684" s="73" t="s">
        <v>233</v>
      </c>
      <c r="D1684" s="73" t="s">
        <v>182</v>
      </c>
      <c r="E1684" s="73" t="str">
        <f>VLOOKUP(D1684,clientes!$C$3:$D$60,2,FALSE)</f>
        <v>ATEM</v>
      </c>
      <c r="F1684" s="73" t="s">
        <v>120</v>
      </c>
      <c r="G1684" s="73" t="str">
        <f>VLOOKUP(F1684,'[2]Lista de Produtos CLASSIFICAÇÃO'!$E$103:$F$114,2,FALSE)</f>
        <v>Derivados</v>
      </c>
      <c r="H1684" s="74">
        <v>10000</v>
      </c>
    </row>
    <row r="1685" spans="1:8" x14ac:dyDescent="0.25">
      <c r="A1685" s="75">
        <v>2025</v>
      </c>
      <c r="B1685" s="76" t="s">
        <v>229</v>
      </c>
      <c r="C1685" s="77" t="s">
        <v>233</v>
      </c>
      <c r="D1685" s="77" t="s">
        <v>182</v>
      </c>
      <c r="E1685" s="73" t="str">
        <f>VLOOKUP(D1685,clientes!$C$3:$D$60,2,FALSE)</f>
        <v>ATEM</v>
      </c>
      <c r="F1685" s="77" t="s">
        <v>120</v>
      </c>
      <c r="G1685" s="73" t="str">
        <f>VLOOKUP(F1685,'[2]Lista de Produtos CLASSIFICAÇÃO'!$E$103:$F$114,2,FALSE)</f>
        <v>Derivados</v>
      </c>
      <c r="H1685" s="78">
        <v>10000</v>
      </c>
    </row>
    <row r="1686" spans="1:8" x14ac:dyDescent="0.25">
      <c r="A1686" s="71">
        <v>2025</v>
      </c>
      <c r="B1686" s="72" t="s">
        <v>210</v>
      </c>
      <c r="C1686" s="73" t="s">
        <v>233</v>
      </c>
      <c r="D1686" s="73" t="s">
        <v>182</v>
      </c>
      <c r="E1686" s="73" t="str">
        <f>VLOOKUP(D1686,clientes!$C$3:$D$60,2,FALSE)</f>
        <v>ATEM</v>
      </c>
      <c r="F1686" s="73" t="s">
        <v>120</v>
      </c>
      <c r="G1686" s="73" t="str">
        <f>VLOOKUP(F1686,'[2]Lista de Produtos CLASSIFICAÇÃO'!$E$103:$F$114,2,FALSE)</f>
        <v>Derivados</v>
      </c>
      <c r="H1686" s="74">
        <v>10000</v>
      </c>
    </row>
    <row r="1687" spans="1:8" x14ac:dyDescent="0.25">
      <c r="A1687" s="75">
        <v>2025</v>
      </c>
      <c r="B1687" s="76" t="s">
        <v>211</v>
      </c>
      <c r="C1687" s="77" t="s">
        <v>233</v>
      </c>
      <c r="D1687" s="77" t="s">
        <v>182</v>
      </c>
      <c r="E1687" s="73" t="str">
        <f>VLOOKUP(D1687,clientes!$C$3:$D$60,2,FALSE)</f>
        <v>ATEM</v>
      </c>
      <c r="F1687" s="77" t="s">
        <v>120</v>
      </c>
      <c r="G1687" s="73" t="str">
        <f>VLOOKUP(F1687,'[2]Lista de Produtos CLASSIFICAÇÃO'!$E$103:$F$114,2,FALSE)</f>
        <v>Derivados</v>
      </c>
      <c r="H1687" s="78">
        <v>10000</v>
      </c>
    </row>
    <row r="1688" spans="1:8" x14ac:dyDescent="0.25">
      <c r="A1688" s="71">
        <v>2025</v>
      </c>
      <c r="B1688" s="72" t="s">
        <v>212</v>
      </c>
      <c r="C1688" s="73" t="s">
        <v>233</v>
      </c>
      <c r="D1688" s="73" t="s">
        <v>182</v>
      </c>
      <c r="E1688" s="73" t="str">
        <f>VLOOKUP(D1688,clientes!$C$3:$D$60,2,FALSE)</f>
        <v>ATEM</v>
      </c>
      <c r="F1688" s="73" t="s">
        <v>120</v>
      </c>
      <c r="G1688" s="73" t="str">
        <f>VLOOKUP(F1688,'[2]Lista de Produtos CLASSIFICAÇÃO'!$E$103:$F$114,2,FALSE)</f>
        <v>Derivados</v>
      </c>
      <c r="H1688" s="74">
        <v>10000</v>
      </c>
    </row>
    <row r="1689" spans="1:8" x14ac:dyDescent="0.25">
      <c r="A1689" s="75">
        <v>2025</v>
      </c>
      <c r="B1689" s="76" t="s">
        <v>213</v>
      </c>
      <c r="C1689" s="77" t="s">
        <v>233</v>
      </c>
      <c r="D1689" s="77" t="s">
        <v>182</v>
      </c>
      <c r="E1689" s="73" t="str">
        <f>VLOOKUP(D1689,clientes!$C$3:$D$60,2,FALSE)</f>
        <v>ATEM</v>
      </c>
      <c r="F1689" s="77" t="s">
        <v>120</v>
      </c>
      <c r="G1689" s="73" t="str">
        <f>VLOOKUP(F1689,'[2]Lista de Produtos CLASSIFICAÇÃO'!$E$103:$F$114,2,FALSE)</f>
        <v>Derivados</v>
      </c>
      <c r="H1689" s="78">
        <v>10000</v>
      </c>
    </row>
    <row r="1690" spans="1:8" x14ac:dyDescent="0.25">
      <c r="A1690" s="71">
        <v>2025</v>
      </c>
      <c r="B1690" s="72" t="s">
        <v>214</v>
      </c>
      <c r="C1690" s="73" t="s">
        <v>233</v>
      </c>
      <c r="D1690" s="73" t="s">
        <v>182</v>
      </c>
      <c r="E1690" s="73" t="str">
        <f>VLOOKUP(D1690,clientes!$C$3:$D$60,2,FALSE)</f>
        <v>ATEM</v>
      </c>
      <c r="F1690" s="73" t="s">
        <v>120</v>
      </c>
      <c r="G1690" s="73" t="str">
        <f>VLOOKUP(F1690,'[2]Lista de Produtos CLASSIFICAÇÃO'!$E$103:$F$114,2,FALSE)</f>
        <v>Derivados</v>
      </c>
      <c r="H1690" s="74">
        <v>10000</v>
      </c>
    </row>
    <row r="1691" spans="1:8" x14ac:dyDescent="0.25">
      <c r="A1691" s="75">
        <v>2025</v>
      </c>
      <c r="B1691" s="76" t="s">
        <v>215</v>
      </c>
      <c r="C1691" s="77" t="s">
        <v>233</v>
      </c>
      <c r="D1691" s="77" t="s">
        <v>182</v>
      </c>
      <c r="E1691" s="73" t="str">
        <f>VLOOKUP(D1691,clientes!$C$3:$D$60,2,FALSE)</f>
        <v>ATEM</v>
      </c>
      <c r="F1691" s="77" t="s">
        <v>120</v>
      </c>
      <c r="G1691" s="73" t="str">
        <f>VLOOKUP(F1691,'[2]Lista de Produtos CLASSIFICAÇÃO'!$E$103:$F$114,2,FALSE)</f>
        <v>Derivados</v>
      </c>
      <c r="H1691" s="78">
        <v>10000</v>
      </c>
    </row>
    <row r="1692" spans="1:8" x14ac:dyDescent="0.25">
      <c r="A1692" s="71">
        <v>2025</v>
      </c>
      <c r="B1692" s="72" t="s">
        <v>230</v>
      </c>
      <c r="C1692" s="73" t="s">
        <v>233</v>
      </c>
      <c r="D1692" s="73" t="s">
        <v>182</v>
      </c>
      <c r="E1692" s="73" t="str">
        <f>VLOOKUP(D1692,clientes!$C$3:$D$60,2,FALSE)</f>
        <v>ATEM</v>
      </c>
      <c r="F1692" s="73" t="s">
        <v>120</v>
      </c>
      <c r="G1692" s="73" t="str">
        <f>VLOOKUP(F1692,'[2]Lista de Produtos CLASSIFICAÇÃO'!$E$103:$F$114,2,FALSE)</f>
        <v>Derivados</v>
      </c>
      <c r="H1692" s="74">
        <v>10000</v>
      </c>
    </row>
    <row r="1693" spans="1:8" x14ac:dyDescent="0.25">
      <c r="A1693" s="75">
        <v>2025</v>
      </c>
      <c r="B1693" s="76" t="s">
        <v>231</v>
      </c>
      <c r="C1693" s="77" t="s">
        <v>233</v>
      </c>
      <c r="D1693" s="77" t="s">
        <v>182</v>
      </c>
      <c r="E1693" s="73" t="str">
        <f>VLOOKUP(D1693,clientes!$C$3:$D$60,2,FALSE)</f>
        <v>ATEM</v>
      </c>
      <c r="F1693" s="77" t="s">
        <v>120</v>
      </c>
      <c r="G1693" s="73" t="str">
        <f>VLOOKUP(F1693,'[2]Lista de Produtos CLASSIFICAÇÃO'!$E$103:$F$114,2,FALSE)</f>
        <v>Derivados</v>
      </c>
      <c r="H1693" s="78">
        <v>10000</v>
      </c>
    </row>
    <row r="1694" spans="1:8" x14ac:dyDescent="0.25">
      <c r="A1694" s="71">
        <v>2025</v>
      </c>
      <c r="B1694" s="72" t="s">
        <v>226</v>
      </c>
      <c r="C1694" s="73" t="s">
        <v>232</v>
      </c>
      <c r="D1694" s="73" t="s">
        <v>165</v>
      </c>
      <c r="E1694" s="73" t="str">
        <f>VLOOKUP(D1694,clientes!$C$3:$D$60,2,FALSE)</f>
        <v>BRF</v>
      </c>
      <c r="F1694" s="73" t="s">
        <v>123</v>
      </c>
      <c r="G1694" s="73" t="str">
        <f>VLOOKUP(F1694,'[2]Lista de Produtos CLASSIFICAÇÃO'!$E$103:$F$114,2,FALSE)</f>
        <v>Aquecidos</v>
      </c>
      <c r="H1694" s="74">
        <v>13200</v>
      </c>
    </row>
    <row r="1695" spans="1:8" x14ac:dyDescent="0.25">
      <c r="A1695" s="75">
        <v>2025</v>
      </c>
      <c r="B1695" s="76" t="s">
        <v>227</v>
      </c>
      <c r="C1695" s="77" t="s">
        <v>232</v>
      </c>
      <c r="D1695" s="77" t="s">
        <v>165</v>
      </c>
      <c r="E1695" s="73" t="str">
        <f>VLOOKUP(D1695,clientes!$C$3:$D$60,2,FALSE)</f>
        <v>BRF</v>
      </c>
      <c r="F1695" s="77" t="s">
        <v>123</v>
      </c>
      <c r="G1695" s="73" t="str">
        <f>VLOOKUP(F1695,'[2]Lista de Produtos CLASSIFICAÇÃO'!$E$103:$F$114,2,FALSE)</f>
        <v>Aquecidos</v>
      </c>
      <c r="H1695" s="78">
        <v>13200</v>
      </c>
    </row>
    <row r="1696" spans="1:8" x14ac:dyDescent="0.25">
      <c r="A1696" s="71">
        <v>2025</v>
      </c>
      <c r="B1696" s="72" t="s">
        <v>228</v>
      </c>
      <c r="C1696" s="73" t="s">
        <v>232</v>
      </c>
      <c r="D1696" s="73" t="s">
        <v>165</v>
      </c>
      <c r="E1696" s="73" t="str">
        <f>VLOOKUP(D1696,clientes!$C$3:$D$60,2,FALSE)</f>
        <v>BRF</v>
      </c>
      <c r="F1696" s="73" t="s">
        <v>123</v>
      </c>
      <c r="G1696" s="73" t="str">
        <f>VLOOKUP(F1696,'[2]Lista de Produtos CLASSIFICAÇÃO'!$E$103:$F$114,2,FALSE)</f>
        <v>Aquecidos</v>
      </c>
      <c r="H1696" s="74">
        <v>13200</v>
      </c>
    </row>
    <row r="1697" spans="1:8" x14ac:dyDescent="0.25">
      <c r="A1697" s="75">
        <v>2025</v>
      </c>
      <c r="B1697" s="76" t="s">
        <v>229</v>
      </c>
      <c r="C1697" s="77" t="s">
        <v>232</v>
      </c>
      <c r="D1697" s="77" t="s">
        <v>165</v>
      </c>
      <c r="E1697" s="73" t="str">
        <f>VLOOKUP(D1697,clientes!$C$3:$D$60,2,FALSE)</f>
        <v>BRF</v>
      </c>
      <c r="F1697" s="77" t="s">
        <v>123</v>
      </c>
      <c r="G1697" s="73" t="str">
        <f>VLOOKUP(F1697,'[2]Lista de Produtos CLASSIFICAÇÃO'!$E$103:$F$114,2,FALSE)</f>
        <v>Aquecidos</v>
      </c>
      <c r="H1697" s="78">
        <v>13200</v>
      </c>
    </row>
    <row r="1698" spans="1:8" x14ac:dyDescent="0.25">
      <c r="A1698" s="71">
        <v>2025</v>
      </c>
      <c r="B1698" s="72" t="s">
        <v>210</v>
      </c>
      <c r="C1698" s="73" t="s">
        <v>232</v>
      </c>
      <c r="D1698" s="73" t="s">
        <v>165</v>
      </c>
      <c r="E1698" s="73" t="str">
        <f>VLOOKUP(D1698,clientes!$C$3:$D$60,2,FALSE)</f>
        <v>BRF</v>
      </c>
      <c r="F1698" s="73" t="s">
        <v>123</v>
      </c>
      <c r="G1698" s="73" t="str">
        <f>VLOOKUP(F1698,'[2]Lista de Produtos CLASSIFICAÇÃO'!$E$103:$F$114,2,FALSE)</f>
        <v>Aquecidos</v>
      </c>
      <c r="H1698" s="74">
        <v>13200</v>
      </c>
    </row>
    <row r="1699" spans="1:8" x14ac:dyDescent="0.25">
      <c r="A1699" s="75">
        <v>2025</v>
      </c>
      <c r="B1699" s="76" t="s">
        <v>211</v>
      </c>
      <c r="C1699" s="77" t="s">
        <v>232</v>
      </c>
      <c r="D1699" s="77" t="s">
        <v>165</v>
      </c>
      <c r="E1699" s="73" t="str">
        <f>VLOOKUP(D1699,clientes!$C$3:$D$60,2,FALSE)</f>
        <v>BRF</v>
      </c>
      <c r="F1699" s="77" t="s">
        <v>123</v>
      </c>
      <c r="G1699" s="73" t="str">
        <f>VLOOKUP(F1699,'[2]Lista de Produtos CLASSIFICAÇÃO'!$E$103:$F$114,2,FALSE)</f>
        <v>Aquecidos</v>
      </c>
      <c r="H1699" s="78">
        <v>13200</v>
      </c>
    </row>
    <row r="1700" spans="1:8" x14ac:dyDescent="0.25">
      <c r="A1700" s="71">
        <v>2025</v>
      </c>
      <c r="B1700" s="72" t="s">
        <v>212</v>
      </c>
      <c r="C1700" s="73" t="s">
        <v>232</v>
      </c>
      <c r="D1700" s="73" t="s">
        <v>165</v>
      </c>
      <c r="E1700" s="73" t="str">
        <f>VLOOKUP(D1700,clientes!$C$3:$D$60,2,FALSE)</f>
        <v>BRF</v>
      </c>
      <c r="F1700" s="73" t="s">
        <v>123</v>
      </c>
      <c r="G1700" s="73" t="str">
        <f>VLOOKUP(F1700,'[2]Lista de Produtos CLASSIFICAÇÃO'!$E$103:$F$114,2,FALSE)</f>
        <v>Aquecidos</v>
      </c>
      <c r="H1700" s="74">
        <v>13200</v>
      </c>
    </row>
    <row r="1701" spans="1:8" x14ac:dyDescent="0.25">
      <c r="A1701" s="75">
        <v>2025</v>
      </c>
      <c r="B1701" s="76" t="s">
        <v>213</v>
      </c>
      <c r="C1701" s="77" t="s">
        <v>232</v>
      </c>
      <c r="D1701" s="77" t="s">
        <v>165</v>
      </c>
      <c r="E1701" s="73" t="str">
        <f>VLOOKUP(D1701,clientes!$C$3:$D$60,2,FALSE)</f>
        <v>BRF</v>
      </c>
      <c r="F1701" s="77" t="s">
        <v>123</v>
      </c>
      <c r="G1701" s="73" t="str">
        <f>VLOOKUP(F1701,'[2]Lista de Produtos CLASSIFICAÇÃO'!$E$103:$F$114,2,FALSE)</f>
        <v>Aquecidos</v>
      </c>
      <c r="H1701" s="78">
        <v>13200</v>
      </c>
    </row>
    <row r="1702" spans="1:8" x14ac:dyDescent="0.25">
      <c r="A1702" s="71">
        <v>2025</v>
      </c>
      <c r="B1702" s="72" t="s">
        <v>214</v>
      </c>
      <c r="C1702" s="73" t="s">
        <v>232</v>
      </c>
      <c r="D1702" s="73" t="s">
        <v>165</v>
      </c>
      <c r="E1702" s="73" t="str">
        <f>VLOOKUP(D1702,clientes!$C$3:$D$60,2,FALSE)</f>
        <v>BRF</v>
      </c>
      <c r="F1702" s="73" t="s">
        <v>123</v>
      </c>
      <c r="G1702" s="73" t="str">
        <f>VLOOKUP(F1702,'[2]Lista de Produtos CLASSIFICAÇÃO'!$E$103:$F$114,2,FALSE)</f>
        <v>Aquecidos</v>
      </c>
      <c r="H1702" s="74">
        <v>13200</v>
      </c>
    </row>
    <row r="1703" spans="1:8" x14ac:dyDescent="0.25">
      <c r="A1703" s="75">
        <v>2025</v>
      </c>
      <c r="B1703" s="76" t="s">
        <v>215</v>
      </c>
      <c r="C1703" s="77" t="s">
        <v>232</v>
      </c>
      <c r="D1703" s="77" t="s">
        <v>165</v>
      </c>
      <c r="E1703" s="73" t="str">
        <f>VLOOKUP(D1703,clientes!$C$3:$D$60,2,FALSE)</f>
        <v>BRF</v>
      </c>
      <c r="F1703" s="77" t="s">
        <v>123</v>
      </c>
      <c r="G1703" s="73" t="str">
        <f>VLOOKUP(F1703,'[2]Lista de Produtos CLASSIFICAÇÃO'!$E$103:$F$114,2,FALSE)</f>
        <v>Aquecidos</v>
      </c>
      <c r="H1703" s="78">
        <v>13200</v>
      </c>
    </row>
    <row r="1704" spans="1:8" x14ac:dyDescent="0.25">
      <c r="A1704" s="71">
        <v>2025</v>
      </c>
      <c r="B1704" s="72" t="s">
        <v>230</v>
      </c>
      <c r="C1704" s="73" t="s">
        <v>232</v>
      </c>
      <c r="D1704" s="73" t="s">
        <v>165</v>
      </c>
      <c r="E1704" s="73" t="str">
        <f>VLOOKUP(D1704,clientes!$C$3:$D$60,2,FALSE)</f>
        <v>BRF</v>
      </c>
      <c r="F1704" s="73" t="s">
        <v>123</v>
      </c>
      <c r="G1704" s="73" t="str">
        <f>VLOOKUP(F1704,'[2]Lista de Produtos CLASSIFICAÇÃO'!$E$103:$F$114,2,FALSE)</f>
        <v>Aquecidos</v>
      </c>
      <c r="H1704" s="74">
        <v>13200</v>
      </c>
    </row>
    <row r="1705" spans="1:8" x14ac:dyDescent="0.25">
      <c r="A1705" s="75">
        <v>2025</v>
      </c>
      <c r="B1705" s="76" t="s">
        <v>231</v>
      </c>
      <c r="C1705" s="77" t="s">
        <v>232</v>
      </c>
      <c r="D1705" s="77" t="s">
        <v>165</v>
      </c>
      <c r="E1705" s="73" t="str">
        <f>VLOOKUP(D1705,clientes!$C$3:$D$60,2,FALSE)</f>
        <v>BRF</v>
      </c>
      <c r="F1705" s="77" t="s">
        <v>123</v>
      </c>
      <c r="G1705" s="73" t="str">
        <f>VLOOKUP(F1705,'[2]Lista de Produtos CLASSIFICAÇÃO'!$E$103:$F$114,2,FALSE)</f>
        <v>Aquecidos</v>
      </c>
      <c r="H1705" s="78">
        <v>13200</v>
      </c>
    </row>
    <row r="1706" spans="1:8" x14ac:dyDescent="0.25">
      <c r="A1706" s="71">
        <v>2025</v>
      </c>
      <c r="B1706" s="72" t="s">
        <v>226</v>
      </c>
      <c r="C1706" s="73" t="s">
        <v>233</v>
      </c>
      <c r="D1706" s="73" t="s">
        <v>179</v>
      </c>
      <c r="E1706" s="73" t="str">
        <f>VLOOKUP(D1706,clientes!$C$3:$D$60,2,FALSE)</f>
        <v>BSBIOS</v>
      </c>
      <c r="F1706" s="73" t="s">
        <v>26</v>
      </c>
      <c r="G1706" s="73" t="str">
        <f>VLOOKUP(F1706,'[2]Lista de Produtos CLASSIFICAÇÃO'!$E$103:$F$114,2,FALSE)</f>
        <v>Biocombustíveis</v>
      </c>
      <c r="H1706" s="74">
        <v>5000</v>
      </c>
    </row>
    <row r="1707" spans="1:8" x14ac:dyDescent="0.25">
      <c r="A1707" s="75">
        <v>2025</v>
      </c>
      <c r="B1707" s="76" t="s">
        <v>227</v>
      </c>
      <c r="C1707" s="77" t="s">
        <v>233</v>
      </c>
      <c r="D1707" s="77" t="s">
        <v>179</v>
      </c>
      <c r="E1707" s="73" t="str">
        <f>VLOOKUP(D1707,clientes!$C$3:$D$60,2,FALSE)</f>
        <v>BSBIOS</v>
      </c>
      <c r="F1707" s="77" t="s">
        <v>26</v>
      </c>
      <c r="G1707" s="73" t="str">
        <f>VLOOKUP(F1707,'[2]Lista de Produtos CLASSIFICAÇÃO'!$E$103:$F$114,2,FALSE)</f>
        <v>Biocombustíveis</v>
      </c>
      <c r="H1707" s="78">
        <v>5000</v>
      </c>
    </row>
    <row r="1708" spans="1:8" x14ac:dyDescent="0.25">
      <c r="A1708" s="71">
        <v>2025</v>
      </c>
      <c r="B1708" s="72" t="s">
        <v>228</v>
      </c>
      <c r="C1708" s="73" t="s">
        <v>233</v>
      </c>
      <c r="D1708" s="73" t="s">
        <v>179</v>
      </c>
      <c r="E1708" s="73" t="str">
        <f>VLOOKUP(D1708,clientes!$C$3:$D$60,2,FALSE)</f>
        <v>BSBIOS</v>
      </c>
      <c r="F1708" s="73" t="s">
        <v>26</v>
      </c>
      <c r="G1708" s="73" t="str">
        <f>VLOOKUP(F1708,'[2]Lista de Produtos CLASSIFICAÇÃO'!$E$103:$F$114,2,FALSE)</f>
        <v>Biocombustíveis</v>
      </c>
      <c r="H1708" s="74">
        <v>5000</v>
      </c>
    </row>
    <row r="1709" spans="1:8" x14ac:dyDescent="0.25">
      <c r="A1709" s="75">
        <v>2025</v>
      </c>
      <c r="B1709" s="76" t="s">
        <v>229</v>
      </c>
      <c r="C1709" s="77" t="s">
        <v>233</v>
      </c>
      <c r="D1709" s="77" t="s">
        <v>179</v>
      </c>
      <c r="E1709" s="73" t="str">
        <f>VLOOKUP(D1709,clientes!$C$3:$D$60,2,FALSE)</f>
        <v>BSBIOS</v>
      </c>
      <c r="F1709" s="77" t="s">
        <v>26</v>
      </c>
      <c r="G1709" s="73" t="str">
        <f>VLOOKUP(F1709,'[2]Lista de Produtos CLASSIFICAÇÃO'!$E$103:$F$114,2,FALSE)</f>
        <v>Biocombustíveis</v>
      </c>
      <c r="H1709" s="78">
        <v>5000</v>
      </c>
    </row>
    <row r="1710" spans="1:8" x14ac:dyDescent="0.25">
      <c r="A1710" s="71">
        <v>2025</v>
      </c>
      <c r="B1710" s="72" t="s">
        <v>210</v>
      </c>
      <c r="C1710" s="73" t="s">
        <v>233</v>
      </c>
      <c r="D1710" s="73" t="s">
        <v>179</v>
      </c>
      <c r="E1710" s="73" t="str">
        <f>VLOOKUP(D1710,clientes!$C$3:$D$60,2,FALSE)</f>
        <v>BSBIOS</v>
      </c>
      <c r="F1710" s="73" t="s">
        <v>26</v>
      </c>
      <c r="G1710" s="73" t="str">
        <f>VLOOKUP(F1710,'[2]Lista de Produtos CLASSIFICAÇÃO'!$E$103:$F$114,2,FALSE)</f>
        <v>Biocombustíveis</v>
      </c>
      <c r="H1710" s="74">
        <v>5000</v>
      </c>
    </row>
    <row r="1711" spans="1:8" x14ac:dyDescent="0.25">
      <c r="A1711" s="75">
        <v>2025</v>
      </c>
      <c r="B1711" s="76" t="s">
        <v>211</v>
      </c>
      <c r="C1711" s="77" t="s">
        <v>233</v>
      </c>
      <c r="D1711" s="77" t="s">
        <v>179</v>
      </c>
      <c r="E1711" s="73" t="str">
        <f>VLOOKUP(D1711,clientes!$C$3:$D$60,2,FALSE)</f>
        <v>BSBIOS</v>
      </c>
      <c r="F1711" s="77" t="s">
        <v>26</v>
      </c>
      <c r="G1711" s="73" t="str">
        <f>VLOOKUP(F1711,'[2]Lista de Produtos CLASSIFICAÇÃO'!$E$103:$F$114,2,FALSE)</f>
        <v>Biocombustíveis</v>
      </c>
      <c r="H1711" s="78">
        <v>5000</v>
      </c>
    </row>
    <row r="1712" spans="1:8" x14ac:dyDescent="0.25">
      <c r="A1712" s="71">
        <v>2025</v>
      </c>
      <c r="B1712" s="72" t="s">
        <v>212</v>
      </c>
      <c r="C1712" s="73" t="s">
        <v>233</v>
      </c>
      <c r="D1712" s="73" t="s">
        <v>179</v>
      </c>
      <c r="E1712" s="73" t="str">
        <f>VLOOKUP(D1712,clientes!$C$3:$D$60,2,FALSE)</f>
        <v>BSBIOS</v>
      </c>
      <c r="F1712" s="73" t="s">
        <v>26</v>
      </c>
      <c r="G1712" s="73" t="str">
        <f>VLOOKUP(F1712,'[2]Lista de Produtos CLASSIFICAÇÃO'!$E$103:$F$114,2,FALSE)</f>
        <v>Biocombustíveis</v>
      </c>
      <c r="H1712" s="74">
        <v>5000</v>
      </c>
    </row>
    <row r="1713" spans="1:8" x14ac:dyDescent="0.25">
      <c r="A1713" s="75">
        <v>2025</v>
      </c>
      <c r="B1713" s="76" t="s">
        <v>213</v>
      </c>
      <c r="C1713" s="77" t="s">
        <v>233</v>
      </c>
      <c r="D1713" s="77" t="s">
        <v>179</v>
      </c>
      <c r="E1713" s="73" t="str">
        <f>VLOOKUP(D1713,clientes!$C$3:$D$60,2,FALSE)</f>
        <v>BSBIOS</v>
      </c>
      <c r="F1713" s="77" t="s">
        <v>26</v>
      </c>
      <c r="G1713" s="73" t="str">
        <f>VLOOKUP(F1713,'[2]Lista de Produtos CLASSIFICAÇÃO'!$E$103:$F$114,2,FALSE)</f>
        <v>Biocombustíveis</v>
      </c>
      <c r="H1713" s="78">
        <v>5000</v>
      </c>
    </row>
    <row r="1714" spans="1:8" x14ac:dyDescent="0.25">
      <c r="A1714" s="71">
        <v>2025</v>
      </c>
      <c r="B1714" s="72" t="s">
        <v>214</v>
      </c>
      <c r="C1714" s="73" t="s">
        <v>233</v>
      </c>
      <c r="D1714" s="73" t="s">
        <v>179</v>
      </c>
      <c r="E1714" s="73" t="str">
        <f>VLOOKUP(D1714,clientes!$C$3:$D$60,2,FALSE)</f>
        <v>BSBIOS</v>
      </c>
      <c r="F1714" s="73" t="s">
        <v>26</v>
      </c>
      <c r="G1714" s="73" t="str">
        <f>VLOOKUP(F1714,'[2]Lista de Produtos CLASSIFICAÇÃO'!$E$103:$F$114,2,FALSE)</f>
        <v>Biocombustíveis</v>
      </c>
      <c r="H1714" s="74">
        <v>5000</v>
      </c>
    </row>
    <row r="1715" spans="1:8" x14ac:dyDescent="0.25">
      <c r="A1715" s="75">
        <v>2025</v>
      </c>
      <c r="B1715" s="76" t="s">
        <v>215</v>
      </c>
      <c r="C1715" s="77" t="s">
        <v>233</v>
      </c>
      <c r="D1715" s="77" t="s">
        <v>179</v>
      </c>
      <c r="E1715" s="73" t="str">
        <f>VLOOKUP(D1715,clientes!$C$3:$D$60,2,FALSE)</f>
        <v>BSBIOS</v>
      </c>
      <c r="F1715" s="77" t="s">
        <v>26</v>
      </c>
      <c r="G1715" s="73" t="str">
        <f>VLOOKUP(F1715,'[2]Lista de Produtos CLASSIFICAÇÃO'!$E$103:$F$114,2,FALSE)</f>
        <v>Biocombustíveis</v>
      </c>
      <c r="H1715" s="78">
        <v>5000</v>
      </c>
    </row>
    <row r="1716" spans="1:8" x14ac:dyDescent="0.25">
      <c r="A1716" s="71">
        <v>2025</v>
      </c>
      <c r="B1716" s="72" t="s">
        <v>230</v>
      </c>
      <c r="C1716" s="73" t="s">
        <v>233</v>
      </c>
      <c r="D1716" s="73" t="s">
        <v>179</v>
      </c>
      <c r="E1716" s="73" t="str">
        <f>VLOOKUP(D1716,clientes!$C$3:$D$60,2,FALSE)</f>
        <v>BSBIOS</v>
      </c>
      <c r="F1716" s="73" t="s">
        <v>26</v>
      </c>
      <c r="G1716" s="73" t="str">
        <f>VLOOKUP(F1716,'[2]Lista de Produtos CLASSIFICAÇÃO'!$E$103:$F$114,2,FALSE)</f>
        <v>Biocombustíveis</v>
      </c>
      <c r="H1716" s="74">
        <v>5000</v>
      </c>
    </row>
    <row r="1717" spans="1:8" x14ac:dyDescent="0.25">
      <c r="A1717" s="75">
        <v>2025</v>
      </c>
      <c r="B1717" s="76" t="s">
        <v>231</v>
      </c>
      <c r="C1717" s="77" t="s">
        <v>233</v>
      </c>
      <c r="D1717" s="77" t="s">
        <v>179</v>
      </c>
      <c r="E1717" s="73" t="str">
        <f>VLOOKUP(D1717,clientes!$C$3:$D$60,2,FALSE)</f>
        <v>BSBIOS</v>
      </c>
      <c r="F1717" s="77" t="s">
        <v>26</v>
      </c>
      <c r="G1717" s="73" t="str">
        <f>VLOOKUP(F1717,'[2]Lista de Produtos CLASSIFICAÇÃO'!$E$103:$F$114,2,FALSE)</f>
        <v>Biocombustíveis</v>
      </c>
      <c r="H1717" s="78">
        <v>5000</v>
      </c>
    </row>
    <row r="1718" spans="1:8" x14ac:dyDescent="0.25">
      <c r="A1718" s="71">
        <v>2025</v>
      </c>
      <c r="B1718" s="72" t="s">
        <v>226</v>
      </c>
      <c r="C1718" s="73" t="s">
        <v>225</v>
      </c>
      <c r="D1718" s="73" t="s">
        <v>164</v>
      </c>
      <c r="E1718" s="73" t="str">
        <f>VLOOKUP(D1718,clientes!$C$3:$D$60,2,FALSE)</f>
        <v>BRASKEM</v>
      </c>
      <c r="F1718" s="73" t="s">
        <v>115</v>
      </c>
      <c r="G1718" s="73" t="str">
        <f>VLOOKUP(F1718,'[2]Lista de Produtos CLASSIFICAÇÃO'!$E$103:$F$114,2,FALSE)</f>
        <v>Soda Caustica</v>
      </c>
      <c r="H1718" s="74">
        <v>2666</v>
      </c>
    </row>
    <row r="1719" spans="1:8" x14ac:dyDescent="0.25">
      <c r="A1719" s="75">
        <v>2025</v>
      </c>
      <c r="B1719" s="76" t="s">
        <v>227</v>
      </c>
      <c r="C1719" s="77" t="s">
        <v>225</v>
      </c>
      <c r="D1719" s="77" t="s">
        <v>164</v>
      </c>
      <c r="E1719" s="73" t="str">
        <f>VLOOKUP(D1719,clientes!$C$3:$D$60,2,FALSE)</f>
        <v>BRASKEM</v>
      </c>
      <c r="F1719" s="77" t="s">
        <v>115</v>
      </c>
      <c r="G1719" s="73" t="str">
        <f>VLOOKUP(F1719,'[2]Lista de Produtos CLASSIFICAÇÃO'!$E$103:$F$114,2,FALSE)</f>
        <v>Soda Caustica</v>
      </c>
      <c r="H1719" s="78">
        <v>2666</v>
      </c>
    </row>
    <row r="1720" spans="1:8" x14ac:dyDescent="0.25">
      <c r="A1720" s="71">
        <v>2025</v>
      </c>
      <c r="B1720" s="72" t="s">
        <v>228</v>
      </c>
      <c r="C1720" s="73" t="s">
        <v>225</v>
      </c>
      <c r="D1720" s="73" t="s">
        <v>164</v>
      </c>
      <c r="E1720" s="73" t="str">
        <f>VLOOKUP(D1720,clientes!$C$3:$D$60,2,FALSE)</f>
        <v>BRASKEM</v>
      </c>
      <c r="F1720" s="73" t="s">
        <v>115</v>
      </c>
      <c r="G1720" s="73" t="str">
        <f>VLOOKUP(F1720,'[2]Lista de Produtos CLASSIFICAÇÃO'!$E$103:$F$114,2,FALSE)</f>
        <v>Soda Caustica</v>
      </c>
      <c r="H1720" s="74">
        <v>2666</v>
      </c>
    </row>
    <row r="1721" spans="1:8" x14ac:dyDescent="0.25">
      <c r="A1721" s="75">
        <v>2025</v>
      </c>
      <c r="B1721" s="76" t="s">
        <v>229</v>
      </c>
      <c r="C1721" s="77" t="s">
        <v>225</v>
      </c>
      <c r="D1721" s="77" t="s">
        <v>164</v>
      </c>
      <c r="E1721" s="73" t="str">
        <f>VLOOKUP(D1721,clientes!$C$3:$D$60,2,FALSE)</f>
        <v>BRASKEM</v>
      </c>
      <c r="F1721" s="77" t="s">
        <v>115</v>
      </c>
      <c r="G1721" s="73" t="str">
        <f>VLOOKUP(F1721,'[2]Lista de Produtos CLASSIFICAÇÃO'!$E$103:$F$114,2,FALSE)</f>
        <v>Soda Caustica</v>
      </c>
      <c r="H1721" s="78">
        <v>2666</v>
      </c>
    </row>
    <row r="1722" spans="1:8" x14ac:dyDescent="0.25">
      <c r="A1722" s="71">
        <v>2025</v>
      </c>
      <c r="B1722" s="72" t="s">
        <v>210</v>
      </c>
      <c r="C1722" s="73" t="s">
        <v>225</v>
      </c>
      <c r="D1722" s="73" t="s">
        <v>164</v>
      </c>
      <c r="E1722" s="73" t="str">
        <f>VLOOKUP(D1722,clientes!$C$3:$D$60,2,FALSE)</f>
        <v>BRASKEM</v>
      </c>
      <c r="F1722" s="73" t="s">
        <v>115</v>
      </c>
      <c r="G1722" s="73" t="str">
        <f>VLOOKUP(F1722,'[2]Lista de Produtos CLASSIFICAÇÃO'!$E$103:$F$114,2,FALSE)</f>
        <v>Soda Caustica</v>
      </c>
      <c r="H1722" s="74">
        <v>2666</v>
      </c>
    </row>
    <row r="1723" spans="1:8" x14ac:dyDescent="0.25">
      <c r="A1723" s="75">
        <v>2025</v>
      </c>
      <c r="B1723" s="76" t="s">
        <v>211</v>
      </c>
      <c r="C1723" s="77" t="s">
        <v>225</v>
      </c>
      <c r="D1723" s="77" t="s">
        <v>164</v>
      </c>
      <c r="E1723" s="73" t="str">
        <f>VLOOKUP(D1723,clientes!$C$3:$D$60,2,FALSE)</f>
        <v>BRASKEM</v>
      </c>
      <c r="F1723" s="77" t="s">
        <v>115</v>
      </c>
      <c r="G1723" s="73" t="str">
        <f>VLOOKUP(F1723,'[2]Lista de Produtos CLASSIFICAÇÃO'!$E$103:$F$114,2,FALSE)</f>
        <v>Soda Caustica</v>
      </c>
      <c r="H1723" s="78">
        <v>2666</v>
      </c>
    </row>
    <row r="1724" spans="1:8" x14ac:dyDescent="0.25">
      <c r="A1724" s="71">
        <v>2025</v>
      </c>
      <c r="B1724" s="72" t="s">
        <v>212</v>
      </c>
      <c r="C1724" s="73" t="s">
        <v>225</v>
      </c>
      <c r="D1724" s="73" t="s">
        <v>164</v>
      </c>
      <c r="E1724" s="73" t="str">
        <f>VLOOKUP(D1724,clientes!$C$3:$D$60,2,FALSE)</f>
        <v>BRASKEM</v>
      </c>
      <c r="F1724" s="73" t="s">
        <v>115</v>
      </c>
      <c r="G1724" s="73" t="str">
        <f>VLOOKUP(F1724,'[2]Lista de Produtos CLASSIFICAÇÃO'!$E$103:$F$114,2,FALSE)</f>
        <v>Soda Caustica</v>
      </c>
      <c r="H1724" s="74">
        <v>2666</v>
      </c>
    </row>
    <row r="1725" spans="1:8" x14ac:dyDescent="0.25">
      <c r="A1725" s="75">
        <v>2025</v>
      </c>
      <c r="B1725" s="76" t="s">
        <v>213</v>
      </c>
      <c r="C1725" s="77" t="s">
        <v>225</v>
      </c>
      <c r="D1725" s="77" t="s">
        <v>164</v>
      </c>
      <c r="E1725" s="73" t="str">
        <f>VLOOKUP(D1725,clientes!$C$3:$D$60,2,FALSE)</f>
        <v>BRASKEM</v>
      </c>
      <c r="F1725" s="77" t="s">
        <v>115</v>
      </c>
      <c r="G1725" s="73" t="str">
        <f>VLOOKUP(F1725,'[2]Lista de Produtos CLASSIFICAÇÃO'!$E$103:$F$114,2,FALSE)</f>
        <v>Soda Caustica</v>
      </c>
      <c r="H1725" s="78">
        <v>2666</v>
      </c>
    </row>
    <row r="1726" spans="1:8" x14ac:dyDescent="0.25">
      <c r="A1726" s="71">
        <v>2025</v>
      </c>
      <c r="B1726" s="72" t="s">
        <v>214</v>
      </c>
      <c r="C1726" s="73" t="s">
        <v>225</v>
      </c>
      <c r="D1726" s="73" t="s">
        <v>164</v>
      </c>
      <c r="E1726" s="73" t="str">
        <f>VLOOKUP(D1726,clientes!$C$3:$D$60,2,FALSE)</f>
        <v>BRASKEM</v>
      </c>
      <c r="F1726" s="73" t="s">
        <v>115</v>
      </c>
      <c r="G1726" s="73" t="str">
        <f>VLOOKUP(F1726,'[2]Lista de Produtos CLASSIFICAÇÃO'!$E$103:$F$114,2,FALSE)</f>
        <v>Soda Caustica</v>
      </c>
      <c r="H1726" s="74">
        <v>2666</v>
      </c>
    </row>
    <row r="1727" spans="1:8" x14ac:dyDescent="0.25">
      <c r="A1727" s="75">
        <v>2025</v>
      </c>
      <c r="B1727" s="76" t="s">
        <v>215</v>
      </c>
      <c r="C1727" s="77" t="s">
        <v>225</v>
      </c>
      <c r="D1727" s="77" t="s">
        <v>164</v>
      </c>
      <c r="E1727" s="73" t="str">
        <f>VLOOKUP(D1727,clientes!$C$3:$D$60,2,FALSE)</f>
        <v>BRASKEM</v>
      </c>
      <c r="F1727" s="77" t="s">
        <v>115</v>
      </c>
      <c r="G1727" s="73" t="str">
        <f>VLOOKUP(F1727,'[2]Lista de Produtos CLASSIFICAÇÃO'!$E$103:$F$114,2,FALSE)</f>
        <v>Soda Caustica</v>
      </c>
      <c r="H1727" s="78">
        <v>2666</v>
      </c>
    </row>
    <row r="1728" spans="1:8" x14ac:dyDescent="0.25">
      <c r="A1728" s="71">
        <v>2025</v>
      </c>
      <c r="B1728" s="72" t="s">
        <v>230</v>
      </c>
      <c r="C1728" s="73" t="s">
        <v>225</v>
      </c>
      <c r="D1728" s="73" t="s">
        <v>164</v>
      </c>
      <c r="E1728" s="73" t="str">
        <f>VLOOKUP(D1728,clientes!$C$3:$D$60,2,FALSE)</f>
        <v>BRASKEM</v>
      </c>
      <c r="F1728" s="73" t="s">
        <v>115</v>
      </c>
      <c r="G1728" s="73" t="str">
        <f>VLOOKUP(F1728,'[2]Lista de Produtos CLASSIFICAÇÃO'!$E$103:$F$114,2,FALSE)</f>
        <v>Soda Caustica</v>
      </c>
      <c r="H1728" s="74">
        <v>2666</v>
      </c>
    </row>
    <row r="1729" spans="1:8" x14ac:dyDescent="0.25">
      <c r="A1729" s="75">
        <v>2025</v>
      </c>
      <c r="B1729" s="76" t="s">
        <v>231</v>
      </c>
      <c r="C1729" s="77" t="s">
        <v>225</v>
      </c>
      <c r="D1729" s="77" t="s">
        <v>164</v>
      </c>
      <c r="E1729" s="73" t="str">
        <f>VLOOKUP(D1729,clientes!$C$3:$D$60,2,FALSE)</f>
        <v>BRASKEM</v>
      </c>
      <c r="F1729" s="77" t="s">
        <v>115</v>
      </c>
      <c r="G1729" s="73" t="str">
        <f>VLOOKUP(F1729,'[2]Lista de Produtos CLASSIFICAÇÃO'!$E$103:$F$114,2,FALSE)</f>
        <v>Soda Caustica</v>
      </c>
      <c r="H1729" s="78">
        <v>2666</v>
      </c>
    </row>
    <row r="1730" spans="1:8" x14ac:dyDescent="0.25">
      <c r="A1730" s="71">
        <v>2025</v>
      </c>
      <c r="B1730" s="72" t="s">
        <v>226</v>
      </c>
      <c r="C1730" s="73" t="s">
        <v>225</v>
      </c>
      <c r="D1730" s="73" t="s">
        <v>177</v>
      </c>
      <c r="E1730" s="73" t="str">
        <f>VLOOKUP(D1730,clientes!$C$3:$D$60,2,FALSE)</f>
        <v>BRENNTAG</v>
      </c>
      <c r="F1730" s="73" t="s">
        <v>115</v>
      </c>
      <c r="G1730" s="73" t="str">
        <f>VLOOKUP(F1730,'[2]Lista de Produtos CLASSIFICAÇÃO'!$E$103:$F$114,2,FALSE)</f>
        <v>Soda Caustica</v>
      </c>
      <c r="H1730" s="74">
        <v>3500</v>
      </c>
    </row>
    <row r="1731" spans="1:8" x14ac:dyDescent="0.25">
      <c r="A1731" s="75">
        <v>2025</v>
      </c>
      <c r="B1731" s="76" t="s">
        <v>227</v>
      </c>
      <c r="C1731" s="77" t="s">
        <v>225</v>
      </c>
      <c r="D1731" s="77" t="s">
        <v>177</v>
      </c>
      <c r="E1731" s="73" t="str">
        <f>VLOOKUP(D1731,clientes!$C$3:$D$60,2,FALSE)</f>
        <v>BRENNTAG</v>
      </c>
      <c r="F1731" s="77" t="s">
        <v>115</v>
      </c>
      <c r="G1731" s="73" t="str">
        <f>VLOOKUP(F1731,'[2]Lista de Produtos CLASSIFICAÇÃO'!$E$103:$F$114,2,FALSE)</f>
        <v>Soda Caustica</v>
      </c>
      <c r="H1731" s="78">
        <v>3500</v>
      </c>
    </row>
    <row r="1732" spans="1:8" x14ac:dyDescent="0.25">
      <c r="A1732" s="71">
        <v>2025</v>
      </c>
      <c r="B1732" s="72" t="s">
        <v>228</v>
      </c>
      <c r="C1732" s="73" t="s">
        <v>225</v>
      </c>
      <c r="D1732" s="73" t="s">
        <v>177</v>
      </c>
      <c r="E1732" s="73" t="str">
        <f>VLOOKUP(D1732,clientes!$C$3:$D$60,2,FALSE)</f>
        <v>BRENNTAG</v>
      </c>
      <c r="F1732" s="73" t="s">
        <v>115</v>
      </c>
      <c r="G1732" s="73" t="str">
        <f>VLOOKUP(F1732,'[2]Lista de Produtos CLASSIFICAÇÃO'!$E$103:$F$114,2,FALSE)</f>
        <v>Soda Caustica</v>
      </c>
      <c r="H1732" s="74">
        <v>3500</v>
      </c>
    </row>
    <row r="1733" spans="1:8" x14ac:dyDescent="0.25">
      <c r="A1733" s="75">
        <v>2025</v>
      </c>
      <c r="B1733" s="76" t="s">
        <v>229</v>
      </c>
      <c r="C1733" s="77" t="s">
        <v>225</v>
      </c>
      <c r="D1733" s="77" t="s">
        <v>177</v>
      </c>
      <c r="E1733" s="73" t="str">
        <f>VLOOKUP(D1733,clientes!$C$3:$D$60,2,FALSE)</f>
        <v>BRENNTAG</v>
      </c>
      <c r="F1733" s="77" t="s">
        <v>115</v>
      </c>
      <c r="G1733" s="73" t="str">
        <f>VLOOKUP(F1733,'[2]Lista de Produtos CLASSIFICAÇÃO'!$E$103:$F$114,2,FALSE)</f>
        <v>Soda Caustica</v>
      </c>
      <c r="H1733" s="78">
        <v>3500</v>
      </c>
    </row>
    <row r="1734" spans="1:8" x14ac:dyDescent="0.25">
      <c r="A1734" s="71">
        <v>2025</v>
      </c>
      <c r="B1734" s="72" t="s">
        <v>210</v>
      </c>
      <c r="C1734" s="73" t="s">
        <v>225</v>
      </c>
      <c r="D1734" s="73" t="s">
        <v>177</v>
      </c>
      <c r="E1734" s="73" t="str">
        <f>VLOOKUP(D1734,clientes!$C$3:$D$60,2,FALSE)</f>
        <v>BRENNTAG</v>
      </c>
      <c r="F1734" s="73" t="s">
        <v>115</v>
      </c>
      <c r="G1734" s="73" t="str">
        <f>VLOOKUP(F1734,'[2]Lista de Produtos CLASSIFICAÇÃO'!$E$103:$F$114,2,FALSE)</f>
        <v>Soda Caustica</v>
      </c>
      <c r="H1734" s="74">
        <v>3500</v>
      </c>
    </row>
    <row r="1735" spans="1:8" x14ac:dyDescent="0.25">
      <c r="A1735" s="75">
        <v>2025</v>
      </c>
      <c r="B1735" s="76" t="s">
        <v>211</v>
      </c>
      <c r="C1735" s="77" t="s">
        <v>225</v>
      </c>
      <c r="D1735" s="77" t="s">
        <v>177</v>
      </c>
      <c r="E1735" s="73" t="str">
        <f>VLOOKUP(D1735,clientes!$C$3:$D$60,2,FALSE)</f>
        <v>BRENNTAG</v>
      </c>
      <c r="F1735" s="77" t="s">
        <v>115</v>
      </c>
      <c r="G1735" s="73" t="str">
        <f>VLOOKUP(F1735,'[2]Lista de Produtos CLASSIFICAÇÃO'!$E$103:$F$114,2,FALSE)</f>
        <v>Soda Caustica</v>
      </c>
      <c r="H1735" s="78">
        <v>3500</v>
      </c>
    </row>
    <row r="1736" spans="1:8" x14ac:dyDescent="0.25">
      <c r="A1736" s="71">
        <v>2025</v>
      </c>
      <c r="B1736" s="72" t="s">
        <v>212</v>
      </c>
      <c r="C1736" s="73" t="s">
        <v>225</v>
      </c>
      <c r="D1736" s="73" t="s">
        <v>177</v>
      </c>
      <c r="E1736" s="73" t="str">
        <f>VLOOKUP(D1736,clientes!$C$3:$D$60,2,FALSE)</f>
        <v>BRENNTAG</v>
      </c>
      <c r="F1736" s="73" t="s">
        <v>115</v>
      </c>
      <c r="G1736" s="73" t="str">
        <f>VLOOKUP(F1736,'[2]Lista de Produtos CLASSIFICAÇÃO'!$E$103:$F$114,2,FALSE)</f>
        <v>Soda Caustica</v>
      </c>
      <c r="H1736" s="74">
        <v>3500</v>
      </c>
    </row>
    <row r="1737" spans="1:8" x14ac:dyDescent="0.25">
      <c r="A1737" s="75">
        <v>2025</v>
      </c>
      <c r="B1737" s="76" t="s">
        <v>213</v>
      </c>
      <c r="C1737" s="77" t="s">
        <v>225</v>
      </c>
      <c r="D1737" s="77" t="s">
        <v>177</v>
      </c>
      <c r="E1737" s="73" t="str">
        <f>VLOOKUP(D1737,clientes!$C$3:$D$60,2,FALSE)</f>
        <v>BRENNTAG</v>
      </c>
      <c r="F1737" s="77" t="s">
        <v>115</v>
      </c>
      <c r="G1737" s="73" t="str">
        <f>VLOOKUP(F1737,'[2]Lista de Produtos CLASSIFICAÇÃO'!$E$103:$F$114,2,FALSE)</f>
        <v>Soda Caustica</v>
      </c>
      <c r="H1737" s="78">
        <v>3500</v>
      </c>
    </row>
    <row r="1738" spans="1:8" x14ac:dyDescent="0.25">
      <c r="A1738" s="71">
        <v>2025</v>
      </c>
      <c r="B1738" s="72" t="s">
        <v>214</v>
      </c>
      <c r="C1738" s="73" t="s">
        <v>225</v>
      </c>
      <c r="D1738" s="73" t="s">
        <v>177</v>
      </c>
      <c r="E1738" s="73" t="str">
        <f>VLOOKUP(D1738,clientes!$C$3:$D$60,2,FALSE)</f>
        <v>BRENNTAG</v>
      </c>
      <c r="F1738" s="73" t="s">
        <v>115</v>
      </c>
      <c r="G1738" s="73" t="str">
        <f>VLOOKUP(F1738,'[2]Lista de Produtos CLASSIFICAÇÃO'!$E$103:$F$114,2,FALSE)</f>
        <v>Soda Caustica</v>
      </c>
      <c r="H1738" s="74">
        <v>3500</v>
      </c>
    </row>
    <row r="1739" spans="1:8" x14ac:dyDescent="0.25">
      <c r="A1739" s="75">
        <v>2025</v>
      </c>
      <c r="B1739" s="76" t="s">
        <v>215</v>
      </c>
      <c r="C1739" s="77" t="s">
        <v>225</v>
      </c>
      <c r="D1739" s="77" t="s">
        <v>177</v>
      </c>
      <c r="E1739" s="73" t="str">
        <f>VLOOKUP(D1739,clientes!$C$3:$D$60,2,FALSE)</f>
        <v>BRENNTAG</v>
      </c>
      <c r="F1739" s="77" t="s">
        <v>115</v>
      </c>
      <c r="G1739" s="73" t="str">
        <f>VLOOKUP(F1739,'[2]Lista de Produtos CLASSIFICAÇÃO'!$E$103:$F$114,2,FALSE)</f>
        <v>Soda Caustica</v>
      </c>
      <c r="H1739" s="78">
        <v>3500</v>
      </c>
    </row>
    <row r="1740" spans="1:8" x14ac:dyDescent="0.25">
      <c r="A1740" s="71">
        <v>2025</v>
      </c>
      <c r="B1740" s="72" t="s">
        <v>230</v>
      </c>
      <c r="C1740" s="73" t="s">
        <v>225</v>
      </c>
      <c r="D1740" s="73" t="s">
        <v>177</v>
      </c>
      <c r="E1740" s="73" t="str">
        <f>VLOOKUP(D1740,clientes!$C$3:$D$60,2,FALSE)</f>
        <v>BRENNTAG</v>
      </c>
      <c r="F1740" s="73" t="s">
        <v>115</v>
      </c>
      <c r="G1740" s="73" t="str">
        <f>VLOOKUP(F1740,'[2]Lista de Produtos CLASSIFICAÇÃO'!$E$103:$F$114,2,FALSE)</f>
        <v>Soda Caustica</v>
      </c>
      <c r="H1740" s="74">
        <v>3500</v>
      </c>
    </row>
    <row r="1741" spans="1:8" x14ac:dyDescent="0.25">
      <c r="A1741" s="75">
        <v>2025</v>
      </c>
      <c r="B1741" s="76" t="s">
        <v>231</v>
      </c>
      <c r="C1741" s="77" t="s">
        <v>225</v>
      </c>
      <c r="D1741" s="77" t="s">
        <v>177</v>
      </c>
      <c r="E1741" s="73" t="str">
        <f>VLOOKUP(D1741,clientes!$C$3:$D$60,2,FALSE)</f>
        <v>BRENNTAG</v>
      </c>
      <c r="F1741" s="77" t="s">
        <v>115</v>
      </c>
      <c r="G1741" s="73" t="str">
        <f>VLOOKUP(F1741,'[2]Lista de Produtos CLASSIFICAÇÃO'!$E$103:$F$114,2,FALSE)</f>
        <v>Soda Caustica</v>
      </c>
      <c r="H1741" s="78">
        <v>3500</v>
      </c>
    </row>
    <row r="1742" spans="1:8" x14ac:dyDescent="0.25">
      <c r="A1742" s="71">
        <v>2025</v>
      </c>
      <c r="B1742" s="72" t="s">
        <v>226</v>
      </c>
      <c r="C1742" s="73" t="s">
        <v>232</v>
      </c>
      <c r="D1742" s="73" t="s">
        <v>156</v>
      </c>
      <c r="E1742" s="73" t="str">
        <f>VLOOKUP(D1742,clientes!$C$3:$D$60,2,FALSE)</f>
        <v>BUNGE</v>
      </c>
      <c r="F1742" s="73" t="s">
        <v>123</v>
      </c>
      <c r="G1742" s="73" t="str">
        <f>VLOOKUP(F1742,'[2]Lista de Produtos CLASSIFICAÇÃO'!$E$103:$F$114,2,FALSE)</f>
        <v>Aquecidos</v>
      </c>
      <c r="H1742" s="74">
        <v>5600</v>
      </c>
    </row>
    <row r="1743" spans="1:8" x14ac:dyDescent="0.25">
      <c r="A1743" s="75">
        <v>2025</v>
      </c>
      <c r="B1743" s="76" t="s">
        <v>227</v>
      </c>
      <c r="C1743" s="77" t="s">
        <v>232</v>
      </c>
      <c r="D1743" s="77" t="s">
        <v>156</v>
      </c>
      <c r="E1743" s="73" t="str">
        <f>VLOOKUP(D1743,clientes!$C$3:$D$60,2,FALSE)</f>
        <v>BUNGE</v>
      </c>
      <c r="F1743" s="77" t="s">
        <v>123</v>
      </c>
      <c r="G1743" s="73" t="str">
        <f>VLOOKUP(F1743,'[2]Lista de Produtos CLASSIFICAÇÃO'!$E$103:$F$114,2,FALSE)</f>
        <v>Aquecidos</v>
      </c>
      <c r="H1743" s="78">
        <v>5600</v>
      </c>
    </row>
    <row r="1744" spans="1:8" x14ac:dyDescent="0.25">
      <c r="A1744" s="71">
        <v>2025</v>
      </c>
      <c r="B1744" s="72" t="s">
        <v>228</v>
      </c>
      <c r="C1744" s="73" t="s">
        <v>232</v>
      </c>
      <c r="D1744" s="73" t="s">
        <v>156</v>
      </c>
      <c r="E1744" s="73" t="str">
        <f>VLOOKUP(D1744,clientes!$C$3:$D$60,2,FALSE)</f>
        <v>BUNGE</v>
      </c>
      <c r="F1744" s="73" t="s">
        <v>123</v>
      </c>
      <c r="G1744" s="73" t="str">
        <f>VLOOKUP(F1744,'[2]Lista de Produtos CLASSIFICAÇÃO'!$E$103:$F$114,2,FALSE)</f>
        <v>Aquecidos</v>
      </c>
      <c r="H1744" s="74">
        <v>5600</v>
      </c>
    </row>
    <row r="1745" spans="1:8" x14ac:dyDescent="0.25">
      <c r="A1745" s="75">
        <v>2025</v>
      </c>
      <c r="B1745" s="76" t="s">
        <v>229</v>
      </c>
      <c r="C1745" s="77" t="s">
        <v>232</v>
      </c>
      <c r="D1745" s="77" t="s">
        <v>156</v>
      </c>
      <c r="E1745" s="73" t="str">
        <f>VLOOKUP(D1745,clientes!$C$3:$D$60,2,FALSE)</f>
        <v>BUNGE</v>
      </c>
      <c r="F1745" s="77" t="s">
        <v>123</v>
      </c>
      <c r="G1745" s="73" t="str">
        <f>VLOOKUP(F1745,'[2]Lista de Produtos CLASSIFICAÇÃO'!$E$103:$F$114,2,FALSE)</f>
        <v>Aquecidos</v>
      </c>
      <c r="H1745" s="78">
        <v>5600</v>
      </c>
    </row>
    <row r="1746" spans="1:8" x14ac:dyDescent="0.25">
      <c r="A1746" s="71">
        <v>2025</v>
      </c>
      <c r="B1746" s="72" t="s">
        <v>210</v>
      </c>
      <c r="C1746" s="73" t="s">
        <v>232</v>
      </c>
      <c r="D1746" s="73" t="s">
        <v>156</v>
      </c>
      <c r="E1746" s="73" t="str">
        <f>VLOOKUP(D1746,clientes!$C$3:$D$60,2,FALSE)</f>
        <v>BUNGE</v>
      </c>
      <c r="F1746" s="73" t="s">
        <v>123</v>
      </c>
      <c r="G1746" s="73" t="str">
        <f>VLOOKUP(F1746,'[2]Lista de Produtos CLASSIFICAÇÃO'!$E$103:$F$114,2,FALSE)</f>
        <v>Aquecidos</v>
      </c>
      <c r="H1746" s="74">
        <v>5600</v>
      </c>
    </row>
    <row r="1747" spans="1:8" x14ac:dyDescent="0.25">
      <c r="A1747" s="75">
        <v>2025</v>
      </c>
      <c r="B1747" s="76" t="s">
        <v>211</v>
      </c>
      <c r="C1747" s="77" t="s">
        <v>232</v>
      </c>
      <c r="D1747" s="77" t="s">
        <v>156</v>
      </c>
      <c r="E1747" s="73" t="str">
        <f>VLOOKUP(D1747,clientes!$C$3:$D$60,2,FALSE)</f>
        <v>BUNGE</v>
      </c>
      <c r="F1747" s="77" t="s">
        <v>123</v>
      </c>
      <c r="G1747" s="73" t="str">
        <f>VLOOKUP(F1747,'[2]Lista de Produtos CLASSIFICAÇÃO'!$E$103:$F$114,2,FALSE)</f>
        <v>Aquecidos</v>
      </c>
      <c r="H1747" s="78">
        <v>5600</v>
      </c>
    </row>
    <row r="1748" spans="1:8" x14ac:dyDescent="0.25">
      <c r="A1748" s="71">
        <v>2025</v>
      </c>
      <c r="B1748" s="72" t="s">
        <v>212</v>
      </c>
      <c r="C1748" s="73" t="s">
        <v>232</v>
      </c>
      <c r="D1748" s="73" t="s">
        <v>156</v>
      </c>
      <c r="E1748" s="73" t="str">
        <f>VLOOKUP(D1748,clientes!$C$3:$D$60,2,FALSE)</f>
        <v>BUNGE</v>
      </c>
      <c r="F1748" s="73" t="s">
        <v>123</v>
      </c>
      <c r="G1748" s="73" t="str">
        <f>VLOOKUP(F1748,'[2]Lista de Produtos CLASSIFICAÇÃO'!$E$103:$F$114,2,FALSE)</f>
        <v>Aquecidos</v>
      </c>
      <c r="H1748" s="74">
        <v>5600</v>
      </c>
    </row>
    <row r="1749" spans="1:8" x14ac:dyDescent="0.25">
      <c r="A1749" s="75">
        <v>2025</v>
      </c>
      <c r="B1749" s="76" t="s">
        <v>213</v>
      </c>
      <c r="C1749" s="77" t="s">
        <v>232</v>
      </c>
      <c r="D1749" s="77" t="s">
        <v>156</v>
      </c>
      <c r="E1749" s="73" t="str">
        <f>VLOOKUP(D1749,clientes!$C$3:$D$60,2,FALSE)</f>
        <v>BUNGE</v>
      </c>
      <c r="F1749" s="77" t="s">
        <v>123</v>
      </c>
      <c r="G1749" s="73" t="str">
        <f>VLOOKUP(F1749,'[2]Lista de Produtos CLASSIFICAÇÃO'!$E$103:$F$114,2,FALSE)</f>
        <v>Aquecidos</v>
      </c>
      <c r="H1749" s="78">
        <v>5600</v>
      </c>
    </row>
    <row r="1750" spans="1:8" x14ac:dyDescent="0.25">
      <c r="A1750" s="71">
        <v>2025</v>
      </c>
      <c r="B1750" s="72" t="s">
        <v>214</v>
      </c>
      <c r="C1750" s="73" t="s">
        <v>232</v>
      </c>
      <c r="D1750" s="73" t="s">
        <v>156</v>
      </c>
      <c r="E1750" s="73" t="str">
        <f>VLOOKUP(D1750,clientes!$C$3:$D$60,2,FALSE)</f>
        <v>BUNGE</v>
      </c>
      <c r="F1750" s="73" t="s">
        <v>123</v>
      </c>
      <c r="G1750" s="73" t="str">
        <f>VLOOKUP(F1750,'[2]Lista de Produtos CLASSIFICAÇÃO'!$E$103:$F$114,2,FALSE)</f>
        <v>Aquecidos</v>
      </c>
      <c r="H1750" s="74">
        <v>5600</v>
      </c>
    </row>
    <row r="1751" spans="1:8" x14ac:dyDescent="0.25">
      <c r="A1751" s="75">
        <v>2025</v>
      </c>
      <c r="B1751" s="76" t="s">
        <v>215</v>
      </c>
      <c r="C1751" s="77" t="s">
        <v>232</v>
      </c>
      <c r="D1751" s="77" t="s">
        <v>156</v>
      </c>
      <c r="E1751" s="73" t="str">
        <f>VLOOKUP(D1751,clientes!$C$3:$D$60,2,FALSE)</f>
        <v>BUNGE</v>
      </c>
      <c r="F1751" s="77" t="s">
        <v>123</v>
      </c>
      <c r="G1751" s="73" t="str">
        <f>VLOOKUP(F1751,'[2]Lista de Produtos CLASSIFICAÇÃO'!$E$103:$F$114,2,FALSE)</f>
        <v>Aquecidos</v>
      </c>
      <c r="H1751" s="78">
        <v>5600</v>
      </c>
    </row>
    <row r="1752" spans="1:8" x14ac:dyDescent="0.25">
      <c r="A1752" s="71">
        <v>2025</v>
      </c>
      <c r="B1752" s="72" t="s">
        <v>230</v>
      </c>
      <c r="C1752" s="73" t="s">
        <v>232</v>
      </c>
      <c r="D1752" s="73" t="s">
        <v>156</v>
      </c>
      <c r="E1752" s="73" t="str">
        <f>VLOOKUP(D1752,clientes!$C$3:$D$60,2,FALSE)</f>
        <v>BUNGE</v>
      </c>
      <c r="F1752" s="73" t="s">
        <v>123</v>
      </c>
      <c r="G1752" s="73" t="str">
        <f>VLOOKUP(F1752,'[2]Lista de Produtos CLASSIFICAÇÃO'!$E$103:$F$114,2,FALSE)</f>
        <v>Aquecidos</v>
      </c>
      <c r="H1752" s="74">
        <v>5600</v>
      </c>
    </row>
    <row r="1753" spans="1:8" x14ac:dyDescent="0.25">
      <c r="A1753" s="75">
        <v>2025</v>
      </c>
      <c r="B1753" s="76" t="s">
        <v>231</v>
      </c>
      <c r="C1753" s="77" t="s">
        <v>232</v>
      </c>
      <c r="D1753" s="77" t="s">
        <v>156</v>
      </c>
      <c r="E1753" s="73" t="str">
        <f>VLOOKUP(D1753,clientes!$C$3:$D$60,2,FALSE)</f>
        <v>BUNGE</v>
      </c>
      <c r="F1753" s="77" t="s">
        <v>123</v>
      </c>
      <c r="G1753" s="73" t="str">
        <f>VLOOKUP(F1753,'[2]Lista de Produtos CLASSIFICAÇÃO'!$E$103:$F$114,2,FALSE)</f>
        <v>Aquecidos</v>
      </c>
      <c r="H1753" s="78">
        <v>5600</v>
      </c>
    </row>
    <row r="1754" spans="1:8" x14ac:dyDescent="0.25">
      <c r="A1754" s="71">
        <v>2025</v>
      </c>
      <c r="B1754" s="72" t="s">
        <v>226</v>
      </c>
      <c r="C1754" s="73" t="s">
        <v>232</v>
      </c>
      <c r="D1754" s="73" t="s">
        <v>166</v>
      </c>
      <c r="E1754" s="73" t="str">
        <f>VLOOKUP(D1754,clientes!$C$3:$D$60,2,FALSE)</f>
        <v>CARGILL</v>
      </c>
      <c r="F1754" s="73" t="s">
        <v>123</v>
      </c>
      <c r="G1754" s="73" t="str">
        <f>VLOOKUP(F1754,'[2]Lista de Produtos CLASSIFICAÇÃO'!$E$103:$F$114,2,FALSE)</f>
        <v>Aquecidos</v>
      </c>
      <c r="H1754" s="74">
        <v>7500</v>
      </c>
    </row>
    <row r="1755" spans="1:8" x14ac:dyDescent="0.25">
      <c r="A1755" s="75">
        <v>2025</v>
      </c>
      <c r="B1755" s="76" t="s">
        <v>227</v>
      </c>
      <c r="C1755" s="77" t="s">
        <v>232</v>
      </c>
      <c r="D1755" s="77" t="s">
        <v>166</v>
      </c>
      <c r="E1755" s="73" t="str">
        <f>VLOOKUP(D1755,clientes!$C$3:$D$60,2,FALSE)</f>
        <v>CARGILL</v>
      </c>
      <c r="F1755" s="77" t="s">
        <v>123</v>
      </c>
      <c r="G1755" s="73" t="str">
        <f>VLOOKUP(F1755,'[2]Lista de Produtos CLASSIFICAÇÃO'!$E$103:$F$114,2,FALSE)</f>
        <v>Aquecidos</v>
      </c>
      <c r="H1755" s="78">
        <v>7500</v>
      </c>
    </row>
    <row r="1756" spans="1:8" x14ac:dyDescent="0.25">
      <c r="A1756" s="71">
        <v>2025</v>
      </c>
      <c r="B1756" s="72" t="s">
        <v>228</v>
      </c>
      <c r="C1756" s="73" t="s">
        <v>232</v>
      </c>
      <c r="D1756" s="73" t="s">
        <v>166</v>
      </c>
      <c r="E1756" s="73" t="str">
        <f>VLOOKUP(D1756,clientes!$C$3:$D$60,2,FALSE)</f>
        <v>CARGILL</v>
      </c>
      <c r="F1756" s="73" t="s">
        <v>123</v>
      </c>
      <c r="G1756" s="73" t="str">
        <f>VLOOKUP(F1756,'[2]Lista de Produtos CLASSIFICAÇÃO'!$E$103:$F$114,2,FALSE)</f>
        <v>Aquecidos</v>
      </c>
      <c r="H1756" s="74">
        <v>7500</v>
      </c>
    </row>
    <row r="1757" spans="1:8" x14ac:dyDescent="0.25">
      <c r="A1757" s="75">
        <v>2025</v>
      </c>
      <c r="B1757" s="76" t="s">
        <v>229</v>
      </c>
      <c r="C1757" s="77" t="s">
        <v>232</v>
      </c>
      <c r="D1757" s="77" t="s">
        <v>166</v>
      </c>
      <c r="E1757" s="73" t="str">
        <f>VLOOKUP(D1757,clientes!$C$3:$D$60,2,FALSE)</f>
        <v>CARGILL</v>
      </c>
      <c r="F1757" s="77" t="s">
        <v>123</v>
      </c>
      <c r="G1757" s="73" t="str">
        <f>VLOOKUP(F1757,'[2]Lista de Produtos CLASSIFICAÇÃO'!$E$103:$F$114,2,FALSE)</f>
        <v>Aquecidos</v>
      </c>
      <c r="H1757" s="78">
        <v>7500</v>
      </c>
    </row>
    <row r="1758" spans="1:8" x14ac:dyDescent="0.25">
      <c r="A1758" s="71">
        <v>2025</v>
      </c>
      <c r="B1758" s="72" t="s">
        <v>210</v>
      </c>
      <c r="C1758" s="73" t="s">
        <v>232</v>
      </c>
      <c r="D1758" s="73" t="s">
        <v>166</v>
      </c>
      <c r="E1758" s="73" t="str">
        <f>VLOOKUP(D1758,clientes!$C$3:$D$60,2,FALSE)</f>
        <v>CARGILL</v>
      </c>
      <c r="F1758" s="73" t="s">
        <v>123</v>
      </c>
      <c r="G1758" s="73" t="str">
        <f>VLOOKUP(F1758,'[2]Lista de Produtos CLASSIFICAÇÃO'!$E$103:$F$114,2,FALSE)</f>
        <v>Aquecidos</v>
      </c>
      <c r="H1758" s="74">
        <v>7500</v>
      </c>
    </row>
    <row r="1759" spans="1:8" x14ac:dyDescent="0.25">
      <c r="A1759" s="75">
        <v>2025</v>
      </c>
      <c r="B1759" s="76" t="s">
        <v>211</v>
      </c>
      <c r="C1759" s="77" t="s">
        <v>232</v>
      </c>
      <c r="D1759" s="77" t="s">
        <v>166</v>
      </c>
      <c r="E1759" s="73" t="str">
        <f>VLOOKUP(D1759,clientes!$C$3:$D$60,2,FALSE)</f>
        <v>CARGILL</v>
      </c>
      <c r="F1759" s="77" t="s">
        <v>123</v>
      </c>
      <c r="G1759" s="73" t="str">
        <f>VLOOKUP(F1759,'[2]Lista de Produtos CLASSIFICAÇÃO'!$E$103:$F$114,2,FALSE)</f>
        <v>Aquecidos</v>
      </c>
      <c r="H1759" s="78">
        <v>7500</v>
      </c>
    </row>
    <row r="1760" spans="1:8" x14ac:dyDescent="0.25">
      <c r="A1760" s="71">
        <v>2025</v>
      </c>
      <c r="B1760" s="72" t="s">
        <v>212</v>
      </c>
      <c r="C1760" s="73" t="s">
        <v>232</v>
      </c>
      <c r="D1760" s="73" t="s">
        <v>166</v>
      </c>
      <c r="E1760" s="73" t="str">
        <f>VLOOKUP(D1760,clientes!$C$3:$D$60,2,FALSE)</f>
        <v>CARGILL</v>
      </c>
      <c r="F1760" s="73" t="s">
        <v>123</v>
      </c>
      <c r="G1760" s="73" t="str">
        <f>VLOOKUP(F1760,'[2]Lista de Produtos CLASSIFICAÇÃO'!$E$103:$F$114,2,FALSE)</f>
        <v>Aquecidos</v>
      </c>
      <c r="H1760" s="74">
        <v>7500</v>
      </c>
    </row>
    <row r="1761" spans="1:8" x14ac:dyDescent="0.25">
      <c r="A1761" s="75">
        <v>2025</v>
      </c>
      <c r="B1761" s="76" t="s">
        <v>213</v>
      </c>
      <c r="C1761" s="77" t="s">
        <v>232</v>
      </c>
      <c r="D1761" s="77" t="s">
        <v>166</v>
      </c>
      <c r="E1761" s="73" t="str">
        <f>VLOOKUP(D1761,clientes!$C$3:$D$60,2,FALSE)</f>
        <v>CARGILL</v>
      </c>
      <c r="F1761" s="77" t="s">
        <v>123</v>
      </c>
      <c r="G1761" s="73" t="str">
        <f>VLOOKUP(F1761,'[2]Lista de Produtos CLASSIFICAÇÃO'!$E$103:$F$114,2,FALSE)</f>
        <v>Aquecidos</v>
      </c>
      <c r="H1761" s="78">
        <v>7500</v>
      </c>
    </row>
    <row r="1762" spans="1:8" x14ac:dyDescent="0.25">
      <c r="A1762" s="71">
        <v>2025</v>
      </c>
      <c r="B1762" s="72" t="s">
        <v>214</v>
      </c>
      <c r="C1762" s="73" t="s">
        <v>232</v>
      </c>
      <c r="D1762" s="73" t="s">
        <v>166</v>
      </c>
      <c r="E1762" s="73" t="str">
        <f>VLOOKUP(D1762,clientes!$C$3:$D$60,2,FALSE)</f>
        <v>CARGILL</v>
      </c>
      <c r="F1762" s="73" t="s">
        <v>123</v>
      </c>
      <c r="G1762" s="73" t="str">
        <f>VLOOKUP(F1762,'[2]Lista de Produtos CLASSIFICAÇÃO'!$E$103:$F$114,2,FALSE)</f>
        <v>Aquecidos</v>
      </c>
      <c r="H1762" s="74">
        <v>7500</v>
      </c>
    </row>
    <row r="1763" spans="1:8" x14ac:dyDescent="0.25">
      <c r="A1763" s="75">
        <v>2025</v>
      </c>
      <c r="B1763" s="76" t="s">
        <v>215</v>
      </c>
      <c r="C1763" s="77" t="s">
        <v>232</v>
      </c>
      <c r="D1763" s="77" t="s">
        <v>166</v>
      </c>
      <c r="E1763" s="73" t="str">
        <f>VLOOKUP(D1763,clientes!$C$3:$D$60,2,FALSE)</f>
        <v>CARGILL</v>
      </c>
      <c r="F1763" s="77" t="s">
        <v>123</v>
      </c>
      <c r="G1763" s="73" t="str">
        <f>VLOOKUP(F1763,'[2]Lista de Produtos CLASSIFICAÇÃO'!$E$103:$F$114,2,FALSE)</f>
        <v>Aquecidos</v>
      </c>
      <c r="H1763" s="78">
        <v>7500</v>
      </c>
    </row>
    <row r="1764" spans="1:8" x14ac:dyDescent="0.25">
      <c r="A1764" s="71">
        <v>2025</v>
      </c>
      <c r="B1764" s="72" t="s">
        <v>230</v>
      </c>
      <c r="C1764" s="73" t="s">
        <v>232</v>
      </c>
      <c r="D1764" s="73" t="s">
        <v>166</v>
      </c>
      <c r="E1764" s="73" t="str">
        <f>VLOOKUP(D1764,clientes!$C$3:$D$60,2,FALSE)</f>
        <v>CARGILL</v>
      </c>
      <c r="F1764" s="73" t="s">
        <v>123</v>
      </c>
      <c r="G1764" s="73" t="str">
        <f>VLOOKUP(F1764,'[2]Lista de Produtos CLASSIFICAÇÃO'!$E$103:$F$114,2,FALSE)</f>
        <v>Aquecidos</v>
      </c>
      <c r="H1764" s="74">
        <v>7500</v>
      </c>
    </row>
    <row r="1765" spans="1:8" x14ac:dyDescent="0.25">
      <c r="A1765" s="75">
        <v>2025</v>
      </c>
      <c r="B1765" s="76" t="s">
        <v>231</v>
      </c>
      <c r="C1765" s="77" t="s">
        <v>232</v>
      </c>
      <c r="D1765" s="77" t="s">
        <v>166</v>
      </c>
      <c r="E1765" s="73" t="str">
        <f>VLOOKUP(D1765,clientes!$C$3:$D$60,2,FALSE)</f>
        <v>CARGILL</v>
      </c>
      <c r="F1765" s="77" t="s">
        <v>123</v>
      </c>
      <c r="G1765" s="73" t="str">
        <f>VLOOKUP(F1765,'[2]Lista de Produtos CLASSIFICAÇÃO'!$E$103:$F$114,2,FALSE)</f>
        <v>Aquecidos</v>
      </c>
      <c r="H1765" s="78">
        <v>7500</v>
      </c>
    </row>
    <row r="1766" spans="1:8" x14ac:dyDescent="0.25">
      <c r="A1766" s="71">
        <v>2025</v>
      </c>
      <c r="B1766" s="72" t="s">
        <v>226</v>
      </c>
      <c r="C1766" s="73" t="s">
        <v>232</v>
      </c>
      <c r="D1766" s="73" t="s">
        <v>166</v>
      </c>
      <c r="E1766" s="73" t="str">
        <f>VLOOKUP(D1766,clientes!$C$3:$D$60,2,FALSE)</f>
        <v>CARGILL</v>
      </c>
      <c r="F1766" s="73" t="s">
        <v>122</v>
      </c>
      <c r="G1766" s="73" t="str">
        <f>VLOOKUP(F1766,'[2]Lista de Produtos CLASSIFICAÇÃO'!$E$103:$F$114,2,FALSE)</f>
        <v>Óleo Vegetal</v>
      </c>
      <c r="H1766" s="74">
        <v>4891</v>
      </c>
    </row>
    <row r="1767" spans="1:8" x14ac:dyDescent="0.25">
      <c r="A1767" s="75">
        <v>2025</v>
      </c>
      <c r="B1767" s="76" t="s">
        <v>227</v>
      </c>
      <c r="C1767" s="77" t="s">
        <v>232</v>
      </c>
      <c r="D1767" s="77" t="s">
        <v>166</v>
      </c>
      <c r="E1767" s="73" t="str">
        <f>VLOOKUP(D1767,clientes!$C$3:$D$60,2,FALSE)</f>
        <v>CARGILL</v>
      </c>
      <c r="F1767" s="77" t="s">
        <v>122</v>
      </c>
      <c r="G1767" s="73" t="str">
        <f>VLOOKUP(F1767,'[2]Lista de Produtos CLASSIFICAÇÃO'!$E$103:$F$114,2,FALSE)</f>
        <v>Óleo Vegetal</v>
      </c>
      <c r="H1767" s="78">
        <v>4891</v>
      </c>
    </row>
    <row r="1768" spans="1:8" x14ac:dyDescent="0.25">
      <c r="A1768" s="71">
        <v>2025</v>
      </c>
      <c r="B1768" s="72" t="s">
        <v>228</v>
      </c>
      <c r="C1768" s="73" t="s">
        <v>232</v>
      </c>
      <c r="D1768" s="73" t="s">
        <v>166</v>
      </c>
      <c r="E1768" s="73" t="str">
        <f>VLOOKUP(D1768,clientes!$C$3:$D$60,2,FALSE)</f>
        <v>CARGILL</v>
      </c>
      <c r="F1768" s="73" t="s">
        <v>122</v>
      </c>
      <c r="G1768" s="73" t="str">
        <f>VLOOKUP(F1768,'[2]Lista de Produtos CLASSIFICAÇÃO'!$E$103:$F$114,2,FALSE)</f>
        <v>Óleo Vegetal</v>
      </c>
      <c r="H1768" s="74">
        <v>4891</v>
      </c>
    </row>
    <row r="1769" spans="1:8" x14ac:dyDescent="0.25">
      <c r="A1769" s="75">
        <v>2025</v>
      </c>
      <c r="B1769" s="76" t="s">
        <v>229</v>
      </c>
      <c r="C1769" s="77" t="s">
        <v>232</v>
      </c>
      <c r="D1769" s="77" t="s">
        <v>166</v>
      </c>
      <c r="E1769" s="73" t="str">
        <f>VLOOKUP(D1769,clientes!$C$3:$D$60,2,FALSE)</f>
        <v>CARGILL</v>
      </c>
      <c r="F1769" s="77" t="s">
        <v>122</v>
      </c>
      <c r="G1769" s="73" t="str">
        <f>VLOOKUP(F1769,'[2]Lista de Produtos CLASSIFICAÇÃO'!$E$103:$F$114,2,FALSE)</f>
        <v>Óleo Vegetal</v>
      </c>
      <c r="H1769" s="78">
        <v>4891</v>
      </c>
    </row>
    <row r="1770" spans="1:8" x14ac:dyDescent="0.25">
      <c r="A1770" s="71">
        <v>2025</v>
      </c>
      <c r="B1770" s="72" t="s">
        <v>210</v>
      </c>
      <c r="C1770" s="73" t="s">
        <v>232</v>
      </c>
      <c r="D1770" s="73" t="s">
        <v>166</v>
      </c>
      <c r="E1770" s="73" t="str">
        <f>VLOOKUP(D1770,clientes!$C$3:$D$60,2,FALSE)</f>
        <v>CARGILL</v>
      </c>
      <c r="F1770" s="73" t="s">
        <v>122</v>
      </c>
      <c r="G1770" s="73" t="str">
        <f>VLOOKUP(F1770,'[2]Lista de Produtos CLASSIFICAÇÃO'!$E$103:$F$114,2,FALSE)</f>
        <v>Óleo Vegetal</v>
      </c>
      <c r="H1770" s="74">
        <v>4891</v>
      </c>
    </row>
    <row r="1771" spans="1:8" x14ac:dyDescent="0.25">
      <c r="A1771" s="75">
        <v>2025</v>
      </c>
      <c r="B1771" s="76" t="s">
        <v>211</v>
      </c>
      <c r="C1771" s="77" t="s">
        <v>232</v>
      </c>
      <c r="D1771" s="77" t="s">
        <v>166</v>
      </c>
      <c r="E1771" s="73" t="str">
        <f>VLOOKUP(D1771,clientes!$C$3:$D$60,2,FALSE)</f>
        <v>CARGILL</v>
      </c>
      <c r="F1771" s="77" t="s">
        <v>122</v>
      </c>
      <c r="G1771" s="73" t="str">
        <f>VLOOKUP(F1771,'[2]Lista de Produtos CLASSIFICAÇÃO'!$E$103:$F$114,2,FALSE)</f>
        <v>Óleo Vegetal</v>
      </c>
      <c r="H1771" s="78">
        <v>4891</v>
      </c>
    </row>
    <row r="1772" spans="1:8" x14ac:dyDescent="0.25">
      <c r="A1772" s="71">
        <v>2025</v>
      </c>
      <c r="B1772" s="72" t="s">
        <v>212</v>
      </c>
      <c r="C1772" s="73" t="s">
        <v>232</v>
      </c>
      <c r="D1772" s="73" t="s">
        <v>166</v>
      </c>
      <c r="E1772" s="73" t="str">
        <f>VLOOKUP(D1772,clientes!$C$3:$D$60,2,FALSE)</f>
        <v>CARGILL</v>
      </c>
      <c r="F1772" s="73" t="s">
        <v>122</v>
      </c>
      <c r="G1772" s="73" t="str">
        <f>VLOOKUP(F1772,'[2]Lista de Produtos CLASSIFICAÇÃO'!$E$103:$F$114,2,FALSE)</f>
        <v>Óleo Vegetal</v>
      </c>
      <c r="H1772" s="74">
        <v>4891</v>
      </c>
    </row>
    <row r="1773" spans="1:8" x14ac:dyDescent="0.25">
      <c r="A1773" s="75">
        <v>2025</v>
      </c>
      <c r="B1773" s="76" t="s">
        <v>213</v>
      </c>
      <c r="C1773" s="77" t="s">
        <v>232</v>
      </c>
      <c r="D1773" s="77" t="s">
        <v>166</v>
      </c>
      <c r="E1773" s="73" t="str">
        <f>VLOOKUP(D1773,clientes!$C$3:$D$60,2,FALSE)</f>
        <v>CARGILL</v>
      </c>
      <c r="F1773" s="77" t="s">
        <v>122</v>
      </c>
      <c r="G1773" s="73" t="str">
        <f>VLOOKUP(F1773,'[2]Lista de Produtos CLASSIFICAÇÃO'!$E$103:$F$114,2,FALSE)</f>
        <v>Óleo Vegetal</v>
      </c>
      <c r="H1773" s="78">
        <v>4891</v>
      </c>
    </row>
    <row r="1774" spans="1:8" x14ac:dyDescent="0.25">
      <c r="A1774" s="71">
        <v>2025</v>
      </c>
      <c r="B1774" s="72" t="s">
        <v>214</v>
      </c>
      <c r="C1774" s="73" t="s">
        <v>232</v>
      </c>
      <c r="D1774" s="73" t="s">
        <v>166</v>
      </c>
      <c r="E1774" s="73" t="str">
        <f>VLOOKUP(D1774,clientes!$C$3:$D$60,2,FALSE)</f>
        <v>CARGILL</v>
      </c>
      <c r="F1774" s="73" t="s">
        <v>122</v>
      </c>
      <c r="G1774" s="73" t="str">
        <f>VLOOKUP(F1774,'[2]Lista de Produtos CLASSIFICAÇÃO'!$E$103:$F$114,2,FALSE)</f>
        <v>Óleo Vegetal</v>
      </c>
      <c r="H1774" s="74">
        <v>4891</v>
      </c>
    </row>
    <row r="1775" spans="1:8" x14ac:dyDescent="0.25">
      <c r="A1775" s="75">
        <v>2025</v>
      </c>
      <c r="B1775" s="76" t="s">
        <v>215</v>
      </c>
      <c r="C1775" s="77" t="s">
        <v>232</v>
      </c>
      <c r="D1775" s="77" t="s">
        <v>166</v>
      </c>
      <c r="E1775" s="73" t="str">
        <f>VLOOKUP(D1775,clientes!$C$3:$D$60,2,FALSE)</f>
        <v>CARGILL</v>
      </c>
      <c r="F1775" s="77" t="s">
        <v>122</v>
      </c>
      <c r="G1775" s="73" t="str">
        <f>VLOOKUP(F1775,'[2]Lista de Produtos CLASSIFICAÇÃO'!$E$103:$F$114,2,FALSE)</f>
        <v>Óleo Vegetal</v>
      </c>
      <c r="H1775" s="78">
        <v>4891</v>
      </c>
    </row>
    <row r="1776" spans="1:8" x14ac:dyDescent="0.25">
      <c r="A1776" s="71">
        <v>2025</v>
      </c>
      <c r="B1776" s="72" t="s">
        <v>230</v>
      </c>
      <c r="C1776" s="73" t="s">
        <v>232</v>
      </c>
      <c r="D1776" s="73" t="s">
        <v>166</v>
      </c>
      <c r="E1776" s="73" t="str">
        <f>VLOOKUP(D1776,clientes!$C$3:$D$60,2,FALSE)</f>
        <v>CARGILL</v>
      </c>
      <c r="F1776" s="73" t="s">
        <v>122</v>
      </c>
      <c r="G1776" s="73" t="str">
        <f>VLOOKUP(F1776,'[2]Lista de Produtos CLASSIFICAÇÃO'!$E$103:$F$114,2,FALSE)</f>
        <v>Óleo Vegetal</v>
      </c>
      <c r="H1776" s="74">
        <v>4891</v>
      </c>
    </row>
    <row r="1777" spans="1:8" x14ac:dyDescent="0.25">
      <c r="A1777" s="75">
        <v>2025</v>
      </c>
      <c r="B1777" s="76" t="s">
        <v>231</v>
      </c>
      <c r="C1777" s="77" t="s">
        <v>232</v>
      </c>
      <c r="D1777" s="77" t="s">
        <v>166</v>
      </c>
      <c r="E1777" s="73" t="str">
        <f>VLOOKUP(D1777,clientes!$C$3:$D$60,2,FALSE)</f>
        <v>CARGILL</v>
      </c>
      <c r="F1777" s="77" t="s">
        <v>122</v>
      </c>
      <c r="G1777" s="73" t="str">
        <f>VLOOKUP(F1777,'[2]Lista de Produtos CLASSIFICAÇÃO'!$E$103:$F$114,2,FALSE)</f>
        <v>Óleo Vegetal</v>
      </c>
      <c r="H1777" s="78">
        <v>4891</v>
      </c>
    </row>
    <row r="1778" spans="1:8" x14ac:dyDescent="0.25">
      <c r="A1778" s="71">
        <v>2025</v>
      </c>
      <c r="B1778" s="72" t="s">
        <v>226</v>
      </c>
      <c r="C1778" s="73" t="s">
        <v>232</v>
      </c>
      <c r="D1778" s="73" t="s">
        <v>174</v>
      </c>
      <c r="E1778" s="73" t="str">
        <f>VLOOKUP(D1778,clientes!$C$3:$D$60,2,FALSE)</f>
        <v>CELENA</v>
      </c>
      <c r="F1778" s="73" t="s">
        <v>123</v>
      </c>
      <c r="G1778" s="73" t="str">
        <f>VLOOKUP(F1778,'[2]Lista de Produtos CLASSIFICAÇÃO'!$E$103:$F$114,2,FALSE)</f>
        <v>Aquecidos</v>
      </c>
      <c r="H1778" s="74">
        <v>24600</v>
      </c>
    </row>
    <row r="1779" spans="1:8" x14ac:dyDescent="0.25">
      <c r="A1779" s="75">
        <v>2025</v>
      </c>
      <c r="B1779" s="76" t="s">
        <v>227</v>
      </c>
      <c r="C1779" s="77" t="s">
        <v>232</v>
      </c>
      <c r="D1779" s="77" t="s">
        <v>174</v>
      </c>
      <c r="E1779" s="73" t="str">
        <f>VLOOKUP(D1779,clientes!$C$3:$D$60,2,FALSE)</f>
        <v>CELENA</v>
      </c>
      <c r="F1779" s="77" t="s">
        <v>123</v>
      </c>
      <c r="G1779" s="73" t="str">
        <f>VLOOKUP(F1779,'[2]Lista de Produtos CLASSIFICAÇÃO'!$E$103:$F$114,2,FALSE)</f>
        <v>Aquecidos</v>
      </c>
      <c r="H1779" s="78">
        <v>24600</v>
      </c>
    </row>
    <row r="1780" spans="1:8" x14ac:dyDescent="0.25">
      <c r="A1780" s="71">
        <v>2025</v>
      </c>
      <c r="B1780" s="72" t="s">
        <v>228</v>
      </c>
      <c r="C1780" s="73" t="s">
        <v>232</v>
      </c>
      <c r="D1780" s="73" t="s">
        <v>174</v>
      </c>
      <c r="E1780" s="73" t="str">
        <f>VLOOKUP(D1780,clientes!$C$3:$D$60,2,FALSE)</f>
        <v>CELENA</v>
      </c>
      <c r="F1780" s="73" t="s">
        <v>123</v>
      </c>
      <c r="G1780" s="73" t="str">
        <f>VLOOKUP(F1780,'[2]Lista de Produtos CLASSIFICAÇÃO'!$E$103:$F$114,2,FALSE)</f>
        <v>Aquecidos</v>
      </c>
      <c r="H1780" s="74">
        <v>24600</v>
      </c>
    </row>
    <row r="1781" spans="1:8" x14ac:dyDescent="0.25">
      <c r="A1781" s="75">
        <v>2025</v>
      </c>
      <c r="B1781" s="76" t="s">
        <v>229</v>
      </c>
      <c r="C1781" s="77" t="s">
        <v>232</v>
      </c>
      <c r="D1781" s="77" t="s">
        <v>174</v>
      </c>
      <c r="E1781" s="73" t="str">
        <f>VLOOKUP(D1781,clientes!$C$3:$D$60,2,FALSE)</f>
        <v>CELENA</v>
      </c>
      <c r="F1781" s="77" t="s">
        <v>123</v>
      </c>
      <c r="G1781" s="73" t="str">
        <f>VLOOKUP(F1781,'[2]Lista de Produtos CLASSIFICAÇÃO'!$E$103:$F$114,2,FALSE)</f>
        <v>Aquecidos</v>
      </c>
      <c r="H1781" s="78">
        <v>24600</v>
      </c>
    </row>
    <row r="1782" spans="1:8" x14ac:dyDescent="0.25">
      <c r="A1782" s="71">
        <v>2025</v>
      </c>
      <c r="B1782" s="72" t="s">
        <v>210</v>
      </c>
      <c r="C1782" s="73" t="s">
        <v>232</v>
      </c>
      <c r="D1782" s="73" t="s">
        <v>174</v>
      </c>
      <c r="E1782" s="73" t="str">
        <f>VLOOKUP(D1782,clientes!$C$3:$D$60,2,FALSE)</f>
        <v>CELENA</v>
      </c>
      <c r="F1782" s="73" t="s">
        <v>123</v>
      </c>
      <c r="G1782" s="73" t="str">
        <f>VLOOKUP(F1782,'[2]Lista de Produtos CLASSIFICAÇÃO'!$E$103:$F$114,2,FALSE)</f>
        <v>Aquecidos</v>
      </c>
      <c r="H1782" s="74">
        <v>24600</v>
      </c>
    </row>
    <row r="1783" spans="1:8" x14ac:dyDescent="0.25">
      <c r="A1783" s="75">
        <v>2025</v>
      </c>
      <c r="B1783" s="76" t="s">
        <v>211</v>
      </c>
      <c r="C1783" s="77" t="s">
        <v>232</v>
      </c>
      <c r="D1783" s="77" t="s">
        <v>174</v>
      </c>
      <c r="E1783" s="73" t="str">
        <f>VLOOKUP(D1783,clientes!$C$3:$D$60,2,FALSE)</f>
        <v>CELENA</v>
      </c>
      <c r="F1783" s="77" t="s">
        <v>123</v>
      </c>
      <c r="G1783" s="73" t="str">
        <f>VLOOKUP(F1783,'[2]Lista de Produtos CLASSIFICAÇÃO'!$E$103:$F$114,2,FALSE)</f>
        <v>Aquecidos</v>
      </c>
      <c r="H1783" s="78">
        <v>24600</v>
      </c>
    </row>
    <row r="1784" spans="1:8" x14ac:dyDescent="0.25">
      <c r="A1784" s="71">
        <v>2025</v>
      </c>
      <c r="B1784" s="72" t="s">
        <v>212</v>
      </c>
      <c r="C1784" s="73" t="s">
        <v>232</v>
      </c>
      <c r="D1784" s="73" t="s">
        <v>174</v>
      </c>
      <c r="E1784" s="73" t="str">
        <f>VLOOKUP(D1784,clientes!$C$3:$D$60,2,FALSE)</f>
        <v>CELENA</v>
      </c>
      <c r="F1784" s="73" t="s">
        <v>123</v>
      </c>
      <c r="G1784" s="73" t="str">
        <f>VLOOKUP(F1784,'[2]Lista de Produtos CLASSIFICAÇÃO'!$E$103:$F$114,2,FALSE)</f>
        <v>Aquecidos</v>
      </c>
      <c r="H1784" s="74">
        <v>24600</v>
      </c>
    </row>
    <row r="1785" spans="1:8" x14ac:dyDescent="0.25">
      <c r="A1785" s="75">
        <v>2025</v>
      </c>
      <c r="B1785" s="76" t="s">
        <v>213</v>
      </c>
      <c r="C1785" s="77" t="s">
        <v>232</v>
      </c>
      <c r="D1785" s="77" t="s">
        <v>174</v>
      </c>
      <c r="E1785" s="73" t="str">
        <f>VLOOKUP(D1785,clientes!$C$3:$D$60,2,FALSE)</f>
        <v>CELENA</v>
      </c>
      <c r="F1785" s="77" t="s">
        <v>123</v>
      </c>
      <c r="G1785" s="73" t="str">
        <f>VLOOKUP(F1785,'[2]Lista de Produtos CLASSIFICAÇÃO'!$E$103:$F$114,2,FALSE)</f>
        <v>Aquecidos</v>
      </c>
      <c r="H1785" s="78">
        <v>24600</v>
      </c>
    </row>
    <row r="1786" spans="1:8" x14ac:dyDescent="0.25">
      <c r="A1786" s="71">
        <v>2025</v>
      </c>
      <c r="B1786" s="72" t="s">
        <v>214</v>
      </c>
      <c r="C1786" s="73" t="s">
        <v>232</v>
      </c>
      <c r="D1786" s="73" t="s">
        <v>174</v>
      </c>
      <c r="E1786" s="73" t="str">
        <f>VLOOKUP(D1786,clientes!$C$3:$D$60,2,FALSE)</f>
        <v>CELENA</v>
      </c>
      <c r="F1786" s="73" t="s">
        <v>123</v>
      </c>
      <c r="G1786" s="73" t="str">
        <f>VLOOKUP(F1786,'[2]Lista de Produtos CLASSIFICAÇÃO'!$E$103:$F$114,2,FALSE)</f>
        <v>Aquecidos</v>
      </c>
      <c r="H1786" s="74">
        <v>24600</v>
      </c>
    </row>
    <row r="1787" spans="1:8" x14ac:dyDescent="0.25">
      <c r="A1787" s="75">
        <v>2025</v>
      </c>
      <c r="B1787" s="76" t="s">
        <v>215</v>
      </c>
      <c r="C1787" s="77" t="s">
        <v>232</v>
      </c>
      <c r="D1787" s="77" t="s">
        <v>174</v>
      </c>
      <c r="E1787" s="73" t="str">
        <f>VLOOKUP(D1787,clientes!$C$3:$D$60,2,FALSE)</f>
        <v>CELENA</v>
      </c>
      <c r="F1787" s="77" t="s">
        <v>123</v>
      </c>
      <c r="G1787" s="73" t="str">
        <f>VLOOKUP(F1787,'[2]Lista de Produtos CLASSIFICAÇÃO'!$E$103:$F$114,2,FALSE)</f>
        <v>Aquecidos</v>
      </c>
      <c r="H1787" s="78">
        <v>24600</v>
      </c>
    </row>
    <row r="1788" spans="1:8" x14ac:dyDescent="0.25">
      <c r="A1788" s="71">
        <v>2025</v>
      </c>
      <c r="B1788" s="72" t="s">
        <v>230</v>
      </c>
      <c r="C1788" s="73" t="s">
        <v>232</v>
      </c>
      <c r="D1788" s="73" t="s">
        <v>174</v>
      </c>
      <c r="E1788" s="73" t="str">
        <f>VLOOKUP(D1788,clientes!$C$3:$D$60,2,FALSE)</f>
        <v>CELENA</v>
      </c>
      <c r="F1788" s="73" t="s">
        <v>123</v>
      </c>
      <c r="G1788" s="73" t="str">
        <f>VLOOKUP(F1788,'[2]Lista de Produtos CLASSIFICAÇÃO'!$E$103:$F$114,2,FALSE)</f>
        <v>Aquecidos</v>
      </c>
      <c r="H1788" s="74">
        <v>24600</v>
      </c>
    </row>
    <row r="1789" spans="1:8" x14ac:dyDescent="0.25">
      <c r="A1789" s="75">
        <v>2025</v>
      </c>
      <c r="B1789" s="76" t="s">
        <v>231</v>
      </c>
      <c r="C1789" s="77" t="s">
        <v>232</v>
      </c>
      <c r="D1789" s="77" t="s">
        <v>174</v>
      </c>
      <c r="E1789" s="73" t="str">
        <f>VLOOKUP(D1789,clientes!$C$3:$D$60,2,FALSE)</f>
        <v>CELENA</v>
      </c>
      <c r="F1789" s="77" t="s">
        <v>123</v>
      </c>
      <c r="G1789" s="73" t="str">
        <f>VLOOKUP(F1789,'[2]Lista de Produtos CLASSIFICAÇÃO'!$E$103:$F$114,2,FALSE)</f>
        <v>Aquecidos</v>
      </c>
      <c r="H1789" s="78">
        <v>24600</v>
      </c>
    </row>
    <row r="1790" spans="1:8" x14ac:dyDescent="0.25">
      <c r="A1790" s="71">
        <v>2025</v>
      </c>
      <c r="B1790" s="72" t="s">
        <v>226</v>
      </c>
      <c r="C1790" s="73" t="s">
        <v>233</v>
      </c>
      <c r="D1790" s="73" t="s">
        <v>185</v>
      </c>
      <c r="E1790" s="73" t="str">
        <f>VLOOKUP(D1790,clientes!$C$3:$D$60,2,FALSE)</f>
        <v>CIAPETRO</v>
      </c>
      <c r="F1790" s="73" t="s">
        <v>120</v>
      </c>
      <c r="G1790" s="73" t="str">
        <f>VLOOKUP(F1790,'[2]Lista de Produtos CLASSIFICAÇÃO'!$E$103:$F$114,2,FALSE)</f>
        <v>Derivados</v>
      </c>
      <c r="H1790" s="74">
        <v>15000</v>
      </c>
    </row>
    <row r="1791" spans="1:8" x14ac:dyDescent="0.25">
      <c r="A1791" s="75">
        <v>2025</v>
      </c>
      <c r="B1791" s="76" t="s">
        <v>227</v>
      </c>
      <c r="C1791" s="77" t="s">
        <v>233</v>
      </c>
      <c r="D1791" s="77" t="s">
        <v>185</v>
      </c>
      <c r="E1791" s="73" t="str">
        <f>VLOOKUP(D1791,clientes!$C$3:$D$60,2,FALSE)</f>
        <v>CIAPETRO</v>
      </c>
      <c r="F1791" s="77" t="s">
        <v>120</v>
      </c>
      <c r="G1791" s="73" t="str">
        <f>VLOOKUP(F1791,'[2]Lista de Produtos CLASSIFICAÇÃO'!$E$103:$F$114,2,FALSE)</f>
        <v>Derivados</v>
      </c>
      <c r="H1791" s="78">
        <v>15000</v>
      </c>
    </row>
    <row r="1792" spans="1:8" x14ac:dyDescent="0.25">
      <c r="A1792" s="71">
        <v>2025</v>
      </c>
      <c r="B1792" s="72" t="s">
        <v>228</v>
      </c>
      <c r="C1792" s="73" t="s">
        <v>233</v>
      </c>
      <c r="D1792" s="73" t="s">
        <v>185</v>
      </c>
      <c r="E1792" s="73" t="str">
        <f>VLOOKUP(D1792,clientes!$C$3:$D$60,2,FALSE)</f>
        <v>CIAPETRO</v>
      </c>
      <c r="F1792" s="73" t="s">
        <v>120</v>
      </c>
      <c r="G1792" s="73" t="str">
        <f>VLOOKUP(F1792,'[2]Lista de Produtos CLASSIFICAÇÃO'!$E$103:$F$114,2,FALSE)</f>
        <v>Derivados</v>
      </c>
      <c r="H1792" s="74">
        <v>15000</v>
      </c>
    </row>
    <row r="1793" spans="1:8" x14ac:dyDescent="0.25">
      <c r="A1793" s="75">
        <v>2025</v>
      </c>
      <c r="B1793" s="76" t="s">
        <v>229</v>
      </c>
      <c r="C1793" s="77" t="s">
        <v>233</v>
      </c>
      <c r="D1793" s="77" t="s">
        <v>185</v>
      </c>
      <c r="E1793" s="73" t="str">
        <f>VLOOKUP(D1793,clientes!$C$3:$D$60,2,FALSE)</f>
        <v>CIAPETRO</v>
      </c>
      <c r="F1793" s="77" t="s">
        <v>120</v>
      </c>
      <c r="G1793" s="73" t="str">
        <f>VLOOKUP(F1793,'[2]Lista de Produtos CLASSIFICAÇÃO'!$E$103:$F$114,2,FALSE)</f>
        <v>Derivados</v>
      </c>
      <c r="H1793" s="78">
        <v>15000</v>
      </c>
    </row>
    <row r="1794" spans="1:8" x14ac:dyDescent="0.25">
      <c r="A1794" s="71">
        <v>2025</v>
      </c>
      <c r="B1794" s="72" t="s">
        <v>210</v>
      </c>
      <c r="C1794" s="73" t="s">
        <v>233</v>
      </c>
      <c r="D1794" s="73" t="s">
        <v>185</v>
      </c>
      <c r="E1794" s="73" t="str">
        <f>VLOOKUP(D1794,clientes!$C$3:$D$60,2,FALSE)</f>
        <v>CIAPETRO</v>
      </c>
      <c r="F1794" s="73" t="s">
        <v>120</v>
      </c>
      <c r="G1794" s="73" t="str">
        <f>VLOOKUP(F1794,'[2]Lista de Produtos CLASSIFICAÇÃO'!$E$103:$F$114,2,FALSE)</f>
        <v>Derivados</v>
      </c>
      <c r="H1794" s="74">
        <v>15000</v>
      </c>
    </row>
    <row r="1795" spans="1:8" x14ac:dyDescent="0.25">
      <c r="A1795" s="75">
        <v>2025</v>
      </c>
      <c r="B1795" s="76" t="s">
        <v>211</v>
      </c>
      <c r="C1795" s="77" t="s">
        <v>233</v>
      </c>
      <c r="D1795" s="77" t="s">
        <v>185</v>
      </c>
      <c r="E1795" s="73" t="str">
        <f>VLOOKUP(D1795,clientes!$C$3:$D$60,2,FALSE)</f>
        <v>CIAPETRO</v>
      </c>
      <c r="F1795" s="77" t="s">
        <v>120</v>
      </c>
      <c r="G1795" s="73" t="str">
        <f>VLOOKUP(F1795,'[2]Lista de Produtos CLASSIFICAÇÃO'!$E$103:$F$114,2,FALSE)</f>
        <v>Derivados</v>
      </c>
      <c r="H1795" s="78">
        <v>15000</v>
      </c>
    </row>
    <row r="1796" spans="1:8" x14ac:dyDescent="0.25">
      <c r="A1796" s="71">
        <v>2025</v>
      </c>
      <c r="B1796" s="72" t="s">
        <v>212</v>
      </c>
      <c r="C1796" s="73" t="s">
        <v>233</v>
      </c>
      <c r="D1796" s="73" t="s">
        <v>185</v>
      </c>
      <c r="E1796" s="73" t="str">
        <f>VLOOKUP(D1796,clientes!$C$3:$D$60,2,FALSE)</f>
        <v>CIAPETRO</v>
      </c>
      <c r="F1796" s="73" t="s">
        <v>120</v>
      </c>
      <c r="G1796" s="73" t="str">
        <f>VLOOKUP(F1796,'[2]Lista de Produtos CLASSIFICAÇÃO'!$E$103:$F$114,2,FALSE)</f>
        <v>Derivados</v>
      </c>
      <c r="H1796" s="74">
        <v>15000</v>
      </c>
    </row>
    <row r="1797" spans="1:8" x14ac:dyDescent="0.25">
      <c r="A1797" s="75">
        <v>2025</v>
      </c>
      <c r="B1797" s="76" t="s">
        <v>213</v>
      </c>
      <c r="C1797" s="77" t="s">
        <v>233</v>
      </c>
      <c r="D1797" s="77" t="s">
        <v>185</v>
      </c>
      <c r="E1797" s="73" t="str">
        <f>VLOOKUP(D1797,clientes!$C$3:$D$60,2,FALSE)</f>
        <v>CIAPETRO</v>
      </c>
      <c r="F1797" s="77" t="s">
        <v>120</v>
      </c>
      <c r="G1797" s="73" t="str">
        <f>VLOOKUP(F1797,'[2]Lista de Produtos CLASSIFICAÇÃO'!$E$103:$F$114,2,FALSE)</f>
        <v>Derivados</v>
      </c>
      <c r="H1797" s="78">
        <v>15000</v>
      </c>
    </row>
    <row r="1798" spans="1:8" x14ac:dyDescent="0.25">
      <c r="A1798" s="71">
        <v>2025</v>
      </c>
      <c r="B1798" s="72" t="s">
        <v>214</v>
      </c>
      <c r="C1798" s="73" t="s">
        <v>233</v>
      </c>
      <c r="D1798" s="73" t="s">
        <v>185</v>
      </c>
      <c r="E1798" s="73" t="str">
        <f>VLOOKUP(D1798,clientes!$C$3:$D$60,2,FALSE)</f>
        <v>CIAPETRO</v>
      </c>
      <c r="F1798" s="73" t="s">
        <v>120</v>
      </c>
      <c r="G1798" s="73" t="str">
        <f>VLOOKUP(F1798,'[2]Lista de Produtos CLASSIFICAÇÃO'!$E$103:$F$114,2,FALSE)</f>
        <v>Derivados</v>
      </c>
      <c r="H1798" s="74">
        <v>15000</v>
      </c>
    </row>
    <row r="1799" spans="1:8" x14ac:dyDescent="0.25">
      <c r="A1799" s="75">
        <v>2025</v>
      </c>
      <c r="B1799" s="76" t="s">
        <v>215</v>
      </c>
      <c r="C1799" s="77" t="s">
        <v>233</v>
      </c>
      <c r="D1799" s="77" t="s">
        <v>185</v>
      </c>
      <c r="E1799" s="73" t="str">
        <f>VLOOKUP(D1799,clientes!$C$3:$D$60,2,FALSE)</f>
        <v>CIAPETRO</v>
      </c>
      <c r="F1799" s="77" t="s">
        <v>120</v>
      </c>
      <c r="G1799" s="73" t="str">
        <f>VLOOKUP(F1799,'[2]Lista de Produtos CLASSIFICAÇÃO'!$E$103:$F$114,2,FALSE)</f>
        <v>Derivados</v>
      </c>
      <c r="H1799" s="78">
        <v>15000</v>
      </c>
    </row>
    <row r="1800" spans="1:8" x14ac:dyDescent="0.25">
      <c r="A1800" s="71">
        <v>2025</v>
      </c>
      <c r="B1800" s="72" t="s">
        <v>230</v>
      </c>
      <c r="C1800" s="73" t="s">
        <v>233</v>
      </c>
      <c r="D1800" s="73" t="s">
        <v>185</v>
      </c>
      <c r="E1800" s="73" t="str">
        <f>VLOOKUP(D1800,clientes!$C$3:$D$60,2,FALSE)</f>
        <v>CIAPETRO</v>
      </c>
      <c r="F1800" s="73" t="s">
        <v>120</v>
      </c>
      <c r="G1800" s="73" t="str">
        <f>VLOOKUP(F1800,'[2]Lista de Produtos CLASSIFICAÇÃO'!$E$103:$F$114,2,FALSE)</f>
        <v>Derivados</v>
      </c>
      <c r="H1800" s="74">
        <v>15000</v>
      </c>
    </row>
    <row r="1801" spans="1:8" x14ac:dyDescent="0.25">
      <c r="A1801" s="75">
        <v>2025</v>
      </c>
      <c r="B1801" s="76" t="s">
        <v>231</v>
      </c>
      <c r="C1801" s="77" t="s">
        <v>233</v>
      </c>
      <c r="D1801" s="77" t="s">
        <v>185</v>
      </c>
      <c r="E1801" s="73" t="str">
        <f>VLOOKUP(D1801,clientes!$C$3:$D$60,2,FALSE)</f>
        <v>CIAPETRO</v>
      </c>
      <c r="F1801" s="77" t="s">
        <v>120</v>
      </c>
      <c r="G1801" s="73" t="str">
        <f>VLOOKUP(F1801,'[2]Lista de Produtos CLASSIFICAÇÃO'!$E$103:$F$114,2,FALSE)</f>
        <v>Derivados</v>
      </c>
      <c r="H1801" s="78">
        <v>15000</v>
      </c>
    </row>
    <row r="1802" spans="1:8" x14ac:dyDescent="0.25">
      <c r="A1802" s="71">
        <v>2025</v>
      </c>
      <c r="B1802" s="72" t="s">
        <v>226</v>
      </c>
      <c r="C1802" s="73" t="s">
        <v>232</v>
      </c>
      <c r="D1802" s="73" t="s">
        <v>181</v>
      </c>
      <c r="E1802" s="73" t="str">
        <f>VLOOKUP(D1802,clientes!$C$3:$D$60,2,FALSE)</f>
        <v>COAMO</v>
      </c>
      <c r="F1802" s="73" t="s">
        <v>123</v>
      </c>
      <c r="G1802" s="73" t="str">
        <f>VLOOKUP(F1802,'[2]Lista de Produtos CLASSIFICAÇÃO'!$E$103:$F$114,2,FALSE)</f>
        <v>Aquecidos</v>
      </c>
      <c r="H1802" s="74">
        <v>2700</v>
      </c>
    </row>
    <row r="1803" spans="1:8" x14ac:dyDescent="0.25">
      <c r="A1803" s="75">
        <v>2025</v>
      </c>
      <c r="B1803" s="76" t="s">
        <v>227</v>
      </c>
      <c r="C1803" s="77" t="s">
        <v>232</v>
      </c>
      <c r="D1803" s="77" t="s">
        <v>181</v>
      </c>
      <c r="E1803" s="73" t="str">
        <f>VLOOKUP(D1803,clientes!$C$3:$D$60,2,FALSE)</f>
        <v>COAMO</v>
      </c>
      <c r="F1803" s="77" t="s">
        <v>123</v>
      </c>
      <c r="G1803" s="73" t="str">
        <f>VLOOKUP(F1803,'[2]Lista de Produtos CLASSIFICAÇÃO'!$E$103:$F$114,2,FALSE)</f>
        <v>Aquecidos</v>
      </c>
      <c r="H1803" s="78">
        <v>2700</v>
      </c>
    </row>
    <row r="1804" spans="1:8" x14ac:dyDescent="0.25">
      <c r="A1804" s="71">
        <v>2025</v>
      </c>
      <c r="B1804" s="72" t="s">
        <v>228</v>
      </c>
      <c r="C1804" s="73" t="s">
        <v>232</v>
      </c>
      <c r="D1804" s="73" t="s">
        <v>181</v>
      </c>
      <c r="E1804" s="73" t="str">
        <f>VLOOKUP(D1804,clientes!$C$3:$D$60,2,FALSE)</f>
        <v>COAMO</v>
      </c>
      <c r="F1804" s="73" t="s">
        <v>123</v>
      </c>
      <c r="G1804" s="73" t="str">
        <f>VLOOKUP(F1804,'[2]Lista de Produtos CLASSIFICAÇÃO'!$E$103:$F$114,2,FALSE)</f>
        <v>Aquecidos</v>
      </c>
      <c r="H1804" s="74">
        <v>2700</v>
      </c>
    </row>
    <row r="1805" spans="1:8" x14ac:dyDescent="0.25">
      <c r="A1805" s="75">
        <v>2025</v>
      </c>
      <c r="B1805" s="76" t="s">
        <v>229</v>
      </c>
      <c r="C1805" s="77" t="s">
        <v>232</v>
      </c>
      <c r="D1805" s="77" t="s">
        <v>181</v>
      </c>
      <c r="E1805" s="73" t="str">
        <f>VLOOKUP(D1805,clientes!$C$3:$D$60,2,FALSE)</f>
        <v>COAMO</v>
      </c>
      <c r="F1805" s="77" t="s">
        <v>123</v>
      </c>
      <c r="G1805" s="73" t="str">
        <f>VLOOKUP(F1805,'[2]Lista de Produtos CLASSIFICAÇÃO'!$E$103:$F$114,2,FALSE)</f>
        <v>Aquecidos</v>
      </c>
      <c r="H1805" s="78">
        <v>2700</v>
      </c>
    </row>
    <row r="1806" spans="1:8" x14ac:dyDescent="0.25">
      <c r="A1806" s="71">
        <v>2025</v>
      </c>
      <c r="B1806" s="72" t="s">
        <v>210</v>
      </c>
      <c r="C1806" s="73" t="s">
        <v>232</v>
      </c>
      <c r="D1806" s="73" t="s">
        <v>181</v>
      </c>
      <c r="E1806" s="73" t="str">
        <f>VLOOKUP(D1806,clientes!$C$3:$D$60,2,FALSE)</f>
        <v>COAMO</v>
      </c>
      <c r="F1806" s="73" t="s">
        <v>123</v>
      </c>
      <c r="G1806" s="73" t="str">
        <f>VLOOKUP(F1806,'[2]Lista de Produtos CLASSIFICAÇÃO'!$E$103:$F$114,2,FALSE)</f>
        <v>Aquecidos</v>
      </c>
      <c r="H1806" s="74">
        <v>2700</v>
      </c>
    </row>
    <row r="1807" spans="1:8" x14ac:dyDescent="0.25">
      <c r="A1807" s="75">
        <v>2025</v>
      </c>
      <c r="B1807" s="76" t="s">
        <v>211</v>
      </c>
      <c r="C1807" s="77" t="s">
        <v>232</v>
      </c>
      <c r="D1807" s="77" t="s">
        <v>181</v>
      </c>
      <c r="E1807" s="73" t="str">
        <f>VLOOKUP(D1807,clientes!$C$3:$D$60,2,FALSE)</f>
        <v>COAMO</v>
      </c>
      <c r="F1807" s="77" t="s">
        <v>123</v>
      </c>
      <c r="G1807" s="73" t="str">
        <f>VLOOKUP(F1807,'[2]Lista de Produtos CLASSIFICAÇÃO'!$E$103:$F$114,2,FALSE)</f>
        <v>Aquecidos</v>
      </c>
      <c r="H1807" s="78">
        <v>2700</v>
      </c>
    </row>
    <row r="1808" spans="1:8" x14ac:dyDescent="0.25">
      <c r="A1808" s="71">
        <v>2025</v>
      </c>
      <c r="B1808" s="72" t="s">
        <v>212</v>
      </c>
      <c r="C1808" s="73" t="s">
        <v>232</v>
      </c>
      <c r="D1808" s="73" t="s">
        <v>181</v>
      </c>
      <c r="E1808" s="73" t="str">
        <f>VLOOKUP(D1808,clientes!$C$3:$D$60,2,FALSE)</f>
        <v>COAMO</v>
      </c>
      <c r="F1808" s="73" t="s">
        <v>123</v>
      </c>
      <c r="G1808" s="73" t="str">
        <f>VLOOKUP(F1808,'[2]Lista de Produtos CLASSIFICAÇÃO'!$E$103:$F$114,2,FALSE)</f>
        <v>Aquecidos</v>
      </c>
      <c r="H1808" s="74">
        <v>2700</v>
      </c>
    </row>
    <row r="1809" spans="1:8" x14ac:dyDescent="0.25">
      <c r="A1809" s="75">
        <v>2025</v>
      </c>
      <c r="B1809" s="76" t="s">
        <v>213</v>
      </c>
      <c r="C1809" s="77" t="s">
        <v>232</v>
      </c>
      <c r="D1809" s="77" t="s">
        <v>181</v>
      </c>
      <c r="E1809" s="73" t="str">
        <f>VLOOKUP(D1809,clientes!$C$3:$D$60,2,FALSE)</f>
        <v>COAMO</v>
      </c>
      <c r="F1809" s="77" t="s">
        <v>123</v>
      </c>
      <c r="G1809" s="73" t="str">
        <f>VLOOKUP(F1809,'[2]Lista de Produtos CLASSIFICAÇÃO'!$E$103:$F$114,2,FALSE)</f>
        <v>Aquecidos</v>
      </c>
      <c r="H1809" s="78">
        <v>2700</v>
      </c>
    </row>
    <row r="1810" spans="1:8" x14ac:dyDescent="0.25">
      <c r="A1810" s="71">
        <v>2025</v>
      </c>
      <c r="B1810" s="72" t="s">
        <v>214</v>
      </c>
      <c r="C1810" s="73" t="s">
        <v>232</v>
      </c>
      <c r="D1810" s="73" t="s">
        <v>181</v>
      </c>
      <c r="E1810" s="73" t="str">
        <f>VLOOKUP(D1810,clientes!$C$3:$D$60,2,FALSE)</f>
        <v>COAMO</v>
      </c>
      <c r="F1810" s="73" t="s">
        <v>123</v>
      </c>
      <c r="G1810" s="73" t="str">
        <f>VLOOKUP(F1810,'[2]Lista de Produtos CLASSIFICAÇÃO'!$E$103:$F$114,2,FALSE)</f>
        <v>Aquecidos</v>
      </c>
      <c r="H1810" s="74">
        <v>2700</v>
      </c>
    </row>
    <row r="1811" spans="1:8" x14ac:dyDescent="0.25">
      <c r="A1811" s="75">
        <v>2025</v>
      </c>
      <c r="B1811" s="76" t="s">
        <v>215</v>
      </c>
      <c r="C1811" s="77" t="s">
        <v>232</v>
      </c>
      <c r="D1811" s="77" t="s">
        <v>181</v>
      </c>
      <c r="E1811" s="73" t="str">
        <f>VLOOKUP(D1811,clientes!$C$3:$D$60,2,FALSE)</f>
        <v>COAMO</v>
      </c>
      <c r="F1811" s="77" t="s">
        <v>123</v>
      </c>
      <c r="G1811" s="73" t="str">
        <f>VLOOKUP(F1811,'[2]Lista de Produtos CLASSIFICAÇÃO'!$E$103:$F$114,2,FALSE)</f>
        <v>Aquecidos</v>
      </c>
      <c r="H1811" s="78">
        <v>2700</v>
      </c>
    </row>
    <row r="1812" spans="1:8" x14ac:dyDescent="0.25">
      <c r="A1812" s="71">
        <v>2025</v>
      </c>
      <c r="B1812" s="72" t="s">
        <v>230</v>
      </c>
      <c r="C1812" s="73" t="s">
        <v>232</v>
      </c>
      <c r="D1812" s="73" t="s">
        <v>181</v>
      </c>
      <c r="E1812" s="73" t="str">
        <f>VLOOKUP(D1812,clientes!$C$3:$D$60,2,FALSE)</f>
        <v>COAMO</v>
      </c>
      <c r="F1812" s="73" t="s">
        <v>123</v>
      </c>
      <c r="G1812" s="73" t="str">
        <f>VLOOKUP(F1812,'[2]Lista de Produtos CLASSIFICAÇÃO'!$E$103:$F$114,2,FALSE)</f>
        <v>Aquecidos</v>
      </c>
      <c r="H1812" s="74">
        <v>2700</v>
      </c>
    </row>
    <row r="1813" spans="1:8" x14ac:dyDescent="0.25">
      <c r="A1813" s="75">
        <v>2025</v>
      </c>
      <c r="B1813" s="76" t="s">
        <v>231</v>
      </c>
      <c r="C1813" s="77" t="s">
        <v>232</v>
      </c>
      <c r="D1813" s="77" t="s">
        <v>181</v>
      </c>
      <c r="E1813" s="73" t="str">
        <f>VLOOKUP(D1813,clientes!$C$3:$D$60,2,FALSE)</f>
        <v>COAMO</v>
      </c>
      <c r="F1813" s="77" t="s">
        <v>123</v>
      </c>
      <c r="G1813" s="73" t="str">
        <f>VLOOKUP(F1813,'[2]Lista de Produtos CLASSIFICAÇÃO'!$E$103:$F$114,2,FALSE)</f>
        <v>Aquecidos</v>
      </c>
      <c r="H1813" s="78">
        <v>2700</v>
      </c>
    </row>
    <row r="1814" spans="1:8" x14ac:dyDescent="0.25">
      <c r="A1814" s="71">
        <v>2025</v>
      </c>
      <c r="B1814" s="72" t="s">
        <v>226</v>
      </c>
      <c r="C1814" s="73" t="s">
        <v>225</v>
      </c>
      <c r="D1814" s="73" t="s">
        <v>172</v>
      </c>
      <c r="E1814" s="73" t="str">
        <f>VLOOKUP(D1814,clientes!$C$3:$D$60,2,FALSE)</f>
        <v>EVONIK</v>
      </c>
      <c r="F1814" s="73" t="s">
        <v>124</v>
      </c>
      <c r="G1814" s="73" t="str">
        <f>VLOOKUP(F1814,'[2]Lista de Produtos CLASSIFICAÇÃO'!$E$103:$F$114,2,FALSE)</f>
        <v>Outros</v>
      </c>
      <c r="H1814" s="74">
        <v>4500</v>
      </c>
    </row>
    <row r="1815" spans="1:8" x14ac:dyDescent="0.25">
      <c r="A1815" s="75">
        <v>2025</v>
      </c>
      <c r="B1815" s="76" t="s">
        <v>227</v>
      </c>
      <c r="C1815" s="77" t="s">
        <v>225</v>
      </c>
      <c r="D1815" s="77" t="s">
        <v>172</v>
      </c>
      <c r="E1815" s="73" t="str">
        <f>VLOOKUP(D1815,clientes!$C$3:$D$60,2,FALSE)</f>
        <v>EVONIK</v>
      </c>
      <c r="F1815" s="77" t="s">
        <v>124</v>
      </c>
      <c r="G1815" s="73" t="str">
        <f>VLOOKUP(F1815,'[2]Lista de Produtos CLASSIFICAÇÃO'!$E$103:$F$114,2,FALSE)</f>
        <v>Outros</v>
      </c>
      <c r="H1815" s="78">
        <v>4500</v>
      </c>
    </row>
    <row r="1816" spans="1:8" x14ac:dyDescent="0.25">
      <c r="A1816" s="71">
        <v>2025</v>
      </c>
      <c r="B1816" s="72" t="s">
        <v>228</v>
      </c>
      <c r="C1816" s="73" t="s">
        <v>225</v>
      </c>
      <c r="D1816" s="73" t="s">
        <v>172</v>
      </c>
      <c r="E1816" s="73" t="str">
        <f>VLOOKUP(D1816,clientes!$C$3:$D$60,2,FALSE)</f>
        <v>EVONIK</v>
      </c>
      <c r="F1816" s="73" t="s">
        <v>124</v>
      </c>
      <c r="G1816" s="73" t="str">
        <f>VLOOKUP(F1816,'[2]Lista de Produtos CLASSIFICAÇÃO'!$E$103:$F$114,2,FALSE)</f>
        <v>Outros</v>
      </c>
      <c r="H1816" s="74">
        <v>4500</v>
      </c>
    </row>
    <row r="1817" spans="1:8" x14ac:dyDescent="0.25">
      <c r="A1817" s="75">
        <v>2025</v>
      </c>
      <c r="B1817" s="76" t="s">
        <v>229</v>
      </c>
      <c r="C1817" s="77" t="s">
        <v>225</v>
      </c>
      <c r="D1817" s="77" t="s">
        <v>172</v>
      </c>
      <c r="E1817" s="73" t="str">
        <f>VLOOKUP(D1817,clientes!$C$3:$D$60,2,FALSE)</f>
        <v>EVONIK</v>
      </c>
      <c r="F1817" s="77" t="s">
        <v>124</v>
      </c>
      <c r="G1817" s="73" t="str">
        <f>VLOOKUP(F1817,'[2]Lista de Produtos CLASSIFICAÇÃO'!$E$103:$F$114,2,FALSE)</f>
        <v>Outros</v>
      </c>
      <c r="H1817" s="78">
        <v>4500</v>
      </c>
    </row>
    <row r="1818" spans="1:8" x14ac:dyDescent="0.25">
      <c r="A1818" s="71">
        <v>2025</v>
      </c>
      <c r="B1818" s="72" t="s">
        <v>210</v>
      </c>
      <c r="C1818" s="73" t="s">
        <v>225</v>
      </c>
      <c r="D1818" s="73" t="s">
        <v>172</v>
      </c>
      <c r="E1818" s="73" t="str">
        <f>VLOOKUP(D1818,clientes!$C$3:$D$60,2,FALSE)</f>
        <v>EVONIK</v>
      </c>
      <c r="F1818" s="73" t="s">
        <v>124</v>
      </c>
      <c r="G1818" s="73" t="str">
        <f>VLOOKUP(F1818,'[2]Lista de Produtos CLASSIFICAÇÃO'!$E$103:$F$114,2,FALSE)</f>
        <v>Outros</v>
      </c>
      <c r="H1818" s="74">
        <v>4500</v>
      </c>
    </row>
    <row r="1819" spans="1:8" x14ac:dyDescent="0.25">
      <c r="A1819" s="75">
        <v>2025</v>
      </c>
      <c r="B1819" s="76" t="s">
        <v>211</v>
      </c>
      <c r="C1819" s="77" t="s">
        <v>225</v>
      </c>
      <c r="D1819" s="77" t="s">
        <v>172</v>
      </c>
      <c r="E1819" s="73" t="str">
        <f>VLOOKUP(D1819,clientes!$C$3:$D$60,2,FALSE)</f>
        <v>EVONIK</v>
      </c>
      <c r="F1819" s="77" t="s">
        <v>124</v>
      </c>
      <c r="G1819" s="73" t="str">
        <f>VLOOKUP(F1819,'[2]Lista de Produtos CLASSIFICAÇÃO'!$E$103:$F$114,2,FALSE)</f>
        <v>Outros</v>
      </c>
      <c r="H1819" s="78">
        <v>4500</v>
      </c>
    </row>
    <row r="1820" spans="1:8" x14ac:dyDescent="0.25">
      <c r="A1820" s="71">
        <v>2025</v>
      </c>
      <c r="B1820" s="72" t="s">
        <v>212</v>
      </c>
      <c r="C1820" s="73" t="s">
        <v>225</v>
      </c>
      <c r="D1820" s="73" t="s">
        <v>172</v>
      </c>
      <c r="E1820" s="73" t="str">
        <f>VLOOKUP(D1820,clientes!$C$3:$D$60,2,FALSE)</f>
        <v>EVONIK</v>
      </c>
      <c r="F1820" s="73" t="s">
        <v>124</v>
      </c>
      <c r="G1820" s="73" t="str">
        <f>VLOOKUP(F1820,'[2]Lista de Produtos CLASSIFICAÇÃO'!$E$103:$F$114,2,FALSE)</f>
        <v>Outros</v>
      </c>
      <c r="H1820" s="74">
        <v>4500</v>
      </c>
    </row>
    <row r="1821" spans="1:8" x14ac:dyDescent="0.25">
      <c r="A1821" s="75">
        <v>2025</v>
      </c>
      <c r="B1821" s="76" t="s">
        <v>213</v>
      </c>
      <c r="C1821" s="77" t="s">
        <v>225</v>
      </c>
      <c r="D1821" s="77" t="s">
        <v>172</v>
      </c>
      <c r="E1821" s="73" t="str">
        <f>VLOOKUP(D1821,clientes!$C$3:$D$60,2,FALSE)</f>
        <v>EVONIK</v>
      </c>
      <c r="F1821" s="77" t="s">
        <v>124</v>
      </c>
      <c r="G1821" s="73" t="str">
        <f>VLOOKUP(F1821,'[2]Lista de Produtos CLASSIFICAÇÃO'!$E$103:$F$114,2,FALSE)</f>
        <v>Outros</v>
      </c>
      <c r="H1821" s="78">
        <v>4500</v>
      </c>
    </row>
    <row r="1822" spans="1:8" x14ac:dyDescent="0.25">
      <c r="A1822" s="71">
        <v>2025</v>
      </c>
      <c r="B1822" s="72" t="s">
        <v>214</v>
      </c>
      <c r="C1822" s="73" t="s">
        <v>225</v>
      </c>
      <c r="D1822" s="73" t="s">
        <v>172</v>
      </c>
      <c r="E1822" s="73" t="str">
        <f>VLOOKUP(D1822,clientes!$C$3:$D$60,2,FALSE)</f>
        <v>EVONIK</v>
      </c>
      <c r="F1822" s="73" t="s">
        <v>124</v>
      </c>
      <c r="G1822" s="73" t="str">
        <f>VLOOKUP(F1822,'[2]Lista de Produtos CLASSIFICAÇÃO'!$E$103:$F$114,2,FALSE)</f>
        <v>Outros</v>
      </c>
      <c r="H1822" s="74">
        <v>4500</v>
      </c>
    </row>
    <row r="1823" spans="1:8" x14ac:dyDescent="0.25">
      <c r="A1823" s="75">
        <v>2025</v>
      </c>
      <c r="B1823" s="76" t="s">
        <v>215</v>
      </c>
      <c r="C1823" s="77" t="s">
        <v>225</v>
      </c>
      <c r="D1823" s="77" t="s">
        <v>172</v>
      </c>
      <c r="E1823" s="73" t="str">
        <f>VLOOKUP(D1823,clientes!$C$3:$D$60,2,FALSE)</f>
        <v>EVONIK</v>
      </c>
      <c r="F1823" s="77" t="s">
        <v>124</v>
      </c>
      <c r="G1823" s="73" t="str">
        <f>VLOOKUP(F1823,'[2]Lista de Produtos CLASSIFICAÇÃO'!$E$103:$F$114,2,FALSE)</f>
        <v>Outros</v>
      </c>
      <c r="H1823" s="78">
        <v>4500</v>
      </c>
    </row>
    <row r="1824" spans="1:8" x14ac:dyDescent="0.25">
      <c r="A1824" s="71">
        <v>2025</v>
      </c>
      <c r="B1824" s="72" t="s">
        <v>230</v>
      </c>
      <c r="C1824" s="73" t="s">
        <v>225</v>
      </c>
      <c r="D1824" s="73" t="s">
        <v>172</v>
      </c>
      <c r="E1824" s="73" t="str">
        <f>VLOOKUP(D1824,clientes!$C$3:$D$60,2,FALSE)</f>
        <v>EVONIK</v>
      </c>
      <c r="F1824" s="73" t="s">
        <v>124</v>
      </c>
      <c r="G1824" s="73" t="str">
        <f>VLOOKUP(F1824,'[2]Lista de Produtos CLASSIFICAÇÃO'!$E$103:$F$114,2,FALSE)</f>
        <v>Outros</v>
      </c>
      <c r="H1824" s="74">
        <v>4500</v>
      </c>
    </row>
    <row r="1825" spans="1:8" x14ac:dyDescent="0.25">
      <c r="A1825" s="75">
        <v>2025</v>
      </c>
      <c r="B1825" s="76" t="s">
        <v>231</v>
      </c>
      <c r="C1825" s="77" t="s">
        <v>225</v>
      </c>
      <c r="D1825" s="77" t="s">
        <v>172</v>
      </c>
      <c r="E1825" s="73" t="str">
        <f>VLOOKUP(D1825,clientes!$C$3:$D$60,2,FALSE)</f>
        <v>EVONIK</v>
      </c>
      <c r="F1825" s="77" t="s">
        <v>124</v>
      </c>
      <c r="G1825" s="73" t="str">
        <f>VLOOKUP(F1825,'[2]Lista de Produtos CLASSIFICAÇÃO'!$E$103:$F$114,2,FALSE)</f>
        <v>Outros</v>
      </c>
      <c r="H1825" s="78">
        <v>4500</v>
      </c>
    </row>
    <row r="1826" spans="1:8" x14ac:dyDescent="0.25">
      <c r="A1826" s="71">
        <v>2025</v>
      </c>
      <c r="B1826" s="72" t="s">
        <v>226</v>
      </c>
      <c r="C1826" s="73" t="s">
        <v>225</v>
      </c>
      <c r="D1826" s="73" t="s">
        <v>191</v>
      </c>
      <c r="E1826" s="73" t="str">
        <f>VLOOKUP(D1826,clientes!$C$3:$D$60,2,FALSE)</f>
        <v>GPC</v>
      </c>
      <c r="F1826" s="73" t="s">
        <v>115</v>
      </c>
      <c r="G1826" s="73" t="str">
        <f>VLOOKUP(F1826,'[2]Lista de Produtos CLASSIFICAÇÃO'!$E$103:$F$114,2,FALSE)</f>
        <v>Soda Caustica</v>
      </c>
      <c r="H1826" s="74">
        <v>1666</v>
      </c>
    </row>
    <row r="1827" spans="1:8" x14ac:dyDescent="0.25">
      <c r="A1827" s="75">
        <v>2025</v>
      </c>
      <c r="B1827" s="76" t="s">
        <v>227</v>
      </c>
      <c r="C1827" s="77" t="s">
        <v>225</v>
      </c>
      <c r="D1827" s="77" t="s">
        <v>191</v>
      </c>
      <c r="E1827" s="73" t="str">
        <f>VLOOKUP(D1827,clientes!$C$3:$D$60,2,FALSE)</f>
        <v>GPC</v>
      </c>
      <c r="F1827" s="77" t="s">
        <v>115</v>
      </c>
      <c r="G1827" s="73" t="str">
        <f>VLOOKUP(F1827,'[2]Lista de Produtos CLASSIFICAÇÃO'!$E$103:$F$114,2,FALSE)</f>
        <v>Soda Caustica</v>
      </c>
      <c r="H1827" s="78">
        <v>1666</v>
      </c>
    </row>
    <row r="1828" spans="1:8" x14ac:dyDescent="0.25">
      <c r="A1828" s="71">
        <v>2025</v>
      </c>
      <c r="B1828" s="72" t="s">
        <v>228</v>
      </c>
      <c r="C1828" s="73" t="s">
        <v>225</v>
      </c>
      <c r="D1828" s="73" t="s">
        <v>191</v>
      </c>
      <c r="E1828" s="73" t="str">
        <f>VLOOKUP(D1828,clientes!$C$3:$D$60,2,FALSE)</f>
        <v>GPC</v>
      </c>
      <c r="F1828" s="73" t="s">
        <v>115</v>
      </c>
      <c r="G1828" s="73" t="str">
        <f>VLOOKUP(F1828,'[2]Lista de Produtos CLASSIFICAÇÃO'!$E$103:$F$114,2,FALSE)</f>
        <v>Soda Caustica</v>
      </c>
      <c r="H1828" s="74">
        <v>1666</v>
      </c>
    </row>
    <row r="1829" spans="1:8" x14ac:dyDescent="0.25">
      <c r="A1829" s="75">
        <v>2025</v>
      </c>
      <c r="B1829" s="76" t="s">
        <v>229</v>
      </c>
      <c r="C1829" s="77" t="s">
        <v>225</v>
      </c>
      <c r="D1829" s="77" t="s">
        <v>191</v>
      </c>
      <c r="E1829" s="73" t="str">
        <f>VLOOKUP(D1829,clientes!$C$3:$D$60,2,FALSE)</f>
        <v>GPC</v>
      </c>
      <c r="F1829" s="77" t="s">
        <v>115</v>
      </c>
      <c r="G1829" s="73" t="str">
        <f>VLOOKUP(F1829,'[2]Lista de Produtos CLASSIFICAÇÃO'!$E$103:$F$114,2,FALSE)</f>
        <v>Soda Caustica</v>
      </c>
      <c r="H1829" s="78">
        <v>1666</v>
      </c>
    </row>
    <row r="1830" spans="1:8" x14ac:dyDescent="0.25">
      <c r="A1830" s="71">
        <v>2025</v>
      </c>
      <c r="B1830" s="72" t="s">
        <v>210</v>
      </c>
      <c r="C1830" s="73" t="s">
        <v>225</v>
      </c>
      <c r="D1830" s="73" t="s">
        <v>191</v>
      </c>
      <c r="E1830" s="73" t="str">
        <f>VLOOKUP(D1830,clientes!$C$3:$D$60,2,FALSE)</f>
        <v>GPC</v>
      </c>
      <c r="F1830" s="73" t="s">
        <v>115</v>
      </c>
      <c r="G1830" s="73" t="str">
        <f>VLOOKUP(F1830,'[2]Lista de Produtos CLASSIFICAÇÃO'!$E$103:$F$114,2,FALSE)</f>
        <v>Soda Caustica</v>
      </c>
      <c r="H1830" s="74">
        <v>1666</v>
      </c>
    </row>
    <row r="1831" spans="1:8" x14ac:dyDescent="0.25">
      <c r="A1831" s="75">
        <v>2025</v>
      </c>
      <c r="B1831" s="76" t="s">
        <v>211</v>
      </c>
      <c r="C1831" s="77" t="s">
        <v>225</v>
      </c>
      <c r="D1831" s="77" t="s">
        <v>191</v>
      </c>
      <c r="E1831" s="73" t="str">
        <f>VLOOKUP(D1831,clientes!$C$3:$D$60,2,FALSE)</f>
        <v>GPC</v>
      </c>
      <c r="F1831" s="77" t="s">
        <v>115</v>
      </c>
      <c r="G1831" s="73" t="str">
        <f>VLOOKUP(F1831,'[2]Lista de Produtos CLASSIFICAÇÃO'!$E$103:$F$114,2,FALSE)</f>
        <v>Soda Caustica</v>
      </c>
      <c r="H1831" s="78">
        <v>1666</v>
      </c>
    </row>
    <row r="1832" spans="1:8" x14ac:dyDescent="0.25">
      <c r="A1832" s="71">
        <v>2025</v>
      </c>
      <c r="B1832" s="72" t="s">
        <v>212</v>
      </c>
      <c r="C1832" s="73" t="s">
        <v>225</v>
      </c>
      <c r="D1832" s="73" t="s">
        <v>191</v>
      </c>
      <c r="E1832" s="73" t="str">
        <f>VLOOKUP(D1832,clientes!$C$3:$D$60,2,FALSE)</f>
        <v>GPC</v>
      </c>
      <c r="F1832" s="73" t="s">
        <v>115</v>
      </c>
      <c r="G1832" s="73" t="str">
        <f>VLOOKUP(F1832,'[2]Lista de Produtos CLASSIFICAÇÃO'!$E$103:$F$114,2,FALSE)</f>
        <v>Soda Caustica</v>
      </c>
      <c r="H1832" s="74">
        <v>1666</v>
      </c>
    </row>
    <row r="1833" spans="1:8" x14ac:dyDescent="0.25">
      <c r="A1833" s="75">
        <v>2025</v>
      </c>
      <c r="B1833" s="76" t="s">
        <v>213</v>
      </c>
      <c r="C1833" s="77" t="s">
        <v>225</v>
      </c>
      <c r="D1833" s="77" t="s">
        <v>191</v>
      </c>
      <c r="E1833" s="73" t="str">
        <f>VLOOKUP(D1833,clientes!$C$3:$D$60,2,FALSE)</f>
        <v>GPC</v>
      </c>
      <c r="F1833" s="77" t="s">
        <v>115</v>
      </c>
      <c r="G1833" s="73" t="str">
        <f>VLOOKUP(F1833,'[2]Lista de Produtos CLASSIFICAÇÃO'!$E$103:$F$114,2,FALSE)</f>
        <v>Soda Caustica</v>
      </c>
      <c r="H1833" s="78">
        <v>1666</v>
      </c>
    </row>
    <row r="1834" spans="1:8" x14ac:dyDescent="0.25">
      <c r="A1834" s="71">
        <v>2025</v>
      </c>
      <c r="B1834" s="72" t="s">
        <v>214</v>
      </c>
      <c r="C1834" s="73" t="s">
        <v>225</v>
      </c>
      <c r="D1834" s="73" t="s">
        <v>191</v>
      </c>
      <c r="E1834" s="73" t="str">
        <f>VLOOKUP(D1834,clientes!$C$3:$D$60,2,FALSE)</f>
        <v>GPC</v>
      </c>
      <c r="F1834" s="73" t="s">
        <v>115</v>
      </c>
      <c r="G1834" s="73" t="str">
        <f>VLOOKUP(F1834,'[2]Lista de Produtos CLASSIFICAÇÃO'!$E$103:$F$114,2,FALSE)</f>
        <v>Soda Caustica</v>
      </c>
      <c r="H1834" s="74">
        <v>1666</v>
      </c>
    </row>
    <row r="1835" spans="1:8" x14ac:dyDescent="0.25">
      <c r="A1835" s="75">
        <v>2025</v>
      </c>
      <c r="B1835" s="76" t="s">
        <v>215</v>
      </c>
      <c r="C1835" s="77" t="s">
        <v>225</v>
      </c>
      <c r="D1835" s="77" t="s">
        <v>191</v>
      </c>
      <c r="E1835" s="73" t="str">
        <f>VLOOKUP(D1835,clientes!$C$3:$D$60,2,FALSE)</f>
        <v>GPC</v>
      </c>
      <c r="F1835" s="77" t="s">
        <v>115</v>
      </c>
      <c r="G1835" s="73" t="str">
        <f>VLOOKUP(F1835,'[2]Lista de Produtos CLASSIFICAÇÃO'!$E$103:$F$114,2,FALSE)</f>
        <v>Soda Caustica</v>
      </c>
      <c r="H1835" s="78">
        <v>1666</v>
      </c>
    </row>
    <row r="1836" spans="1:8" x14ac:dyDescent="0.25">
      <c r="A1836" s="71">
        <v>2025</v>
      </c>
      <c r="B1836" s="72" t="s">
        <v>230</v>
      </c>
      <c r="C1836" s="73" t="s">
        <v>225</v>
      </c>
      <c r="D1836" s="73" t="s">
        <v>191</v>
      </c>
      <c r="E1836" s="73" t="str">
        <f>VLOOKUP(D1836,clientes!$C$3:$D$60,2,FALSE)</f>
        <v>GPC</v>
      </c>
      <c r="F1836" s="73" t="s">
        <v>115</v>
      </c>
      <c r="G1836" s="73" t="str">
        <f>VLOOKUP(F1836,'[2]Lista de Produtos CLASSIFICAÇÃO'!$E$103:$F$114,2,FALSE)</f>
        <v>Soda Caustica</v>
      </c>
      <c r="H1836" s="74">
        <v>1666</v>
      </c>
    </row>
    <row r="1837" spans="1:8" x14ac:dyDescent="0.25">
      <c r="A1837" s="75">
        <v>2025</v>
      </c>
      <c r="B1837" s="76" t="s">
        <v>231</v>
      </c>
      <c r="C1837" s="77" t="s">
        <v>225</v>
      </c>
      <c r="D1837" s="77" t="s">
        <v>191</v>
      </c>
      <c r="E1837" s="73" t="str">
        <f>VLOOKUP(D1837,clientes!$C$3:$D$60,2,FALSE)</f>
        <v>GPC</v>
      </c>
      <c r="F1837" s="77" t="s">
        <v>115</v>
      </c>
      <c r="G1837" s="73" t="str">
        <f>VLOOKUP(F1837,'[2]Lista de Produtos CLASSIFICAÇÃO'!$E$103:$F$114,2,FALSE)</f>
        <v>Soda Caustica</v>
      </c>
      <c r="H1837" s="78">
        <v>1666</v>
      </c>
    </row>
    <row r="1838" spans="1:8" x14ac:dyDescent="0.25">
      <c r="A1838" s="71">
        <v>2025</v>
      </c>
      <c r="B1838" s="72" t="s">
        <v>226</v>
      </c>
      <c r="C1838" s="73" t="s">
        <v>232</v>
      </c>
      <c r="D1838" s="73" t="s">
        <v>189</v>
      </c>
      <c r="E1838" s="73" t="str">
        <f>VLOOKUP(D1838,clientes!$C$3:$D$60,2,FALSE)</f>
        <v>ICOF</v>
      </c>
      <c r="F1838" s="73" t="s">
        <v>123</v>
      </c>
      <c r="G1838" s="73" t="str">
        <f>VLOOKUP(F1838,'[2]Lista de Produtos CLASSIFICAÇÃO'!$E$103:$F$114,2,FALSE)</f>
        <v>Aquecidos</v>
      </c>
      <c r="H1838" s="74">
        <v>6000</v>
      </c>
    </row>
    <row r="1839" spans="1:8" x14ac:dyDescent="0.25">
      <c r="A1839" s="75">
        <v>2025</v>
      </c>
      <c r="B1839" s="76" t="s">
        <v>227</v>
      </c>
      <c r="C1839" s="77" t="s">
        <v>232</v>
      </c>
      <c r="D1839" s="77" t="s">
        <v>189</v>
      </c>
      <c r="E1839" s="73" t="str">
        <f>VLOOKUP(D1839,clientes!$C$3:$D$60,2,FALSE)</f>
        <v>ICOF</v>
      </c>
      <c r="F1839" s="77" t="s">
        <v>123</v>
      </c>
      <c r="G1839" s="73" t="str">
        <f>VLOOKUP(F1839,'[2]Lista de Produtos CLASSIFICAÇÃO'!$E$103:$F$114,2,FALSE)</f>
        <v>Aquecidos</v>
      </c>
      <c r="H1839" s="78">
        <v>6000</v>
      </c>
    </row>
    <row r="1840" spans="1:8" x14ac:dyDescent="0.25">
      <c r="A1840" s="71">
        <v>2025</v>
      </c>
      <c r="B1840" s="72" t="s">
        <v>228</v>
      </c>
      <c r="C1840" s="73" t="s">
        <v>232</v>
      </c>
      <c r="D1840" s="73" t="s">
        <v>189</v>
      </c>
      <c r="E1840" s="73" t="str">
        <f>VLOOKUP(D1840,clientes!$C$3:$D$60,2,FALSE)</f>
        <v>ICOF</v>
      </c>
      <c r="F1840" s="73" t="s">
        <v>123</v>
      </c>
      <c r="G1840" s="73" t="str">
        <f>VLOOKUP(F1840,'[2]Lista de Produtos CLASSIFICAÇÃO'!$E$103:$F$114,2,FALSE)</f>
        <v>Aquecidos</v>
      </c>
      <c r="H1840" s="74">
        <v>6000</v>
      </c>
    </row>
    <row r="1841" spans="1:8" x14ac:dyDescent="0.25">
      <c r="A1841" s="75">
        <v>2025</v>
      </c>
      <c r="B1841" s="76" t="s">
        <v>229</v>
      </c>
      <c r="C1841" s="77" t="s">
        <v>232</v>
      </c>
      <c r="D1841" s="77" t="s">
        <v>189</v>
      </c>
      <c r="E1841" s="73" t="str">
        <f>VLOOKUP(D1841,clientes!$C$3:$D$60,2,FALSE)</f>
        <v>ICOF</v>
      </c>
      <c r="F1841" s="77" t="s">
        <v>123</v>
      </c>
      <c r="G1841" s="73" t="str">
        <f>VLOOKUP(F1841,'[2]Lista de Produtos CLASSIFICAÇÃO'!$E$103:$F$114,2,FALSE)</f>
        <v>Aquecidos</v>
      </c>
      <c r="H1841" s="78">
        <v>6000</v>
      </c>
    </row>
    <row r="1842" spans="1:8" x14ac:dyDescent="0.25">
      <c r="A1842" s="71">
        <v>2025</v>
      </c>
      <c r="B1842" s="72" t="s">
        <v>210</v>
      </c>
      <c r="C1842" s="73" t="s">
        <v>232</v>
      </c>
      <c r="D1842" s="73" t="s">
        <v>189</v>
      </c>
      <c r="E1842" s="73" t="str">
        <f>VLOOKUP(D1842,clientes!$C$3:$D$60,2,FALSE)</f>
        <v>ICOF</v>
      </c>
      <c r="F1842" s="73" t="s">
        <v>123</v>
      </c>
      <c r="G1842" s="73" t="str">
        <f>VLOOKUP(F1842,'[2]Lista de Produtos CLASSIFICAÇÃO'!$E$103:$F$114,2,FALSE)</f>
        <v>Aquecidos</v>
      </c>
      <c r="H1842" s="74">
        <v>6000</v>
      </c>
    </row>
    <row r="1843" spans="1:8" x14ac:dyDescent="0.25">
      <c r="A1843" s="75">
        <v>2025</v>
      </c>
      <c r="B1843" s="76" t="s">
        <v>211</v>
      </c>
      <c r="C1843" s="77" t="s">
        <v>232</v>
      </c>
      <c r="D1843" s="77" t="s">
        <v>189</v>
      </c>
      <c r="E1843" s="73" t="str">
        <f>VLOOKUP(D1843,clientes!$C$3:$D$60,2,FALSE)</f>
        <v>ICOF</v>
      </c>
      <c r="F1843" s="77" t="s">
        <v>123</v>
      </c>
      <c r="G1843" s="73" t="str">
        <f>VLOOKUP(F1843,'[2]Lista de Produtos CLASSIFICAÇÃO'!$E$103:$F$114,2,FALSE)</f>
        <v>Aquecidos</v>
      </c>
      <c r="H1843" s="78">
        <v>6000</v>
      </c>
    </row>
    <row r="1844" spans="1:8" x14ac:dyDescent="0.25">
      <c r="A1844" s="71">
        <v>2025</v>
      </c>
      <c r="B1844" s="72" t="s">
        <v>212</v>
      </c>
      <c r="C1844" s="73" t="s">
        <v>232</v>
      </c>
      <c r="D1844" s="73" t="s">
        <v>189</v>
      </c>
      <c r="E1844" s="73" t="str">
        <f>VLOOKUP(D1844,clientes!$C$3:$D$60,2,FALSE)</f>
        <v>ICOF</v>
      </c>
      <c r="F1844" s="73" t="s">
        <v>123</v>
      </c>
      <c r="G1844" s="73" t="str">
        <f>VLOOKUP(F1844,'[2]Lista de Produtos CLASSIFICAÇÃO'!$E$103:$F$114,2,FALSE)</f>
        <v>Aquecidos</v>
      </c>
      <c r="H1844" s="74">
        <v>6000</v>
      </c>
    </row>
    <row r="1845" spans="1:8" x14ac:dyDescent="0.25">
      <c r="A1845" s="75">
        <v>2025</v>
      </c>
      <c r="B1845" s="76" t="s">
        <v>213</v>
      </c>
      <c r="C1845" s="77" t="s">
        <v>232</v>
      </c>
      <c r="D1845" s="77" t="s">
        <v>189</v>
      </c>
      <c r="E1845" s="73" t="str">
        <f>VLOOKUP(D1845,clientes!$C$3:$D$60,2,FALSE)</f>
        <v>ICOF</v>
      </c>
      <c r="F1845" s="77" t="s">
        <v>123</v>
      </c>
      <c r="G1845" s="73" t="str">
        <f>VLOOKUP(F1845,'[2]Lista de Produtos CLASSIFICAÇÃO'!$E$103:$F$114,2,FALSE)</f>
        <v>Aquecidos</v>
      </c>
      <c r="H1845" s="78">
        <v>6000</v>
      </c>
    </row>
    <row r="1846" spans="1:8" x14ac:dyDescent="0.25">
      <c r="A1846" s="71">
        <v>2025</v>
      </c>
      <c r="B1846" s="72" t="s">
        <v>214</v>
      </c>
      <c r="C1846" s="73" t="s">
        <v>232</v>
      </c>
      <c r="D1846" s="73" t="s">
        <v>189</v>
      </c>
      <c r="E1846" s="73" t="str">
        <f>VLOOKUP(D1846,clientes!$C$3:$D$60,2,FALSE)</f>
        <v>ICOF</v>
      </c>
      <c r="F1846" s="73" t="s">
        <v>123</v>
      </c>
      <c r="G1846" s="73" t="str">
        <f>VLOOKUP(F1846,'[2]Lista de Produtos CLASSIFICAÇÃO'!$E$103:$F$114,2,FALSE)</f>
        <v>Aquecidos</v>
      </c>
      <c r="H1846" s="74">
        <v>6000</v>
      </c>
    </row>
    <row r="1847" spans="1:8" x14ac:dyDescent="0.25">
      <c r="A1847" s="75">
        <v>2025</v>
      </c>
      <c r="B1847" s="76" t="s">
        <v>215</v>
      </c>
      <c r="C1847" s="77" t="s">
        <v>232</v>
      </c>
      <c r="D1847" s="77" t="s">
        <v>189</v>
      </c>
      <c r="E1847" s="73" t="str">
        <f>VLOOKUP(D1847,clientes!$C$3:$D$60,2,FALSE)</f>
        <v>ICOF</v>
      </c>
      <c r="F1847" s="77" t="s">
        <v>123</v>
      </c>
      <c r="G1847" s="73" t="str">
        <f>VLOOKUP(F1847,'[2]Lista de Produtos CLASSIFICAÇÃO'!$E$103:$F$114,2,FALSE)</f>
        <v>Aquecidos</v>
      </c>
      <c r="H1847" s="78">
        <v>6000</v>
      </c>
    </row>
    <row r="1848" spans="1:8" x14ac:dyDescent="0.25">
      <c r="A1848" s="71">
        <v>2025</v>
      </c>
      <c r="B1848" s="72" t="s">
        <v>230</v>
      </c>
      <c r="C1848" s="73" t="s">
        <v>232</v>
      </c>
      <c r="D1848" s="73" t="s">
        <v>189</v>
      </c>
      <c r="E1848" s="73" t="str">
        <f>VLOOKUP(D1848,clientes!$C$3:$D$60,2,FALSE)</f>
        <v>ICOF</v>
      </c>
      <c r="F1848" s="73" t="s">
        <v>123</v>
      </c>
      <c r="G1848" s="73" t="str">
        <f>VLOOKUP(F1848,'[2]Lista de Produtos CLASSIFICAÇÃO'!$E$103:$F$114,2,FALSE)</f>
        <v>Aquecidos</v>
      </c>
      <c r="H1848" s="74">
        <v>6000</v>
      </c>
    </row>
    <row r="1849" spans="1:8" x14ac:dyDescent="0.25">
      <c r="A1849" s="75">
        <v>2025</v>
      </c>
      <c r="B1849" s="76" t="s">
        <v>231</v>
      </c>
      <c r="C1849" s="77" t="s">
        <v>232</v>
      </c>
      <c r="D1849" s="77" t="s">
        <v>189</v>
      </c>
      <c r="E1849" s="73" t="str">
        <f>VLOOKUP(D1849,clientes!$C$3:$D$60,2,FALSE)</f>
        <v>ICOF</v>
      </c>
      <c r="F1849" s="77" t="s">
        <v>123</v>
      </c>
      <c r="G1849" s="73" t="str">
        <f>VLOOKUP(F1849,'[2]Lista de Produtos CLASSIFICAÇÃO'!$E$103:$F$114,2,FALSE)</f>
        <v>Aquecidos</v>
      </c>
      <c r="H1849" s="78">
        <v>6000</v>
      </c>
    </row>
    <row r="1850" spans="1:8" x14ac:dyDescent="0.25">
      <c r="A1850" s="71">
        <v>2025</v>
      </c>
      <c r="B1850" s="72" t="s">
        <v>226</v>
      </c>
      <c r="C1850" s="73" t="s">
        <v>225</v>
      </c>
      <c r="D1850" s="73" t="s">
        <v>184</v>
      </c>
      <c r="E1850" s="73" t="str">
        <f>VLOOKUP(D1850,clientes!$C$3:$D$60,2,FALSE)</f>
        <v>INGREDION</v>
      </c>
      <c r="F1850" s="73" t="s">
        <v>122</v>
      </c>
      <c r="G1850" s="73" t="str">
        <f>VLOOKUP(F1850,'[2]Lista de Produtos CLASSIFICAÇÃO'!$E$103:$F$114,2,FALSE)</f>
        <v>Óleo Vegetal</v>
      </c>
      <c r="H1850" s="74">
        <v>2826</v>
      </c>
    </row>
    <row r="1851" spans="1:8" x14ac:dyDescent="0.25">
      <c r="A1851" s="75">
        <v>2025</v>
      </c>
      <c r="B1851" s="76" t="s">
        <v>227</v>
      </c>
      <c r="C1851" s="77" t="s">
        <v>225</v>
      </c>
      <c r="D1851" s="77" t="s">
        <v>184</v>
      </c>
      <c r="E1851" s="73" t="str">
        <f>VLOOKUP(D1851,clientes!$C$3:$D$60,2,FALSE)</f>
        <v>INGREDION</v>
      </c>
      <c r="F1851" s="77" t="s">
        <v>122</v>
      </c>
      <c r="G1851" s="73" t="str">
        <f>VLOOKUP(F1851,'[2]Lista de Produtos CLASSIFICAÇÃO'!$E$103:$F$114,2,FALSE)</f>
        <v>Óleo Vegetal</v>
      </c>
      <c r="H1851" s="78">
        <v>2826</v>
      </c>
    </row>
    <row r="1852" spans="1:8" x14ac:dyDescent="0.25">
      <c r="A1852" s="71">
        <v>2025</v>
      </c>
      <c r="B1852" s="72" t="s">
        <v>228</v>
      </c>
      <c r="C1852" s="73" t="s">
        <v>225</v>
      </c>
      <c r="D1852" s="73" t="s">
        <v>184</v>
      </c>
      <c r="E1852" s="73" t="str">
        <f>VLOOKUP(D1852,clientes!$C$3:$D$60,2,FALSE)</f>
        <v>INGREDION</v>
      </c>
      <c r="F1852" s="73" t="s">
        <v>122</v>
      </c>
      <c r="G1852" s="73" t="str">
        <f>VLOOKUP(F1852,'[2]Lista de Produtos CLASSIFICAÇÃO'!$E$103:$F$114,2,FALSE)</f>
        <v>Óleo Vegetal</v>
      </c>
      <c r="H1852" s="74">
        <v>2826</v>
      </c>
    </row>
    <row r="1853" spans="1:8" x14ac:dyDescent="0.25">
      <c r="A1853" s="75">
        <v>2025</v>
      </c>
      <c r="B1853" s="76" t="s">
        <v>229</v>
      </c>
      <c r="C1853" s="77" t="s">
        <v>225</v>
      </c>
      <c r="D1853" s="77" t="s">
        <v>184</v>
      </c>
      <c r="E1853" s="73" t="str">
        <f>VLOOKUP(D1853,clientes!$C$3:$D$60,2,FALSE)</f>
        <v>INGREDION</v>
      </c>
      <c r="F1853" s="77" t="s">
        <v>122</v>
      </c>
      <c r="G1853" s="73" t="str">
        <f>VLOOKUP(F1853,'[2]Lista de Produtos CLASSIFICAÇÃO'!$E$103:$F$114,2,FALSE)</f>
        <v>Óleo Vegetal</v>
      </c>
      <c r="H1853" s="78">
        <v>2826</v>
      </c>
    </row>
    <row r="1854" spans="1:8" x14ac:dyDescent="0.25">
      <c r="A1854" s="71">
        <v>2025</v>
      </c>
      <c r="B1854" s="72" t="s">
        <v>210</v>
      </c>
      <c r="C1854" s="73" t="s">
        <v>225</v>
      </c>
      <c r="D1854" s="73" t="s">
        <v>184</v>
      </c>
      <c r="E1854" s="73" t="str">
        <f>VLOOKUP(D1854,clientes!$C$3:$D$60,2,FALSE)</f>
        <v>INGREDION</v>
      </c>
      <c r="F1854" s="73" t="s">
        <v>122</v>
      </c>
      <c r="G1854" s="73" t="str">
        <f>VLOOKUP(F1854,'[2]Lista de Produtos CLASSIFICAÇÃO'!$E$103:$F$114,2,FALSE)</f>
        <v>Óleo Vegetal</v>
      </c>
      <c r="H1854" s="74">
        <v>2826</v>
      </c>
    </row>
    <row r="1855" spans="1:8" x14ac:dyDescent="0.25">
      <c r="A1855" s="75">
        <v>2025</v>
      </c>
      <c r="B1855" s="76" t="s">
        <v>211</v>
      </c>
      <c r="C1855" s="77" t="s">
        <v>225</v>
      </c>
      <c r="D1855" s="77" t="s">
        <v>184</v>
      </c>
      <c r="E1855" s="73" t="str">
        <f>VLOOKUP(D1855,clientes!$C$3:$D$60,2,FALSE)</f>
        <v>INGREDION</v>
      </c>
      <c r="F1855" s="77" t="s">
        <v>122</v>
      </c>
      <c r="G1855" s="73" t="str">
        <f>VLOOKUP(F1855,'[2]Lista de Produtos CLASSIFICAÇÃO'!$E$103:$F$114,2,FALSE)</f>
        <v>Óleo Vegetal</v>
      </c>
      <c r="H1855" s="78">
        <v>2826</v>
      </c>
    </row>
    <row r="1856" spans="1:8" x14ac:dyDescent="0.25">
      <c r="A1856" s="71">
        <v>2025</v>
      </c>
      <c r="B1856" s="72" t="s">
        <v>212</v>
      </c>
      <c r="C1856" s="73" t="s">
        <v>225</v>
      </c>
      <c r="D1856" s="73" t="s">
        <v>184</v>
      </c>
      <c r="E1856" s="73" t="str">
        <f>VLOOKUP(D1856,clientes!$C$3:$D$60,2,FALSE)</f>
        <v>INGREDION</v>
      </c>
      <c r="F1856" s="73" t="s">
        <v>122</v>
      </c>
      <c r="G1856" s="73" t="str">
        <f>VLOOKUP(F1856,'[2]Lista de Produtos CLASSIFICAÇÃO'!$E$103:$F$114,2,FALSE)</f>
        <v>Óleo Vegetal</v>
      </c>
      <c r="H1856" s="74">
        <v>2826</v>
      </c>
    </row>
    <row r="1857" spans="1:8" x14ac:dyDescent="0.25">
      <c r="A1857" s="75">
        <v>2025</v>
      </c>
      <c r="B1857" s="76" t="s">
        <v>213</v>
      </c>
      <c r="C1857" s="77" t="s">
        <v>225</v>
      </c>
      <c r="D1857" s="77" t="s">
        <v>184</v>
      </c>
      <c r="E1857" s="73" t="str">
        <f>VLOOKUP(D1857,clientes!$C$3:$D$60,2,FALSE)</f>
        <v>INGREDION</v>
      </c>
      <c r="F1857" s="77" t="s">
        <v>122</v>
      </c>
      <c r="G1857" s="73" t="str">
        <f>VLOOKUP(F1857,'[2]Lista de Produtos CLASSIFICAÇÃO'!$E$103:$F$114,2,FALSE)</f>
        <v>Óleo Vegetal</v>
      </c>
      <c r="H1857" s="78">
        <v>2826</v>
      </c>
    </row>
    <row r="1858" spans="1:8" x14ac:dyDescent="0.25">
      <c r="A1858" s="71">
        <v>2025</v>
      </c>
      <c r="B1858" s="72" t="s">
        <v>214</v>
      </c>
      <c r="C1858" s="73" t="s">
        <v>225</v>
      </c>
      <c r="D1858" s="73" t="s">
        <v>184</v>
      </c>
      <c r="E1858" s="73" t="str">
        <f>VLOOKUP(D1858,clientes!$C$3:$D$60,2,FALSE)</f>
        <v>INGREDION</v>
      </c>
      <c r="F1858" s="73" t="s">
        <v>122</v>
      </c>
      <c r="G1858" s="73" t="str">
        <f>VLOOKUP(F1858,'[2]Lista de Produtos CLASSIFICAÇÃO'!$E$103:$F$114,2,FALSE)</f>
        <v>Óleo Vegetal</v>
      </c>
      <c r="H1858" s="74">
        <v>2826</v>
      </c>
    </row>
    <row r="1859" spans="1:8" x14ac:dyDescent="0.25">
      <c r="A1859" s="75">
        <v>2025</v>
      </c>
      <c r="B1859" s="76" t="s">
        <v>215</v>
      </c>
      <c r="C1859" s="77" t="s">
        <v>225</v>
      </c>
      <c r="D1859" s="77" t="s">
        <v>184</v>
      </c>
      <c r="E1859" s="73" t="str">
        <f>VLOOKUP(D1859,clientes!$C$3:$D$60,2,FALSE)</f>
        <v>INGREDION</v>
      </c>
      <c r="F1859" s="77" t="s">
        <v>122</v>
      </c>
      <c r="G1859" s="73" t="str">
        <f>VLOOKUP(F1859,'[2]Lista de Produtos CLASSIFICAÇÃO'!$E$103:$F$114,2,FALSE)</f>
        <v>Óleo Vegetal</v>
      </c>
      <c r="H1859" s="78">
        <v>2826</v>
      </c>
    </row>
    <row r="1860" spans="1:8" x14ac:dyDescent="0.25">
      <c r="A1860" s="71">
        <v>2025</v>
      </c>
      <c r="B1860" s="72" t="s">
        <v>230</v>
      </c>
      <c r="C1860" s="73" t="s">
        <v>225</v>
      </c>
      <c r="D1860" s="73" t="s">
        <v>184</v>
      </c>
      <c r="E1860" s="73" t="str">
        <f>VLOOKUP(D1860,clientes!$C$3:$D$60,2,FALSE)</f>
        <v>INGREDION</v>
      </c>
      <c r="F1860" s="73" t="s">
        <v>122</v>
      </c>
      <c r="G1860" s="73" t="str">
        <f>VLOOKUP(F1860,'[2]Lista de Produtos CLASSIFICAÇÃO'!$E$103:$F$114,2,FALSE)</f>
        <v>Óleo Vegetal</v>
      </c>
      <c r="H1860" s="74">
        <v>2826</v>
      </c>
    </row>
    <row r="1861" spans="1:8" x14ac:dyDescent="0.25">
      <c r="A1861" s="75">
        <v>2025</v>
      </c>
      <c r="B1861" s="76" t="s">
        <v>231</v>
      </c>
      <c r="C1861" s="77" t="s">
        <v>225</v>
      </c>
      <c r="D1861" s="77" t="s">
        <v>184</v>
      </c>
      <c r="E1861" s="73" t="str">
        <f>VLOOKUP(D1861,clientes!$C$3:$D$60,2,FALSE)</f>
        <v>INGREDION</v>
      </c>
      <c r="F1861" s="77" t="s">
        <v>122</v>
      </c>
      <c r="G1861" s="73" t="str">
        <f>VLOOKUP(F1861,'[2]Lista de Produtos CLASSIFICAÇÃO'!$E$103:$F$114,2,FALSE)</f>
        <v>Óleo Vegetal</v>
      </c>
      <c r="H1861" s="78">
        <v>2826</v>
      </c>
    </row>
    <row r="1862" spans="1:8" x14ac:dyDescent="0.25">
      <c r="A1862" s="71">
        <v>2025</v>
      </c>
      <c r="B1862" s="72" t="s">
        <v>226</v>
      </c>
      <c r="C1862" s="73" t="s">
        <v>233</v>
      </c>
      <c r="D1862" s="73" t="s">
        <v>192</v>
      </c>
      <c r="E1862" s="73" t="str">
        <f>VLOOKUP(D1862,clientes!$C$3:$D$60,2,FALSE)</f>
        <v>INPASA</v>
      </c>
      <c r="F1862" s="73" t="s">
        <v>121</v>
      </c>
      <c r="G1862" s="73" t="str">
        <f>VLOOKUP(F1862,'[2]Lista de Produtos CLASSIFICAÇÃO'!$E$103:$F$114,2,FALSE)</f>
        <v>Biocombustíveis</v>
      </c>
      <c r="H1862" s="74">
        <v>15000</v>
      </c>
    </row>
    <row r="1863" spans="1:8" x14ac:dyDescent="0.25">
      <c r="A1863" s="75">
        <v>2025</v>
      </c>
      <c r="B1863" s="76" t="s">
        <v>227</v>
      </c>
      <c r="C1863" s="77" t="s">
        <v>233</v>
      </c>
      <c r="D1863" s="77" t="s">
        <v>192</v>
      </c>
      <c r="E1863" s="73" t="str">
        <f>VLOOKUP(D1863,clientes!$C$3:$D$60,2,FALSE)</f>
        <v>INPASA</v>
      </c>
      <c r="F1863" s="77" t="s">
        <v>121</v>
      </c>
      <c r="G1863" s="73" t="str">
        <f>VLOOKUP(F1863,'[2]Lista de Produtos CLASSIFICAÇÃO'!$E$103:$F$114,2,FALSE)</f>
        <v>Biocombustíveis</v>
      </c>
      <c r="H1863" s="78">
        <v>15000</v>
      </c>
    </row>
    <row r="1864" spans="1:8" x14ac:dyDescent="0.25">
      <c r="A1864" s="71">
        <v>2025</v>
      </c>
      <c r="B1864" s="72" t="s">
        <v>228</v>
      </c>
      <c r="C1864" s="73" t="s">
        <v>233</v>
      </c>
      <c r="D1864" s="73" t="s">
        <v>192</v>
      </c>
      <c r="E1864" s="73" t="str">
        <f>VLOOKUP(D1864,clientes!$C$3:$D$60,2,FALSE)</f>
        <v>INPASA</v>
      </c>
      <c r="F1864" s="73" t="s">
        <v>121</v>
      </c>
      <c r="G1864" s="73" t="str">
        <f>VLOOKUP(F1864,'[2]Lista de Produtos CLASSIFICAÇÃO'!$E$103:$F$114,2,FALSE)</f>
        <v>Biocombustíveis</v>
      </c>
      <c r="H1864" s="74">
        <v>15000</v>
      </c>
    </row>
    <row r="1865" spans="1:8" x14ac:dyDescent="0.25">
      <c r="A1865" s="75">
        <v>2025</v>
      </c>
      <c r="B1865" s="76" t="s">
        <v>229</v>
      </c>
      <c r="C1865" s="77" t="s">
        <v>233</v>
      </c>
      <c r="D1865" s="77" t="s">
        <v>192</v>
      </c>
      <c r="E1865" s="73" t="str">
        <f>VLOOKUP(D1865,clientes!$C$3:$D$60,2,FALSE)</f>
        <v>INPASA</v>
      </c>
      <c r="F1865" s="77" t="s">
        <v>121</v>
      </c>
      <c r="G1865" s="73" t="str">
        <f>VLOOKUP(F1865,'[2]Lista de Produtos CLASSIFICAÇÃO'!$E$103:$F$114,2,FALSE)</f>
        <v>Biocombustíveis</v>
      </c>
      <c r="H1865" s="78">
        <v>15000</v>
      </c>
    </row>
    <row r="1866" spans="1:8" x14ac:dyDescent="0.25">
      <c r="A1866" s="71">
        <v>2025</v>
      </c>
      <c r="B1866" s="72" t="s">
        <v>210</v>
      </c>
      <c r="C1866" s="73" t="s">
        <v>233</v>
      </c>
      <c r="D1866" s="73" t="s">
        <v>192</v>
      </c>
      <c r="E1866" s="73" t="str">
        <f>VLOOKUP(D1866,clientes!$C$3:$D$60,2,FALSE)</f>
        <v>INPASA</v>
      </c>
      <c r="F1866" s="73" t="s">
        <v>121</v>
      </c>
      <c r="G1866" s="73" t="str">
        <f>VLOOKUP(F1866,'[2]Lista de Produtos CLASSIFICAÇÃO'!$E$103:$F$114,2,FALSE)</f>
        <v>Biocombustíveis</v>
      </c>
      <c r="H1866" s="74">
        <v>15000</v>
      </c>
    </row>
    <row r="1867" spans="1:8" x14ac:dyDescent="0.25">
      <c r="A1867" s="75">
        <v>2025</v>
      </c>
      <c r="B1867" s="76" t="s">
        <v>211</v>
      </c>
      <c r="C1867" s="77" t="s">
        <v>233</v>
      </c>
      <c r="D1867" s="77" t="s">
        <v>192</v>
      </c>
      <c r="E1867" s="73" t="str">
        <f>VLOOKUP(D1867,clientes!$C$3:$D$60,2,FALSE)</f>
        <v>INPASA</v>
      </c>
      <c r="F1867" s="77" t="s">
        <v>121</v>
      </c>
      <c r="G1867" s="73" t="str">
        <f>VLOOKUP(F1867,'[2]Lista de Produtos CLASSIFICAÇÃO'!$E$103:$F$114,2,FALSE)</f>
        <v>Biocombustíveis</v>
      </c>
      <c r="H1867" s="78">
        <v>15000</v>
      </c>
    </row>
    <row r="1868" spans="1:8" x14ac:dyDescent="0.25">
      <c r="A1868" s="71">
        <v>2025</v>
      </c>
      <c r="B1868" s="72" t="s">
        <v>212</v>
      </c>
      <c r="C1868" s="73" t="s">
        <v>233</v>
      </c>
      <c r="D1868" s="73" t="s">
        <v>192</v>
      </c>
      <c r="E1868" s="73" t="str">
        <f>VLOOKUP(D1868,clientes!$C$3:$D$60,2,FALSE)</f>
        <v>INPASA</v>
      </c>
      <c r="F1868" s="73" t="s">
        <v>121</v>
      </c>
      <c r="G1868" s="73" t="str">
        <f>VLOOKUP(F1868,'[2]Lista de Produtos CLASSIFICAÇÃO'!$E$103:$F$114,2,FALSE)</f>
        <v>Biocombustíveis</v>
      </c>
      <c r="H1868" s="74">
        <v>15000</v>
      </c>
    </row>
    <row r="1869" spans="1:8" x14ac:dyDescent="0.25">
      <c r="A1869" s="75">
        <v>2025</v>
      </c>
      <c r="B1869" s="76" t="s">
        <v>213</v>
      </c>
      <c r="C1869" s="77" t="s">
        <v>233</v>
      </c>
      <c r="D1869" s="77" t="s">
        <v>192</v>
      </c>
      <c r="E1869" s="73" t="str">
        <f>VLOOKUP(D1869,clientes!$C$3:$D$60,2,FALSE)</f>
        <v>INPASA</v>
      </c>
      <c r="F1869" s="77" t="s">
        <v>121</v>
      </c>
      <c r="G1869" s="73" t="str">
        <f>VLOOKUP(F1869,'[2]Lista de Produtos CLASSIFICAÇÃO'!$E$103:$F$114,2,FALSE)</f>
        <v>Biocombustíveis</v>
      </c>
      <c r="H1869" s="78">
        <v>15000</v>
      </c>
    </row>
    <row r="1870" spans="1:8" x14ac:dyDescent="0.25">
      <c r="A1870" s="71">
        <v>2025</v>
      </c>
      <c r="B1870" s="72" t="s">
        <v>214</v>
      </c>
      <c r="C1870" s="73" t="s">
        <v>233</v>
      </c>
      <c r="D1870" s="73" t="s">
        <v>192</v>
      </c>
      <c r="E1870" s="73" t="str">
        <f>VLOOKUP(D1870,clientes!$C$3:$D$60,2,FALSE)</f>
        <v>INPASA</v>
      </c>
      <c r="F1870" s="73" t="s">
        <v>121</v>
      </c>
      <c r="G1870" s="73" t="str">
        <f>VLOOKUP(F1870,'[2]Lista de Produtos CLASSIFICAÇÃO'!$E$103:$F$114,2,FALSE)</f>
        <v>Biocombustíveis</v>
      </c>
      <c r="H1870" s="74">
        <v>15000</v>
      </c>
    </row>
    <row r="1871" spans="1:8" x14ac:dyDescent="0.25">
      <c r="A1871" s="75">
        <v>2025</v>
      </c>
      <c r="B1871" s="76" t="s">
        <v>215</v>
      </c>
      <c r="C1871" s="77" t="s">
        <v>233</v>
      </c>
      <c r="D1871" s="77" t="s">
        <v>192</v>
      </c>
      <c r="E1871" s="73" t="str">
        <f>VLOOKUP(D1871,clientes!$C$3:$D$60,2,FALSE)</f>
        <v>INPASA</v>
      </c>
      <c r="F1871" s="77" t="s">
        <v>121</v>
      </c>
      <c r="G1871" s="73" t="str">
        <f>VLOOKUP(F1871,'[2]Lista de Produtos CLASSIFICAÇÃO'!$E$103:$F$114,2,FALSE)</f>
        <v>Biocombustíveis</v>
      </c>
      <c r="H1871" s="78">
        <v>15000</v>
      </c>
    </row>
    <row r="1872" spans="1:8" x14ac:dyDescent="0.25">
      <c r="A1872" s="71">
        <v>2025</v>
      </c>
      <c r="B1872" s="72" t="s">
        <v>230</v>
      </c>
      <c r="C1872" s="73" t="s">
        <v>233</v>
      </c>
      <c r="D1872" s="73" t="s">
        <v>192</v>
      </c>
      <c r="E1872" s="73" t="str">
        <f>VLOOKUP(D1872,clientes!$C$3:$D$60,2,FALSE)</f>
        <v>INPASA</v>
      </c>
      <c r="F1872" s="73" t="s">
        <v>121</v>
      </c>
      <c r="G1872" s="73" t="str">
        <f>VLOOKUP(F1872,'[2]Lista de Produtos CLASSIFICAÇÃO'!$E$103:$F$114,2,FALSE)</f>
        <v>Biocombustíveis</v>
      </c>
      <c r="H1872" s="74">
        <v>15000</v>
      </c>
    </row>
    <row r="1873" spans="1:8" x14ac:dyDescent="0.25">
      <c r="A1873" s="75">
        <v>2025</v>
      </c>
      <c r="B1873" s="76" t="s">
        <v>231</v>
      </c>
      <c r="C1873" s="77" t="s">
        <v>233</v>
      </c>
      <c r="D1873" s="77" t="s">
        <v>192</v>
      </c>
      <c r="E1873" s="73" t="str">
        <f>VLOOKUP(D1873,clientes!$C$3:$D$60,2,FALSE)</f>
        <v>INPASA</v>
      </c>
      <c r="F1873" s="77" t="s">
        <v>121</v>
      </c>
      <c r="G1873" s="73" t="str">
        <f>VLOOKUP(F1873,'[2]Lista de Produtos CLASSIFICAÇÃO'!$E$103:$F$114,2,FALSE)</f>
        <v>Biocombustíveis</v>
      </c>
      <c r="H1873" s="78">
        <v>15000</v>
      </c>
    </row>
    <row r="1874" spans="1:8" x14ac:dyDescent="0.25">
      <c r="A1874" s="71">
        <v>2025</v>
      </c>
      <c r="B1874" s="72" t="s">
        <v>226</v>
      </c>
      <c r="C1874" s="73" t="s">
        <v>233</v>
      </c>
      <c r="D1874" s="73" t="s">
        <v>158</v>
      </c>
      <c r="E1874" s="73" t="str">
        <f>VLOOKUP(D1874,clientes!$C$3:$D$60,2,FALSE)</f>
        <v>IPIRANGA</v>
      </c>
      <c r="F1874" s="73" t="s">
        <v>120</v>
      </c>
      <c r="G1874" s="73" t="str">
        <f>VLOOKUP(F1874,'[2]Lista de Produtos CLASSIFICAÇÃO'!$E$103:$F$114,2,FALSE)</f>
        <v>Derivados</v>
      </c>
      <c r="H1874" s="74">
        <v>90000</v>
      </c>
    </row>
    <row r="1875" spans="1:8" x14ac:dyDescent="0.25">
      <c r="A1875" s="75">
        <v>2025</v>
      </c>
      <c r="B1875" s="76" t="s">
        <v>227</v>
      </c>
      <c r="C1875" s="77" t="s">
        <v>233</v>
      </c>
      <c r="D1875" s="77" t="s">
        <v>158</v>
      </c>
      <c r="E1875" s="73" t="str">
        <f>VLOOKUP(D1875,clientes!$C$3:$D$60,2,FALSE)</f>
        <v>IPIRANGA</v>
      </c>
      <c r="F1875" s="77" t="s">
        <v>120</v>
      </c>
      <c r="G1875" s="73" t="str">
        <f>VLOOKUP(F1875,'[2]Lista de Produtos CLASSIFICAÇÃO'!$E$103:$F$114,2,FALSE)</f>
        <v>Derivados</v>
      </c>
      <c r="H1875" s="78">
        <v>90000</v>
      </c>
    </row>
    <row r="1876" spans="1:8" x14ac:dyDescent="0.25">
      <c r="A1876" s="71">
        <v>2025</v>
      </c>
      <c r="B1876" s="72" t="s">
        <v>228</v>
      </c>
      <c r="C1876" s="73" t="s">
        <v>233</v>
      </c>
      <c r="D1876" s="73" t="s">
        <v>158</v>
      </c>
      <c r="E1876" s="73" t="str">
        <f>VLOOKUP(D1876,clientes!$C$3:$D$60,2,FALSE)</f>
        <v>IPIRANGA</v>
      </c>
      <c r="F1876" s="73" t="s">
        <v>120</v>
      </c>
      <c r="G1876" s="73" t="str">
        <f>VLOOKUP(F1876,'[2]Lista de Produtos CLASSIFICAÇÃO'!$E$103:$F$114,2,FALSE)</f>
        <v>Derivados</v>
      </c>
      <c r="H1876" s="74">
        <v>90000</v>
      </c>
    </row>
    <row r="1877" spans="1:8" x14ac:dyDescent="0.25">
      <c r="A1877" s="75">
        <v>2025</v>
      </c>
      <c r="B1877" s="76" t="s">
        <v>229</v>
      </c>
      <c r="C1877" s="77" t="s">
        <v>233</v>
      </c>
      <c r="D1877" s="77" t="s">
        <v>158</v>
      </c>
      <c r="E1877" s="73" t="str">
        <f>VLOOKUP(D1877,clientes!$C$3:$D$60,2,FALSE)</f>
        <v>IPIRANGA</v>
      </c>
      <c r="F1877" s="77" t="s">
        <v>120</v>
      </c>
      <c r="G1877" s="73" t="str">
        <f>VLOOKUP(F1877,'[2]Lista de Produtos CLASSIFICAÇÃO'!$E$103:$F$114,2,FALSE)</f>
        <v>Derivados</v>
      </c>
      <c r="H1877" s="78">
        <v>90000</v>
      </c>
    </row>
    <row r="1878" spans="1:8" x14ac:dyDescent="0.25">
      <c r="A1878" s="71">
        <v>2025</v>
      </c>
      <c r="B1878" s="72" t="s">
        <v>210</v>
      </c>
      <c r="C1878" s="73" t="s">
        <v>233</v>
      </c>
      <c r="D1878" s="73" t="s">
        <v>158</v>
      </c>
      <c r="E1878" s="73" t="str">
        <f>VLOOKUP(D1878,clientes!$C$3:$D$60,2,FALSE)</f>
        <v>IPIRANGA</v>
      </c>
      <c r="F1878" s="73" t="s">
        <v>120</v>
      </c>
      <c r="G1878" s="73" t="str">
        <f>VLOOKUP(F1878,'[2]Lista de Produtos CLASSIFICAÇÃO'!$E$103:$F$114,2,FALSE)</f>
        <v>Derivados</v>
      </c>
      <c r="H1878" s="74">
        <v>90000</v>
      </c>
    </row>
    <row r="1879" spans="1:8" x14ac:dyDescent="0.25">
      <c r="A1879" s="75">
        <v>2025</v>
      </c>
      <c r="B1879" s="76" t="s">
        <v>211</v>
      </c>
      <c r="C1879" s="77" t="s">
        <v>233</v>
      </c>
      <c r="D1879" s="77" t="s">
        <v>158</v>
      </c>
      <c r="E1879" s="73" t="str">
        <f>VLOOKUP(D1879,clientes!$C$3:$D$60,2,FALSE)</f>
        <v>IPIRANGA</v>
      </c>
      <c r="F1879" s="77" t="s">
        <v>120</v>
      </c>
      <c r="G1879" s="73" t="str">
        <f>VLOOKUP(F1879,'[2]Lista de Produtos CLASSIFICAÇÃO'!$E$103:$F$114,2,FALSE)</f>
        <v>Derivados</v>
      </c>
      <c r="H1879" s="78">
        <v>90000</v>
      </c>
    </row>
    <row r="1880" spans="1:8" x14ac:dyDescent="0.25">
      <c r="A1880" s="71">
        <v>2025</v>
      </c>
      <c r="B1880" s="72" t="s">
        <v>212</v>
      </c>
      <c r="C1880" s="73" t="s">
        <v>233</v>
      </c>
      <c r="D1880" s="73" t="s">
        <v>158</v>
      </c>
      <c r="E1880" s="73" t="str">
        <f>VLOOKUP(D1880,clientes!$C$3:$D$60,2,FALSE)</f>
        <v>IPIRANGA</v>
      </c>
      <c r="F1880" s="73" t="s">
        <v>120</v>
      </c>
      <c r="G1880" s="73" t="str">
        <f>VLOOKUP(F1880,'[2]Lista de Produtos CLASSIFICAÇÃO'!$E$103:$F$114,2,FALSE)</f>
        <v>Derivados</v>
      </c>
      <c r="H1880" s="74">
        <v>90000</v>
      </c>
    </row>
    <row r="1881" spans="1:8" x14ac:dyDescent="0.25">
      <c r="A1881" s="75">
        <v>2025</v>
      </c>
      <c r="B1881" s="76" t="s">
        <v>213</v>
      </c>
      <c r="C1881" s="77" t="s">
        <v>233</v>
      </c>
      <c r="D1881" s="77" t="s">
        <v>158</v>
      </c>
      <c r="E1881" s="73" t="str">
        <f>VLOOKUP(D1881,clientes!$C$3:$D$60,2,FALSE)</f>
        <v>IPIRANGA</v>
      </c>
      <c r="F1881" s="77" t="s">
        <v>120</v>
      </c>
      <c r="G1881" s="73" t="str">
        <f>VLOOKUP(F1881,'[2]Lista de Produtos CLASSIFICAÇÃO'!$E$103:$F$114,2,FALSE)</f>
        <v>Derivados</v>
      </c>
      <c r="H1881" s="78">
        <v>90000</v>
      </c>
    </row>
    <row r="1882" spans="1:8" x14ac:dyDescent="0.25">
      <c r="A1882" s="71">
        <v>2025</v>
      </c>
      <c r="B1882" s="72" t="s">
        <v>214</v>
      </c>
      <c r="C1882" s="73" t="s">
        <v>233</v>
      </c>
      <c r="D1882" s="73" t="s">
        <v>158</v>
      </c>
      <c r="E1882" s="73" t="str">
        <f>VLOOKUP(D1882,clientes!$C$3:$D$60,2,FALSE)</f>
        <v>IPIRANGA</v>
      </c>
      <c r="F1882" s="73" t="s">
        <v>120</v>
      </c>
      <c r="G1882" s="73" t="str">
        <f>VLOOKUP(F1882,'[2]Lista de Produtos CLASSIFICAÇÃO'!$E$103:$F$114,2,FALSE)</f>
        <v>Derivados</v>
      </c>
      <c r="H1882" s="74">
        <v>90000</v>
      </c>
    </row>
    <row r="1883" spans="1:8" x14ac:dyDescent="0.25">
      <c r="A1883" s="75">
        <v>2025</v>
      </c>
      <c r="B1883" s="76" t="s">
        <v>215</v>
      </c>
      <c r="C1883" s="77" t="s">
        <v>233</v>
      </c>
      <c r="D1883" s="77" t="s">
        <v>158</v>
      </c>
      <c r="E1883" s="73" t="str">
        <f>VLOOKUP(D1883,clientes!$C$3:$D$60,2,FALSE)</f>
        <v>IPIRANGA</v>
      </c>
      <c r="F1883" s="77" t="s">
        <v>120</v>
      </c>
      <c r="G1883" s="73" t="str">
        <f>VLOOKUP(F1883,'[2]Lista de Produtos CLASSIFICAÇÃO'!$E$103:$F$114,2,FALSE)</f>
        <v>Derivados</v>
      </c>
      <c r="H1883" s="78">
        <v>90000</v>
      </c>
    </row>
    <row r="1884" spans="1:8" x14ac:dyDescent="0.25">
      <c r="A1884" s="71">
        <v>2025</v>
      </c>
      <c r="B1884" s="72" t="s">
        <v>230</v>
      </c>
      <c r="C1884" s="73" t="s">
        <v>233</v>
      </c>
      <c r="D1884" s="73" t="s">
        <v>158</v>
      </c>
      <c r="E1884" s="73" t="str">
        <f>VLOOKUP(D1884,clientes!$C$3:$D$60,2,FALSE)</f>
        <v>IPIRANGA</v>
      </c>
      <c r="F1884" s="73" t="s">
        <v>120</v>
      </c>
      <c r="G1884" s="73" t="str">
        <f>VLOOKUP(F1884,'[2]Lista de Produtos CLASSIFICAÇÃO'!$E$103:$F$114,2,FALSE)</f>
        <v>Derivados</v>
      </c>
      <c r="H1884" s="74">
        <v>90000</v>
      </c>
    </row>
    <row r="1885" spans="1:8" x14ac:dyDescent="0.25">
      <c r="A1885" s="75">
        <v>2025</v>
      </c>
      <c r="B1885" s="76" t="s">
        <v>231</v>
      </c>
      <c r="C1885" s="77" t="s">
        <v>233</v>
      </c>
      <c r="D1885" s="77" t="s">
        <v>158</v>
      </c>
      <c r="E1885" s="73" t="str">
        <f>VLOOKUP(D1885,clientes!$C$3:$D$60,2,FALSE)</f>
        <v>IPIRANGA</v>
      </c>
      <c r="F1885" s="77" t="s">
        <v>120</v>
      </c>
      <c r="G1885" s="73" t="str">
        <f>VLOOKUP(F1885,'[2]Lista de Produtos CLASSIFICAÇÃO'!$E$103:$F$114,2,FALSE)</f>
        <v>Derivados</v>
      </c>
      <c r="H1885" s="78">
        <v>90000</v>
      </c>
    </row>
    <row r="1886" spans="1:8" x14ac:dyDescent="0.25">
      <c r="A1886" s="71">
        <v>2025</v>
      </c>
      <c r="B1886" s="72" t="s">
        <v>226</v>
      </c>
      <c r="C1886" s="73" t="s">
        <v>232</v>
      </c>
      <c r="D1886" s="73" t="s">
        <v>162</v>
      </c>
      <c r="E1886" s="73" t="str">
        <f>VLOOKUP(D1886,clientes!$C$3:$D$60,2,FALSE)</f>
        <v>JBS</v>
      </c>
      <c r="F1886" s="73" t="s">
        <v>123</v>
      </c>
      <c r="G1886" s="73" t="str">
        <f>VLOOKUP(F1886,'[2]Lista de Produtos CLASSIFICAÇÃO'!$E$103:$F$114,2,FALSE)</f>
        <v>Aquecidos</v>
      </c>
      <c r="H1886" s="74">
        <v>6500</v>
      </c>
    </row>
    <row r="1887" spans="1:8" x14ac:dyDescent="0.25">
      <c r="A1887" s="75">
        <v>2025</v>
      </c>
      <c r="B1887" s="76" t="s">
        <v>227</v>
      </c>
      <c r="C1887" s="77" t="s">
        <v>232</v>
      </c>
      <c r="D1887" s="77" t="s">
        <v>162</v>
      </c>
      <c r="E1887" s="73" t="str">
        <f>VLOOKUP(D1887,clientes!$C$3:$D$60,2,FALSE)</f>
        <v>JBS</v>
      </c>
      <c r="F1887" s="77" t="s">
        <v>123</v>
      </c>
      <c r="G1887" s="73" t="str">
        <f>VLOOKUP(F1887,'[2]Lista de Produtos CLASSIFICAÇÃO'!$E$103:$F$114,2,FALSE)</f>
        <v>Aquecidos</v>
      </c>
      <c r="H1887" s="78">
        <v>6500</v>
      </c>
    </row>
    <row r="1888" spans="1:8" x14ac:dyDescent="0.25">
      <c r="A1888" s="71">
        <v>2025</v>
      </c>
      <c r="B1888" s="72" t="s">
        <v>228</v>
      </c>
      <c r="C1888" s="73" t="s">
        <v>232</v>
      </c>
      <c r="D1888" s="73" t="s">
        <v>162</v>
      </c>
      <c r="E1888" s="73" t="str">
        <f>VLOOKUP(D1888,clientes!$C$3:$D$60,2,FALSE)</f>
        <v>JBS</v>
      </c>
      <c r="F1888" s="73" t="s">
        <v>123</v>
      </c>
      <c r="G1888" s="73" t="str">
        <f>VLOOKUP(F1888,'[2]Lista de Produtos CLASSIFICAÇÃO'!$E$103:$F$114,2,FALSE)</f>
        <v>Aquecidos</v>
      </c>
      <c r="H1888" s="74">
        <v>6500</v>
      </c>
    </row>
    <row r="1889" spans="1:8" x14ac:dyDescent="0.25">
      <c r="A1889" s="75">
        <v>2025</v>
      </c>
      <c r="B1889" s="76" t="s">
        <v>229</v>
      </c>
      <c r="C1889" s="77" t="s">
        <v>232</v>
      </c>
      <c r="D1889" s="77" t="s">
        <v>162</v>
      </c>
      <c r="E1889" s="73" t="str">
        <f>VLOOKUP(D1889,clientes!$C$3:$D$60,2,FALSE)</f>
        <v>JBS</v>
      </c>
      <c r="F1889" s="77" t="s">
        <v>123</v>
      </c>
      <c r="G1889" s="73" t="str">
        <f>VLOOKUP(F1889,'[2]Lista de Produtos CLASSIFICAÇÃO'!$E$103:$F$114,2,FALSE)</f>
        <v>Aquecidos</v>
      </c>
      <c r="H1889" s="78">
        <v>6500</v>
      </c>
    </row>
    <row r="1890" spans="1:8" x14ac:dyDescent="0.25">
      <c r="A1890" s="71">
        <v>2025</v>
      </c>
      <c r="B1890" s="72" t="s">
        <v>210</v>
      </c>
      <c r="C1890" s="73" t="s">
        <v>232</v>
      </c>
      <c r="D1890" s="73" t="s">
        <v>162</v>
      </c>
      <c r="E1890" s="73" t="str">
        <f>VLOOKUP(D1890,clientes!$C$3:$D$60,2,FALSE)</f>
        <v>JBS</v>
      </c>
      <c r="F1890" s="73" t="s">
        <v>123</v>
      </c>
      <c r="G1890" s="73" t="str">
        <f>VLOOKUP(F1890,'[2]Lista de Produtos CLASSIFICAÇÃO'!$E$103:$F$114,2,FALSE)</f>
        <v>Aquecidos</v>
      </c>
      <c r="H1890" s="74">
        <v>6500</v>
      </c>
    </row>
    <row r="1891" spans="1:8" x14ac:dyDescent="0.25">
      <c r="A1891" s="75">
        <v>2025</v>
      </c>
      <c r="B1891" s="76" t="s">
        <v>211</v>
      </c>
      <c r="C1891" s="77" t="s">
        <v>232</v>
      </c>
      <c r="D1891" s="77" t="s">
        <v>162</v>
      </c>
      <c r="E1891" s="73" t="str">
        <f>VLOOKUP(D1891,clientes!$C$3:$D$60,2,FALSE)</f>
        <v>JBS</v>
      </c>
      <c r="F1891" s="77" t="s">
        <v>123</v>
      </c>
      <c r="G1891" s="73" t="str">
        <f>VLOOKUP(F1891,'[2]Lista de Produtos CLASSIFICAÇÃO'!$E$103:$F$114,2,FALSE)</f>
        <v>Aquecidos</v>
      </c>
      <c r="H1891" s="78">
        <v>6500</v>
      </c>
    </row>
    <row r="1892" spans="1:8" x14ac:dyDescent="0.25">
      <c r="A1892" s="71">
        <v>2025</v>
      </c>
      <c r="B1892" s="72" t="s">
        <v>212</v>
      </c>
      <c r="C1892" s="73" t="s">
        <v>232</v>
      </c>
      <c r="D1892" s="73" t="s">
        <v>162</v>
      </c>
      <c r="E1892" s="73" t="str">
        <f>VLOOKUP(D1892,clientes!$C$3:$D$60,2,FALSE)</f>
        <v>JBS</v>
      </c>
      <c r="F1892" s="73" t="s">
        <v>123</v>
      </c>
      <c r="G1892" s="73" t="str">
        <f>VLOOKUP(F1892,'[2]Lista de Produtos CLASSIFICAÇÃO'!$E$103:$F$114,2,FALSE)</f>
        <v>Aquecidos</v>
      </c>
      <c r="H1892" s="74">
        <v>6500</v>
      </c>
    </row>
    <row r="1893" spans="1:8" x14ac:dyDescent="0.25">
      <c r="A1893" s="75">
        <v>2025</v>
      </c>
      <c r="B1893" s="76" t="s">
        <v>213</v>
      </c>
      <c r="C1893" s="77" t="s">
        <v>232</v>
      </c>
      <c r="D1893" s="77" t="s">
        <v>162</v>
      </c>
      <c r="E1893" s="73" t="str">
        <f>VLOOKUP(D1893,clientes!$C$3:$D$60,2,FALSE)</f>
        <v>JBS</v>
      </c>
      <c r="F1893" s="77" t="s">
        <v>123</v>
      </c>
      <c r="G1893" s="73" t="str">
        <f>VLOOKUP(F1893,'[2]Lista de Produtos CLASSIFICAÇÃO'!$E$103:$F$114,2,FALSE)</f>
        <v>Aquecidos</v>
      </c>
      <c r="H1893" s="78">
        <v>6500</v>
      </c>
    </row>
    <row r="1894" spans="1:8" x14ac:dyDescent="0.25">
      <c r="A1894" s="71">
        <v>2025</v>
      </c>
      <c r="B1894" s="72" t="s">
        <v>214</v>
      </c>
      <c r="C1894" s="73" t="s">
        <v>232</v>
      </c>
      <c r="D1894" s="73" t="s">
        <v>162</v>
      </c>
      <c r="E1894" s="73" t="str">
        <f>VLOOKUP(D1894,clientes!$C$3:$D$60,2,FALSE)</f>
        <v>JBS</v>
      </c>
      <c r="F1894" s="73" t="s">
        <v>123</v>
      </c>
      <c r="G1894" s="73" t="str">
        <f>VLOOKUP(F1894,'[2]Lista de Produtos CLASSIFICAÇÃO'!$E$103:$F$114,2,FALSE)</f>
        <v>Aquecidos</v>
      </c>
      <c r="H1894" s="74">
        <v>6500</v>
      </c>
    </row>
    <row r="1895" spans="1:8" x14ac:dyDescent="0.25">
      <c r="A1895" s="75">
        <v>2025</v>
      </c>
      <c r="B1895" s="76" t="s">
        <v>215</v>
      </c>
      <c r="C1895" s="77" t="s">
        <v>232</v>
      </c>
      <c r="D1895" s="77" t="s">
        <v>162</v>
      </c>
      <c r="E1895" s="73" t="str">
        <f>VLOOKUP(D1895,clientes!$C$3:$D$60,2,FALSE)</f>
        <v>JBS</v>
      </c>
      <c r="F1895" s="77" t="s">
        <v>123</v>
      </c>
      <c r="G1895" s="73" t="str">
        <f>VLOOKUP(F1895,'[2]Lista de Produtos CLASSIFICAÇÃO'!$E$103:$F$114,2,FALSE)</f>
        <v>Aquecidos</v>
      </c>
      <c r="H1895" s="78">
        <v>6500</v>
      </c>
    </row>
    <row r="1896" spans="1:8" x14ac:dyDescent="0.25">
      <c r="A1896" s="71">
        <v>2025</v>
      </c>
      <c r="B1896" s="72" t="s">
        <v>230</v>
      </c>
      <c r="C1896" s="73" t="s">
        <v>232</v>
      </c>
      <c r="D1896" s="73" t="s">
        <v>162</v>
      </c>
      <c r="E1896" s="73" t="str">
        <f>VLOOKUP(D1896,clientes!$C$3:$D$60,2,FALSE)</f>
        <v>JBS</v>
      </c>
      <c r="F1896" s="73" t="s">
        <v>123</v>
      </c>
      <c r="G1896" s="73" t="str">
        <f>VLOOKUP(F1896,'[2]Lista de Produtos CLASSIFICAÇÃO'!$E$103:$F$114,2,FALSE)</f>
        <v>Aquecidos</v>
      </c>
      <c r="H1896" s="74">
        <v>6500</v>
      </c>
    </row>
    <row r="1897" spans="1:8" x14ac:dyDescent="0.25">
      <c r="A1897" s="75">
        <v>2025</v>
      </c>
      <c r="B1897" s="76" t="s">
        <v>231</v>
      </c>
      <c r="C1897" s="77" t="s">
        <v>232</v>
      </c>
      <c r="D1897" s="77" t="s">
        <v>162</v>
      </c>
      <c r="E1897" s="73" t="str">
        <f>VLOOKUP(D1897,clientes!$C$3:$D$60,2,FALSE)</f>
        <v>JBS</v>
      </c>
      <c r="F1897" s="77" t="s">
        <v>123</v>
      </c>
      <c r="G1897" s="73" t="str">
        <f>VLOOKUP(F1897,'[2]Lista de Produtos CLASSIFICAÇÃO'!$E$103:$F$114,2,FALSE)</f>
        <v>Aquecidos</v>
      </c>
      <c r="H1897" s="78">
        <v>6500</v>
      </c>
    </row>
    <row r="1898" spans="1:8" x14ac:dyDescent="0.25">
      <c r="A1898" s="71">
        <v>2025</v>
      </c>
      <c r="B1898" s="72" t="s">
        <v>226</v>
      </c>
      <c r="C1898" s="73" t="s">
        <v>225</v>
      </c>
      <c r="D1898" s="73" t="s">
        <v>162</v>
      </c>
      <c r="E1898" s="73" t="str">
        <f>VLOOKUP(D1898,clientes!$C$3:$D$60,2,FALSE)</f>
        <v>JBS</v>
      </c>
      <c r="F1898" s="73" t="s">
        <v>115</v>
      </c>
      <c r="G1898" s="73" t="str">
        <f>VLOOKUP(F1898,'[2]Lista de Produtos CLASSIFICAÇÃO'!$E$103:$F$114,2,FALSE)</f>
        <v>Soda Caustica</v>
      </c>
      <c r="H1898" s="74">
        <v>3000</v>
      </c>
    </row>
    <row r="1899" spans="1:8" x14ac:dyDescent="0.25">
      <c r="A1899" s="75">
        <v>2025</v>
      </c>
      <c r="B1899" s="76" t="s">
        <v>227</v>
      </c>
      <c r="C1899" s="77" t="s">
        <v>225</v>
      </c>
      <c r="D1899" s="77" t="s">
        <v>162</v>
      </c>
      <c r="E1899" s="73" t="str">
        <f>VLOOKUP(D1899,clientes!$C$3:$D$60,2,FALSE)</f>
        <v>JBS</v>
      </c>
      <c r="F1899" s="77" t="s">
        <v>115</v>
      </c>
      <c r="G1899" s="73" t="str">
        <f>VLOOKUP(F1899,'[2]Lista de Produtos CLASSIFICAÇÃO'!$E$103:$F$114,2,FALSE)</f>
        <v>Soda Caustica</v>
      </c>
      <c r="H1899" s="78">
        <v>3000</v>
      </c>
    </row>
    <row r="1900" spans="1:8" x14ac:dyDescent="0.25">
      <c r="A1900" s="71">
        <v>2025</v>
      </c>
      <c r="B1900" s="72" t="s">
        <v>228</v>
      </c>
      <c r="C1900" s="73" t="s">
        <v>225</v>
      </c>
      <c r="D1900" s="73" t="s">
        <v>162</v>
      </c>
      <c r="E1900" s="73" t="str">
        <f>VLOOKUP(D1900,clientes!$C$3:$D$60,2,FALSE)</f>
        <v>JBS</v>
      </c>
      <c r="F1900" s="73" t="s">
        <v>115</v>
      </c>
      <c r="G1900" s="73" t="str">
        <f>VLOOKUP(F1900,'[2]Lista de Produtos CLASSIFICAÇÃO'!$E$103:$F$114,2,FALSE)</f>
        <v>Soda Caustica</v>
      </c>
      <c r="H1900" s="74">
        <v>3000</v>
      </c>
    </row>
    <row r="1901" spans="1:8" x14ac:dyDescent="0.25">
      <c r="A1901" s="75">
        <v>2025</v>
      </c>
      <c r="B1901" s="76" t="s">
        <v>229</v>
      </c>
      <c r="C1901" s="77" t="s">
        <v>225</v>
      </c>
      <c r="D1901" s="77" t="s">
        <v>162</v>
      </c>
      <c r="E1901" s="73" t="str">
        <f>VLOOKUP(D1901,clientes!$C$3:$D$60,2,FALSE)</f>
        <v>JBS</v>
      </c>
      <c r="F1901" s="77" t="s">
        <v>115</v>
      </c>
      <c r="G1901" s="73" t="str">
        <f>VLOOKUP(F1901,'[2]Lista de Produtos CLASSIFICAÇÃO'!$E$103:$F$114,2,FALSE)</f>
        <v>Soda Caustica</v>
      </c>
      <c r="H1901" s="78">
        <v>3000</v>
      </c>
    </row>
    <row r="1902" spans="1:8" x14ac:dyDescent="0.25">
      <c r="A1902" s="71">
        <v>2025</v>
      </c>
      <c r="B1902" s="72" t="s">
        <v>210</v>
      </c>
      <c r="C1902" s="73" t="s">
        <v>225</v>
      </c>
      <c r="D1902" s="73" t="s">
        <v>162</v>
      </c>
      <c r="E1902" s="73" t="str">
        <f>VLOOKUP(D1902,clientes!$C$3:$D$60,2,FALSE)</f>
        <v>JBS</v>
      </c>
      <c r="F1902" s="73" t="s">
        <v>115</v>
      </c>
      <c r="G1902" s="73" t="str">
        <f>VLOOKUP(F1902,'[2]Lista de Produtos CLASSIFICAÇÃO'!$E$103:$F$114,2,FALSE)</f>
        <v>Soda Caustica</v>
      </c>
      <c r="H1902" s="74">
        <v>3000</v>
      </c>
    </row>
    <row r="1903" spans="1:8" x14ac:dyDescent="0.25">
      <c r="A1903" s="75">
        <v>2025</v>
      </c>
      <c r="B1903" s="76" t="s">
        <v>211</v>
      </c>
      <c r="C1903" s="77" t="s">
        <v>225</v>
      </c>
      <c r="D1903" s="77" t="s">
        <v>162</v>
      </c>
      <c r="E1903" s="73" t="str">
        <f>VLOOKUP(D1903,clientes!$C$3:$D$60,2,FALSE)</f>
        <v>JBS</v>
      </c>
      <c r="F1903" s="77" t="s">
        <v>115</v>
      </c>
      <c r="G1903" s="73" t="str">
        <f>VLOOKUP(F1903,'[2]Lista de Produtos CLASSIFICAÇÃO'!$E$103:$F$114,2,FALSE)</f>
        <v>Soda Caustica</v>
      </c>
      <c r="H1903" s="78">
        <v>3000</v>
      </c>
    </row>
    <row r="1904" spans="1:8" x14ac:dyDescent="0.25">
      <c r="A1904" s="71">
        <v>2025</v>
      </c>
      <c r="B1904" s="72" t="s">
        <v>212</v>
      </c>
      <c r="C1904" s="73" t="s">
        <v>225</v>
      </c>
      <c r="D1904" s="73" t="s">
        <v>162</v>
      </c>
      <c r="E1904" s="73" t="str">
        <f>VLOOKUP(D1904,clientes!$C$3:$D$60,2,FALSE)</f>
        <v>JBS</v>
      </c>
      <c r="F1904" s="73" t="s">
        <v>115</v>
      </c>
      <c r="G1904" s="73" t="str">
        <f>VLOOKUP(F1904,'[2]Lista de Produtos CLASSIFICAÇÃO'!$E$103:$F$114,2,FALSE)</f>
        <v>Soda Caustica</v>
      </c>
      <c r="H1904" s="74">
        <v>3000</v>
      </c>
    </row>
    <row r="1905" spans="1:8" x14ac:dyDescent="0.25">
      <c r="A1905" s="75">
        <v>2025</v>
      </c>
      <c r="B1905" s="76" t="s">
        <v>213</v>
      </c>
      <c r="C1905" s="77" t="s">
        <v>225</v>
      </c>
      <c r="D1905" s="77" t="s">
        <v>162</v>
      </c>
      <c r="E1905" s="73" t="str">
        <f>VLOOKUP(D1905,clientes!$C$3:$D$60,2,FALSE)</f>
        <v>JBS</v>
      </c>
      <c r="F1905" s="77" t="s">
        <v>115</v>
      </c>
      <c r="G1905" s="73" t="str">
        <f>VLOOKUP(F1905,'[2]Lista de Produtos CLASSIFICAÇÃO'!$E$103:$F$114,2,FALSE)</f>
        <v>Soda Caustica</v>
      </c>
      <c r="H1905" s="78">
        <v>3000</v>
      </c>
    </row>
    <row r="1906" spans="1:8" x14ac:dyDescent="0.25">
      <c r="A1906" s="71">
        <v>2025</v>
      </c>
      <c r="B1906" s="72" t="s">
        <v>214</v>
      </c>
      <c r="C1906" s="73" t="s">
        <v>225</v>
      </c>
      <c r="D1906" s="73" t="s">
        <v>162</v>
      </c>
      <c r="E1906" s="73" t="str">
        <f>VLOOKUP(D1906,clientes!$C$3:$D$60,2,FALSE)</f>
        <v>JBS</v>
      </c>
      <c r="F1906" s="73" t="s">
        <v>115</v>
      </c>
      <c r="G1906" s="73" t="str">
        <f>VLOOKUP(F1906,'[2]Lista de Produtos CLASSIFICAÇÃO'!$E$103:$F$114,2,FALSE)</f>
        <v>Soda Caustica</v>
      </c>
      <c r="H1906" s="74">
        <v>3000</v>
      </c>
    </row>
    <row r="1907" spans="1:8" x14ac:dyDescent="0.25">
      <c r="A1907" s="75">
        <v>2025</v>
      </c>
      <c r="B1907" s="76" t="s">
        <v>215</v>
      </c>
      <c r="C1907" s="77" t="s">
        <v>225</v>
      </c>
      <c r="D1907" s="77" t="s">
        <v>162</v>
      </c>
      <c r="E1907" s="73" t="str">
        <f>VLOOKUP(D1907,clientes!$C$3:$D$60,2,FALSE)</f>
        <v>JBS</v>
      </c>
      <c r="F1907" s="77" t="s">
        <v>115</v>
      </c>
      <c r="G1907" s="73" t="str">
        <f>VLOOKUP(F1907,'[2]Lista de Produtos CLASSIFICAÇÃO'!$E$103:$F$114,2,FALSE)</f>
        <v>Soda Caustica</v>
      </c>
      <c r="H1907" s="78">
        <v>3000</v>
      </c>
    </row>
    <row r="1908" spans="1:8" x14ac:dyDescent="0.25">
      <c r="A1908" s="71">
        <v>2025</v>
      </c>
      <c r="B1908" s="72" t="s">
        <v>230</v>
      </c>
      <c r="C1908" s="73" t="s">
        <v>225</v>
      </c>
      <c r="D1908" s="73" t="s">
        <v>162</v>
      </c>
      <c r="E1908" s="73" t="str">
        <f>VLOOKUP(D1908,clientes!$C$3:$D$60,2,FALSE)</f>
        <v>JBS</v>
      </c>
      <c r="F1908" s="73" t="s">
        <v>115</v>
      </c>
      <c r="G1908" s="73" t="str">
        <f>VLOOKUP(F1908,'[2]Lista de Produtos CLASSIFICAÇÃO'!$E$103:$F$114,2,FALSE)</f>
        <v>Soda Caustica</v>
      </c>
      <c r="H1908" s="74">
        <v>3000</v>
      </c>
    </row>
    <row r="1909" spans="1:8" x14ac:dyDescent="0.25">
      <c r="A1909" s="75">
        <v>2025</v>
      </c>
      <c r="B1909" s="76" t="s">
        <v>231</v>
      </c>
      <c r="C1909" s="77" t="s">
        <v>225</v>
      </c>
      <c r="D1909" s="77" t="s">
        <v>162</v>
      </c>
      <c r="E1909" s="73" t="str">
        <f>VLOOKUP(D1909,clientes!$C$3:$D$60,2,FALSE)</f>
        <v>JBS</v>
      </c>
      <c r="F1909" s="77" t="s">
        <v>115</v>
      </c>
      <c r="G1909" s="73" t="str">
        <f>VLOOKUP(F1909,'[2]Lista de Produtos CLASSIFICAÇÃO'!$E$103:$F$114,2,FALSE)</f>
        <v>Soda Caustica</v>
      </c>
      <c r="H1909" s="78">
        <v>3000</v>
      </c>
    </row>
    <row r="1910" spans="1:8" x14ac:dyDescent="0.25">
      <c r="A1910" s="71">
        <v>2025</v>
      </c>
      <c r="B1910" s="72" t="s">
        <v>226</v>
      </c>
      <c r="C1910" s="73" t="s">
        <v>234</v>
      </c>
      <c r="D1910" s="73" t="s">
        <v>169</v>
      </c>
      <c r="E1910" s="73" t="str">
        <f>VLOOKUP(D1910,clientes!$C$3:$D$60,2,FALSE)</f>
        <v>METHANEX</v>
      </c>
      <c r="F1910" s="73" t="s">
        <v>22</v>
      </c>
      <c r="G1910" s="73" t="str">
        <f>VLOOKUP(F1910,'[2]Lista de Produtos CLASSIFICAÇÃO'!$E$103:$F$114,2,FALSE)</f>
        <v>Metanol</v>
      </c>
      <c r="H1910" s="74">
        <v>109500</v>
      </c>
    </row>
    <row r="1911" spans="1:8" x14ac:dyDescent="0.25">
      <c r="A1911" s="75">
        <v>2025</v>
      </c>
      <c r="B1911" s="76" t="s">
        <v>227</v>
      </c>
      <c r="C1911" s="77" t="s">
        <v>234</v>
      </c>
      <c r="D1911" s="77" t="s">
        <v>169</v>
      </c>
      <c r="E1911" s="73" t="str">
        <f>VLOOKUP(D1911,clientes!$C$3:$D$60,2,FALSE)</f>
        <v>METHANEX</v>
      </c>
      <c r="F1911" s="77" t="s">
        <v>22</v>
      </c>
      <c r="G1911" s="73" t="str">
        <f>VLOOKUP(F1911,'[2]Lista de Produtos CLASSIFICAÇÃO'!$E$103:$F$114,2,FALSE)</f>
        <v>Metanol</v>
      </c>
      <c r="H1911" s="78">
        <v>109500</v>
      </c>
    </row>
    <row r="1912" spans="1:8" x14ac:dyDescent="0.25">
      <c r="A1912" s="71">
        <v>2025</v>
      </c>
      <c r="B1912" s="72" t="s">
        <v>228</v>
      </c>
      <c r="C1912" s="73" t="s">
        <v>234</v>
      </c>
      <c r="D1912" s="73" t="s">
        <v>169</v>
      </c>
      <c r="E1912" s="73" t="str">
        <f>VLOOKUP(D1912,clientes!$C$3:$D$60,2,FALSE)</f>
        <v>METHANEX</v>
      </c>
      <c r="F1912" s="73" t="s">
        <v>22</v>
      </c>
      <c r="G1912" s="73" t="str">
        <f>VLOOKUP(F1912,'[2]Lista de Produtos CLASSIFICAÇÃO'!$E$103:$F$114,2,FALSE)</f>
        <v>Metanol</v>
      </c>
      <c r="H1912" s="74">
        <v>109500</v>
      </c>
    </row>
    <row r="1913" spans="1:8" x14ac:dyDescent="0.25">
      <c r="A1913" s="75">
        <v>2025</v>
      </c>
      <c r="B1913" s="76" t="s">
        <v>229</v>
      </c>
      <c r="C1913" s="77" t="s">
        <v>234</v>
      </c>
      <c r="D1913" s="77" t="s">
        <v>169</v>
      </c>
      <c r="E1913" s="73" t="str">
        <f>VLOOKUP(D1913,clientes!$C$3:$D$60,2,FALSE)</f>
        <v>METHANEX</v>
      </c>
      <c r="F1913" s="77" t="s">
        <v>22</v>
      </c>
      <c r="G1913" s="73" t="str">
        <f>VLOOKUP(F1913,'[2]Lista de Produtos CLASSIFICAÇÃO'!$E$103:$F$114,2,FALSE)</f>
        <v>Metanol</v>
      </c>
      <c r="H1913" s="78">
        <v>109500</v>
      </c>
    </row>
    <row r="1914" spans="1:8" x14ac:dyDescent="0.25">
      <c r="A1914" s="71">
        <v>2025</v>
      </c>
      <c r="B1914" s="72" t="s">
        <v>210</v>
      </c>
      <c r="C1914" s="73" t="s">
        <v>234</v>
      </c>
      <c r="D1914" s="73" t="s">
        <v>169</v>
      </c>
      <c r="E1914" s="73" t="str">
        <f>VLOOKUP(D1914,clientes!$C$3:$D$60,2,FALSE)</f>
        <v>METHANEX</v>
      </c>
      <c r="F1914" s="73" t="s">
        <v>22</v>
      </c>
      <c r="G1914" s="73" t="str">
        <f>VLOOKUP(F1914,'[2]Lista de Produtos CLASSIFICAÇÃO'!$E$103:$F$114,2,FALSE)</f>
        <v>Metanol</v>
      </c>
      <c r="H1914" s="74">
        <v>109500</v>
      </c>
    </row>
    <row r="1915" spans="1:8" x14ac:dyDescent="0.25">
      <c r="A1915" s="75">
        <v>2025</v>
      </c>
      <c r="B1915" s="76" t="s">
        <v>211</v>
      </c>
      <c r="C1915" s="77" t="s">
        <v>234</v>
      </c>
      <c r="D1915" s="77" t="s">
        <v>169</v>
      </c>
      <c r="E1915" s="73" t="str">
        <f>VLOOKUP(D1915,clientes!$C$3:$D$60,2,FALSE)</f>
        <v>METHANEX</v>
      </c>
      <c r="F1915" s="77" t="s">
        <v>22</v>
      </c>
      <c r="G1915" s="73" t="str">
        <f>VLOOKUP(F1915,'[2]Lista de Produtos CLASSIFICAÇÃO'!$E$103:$F$114,2,FALSE)</f>
        <v>Metanol</v>
      </c>
      <c r="H1915" s="78">
        <v>109500</v>
      </c>
    </row>
    <row r="1916" spans="1:8" x14ac:dyDescent="0.25">
      <c r="A1916" s="71">
        <v>2025</v>
      </c>
      <c r="B1916" s="72" t="s">
        <v>212</v>
      </c>
      <c r="C1916" s="73" t="s">
        <v>234</v>
      </c>
      <c r="D1916" s="73" t="s">
        <v>169</v>
      </c>
      <c r="E1916" s="73" t="str">
        <f>VLOOKUP(D1916,clientes!$C$3:$D$60,2,FALSE)</f>
        <v>METHANEX</v>
      </c>
      <c r="F1916" s="73" t="s">
        <v>22</v>
      </c>
      <c r="G1916" s="73" t="str">
        <f>VLOOKUP(F1916,'[2]Lista de Produtos CLASSIFICAÇÃO'!$E$103:$F$114,2,FALSE)</f>
        <v>Metanol</v>
      </c>
      <c r="H1916" s="74">
        <v>109500</v>
      </c>
    </row>
    <row r="1917" spans="1:8" x14ac:dyDescent="0.25">
      <c r="A1917" s="75">
        <v>2025</v>
      </c>
      <c r="B1917" s="76" t="s">
        <v>213</v>
      </c>
      <c r="C1917" s="77" t="s">
        <v>234</v>
      </c>
      <c r="D1917" s="77" t="s">
        <v>169</v>
      </c>
      <c r="E1917" s="73" t="str">
        <f>VLOOKUP(D1917,clientes!$C$3:$D$60,2,FALSE)</f>
        <v>METHANEX</v>
      </c>
      <c r="F1917" s="77" t="s">
        <v>22</v>
      </c>
      <c r="G1917" s="73" t="str">
        <f>VLOOKUP(F1917,'[2]Lista de Produtos CLASSIFICAÇÃO'!$E$103:$F$114,2,FALSE)</f>
        <v>Metanol</v>
      </c>
      <c r="H1917" s="78">
        <v>109500</v>
      </c>
    </row>
    <row r="1918" spans="1:8" x14ac:dyDescent="0.25">
      <c r="A1918" s="71">
        <v>2025</v>
      </c>
      <c r="B1918" s="72" t="s">
        <v>214</v>
      </c>
      <c r="C1918" s="73" t="s">
        <v>234</v>
      </c>
      <c r="D1918" s="73" t="s">
        <v>169</v>
      </c>
      <c r="E1918" s="73" t="str">
        <f>VLOOKUP(D1918,clientes!$C$3:$D$60,2,FALSE)</f>
        <v>METHANEX</v>
      </c>
      <c r="F1918" s="73" t="s">
        <v>22</v>
      </c>
      <c r="G1918" s="73" t="str">
        <f>VLOOKUP(F1918,'[2]Lista de Produtos CLASSIFICAÇÃO'!$E$103:$F$114,2,FALSE)</f>
        <v>Metanol</v>
      </c>
      <c r="H1918" s="74">
        <v>109500</v>
      </c>
    </row>
    <row r="1919" spans="1:8" x14ac:dyDescent="0.25">
      <c r="A1919" s="75">
        <v>2025</v>
      </c>
      <c r="B1919" s="76" t="s">
        <v>215</v>
      </c>
      <c r="C1919" s="77" t="s">
        <v>234</v>
      </c>
      <c r="D1919" s="77" t="s">
        <v>169</v>
      </c>
      <c r="E1919" s="73" t="str">
        <f>VLOOKUP(D1919,clientes!$C$3:$D$60,2,FALSE)</f>
        <v>METHANEX</v>
      </c>
      <c r="F1919" s="77" t="s">
        <v>22</v>
      </c>
      <c r="G1919" s="73" t="str">
        <f>VLOOKUP(F1919,'[2]Lista de Produtos CLASSIFICAÇÃO'!$E$103:$F$114,2,FALSE)</f>
        <v>Metanol</v>
      </c>
      <c r="H1919" s="78">
        <v>109500</v>
      </c>
    </row>
    <row r="1920" spans="1:8" x14ac:dyDescent="0.25">
      <c r="A1920" s="71">
        <v>2025</v>
      </c>
      <c r="B1920" s="72" t="s">
        <v>230</v>
      </c>
      <c r="C1920" s="73" t="s">
        <v>234</v>
      </c>
      <c r="D1920" s="73" t="s">
        <v>169</v>
      </c>
      <c r="E1920" s="73" t="str">
        <f>VLOOKUP(D1920,clientes!$C$3:$D$60,2,FALSE)</f>
        <v>METHANEX</v>
      </c>
      <c r="F1920" s="73" t="s">
        <v>22</v>
      </c>
      <c r="G1920" s="73" t="str">
        <f>VLOOKUP(F1920,'[2]Lista de Produtos CLASSIFICAÇÃO'!$E$103:$F$114,2,FALSE)</f>
        <v>Metanol</v>
      </c>
      <c r="H1920" s="74">
        <v>109500</v>
      </c>
    </row>
    <row r="1921" spans="1:8" x14ac:dyDescent="0.25">
      <c r="A1921" s="75">
        <v>2025</v>
      </c>
      <c r="B1921" s="76" t="s">
        <v>231</v>
      </c>
      <c r="C1921" s="77" t="s">
        <v>234</v>
      </c>
      <c r="D1921" s="77" t="s">
        <v>169</v>
      </c>
      <c r="E1921" s="73" t="str">
        <f>VLOOKUP(D1921,clientes!$C$3:$D$60,2,FALSE)</f>
        <v>METHANEX</v>
      </c>
      <c r="F1921" s="77" t="s">
        <v>22</v>
      </c>
      <c r="G1921" s="73" t="str">
        <f>VLOOKUP(F1921,'[2]Lista de Produtos CLASSIFICAÇÃO'!$E$103:$F$114,2,FALSE)</f>
        <v>Metanol</v>
      </c>
      <c r="H1921" s="78">
        <v>109500</v>
      </c>
    </row>
    <row r="1922" spans="1:8" x14ac:dyDescent="0.25">
      <c r="A1922" s="71">
        <v>2025</v>
      </c>
      <c r="B1922" s="72" t="s">
        <v>226</v>
      </c>
      <c r="C1922" s="73" t="s">
        <v>234</v>
      </c>
      <c r="D1922" s="73" t="s">
        <v>170</v>
      </c>
      <c r="E1922" s="73" t="str">
        <f>VLOOKUP(D1922,clientes!$C$3:$D$60,2,FALSE)</f>
        <v>MITSUBISHI</v>
      </c>
      <c r="F1922" s="73" t="s">
        <v>22</v>
      </c>
      <c r="G1922" s="73" t="str">
        <f>VLOOKUP(F1922,'[2]Lista de Produtos CLASSIFICAÇÃO'!$E$103:$F$114,2,FALSE)</f>
        <v>Metanol</v>
      </c>
      <c r="H1922" s="74">
        <v>60000</v>
      </c>
    </row>
    <row r="1923" spans="1:8" x14ac:dyDescent="0.25">
      <c r="A1923" s="75">
        <v>2025</v>
      </c>
      <c r="B1923" s="76" t="s">
        <v>227</v>
      </c>
      <c r="C1923" s="77" t="s">
        <v>234</v>
      </c>
      <c r="D1923" s="77" t="s">
        <v>170</v>
      </c>
      <c r="E1923" s="73" t="str">
        <f>VLOOKUP(D1923,clientes!$C$3:$D$60,2,FALSE)</f>
        <v>MITSUBISHI</v>
      </c>
      <c r="F1923" s="77" t="s">
        <v>22</v>
      </c>
      <c r="G1923" s="73" t="str">
        <f>VLOOKUP(F1923,'[2]Lista de Produtos CLASSIFICAÇÃO'!$E$103:$F$114,2,FALSE)</f>
        <v>Metanol</v>
      </c>
      <c r="H1923" s="78">
        <v>60000</v>
      </c>
    </row>
    <row r="1924" spans="1:8" x14ac:dyDescent="0.25">
      <c r="A1924" s="71">
        <v>2025</v>
      </c>
      <c r="B1924" s="72" t="s">
        <v>228</v>
      </c>
      <c r="C1924" s="73" t="s">
        <v>234</v>
      </c>
      <c r="D1924" s="73" t="s">
        <v>170</v>
      </c>
      <c r="E1924" s="73" t="str">
        <f>VLOOKUP(D1924,clientes!$C$3:$D$60,2,FALSE)</f>
        <v>MITSUBISHI</v>
      </c>
      <c r="F1924" s="73" t="s">
        <v>22</v>
      </c>
      <c r="G1924" s="73" t="str">
        <f>VLOOKUP(F1924,'[2]Lista de Produtos CLASSIFICAÇÃO'!$E$103:$F$114,2,FALSE)</f>
        <v>Metanol</v>
      </c>
      <c r="H1924" s="74">
        <v>60000</v>
      </c>
    </row>
    <row r="1925" spans="1:8" x14ac:dyDescent="0.25">
      <c r="A1925" s="75">
        <v>2025</v>
      </c>
      <c r="B1925" s="76" t="s">
        <v>229</v>
      </c>
      <c r="C1925" s="77" t="s">
        <v>234</v>
      </c>
      <c r="D1925" s="77" t="s">
        <v>170</v>
      </c>
      <c r="E1925" s="73" t="str">
        <f>VLOOKUP(D1925,clientes!$C$3:$D$60,2,FALSE)</f>
        <v>MITSUBISHI</v>
      </c>
      <c r="F1925" s="77" t="s">
        <v>22</v>
      </c>
      <c r="G1925" s="73" t="str">
        <f>VLOOKUP(F1925,'[2]Lista de Produtos CLASSIFICAÇÃO'!$E$103:$F$114,2,FALSE)</f>
        <v>Metanol</v>
      </c>
      <c r="H1925" s="78">
        <v>60000</v>
      </c>
    </row>
    <row r="1926" spans="1:8" x14ac:dyDescent="0.25">
      <c r="A1926" s="71">
        <v>2025</v>
      </c>
      <c r="B1926" s="72" t="s">
        <v>210</v>
      </c>
      <c r="C1926" s="73" t="s">
        <v>234</v>
      </c>
      <c r="D1926" s="73" t="s">
        <v>170</v>
      </c>
      <c r="E1926" s="73" t="str">
        <f>VLOOKUP(D1926,clientes!$C$3:$D$60,2,FALSE)</f>
        <v>MITSUBISHI</v>
      </c>
      <c r="F1926" s="73" t="s">
        <v>22</v>
      </c>
      <c r="G1926" s="73" t="str">
        <f>VLOOKUP(F1926,'[2]Lista de Produtos CLASSIFICAÇÃO'!$E$103:$F$114,2,FALSE)</f>
        <v>Metanol</v>
      </c>
      <c r="H1926" s="74">
        <v>60000</v>
      </c>
    </row>
    <row r="1927" spans="1:8" x14ac:dyDescent="0.25">
      <c r="A1927" s="75">
        <v>2025</v>
      </c>
      <c r="B1927" s="76" t="s">
        <v>211</v>
      </c>
      <c r="C1927" s="77" t="s">
        <v>234</v>
      </c>
      <c r="D1927" s="77" t="s">
        <v>170</v>
      </c>
      <c r="E1927" s="73" t="str">
        <f>VLOOKUP(D1927,clientes!$C$3:$D$60,2,FALSE)</f>
        <v>MITSUBISHI</v>
      </c>
      <c r="F1927" s="77" t="s">
        <v>22</v>
      </c>
      <c r="G1927" s="73" t="str">
        <f>VLOOKUP(F1927,'[2]Lista de Produtos CLASSIFICAÇÃO'!$E$103:$F$114,2,FALSE)</f>
        <v>Metanol</v>
      </c>
      <c r="H1927" s="78">
        <v>60000</v>
      </c>
    </row>
    <row r="1928" spans="1:8" x14ac:dyDescent="0.25">
      <c r="A1928" s="71">
        <v>2025</v>
      </c>
      <c r="B1928" s="72" t="s">
        <v>212</v>
      </c>
      <c r="C1928" s="73" t="s">
        <v>234</v>
      </c>
      <c r="D1928" s="73" t="s">
        <v>170</v>
      </c>
      <c r="E1928" s="73" t="str">
        <f>VLOOKUP(D1928,clientes!$C$3:$D$60,2,FALSE)</f>
        <v>MITSUBISHI</v>
      </c>
      <c r="F1928" s="73" t="s">
        <v>22</v>
      </c>
      <c r="G1928" s="73" t="str">
        <f>VLOOKUP(F1928,'[2]Lista de Produtos CLASSIFICAÇÃO'!$E$103:$F$114,2,FALSE)</f>
        <v>Metanol</v>
      </c>
      <c r="H1928" s="74">
        <v>60000</v>
      </c>
    </row>
    <row r="1929" spans="1:8" x14ac:dyDescent="0.25">
      <c r="A1929" s="75">
        <v>2025</v>
      </c>
      <c r="B1929" s="76" t="s">
        <v>213</v>
      </c>
      <c r="C1929" s="77" t="s">
        <v>234</v>
      </c>
      <c r="D1929" s="77" t="s">
        <v>170</v>
      </c>
      <c r="E1929" s="73" t="str">
        <f>VLOOKUP(D1929,clientes!$C$3:$D$60,2,FALSE)</f>
        <v>MITSUBISHI</v>
      </c>
      <c r="F1929" s="77" t="s">
        <v>22</v>
      </c>
      <c r="G1929" s="73" t="str">
        <f>VLOOKUP(F1929,'[2]Lista de Produtos CLASSIFICAÇÃO'!$E$103:$F$114,2,FALSE)</f>
        <v>Metanol</v>
      </c>
      <c r="H1929" s="78">
        <v>60000</v>
      </c>
    </row>
    <row r="1930" spans="1:8" x14ac:dyDescent="0.25">
      <c r="A1930" s="71">
        <v>2025</v>
      </c>
      <c r="B1930" s="72" t="s">
        <v>214</v>
      </c>
      <c r="C1930" s="73" t="s">
        <v>234</v>
      </c>
      <c r="D1930" s="73" t="s">
        <v>170</v>
      </c>
      <c r="E1930" s="73" t="str">
        <f>VLOOKUP(D1930,clientes!$C$3:$D$60,2,FALSE)</f>
        <v>MITSUBISHI</v>
      </c>
      <c r="F1930" s="73" t="s">
        <v>22</v>
      </c>
      <c r="G1930" s="73" t="str">
        <f>VLOOKUP(F1930,'[2]Lista de Produtos CLASSIFICAÇÃO'!$E$103:$F$114,2,FALSE)</f>
        <v>Metanol</v>
      </c>
      <c r="H1930" s="74">
        <v>60000</v>
      </c>
    </row>
    <row r="1931" spans="1:8" x14ac:dyDescent="0.25">
      <c r="A1931" s="75">
        <v>2025</v>
      </c>
      <c r="B1931" s="76" t="s">
        <v>215</v>
      </c>
      <c r="C1931" s="77" t="s">
        <v>234</v>
      </c>
      <c r="D1931" s="77" t="s">
        <v>170</v>
      </c>
      <c r="E1931" s="73" t="str">
        <f>VLOOKUP(D1931,clientes!$C$3:$D$60,2,FALSE)</f>
        <v>MITSUBISHI</v>
      </c>
      <c r="F1931" s="77" t="s">
        <v>22</v>
      </c>
      <c r="G1931" s="73" t="str">
        <f>VLOOKUP(F1931,'[2]Lista de Produtos CLASSIFICAÇÃO'!$E$103:$F$114,2,FALSE)</f>
        <v>Metanol</v>
      </c>
      <c r="H1931" s="78">
        <v>60000</v>
      </c>
    </row>
    <row r="1932" spans="1:8" x14ac:dyDescent="0.25">
      <c r="A1932" s="71">
        <v>2025</v>
      </c>
      <c r="B1932" s="72" t="s">
        <v>230</v>
      </c>
      <c r="C1932" s="73" t="s">
        <v>234</v>
      </c>
      <c r="D1932" s="73" t="s">
        <v>170</v>
      </c>
      <c r="E1932" s="73" t="str">
        <f>VLOOKUP(D1932,clientes!$C$3:$D$60,2,FALSE)</f>
        <v>MITSUBISHI</v>
      </c>
      <c r="F1932" s="73" t="s">
        <v>22</v>
      </c>
      <c r="G1932" s="73" t="str">
        <f>VLOOKUP(F1932,'[2]Lista de Produtos CLASSIFICAÇÃO'!$E$103:$F$114,2,FALSE)</f>
        <v>Metanol</v>
      </c>
      <c r="H1932" s="74">
        <v>60000</v>
      </c>
    </row>
    <row r="1933" spans="1:8" x14ac:dyDescent="0.25">
      <c r="A1933" s="75">
        <v>2025</v>
      </c>
      <c r="B1933" s="76" t="s">
        <v>231</v>
      </c>
      <c r="C1933" s="77" t="s">
        <v>234</v>
      </c>
      <c r="D1933" s="77" t="s">
        <v>170</v>
      </c>
      <c r="E1933" s="73" t="str">
        <f>VLOOKUP(D1933,clientes!$C$3:$D$60,2,FALSE)</f>
        <v>MITSUBISHI</v>
      </c>
      <c r="F1933" s="77" t="s">
        <v>22</v>
      </c>
      <c r="G1933" s="73" t="str">
        <f>VLOOKUP(F1933,'[2]Lista de Produtos CLASSIFICAÇÃO'!$E$103:$F$114,2,FALSE)</f>
        <v>Metanol</v>
      </c>
      <c r="H1933" s="78">
        <v>60000</v>
      </c>
    </row>
    <row r="1934" spans="1:8" x14ac:dyDescent="0.25">
      <c r="A1934" s="71">
        <v>2025</v>
      </c>
      <c r="B1934" s="72" t="s">
        <v>226</v>
      </c>
      <c r="C1934" s="73" t="s">
        <v>235</v>
      </c>
      <c r="D1934" s="73" t="s">
        <v>186</v>
      </c>
      <c r="E1934" s="73" t="str">
        <f>VLOOKUP(D1934,clientes!$C$3:$D$60,2,FALSE)</f>
        <v>OQ TRADING</v>
      </c>
      <c r="F1934" s="73" t="s">
        <v>22</v>
      </c>
      <c r="G1934" s="73" t="str">
        <f>VLOOKUP(F1934,'[2]Lista de Produtos CLASSIFICAÇÃO'!$E$103:$F$114,2,FALSE)</f>
        <v>Metanol</v>
      </c>
      <c r="H1934" s="74">
        <v>6330</v>
      </c>
    </row>
    <row r="1935" spans="1:8" x14ac:dyDescent="0.25">
      <c r="A1935" s="75">
        <v>2025</v>
      </c>
      <c r="B1935" s="76" t="s">
        <v>227</v>
      </c>
      <c r="C1935" s="77" t="s">
        <v>235</v>
      </c>
      <c r="D1935" s="77" t="s">
        <v>186</v>
      </c>
      <c r="E1935" s="73" t="str">
        <f>VLOOKUP(D1935,clientes!$C$3:$D$60,2,FALSE)</f>
        <v>OQ TRADING</v>
      </c>
      <c r="F1935" s="77" t="s">
        <v>22</v>
      </c>
      <c r="G1935" s="73" t="str">
        <f>VLOOKUP(F1935,'[2]Lista de Produtos CLASSIFICAÇÃO'!$E$103:$F$114,2,FALSE)</f>
        <v>Metanol</v>
      </c>
      <c r="H1935" s="78">
        <v>6330</v>
      </c>
    </row>
    <row r="1936" spans="1:8" x14ac:dyDescent="0.25">
      <c r="A1936" s="71">
        <v>2025</v>
      </c>
      <c r="B1936" s="72" t="s">
        <v>228</v>
      </c>
      <c r="C1936" s="73" t="s">
        <v>235</v>
      </c>
      <c r="D1936" s="73" t="s">
        <v>186</v>
      </c>
      <c r="E1936" s="73" t="str">
        <f>VLOOKUP(D1936,clientes!$C$3:$D$60,2,FALSE)</f>
        <v>OQ TRADING</v>
      </c>
      <c r="F1936" s="73" t="s">
        <v>22</v>
      </c>
      <c r="G1936" s="73" t="str">
        <f>VLOOKUP(F1936,'[2]Lista de Produtos CLASSIFICAÇÃO'!$E$103:$F$114,2,FALSE)</f>
        <v>Metanol</v>
      </c>
      <c r="H1936" s="74">
        <v>6330</v>
      </c>
    </row>
    <row r="1937" spans="1:8" x14ac:dyDescent="0.25">
      <c r="A1937" s="75">
        <v>2025</v>
      </c>
      <c r="B1937" s="76" t="s">
        <v>229</v>
      </c>
      <c r="C1937" s="77" t="s">
        <v>235</v>
      </c>
      <c r="D1937" s="77" t="s">
        <v>186</v>
      </c>
      <c r="E1937" s="73" t="str">
        <f>VLOOKUP(D1937,clientes!$C$3:$D$60,2,FALSE)</f>
        <v>OQ TRADING</v>
      </c>
      <c r="F1937" s="77" t="s">
        <v>22</v>
      </c>
      <c r="G1937" s="73" t="str">
        <f>VLOOKUP(F1937,'[2]Lista de Produtos CLASSIFICAÇÃO'!$E$103:$F$114,2,FALSE)</f>
        <v>Metanol</v>
      </c>
      <c r="H1937" s="78">
        <v>6330</v>
      </c>
    </row>
    <row r="1938" spans="1:8" x14ac:dyDescent="0.25">
      <c r="A1938" s="71">
        <v>2025</v>
      </c>
      <c r="B1938" s="72" t="s">
        <v>210</v>
      </c>
      <c r="C1938" s="73" t="s">
        <v>235</v>
      </c>
      <c r="D1938" s="73" t="s">
        <v>186</v>
      </c>
      <c r="E1938" s="73" t="str">
        <f>VLOOKUP(D1938,clientes!$C$3:$D$60,2,FALSE)</f>
        <v>OQ TRADING</v>
      </c>
      <c r="F1938" s="73" t="s">
        <v>22</v>
      </c>
      <c r="G1938" s="73" t="str">
        <f>VLOOKUP(F1938,'[2]Lista de Produtos CLASSIFICAÇÃO'!$E$103:$F$114,2,FALSE)</f>
        <v>Metanol</v>
      </c>
      <c r="H1938" s="74">
        <v>6330</v>
      </c>
    </row>
    <row r="1939" spans="1:8" x14ac:dyDescent="0.25">
      <c r="A1939" s="75">
        <v>2025</v>
      </c>
      <c r="B1939" s="76" t="s">
        <v>211</v>
      </c>
      <c r="C1939" s="77" t="s">
        <v>235</v>
      </c>
      <c r="D1939" s="77" t="s">
        <v>186</v>
      </c>
      <c r="E1939" s="73" t="str">
        <f>VLOOKUP(D1939,clientes!$C$3:$D$60,2,FALSE)</f>
        <v>OQ TRADING</v>
      </c>
      <c r="F1939" s="77" t="s">
        <v>22</v>
      </c>
      <c r="G1939" s="73" t="str">
        <f>VLOOKUP(F1939,'[2]Lista de Produtos CLASSIFICAÇÃO'!$E$103:$F$114,2,FALSE)</f>
        <v>Metanol</v>
      </c>
      <c r="H1939" s="78">
        <v>6330</v>
      </c>
    </row>
    <row r="1940" spans="1:8" x14ac:dyDescent="0.25">
      <c r="A1940" s="71">
        <v>2025</v>
      </c>
      <c r="B1940" s="72" t="s">
        <v>212</v>
      </c>
      <c r="C1940" s="73" t="s">
        <v>235</v>
      </c>
      <c r="D1940" s="73" t="s">
        <v>186</v>
      </c>
      <c r="E1940" s="73" t="str">
        <f>VLOOKUP(D1940,clientes!$C$3:$D$60,2,FALSE)</f>
        <v>OQ TRADING</v>
      </c>
      <c r="F1940" s="73" t="s">
        <v>22</v>
      </c>
      <c r="G1940" s="73" t="str">
        <f>VLOOKUP(F1940,'[2]Lista de Produtos CLASSIFICAÇÃO'!$E$103:$F$114,2,FALSE)</f>
        <v>Metanol</v>
      </c>
      <c r="H1940" s="74">
        <v>6330</v>
      </c>
    </row>
    <row r="1941" spans="1:8" x14ac:dyDescent="0.25">
      <c r="A1941" s="75">
        <v>2025</v>
      </c>
      <c r="B1941" s="76" t="s">
        <v>213</v>
      </c>
      <c r="C1941" s="77" t="s">
        <v>235</v>
      </c>
      <c r="D1941" s="77" t="s">
        <v>186</v>
      </c>
      <c r="E1941" s="73" t="str">
        <f>VLOOKUP(D1941,clientes!$C$3:$D$60,2,FALSE)</f>
        <v>OQ TRADING</v>
      </c>
      <c r="F1941" s="77" t="s">
        <v>22</v>
      </c>
      <c r="G1941" s="73" t="str">
        <f>VLOOKUP(F1941,'[2]Lista de Produtos CLASSIFICAÇÃO'!$E$103:$F$114,2,FALSE)</f>
        <v>Metanol</v>
      </c>
      <c r="H1941" s="78">
        <v>6330</v>
      </c>
    </row>
    <row r="1942" spans="1:8" x14ac:dyDescent="0.25">
      <c r="A1942" s="71">
        <v>2025</v>
      </c>
      <c r="B1942" s="72" t="s">
        <v>214</v>
      </c>
      <c r="C1942" s="73" t="s">
        <v>235</v>
      </c>
      <c r="D1942" s="73" t="s">
        <v>186</v>
      </c>
      <c r="E1942" s="73" t="str">
        <f>VLOOKUP(D1942,clientes!$C$3:$D$60,2,FALSE)</f>
        <v>OQ TRADING</v>
      </c>
      <c r="F1942" s="73" t="s">
        <v>22</v>
      </c>
      <c r="G1942" s="73" t="str">
        <f>VLOOKUP(F1942,'[2]Lista de Produtos CLASSIFICAÇÃO'!$E$103:$F$114,2,FALSE)</f>
        <v>Metanol</v>
      </c>
      <c r="H1942" s="74">
        <v>6330</v>
      </c>
    </row>
    <row r="1943" spans="1:8" x14ac:dyDescent="0.25">
      <c r="A1943" s="75">
        <v>2025</v>
      </c>
      <c r="B1943" s="76" t="s">
        <v>215</v>
      </c>
      <c r="C1943" s="77" t="s">
        <v>235</v>
      </c>
      <c r="D1943" s="77" t="s">
        <v>186</v>
      </c>
      <c r="E1943" s="73" t="str">
        <f>VLOOKUP(D1943,clientes!$C$3:$D$60,2,FALSE)</f>
        <v>OQ TRADING</v>
      </c>
      <c r="F1943" s="77" t="s">
        <v>22</v>
      </c>
      <c r="G1943" s="73" t="str">
        <f>VLOOKUP(F1943,'[2]Lista de Produtos CLASSIFICAÇÃO'!$E$103:$F$114,2,FALSE)</f>
        <v>Metanol</v>
      </c>
      <c r="H1943" s="78">
        <v>6330</v>
      </c>
    </row>
    <row r="1944" spans="1:8" x14ac:dyDescent="0.25">
      <c r="A1944" s="71">
        <v>2025</v>
      </c>
      <c r="B1944" s="72" t="s">
        <v>230</v>
      </c>
      <c r="C1944" s="73" t="s">
        <v>235</v>
      </c>
      <c r="D1944" s="73" t="s">
        <v>186</v>
      </c>
      <c r="E1944" s="73" t="str">
        <f>VLOOKUP(D1944,clientes!$C$3:$D$60,2,FALSE)</f>
        <v>OQ TRADING</v>
      </c>
      <c r="F1944" s="73" t="s">
        <v>22</v>
      </c>
      <c r="G1944" s="73" t="str">
        <f>VLOOKUP(F1944,'[2]Lista de Produtos CLASSIFICAÇÃO'!$E$103:$F$114,2,FALSE)</f>
        <v>Metanol</v>
      </c>
      <c r="H1944" s="74">
        <v>6330</v>
      </c>
    </row>
    <row r="1945" spans="1:8" x14ac:dyDescent="0.25">
      <c r="A1945" s="75">
        <v>2025</v>
      </c>
      <c r="B1945" s="76" t="s">
        <v>231</v>
      </c>
      <c r="C1945" s="77" t="s">
        <v>235</v>
      </c>
      <c r="D1945" s="77" t="s">
        <v>186</v>
      </c>
      <c r="E1945" s="73" t="str">
        <f>VLOOKUP(D1945,clientes!$C$3:$D$60,2,FALSE)</f>
        <v>OQ TRADING</v>
      </c>
      <c r="F1945" s="77" t="s">
        <v>22</v>
      </c>
      <c r="G1945" s="73" t="str">
        <f>VLOOKUP(F1945,'[2]Lista de Produtos CLASSIFICAÇÃO'!$E$103:$F$114,2,FALSE)</f>
        <v>Metanol</v>
      </c>
      <c r="H1945" s="78">
        <v>6330</v>
      </c>
    </row>
    <row r="1946" spans="1:8" x14ac:dyDescent="0.25">
      <c r="A1946" s="71">
        <v>2025</v>
      </c>
      <c r="B1946" s="72" t="s">
        <v>226</v>
      </c>
      <c r="C1946" s="73" t="s">
        <v>225</v>
      </c>
      <c r="D1946" s="73" t="s">
        <v>178</v>
      </c>
      <c r="E1946" s="73" t="str">
        <f>VLOOKUP(D1946,clientes!$C$3:$D$60,2,FALSE)</f>
        <v>OLIN BLUE CUBE</v>
      </c>
      <c r="F1946" s="73" t="s">
        <v>115</v>
      </c>
      <c r="G1946" s="73" t="str">
        <f>VLOOKUP(F1946,'[2]Lista de Produtos CLASSIFICAÇÃO'!$E$103:$F$114,2,FALSE)</f>
        <v>Soda Caustica</v>
      </c>
      <c r="H1946" s="74">
        <v>20527</v>
      </c>
    </row>
    <row r="1947" spans="1:8" x14ac:dyDescent="0.25">
      <c r="A1947" s="75">
        <v>2025</v>
      </c>
      <c r="B1947" s="76" t="s">
        <v>227</v>
      </c>
      <c r="C1947" s="77" t="s">
        <v>225</v>
      </c>
      <c r="D1947" s="77" t="s">
        <v>178</v>
      </c>
      <c r="E1947" s="73" t="str">
        <f>VLOOKUP(D1947,clientes!$C$3:$D$60,2,FALSE)</f>
        <v>OLIN BLUE CUBE</v>
      </c>
      <c r="F1947" s="77" t="s">
        <v>115</v>
      </c>
      <c r="G1947" s="73" t="str">
        <f>VLOOKUP(F1947,'[2]Lista de Produtos CLASSIFICAÇÃO'!$E$103:$F$114,2,FALSE)</f>
        <v>Soda Caustica</v>
      </c>
      <c r="H1947" s="78">
        <v>20527</v>
      </c>
    </row>
    <row r="1948" spans="1:8" x14ac:dyDescent="0.25">
      <c r="A1948" s="71">
        <v>2025</v>
      </c>
      <c r="B1948" s="72" t="s">
        <v>228</v>
      </c>
      <c r="C1948" s="73" t="s">
        <v>225</v>
      </c>
      <c r="D1948" s="73" t="s">
        <v>178</v>
      </c>
      <c r="E1948" s="73" t="str">
        <f>VLOOKUP(D1948,clientes!$C$3:$D$60,2,FALSE)</f>
        <v>OLIN BLUE CUBE</v>
      </c>
      <c r="F1948" s="73" t="s">
        <v>115</v>
      </c>
      <c r="G1948" s="73" t="str">
        <f>VLOOKUP(F1948,'[2]Lista de Produtos CLASSIFICAÇÃO'!$E$103:$F$114,2,FALSE)</f>
        <v>Soda Caustica</v>
      </c>
      <c r="H1948" s="74">
        <v>20527</v>
      </c>
    </row>
    <row r="1949" spans="1:8" x14ac:dyDescent="0.25">
      <c r="A1949" s="75">
        <v>2025</v>
      </c>
      <c r="B1949" s="76" t="s">
        <v>229</v>
      </c>
      <c r="C1949" s="77" t="s">
        <v>225</v>
      </c>
      <c r="D1949" s="77" t="s">
        <v>178</v>
      </c>
      <c r="E1949" s="73" t="str">
        <f>VLOOKUP(D1949,clientes!$C$3:$D$60,2,FALSE)</f>
        <v>OLIN BLUE CUBE</v>
      </c>
      <c r="F1949" s="77" t="s">
        <v>115</v>
      </c>
      <c r="G1949" s="73" t="str">
        <f>VLOOKUP(F1949,'[2]Lista de Produtos CLASSIFICAÇÃO'!$E$103:$F$114,2,FALSE)</f>
        <v>Soda Caustica</v>
      </c>
      <c r="H1949" s="78">
        <v>20527</v>
      </c>
    </row>
    <row r="1950" spans="1:8" x14ac:dyDescent="0.25">
      <c r="A1950" s="71">
        <v>2025</v>
      </c>
      <c r="B1950" s="72" t="s">
        <v>210</v>
      </c>
      <c r="C1950" s="73" t="s">
        <v>225</v>
      </c>
      <c r="D1950" s="73" t="s">
        <v>178</v>
      </c>
      <c r="E1950" s="73" t="str">
        <f>VLOOKUP(D1950,clientes!$C$3:$D$60,2,FALSE)</f>
        <v>OLIN BLUE CUBE</v>
      </c>
      <c r="F1950" s="73" t="s">
        <v>115</v>
      </c>
      <c r="G1950" s="73" t="str">
        <f>VLOOKUP(F1950,'[2]Lista de Produtos CLASSIFICAÇÃO'!$E$103:$F$114,2,FALSE)</f>
        <v>Soda Caustica</v>
      </c>
      <c r="H1950" s="74">
        <v>20527</v>
      </c>
    </row>
    <row r="1951" spans="1:8" x14ac:dyDescent="0.25">
      <c r="A1951" s="75">
        <v>2025</v>
      </c>
      <c r="B1951" s="76" t="s">
        <v>211</v>
      </c>
      <c r="C1951" s="77" t="s">
        <v>225</v>
      </c>
      <c r="D1951" s="77" t="s">
        <v>178</v>
      </c>
      <c r="E1951" s="73" t="str">
        <f>VLOOKUP(D1951,clientes!$C$3:$D$60,2,FALSE)</f>
        <v>OLIN BLUE CUBE</v>
      </c>
      <c r="F1951" s="77" t="s">
        <v>115</v>
      </c>
      <c r="G1951" s="73" t="str">
        <f>VLOOKUP(F1951,'[2]Lista de Produtos CLASSIFICAÇÃO'!$E$103:$F$114,2,FALSE)</f>
        <v>Soda Caustica</v>
      </c>
      <c r="H1951" s="78">
        <v>20527</v>
      </c>
    </row>
    <row r="1952" spans="1:8" x14ac:dyDescent="0.25">
      <c r="A1952" s="71">
        <v>2025</v>
      </c>
      <c r="B1952" s="72" t="s">
        <v>212</v>
      </c>
      <c r="C1952" s="73" t="s">
        <v>225</v>
      </c>
      <c r="D1952" s="73" t="s">
        <v>178</v>
      </c>
      <c r="E1952" s="73" t="str">
        <f>VLOOKUP(D1952,clientes!$C$3:$D$60,2,FALSE)</f>
        <v>OLIN BLUE CUBE</v>
      </c>
      <c r="F1952" s="73" t="s">
        <v>115</v>
      </c>
      <c r="G1952" s="73" t="str">
        <f>VLOOKUP(F1952,'[2]Lista de Produtos CLASSIFICAÇÃO'!$E$103:$F$114,2,FALSE)</f>
        <v>Soda Caustica</v>
      </c>
      <c r="H1952" s="74">
        <v>20527</v>
      </c>
    </row>
    <row r="1953" spans="1:8" x14ac:dyDescent="0.25">
      <c r="A1953" s="75">
        <v>2025</v>
      </c>
      <c r="B1953" s="76" t="s">
        <v>213</v>
      </c>
      <c r="C1953" s="77" t="s">
        <v>225</v>
      </c>
      <c r="D1953" s="77" t="s">
        <v>178</v>
      </c>
      <c r="E1953" s="73" t="str">
        <f>VLOOKUP(D1953,clientes!$C$3:$D$60,2,FALSE)</f>
        <v>OLIN BLUE CUBE</v>
      </c>
      <c r="F1953" s="77" t="s">
        <v>115</v>
      </c>
      <c r="G1953" s="73" t="str">
        <f>VLOOKUP(F1953,'[2]Lista de Produtos CLASSIFICAÇÃO'!$E$103:$F$114,2,FALSE)</f>
        <v>Soda Caustica</v>
      </c>
      <c r="H1953" s="78">
        <v>20527</v>
      </c>
    </row>
    <row r="1954" spans="1:8" x14ac:dyDescent="0.25">
      <c r="A1954" s="71">
        <v>2025</v>
      </c>
      <c r="B1954" s="72" t="s">
        <v>214</v>
      </c>
      <c r="C1954" s="73" t="s">
        <v>225</v>
      </c>
      <c r="D1954" s="73" t="s">
        <v>178</v>
      </c>
      <c r="E1954" s="73" t="str">
        <f>VLOOKUP(D1954,clientes!$C$3:$D$60,2,FALSE)</f>
        <v>OLIN BLUE CUBE</v>
      </c>
      <c r="F1954" s="73" t="s">
        <v>115</v>
      </c>
      <c r="G1954" s="73" t="str">
        <f>VLOOKUP(F1954,'[2]Lista de Produtos CLASSIFICAÇÃO'!$E$103:$F$114,2,FALSE)</f>
        <v>Soda Caustica</v>
      </c>
      <c r="H1954" s="74">
        <v>20527</v>
      </c>
    </row>
    <row r="1955" spans="1:8" x14ac:dyDescent="0.25">
      <c r="A1955" s="75">
        <v>2025</v>
      </c>
      <c r="B1955" s="76" t="s">
        <v>215</v>
      </c>
      <c r="C1955" s="77" t="s">
        <v>225</v>
      </c>
      <c r="D1955" s="77" t="s">
        <v>178</v>
      </c>
      <c r="E1955" s="73" t="str">
        <f>VLOOKUP(D1955,clientes!$C$3:$D$60,2,FALSE)</f>
        <v>OLIN BLUE CUBE</v>
      </c>
      <c r="F1955" s="77" t="s">
        <v>115</v>
      </c>
      <c r="G1955" s="73" t="str">
        <f>VLOOKUP(F1955,'[2]Lista de Produtos CLASSIFICAÇÃO'!$E$103:$F$114,2,FALSE)</f>
        <v>Soda Caustica</v>
      </c>
      <c r="H1955" s="78">
        <v>20527</v>
      </c>
    </row>
    <row r="1956" spans="1:8" x14ac:dyDescent="0.25">
      <c r="A1956" s="71">
        <v>2025</v>
      </c>
      <c r="B1956" s="72" t="s">
        <v>230</v>
      </c>
      <c r="C1956" s="73" t="s">
        <v>225</v>
      </c>
      <c r="D1956" s="73" t="s">
        <v>178</v>
      </c>
      <c r="E1956" s="73" t="str">
        <f>VLOOKUP(D1956,clientes!$C$3:$D$60,2,FALSE)</f>
        <v>OLIN BLUE CUBE</v>
      </c>
      <c r="F1956" s="73" t="s">
        <v>115</v>
      </c>
      <c r="G1956" s="73" t="str">
        <f>VLOOKUP(F1956,'[2]Lista de Produtos CLASSIFICAÇÃO'!$E$103:$F$114,2,FALSE)</f>
        <v>Soda Caustica</v>
      </c>
      <c r="H1956" s="74">
        <v>20527</v>
      </c>
    </row>
    <row r="1957" spans="1:8" x14ac:dyDescent="0.25">
      <c r="A1957" s="75">
        <v>2025</v>
      </c>
      <c r="B1957" s="76" t="s">
        <v>231</v>
      </c>
      <c r="C1957" s="77" t="s">
        <v>225</v>
      </c>
      <c r="D1957" s="77" t="s">
        <v>178</v>
      </c>
      <c r="E1957" s="73" t="str">
        <f>VLOOKUP(D1957,clientes!$C$3:$D$60,2,FALSE)</f>
        <v>OLIN BLUE CUBE</v>
      </c>
      <c r="F1957" s="77" t="s">
        <v>115</v>
      </c>
      <c r="G1957" s="73" t="str">
        <f>VLOOKUP(F1957,'[2]Lista de Produtos CLASSIFICAÇÃO'!$E$103:$F$114,2,FALSE)</f>
        <v>Soda Caustica</v>
      </c>
      <c r="H1957" s="78">
        <v>20527</v>
      </c>
    </row>
    <row r="1958" spans="1:8" x14ac:dyDescent="0.25">
      <c r="A1958" s="71">
        <v>2025</v>
      </c>
      <c r="B1958" s="72" t="s">
        <v>226</v>
      </c>
      <c r="C1958" s="73" t="s">
        <v>232</v>
      </c>
      <c r="D1958" s="73" t="s">
        <v>167</v>
      </c>
      <c r="E1958" s="73" t="str">
        <f>VLOOKUP(D1958,clientes!$C$3:$D$60,2,FALSE)</f>
        <v>POOL</v>
      </c>
      <c r="F1958" s="73" t="s">
        <v>122</v>
      </c>
      <c r="G1958" s="73" t="str">
        <f>VLOOKUP(F1958,'[2]Lista de Produtos CLASSIFICAÇÃO'!$E$103:$F$114,2,FALSE)</f>
        <v>Óleo Vegetal</v>
      </c>
      <c r="H1958" s="74">
        <v>6413</v>
      </c>
    </row>
    <row r="1959" spans="1:8" x14ac:dyDescent="0.25">
      <c r="A1959" s="75">
        <v>2025</v>
      </c>
      <c r="B1959" s="76" t="s">
        <v>227</v>
      </c>
      <c r="C1959" s="77" t="s">
        <v>232</v>
      </c>
      <c r="D1959" s="77" t="s">
        <v>167</v>
      </c>
      <c r="E1959" s="73" t="str">
        <f>VLOOKUP(D1959,clientes!$C$3:$D$60,2,FALSE)</f>
        <v>POOL</v>
      </c>
      <c r="F1959" s="77" t="s">
        <v>122</v>
      </c>
      <c r="G1959" s="73" t="str">
        <f>VLOOKUP(F1959,'[2]Lista de Produtos CLASSIFICAÇÃO'!$E$103:$F$114,2,FALSE)</f>
        <v>Óleo Vegetal</v>
      </c>
      <c r="H1959" s="78">
        <v>10954</v>
      </c>
    </row>
    <row r="1960" spans="1:8" x14ac:dyDescent="0.25">
      <c r="A1960" s="71">
        <v>2025</v>
      </c>
      <c r="B1960" s="72" t="s">
        <v>228</v>
      </c>
      <c r="C1960" s="73" t="s">
        <v>232</v>
      </c>
      <c r="D1960" s="73" t="s">
        <v>167</v>
      </c>
      <c r="E1960" s="73" t="str">
        <f>VLOOKUP(D1960,clientes!$C$3:$D$60,2,FALSE)</f>
        <v>POOL</v>
      </c>
      <c r="F1960" s="73" t="s">
        <v>122</v>
      </c>
      <c r="G1960" s="73" t="str">
        <f>VLOOKUP(F1960,'[2]Lista de Produtos CLASSIFICAÇÃO'!$E$103:$F$114,2,FALSE)</f>
        <v>Óleo Vegetal</v>
      </c>
      <c r="H1960" s="74">
        <v>45148</v>
      </c>
    </row>
    <row r="1961" spans="1:8" x14ac:dyDescent="0.25">
      <c r="A1961" s="75">
        <v>2025</v>
      </c>
      <c r="B1961" s="76" t="s">
        <v>229</v>
      </c>
      <c r="C1961" s="77" t="s">
        <v>232</v>
      </c>
      <c r="D1961" s="77" t="s">
        <v>167</v>
      </c>
      <c r="E1961" s="73" t="str">
        <f>VLOOKUP(D1961,clientes!$C$3:$D$60,2,FALSE)</f>
        <v>POOL</v>
      </c>
      <c r="F1961" s="77" t="s">
        <v>122</v>
      </c>
      <c r="G1961" s="73" t="str">
        <f>VLOOKUP(F1961,'[2]Lista de Produtos CLASSIFICAÇÃO'!$E$103:$F$114,2,FALSE)</f>
        <v>Óleo Vegetal</v>
      </c>
      <c r="H1961" s="78">
        <v>28545</v>
      </c>
    </row>
    <row r="1962" spans="1:8" x14ac:dyDescent="0.25">
      <c r="A1962" s="71">
        <v>2025</v>
      </c>
      <c r="B1962" s="72" t="s">
        <v>210</v>
      </c>
      <c r="C1962" s="73" t="s">
        <v>232</v>
      </c>
      <c r="D1962" s="73" t="s">
        <v>167</v>
      </c>
      <c r="E1962" s="73" t="str">
        <f>VLOOKUP(D1962,clientes!$C$3:$D$60,2,FALSE)</f>
        <v>POOL</v>
      </c>
      <c r="F1962" s="73" t="s">
        <v>122</v>
      </c>
      <c r="G1962" s="73" t="str">
        <f>VLOOKUP(F1962,'[2]Lista de Produtos CLASSIFICAÇÃO'!$E$103:$F$114,2,FALSE)</f>
        <v>Óleo Vegetal</v>
      </c>
      <c r="H1962" s="74">
        <v>28223</v>
      </c>
    </row>
    <row r="1963" spans="1:8" x14ac:dyDescent="0.25">
      <c r="A1963" s="75">
        <v>2025</v>
      </c>
      <c r="B1963" s="76" t="s">
        <v>211</v>
      </c>
      <c r="C1963" s="77" t="s">
        <v>232</v>
      </c>
      <c r="D1963" s="77" t="s">
        <v>167</v>
      </c>
      <c r="E1963" s="73" t="str">
        <f>VLOOKUP(D1963,clientes!$C$3:$D$60,2,FALSE)</f>
        <v>POOL</v>
      </c>
      <c r="F1963" s="77" t="s">
        <v>122</v>
      </c>
      <c r="G1963" s="73" t="str">
        <f>VLOOKUP(F1963,'[2]Lista de Produtos CLASSIFICAÇÃO'!$E$103:$F$114,2,FALSE)</f>
        <v>Óleo Vegetal</v>
      </c>
      <c r="H1963" s="78">
        <v>40358</v>
      </c>
    </row>
    <row r="1964" spans="1:8" x14ac:dyDescent="0.25">
      <c r="A1964" s="71">
        <v>2025</v>
      </c>
      <c r="B1964" s="72" t="s">
        <v>212</v>
      </c>
      <c r="C1964" s="73" t="s">
        <v>232</v>
      </c>
      <c r="D1964" s="73" t="s">
        <v>167</v>
      </c>
      <c r="E1964" s="73" t="str">
        <f>VLOOKUP(D1964,clientes!$C$3:$D$60,2,FALSE)</f>
        <v>POOL</v>
      </c>
      <c r="F1964" s="73" t="s">
        <v>122</v>
      </c>
      <c r="G1964" s="73" t="str">
        <f>VLOOKUP(F1964,'[2]Lista de Produtos CLASSIFICAÇÃO'!$E$103:$F$114,2,FALSE)</f>
        <v>Óleo Vegetal</v>
      </c>
      <c r="H1964" s="74">
        <v>53474</v>
      </c>
    </row>
    <row r="1965" spans="1:8" x14ac:dyDescent="0.25">
      <c r="A1965" s="75">
        <v>2025</v>
      </c>
      <c r="B1965" s="76" t="s">
        <v>213</v>
      </c>
      <c r="C1965" s="77" t="s">
        <v>232</v>
      </c>
      <c r="D1965" s="77" t="s">
        <v>167</v>
      </c>
      <c r="E1965" s="73" t="str">
        <f>VLOOKUP(D1965,clientes!$C$3:$D$60,2,FALSE)</f>
        <v>POOL</v>
      </c>
      <c r="F1965" s="77" t="s">
        <v>122</v>
      </c>
      <c r="G1965" s="73" t="str">
        <f>VLOOKUP(F1965,'[2]Lista de Produtos CLASSIFICAÇÃO'!$E$103:$F$114,2,FALSE)</f>
        <v>Óleo Vegetal</v>
      </c>
      <c r="H1965" s="78">
        <v>29405</v>
      </c>
    </row>
    <row r="1966" spans="1:8" x14ac:dyDescent="0.25">
      <c r="A1966" s="71">
        <v>2025</v>
      </c>
      <c r="B1966" s="72" t="s">
        <v>214</v>
      </c>
      <c r="C1966" s="73" t="s">
        <v>232</v>
      </c>
      <c r="D1966" s="73" t="s">
        <v>167</v>
      </c>
      <c r="E1966" s="73" t="str">
        <f>VLOOKUP(D1966,clientes!$C$3:$D$60,2,FALSE)</f>
        <v>POOL</v>
      </c>
      <c r="F1966" s="73" t="s">
        <v>122</v>
      </c>
      <c r="G1966" s="73" t="str">
        <f>VLOOKUP(F1966,'[2]Lista de Produtos CLASSIFICAÇÃO'!$E$103:$F$114,2,FALSE)</f>
        <v>Óleo Vegetal</v>
      </c>
      <c r="H1966" s="74">
        <v>20764</v>
      </c>
    </row>
    <row r="1967" spans="1:8" x14ac:dyDescent="0.25">
      <c r="A1967" s="75">
        <v>2025</v>
      </c>
      <c r="B1967" s="76" t="s">
        <v>215</v>
      </c>
      <c r="C1967" s="77" t="s">
        <v>232</v>
      </c>
      <c r="D1967" s="77" t="s">
        <v>167</v>
      </c>
      <c r="E1967" s="73" t="str">
        <f>VLOOKUP(D1967,clientes!$C$3:$D$60,2,FALSE)</f>
        <v>POOL</v>
      </c>
      <c r="F1967" s="77" t="s">
        <v>122</v>
      </c>
      <c r="G1967" s="73" t="str">
        <f>VLOOKUP(F1967,'[2]Lista de Produtos CLASSIFICAÇÃO'!$E$103:$F$114,2,FALSE)</f>
        <v>Óleo Vegetal</v>
      </c>
      <c r="H1967" s="78">
        <v>24158</v>
      </c>
    </row>
    <row r="1968" spans="1:8" x14ac:dyDescent="0.25">
      <c r="A1968" s="71">
        <v>2025</v>
      </c>
      <c r="B1968" s="72" t="s">
        <v>230</v>
      </c>
      <c r="C1968" s="73" t="s">
        <v>232</v>
      </c>
      <c r="D1968" s="73" t="s">
        <v>167</v>
      </c>
      <c r="E1968" s="73" t="str">
        <f>VLOOKUP(D1968,clientes!$C$3:$D$60,2,FALSE)</f>
        <v>POOL</v>
      </c>
      <c r="F1968" s="73" t="s">
        <v>122</v>
      </c>
      <c r="G1968" s="73" t="str">
        <f>VLOOKUP(F1968,'[2]Lista de Produtos CLASSIFICAÇÃO'!$E$103:$F$114,2,FALSE)</f>
        <v>Óleo Vegetal</v>
      </c>
      <c r="H1968" s="74">
        <v>13141</v>
      </c>
    </row>
    <row r="1969" spans="1:8" x14ac:dyDescent="0.25">
      <c r="A1969" s="75">
        <v>2025</v>
      </c>
      <c r="B1969" s="76" t="s">
        <v>231</v>
      </c>
      <c r="C1969" s="77" t="s">
        <v>232</v>
      </c>
      <c r="D1969" s="77" t="s">
        <v>167</v>
      </c>
      <c r="E1969" s="73" t="str">
        <f>VLOOKUP(D1969,clientes!$C$3:$D$60,2,FALSE)</f>
        <v>POOL</v>
      </c>
      <c r="F1969" s="77" t="s">
        <v>122</v>
      </c>
      <c r="G1969" s="73" t="str">
        <f>VLOOKUP(F1969,'[2]Lista de Produtos CLASSIFICAÇÃO'!$E$103:$F$114,2,FALSE)</f>
        <v>Óleo Vegetal</v>
      </c>
      <c r="H1969" s="78">
        <v>10108</v>
      </c>
    </row>
    <row r="1970" spans="1:8" x14ac:dyDescent="0.25">
      <c r="A1970" s="71">
        <v>2025</v>
      </c>
      <c r="B1970" s="72" t="s">
        <v>226</v>
      </c>
      <c r="C1970" s="73" t="s">
        <v>232</v>
      </c>
      <c r="D1970" s="73" t="s">
        <v>168</v>
      </c>
      <c r="E1970" s="73" t="str">
        <f>VLOOKUP(D1970,clientes!$C$3:$D$60,2,FALSE)</f>
        <v>POOL EXCEDENTE</v>
      </c>
      <c r="F1970" s="73" t="s">
        <v>122</v>
      </c>
      <c r="G1970" s="73" t="str">
        <f>VLOOKUP(F1970,'[2]Lista de Produtos CLASSIFICAÇÃO'!$E$103:$F$114,2,FALSE)</f>
        <v>Óleo Vegetal</v>
      </c>
      <c r="H1970" s="74">
        <v>0</v>
      </c>
    </row>
    <row r="1971" spans="1:8" x14ac:dyDescent="0.25">
      <c r="A1971" s="75">
        <v>2025</v>
      </c>
      <c r="B1971" s="76" t="s">
        <v>227</v>
      </c>
      <c r="C1971" s="77" t="s">
        <v>232</v>
      </c>
      <c r="D1971" s="77" t="s">
        <v>168</v>
      </c>
      <c r="E1971" s="73" t="str">
        <f>VLOOKUP(D1971,clientes!$C$3:$D$60,2,FALSE)</f>
        <v>POOL EXCEDENTE</v>
      </c>
      <c r="F1971" s="77" t="s">
        <v>122</v>
      </c>
      <c r="G1971" s="73" t="str">
        <f>VLOOKUP(F1971,'[2]Lista de Produtos CLASSIFICAÇÃO'!$E$103:$F$114,2,FALSE)</f>
        <v>Óleo Vegetal</v>
      </c>
      <c r="H1971" s="78">
        <v>2173</v>
      </c>
    </row>
    <row r="1972" spans="1:8" x14ac:dyDescent="0.25">
      <c r="A1972" s="71">
        <v>2025</v>
      </c>
      <c r="B1972" s="72" t="s">
        <v>228</v>
      </c>
      <c r="C1972" s="73" t="s">
        <v>232</v>
      </c>
      <c r="D1972" s="73" t="s">
        <v>168</v>
      </c>
      <c r="E1972" s="73" t="str">
        <f>VLOOKUP(D1972,clientes!$C$3:$D$60,2,FALSE)</f>
        <v>POOL EXCEDENTE</v>
      </c>
      <c r="F1972" s="73" t="s">
        <v>122</v>
      </c>
      <c r="G1972" s="73" t="str">
        <f>VLOOKUP(F1972,'[2]Lista de Produtos CLASSIFICAÇÃO'!$E$103:$F$114,2,FALSE)</f>
        <v>Óleo Vegetal</v>
      </c>
      <c r="H1972" s="74">
        <v>0</v>
      </c>
    </row>
    <row r="1973" spans="1:8" x14ac:dyDescent="0.25">
      <c r="A1973" s="75">
        <v>2025</v>
      </c>
      <c r="B1973" s="76" t="s">
        <v>229</v>
      </c>
      <c r="C1973" s="77" t="s">
        <v>232</v>
      </c>
      <c r="D1973" s="77" t="s">
        <v>168</v>
      </c>
      <c r="E1973" s="73" t="str">
        <f>VLOOKUP(D1973,clientes!$C$3:$D$60,2,FALSE)</f>
        <v>POOL EXCEDENTE</v>
      </c>
      <c r="F1973" s="77" t="s">
        <v>122</v>
      </c>
      <c r="G1973" s="73" t="str">
        <f>VLOOKUP(F1973,'[2]Lista de Produtos CLASSIFICAÇÃO'!$E$103:$F$114,2,FALSE)</f>
        <v>Óleo Vegetal</v>
      </c>
      <c r="H1973" s="78">
        <v>2173</v>
      </c>
    </row>
    <row r="1974" spans="1:8" x14ac:dyDescent="0.25">
      <c r="A1974" s="71">
        <v>2025</v>
      </c>
      <c r="B1974" s="72" t="s">
        <v>210</v>
      </c>
      <c r="C1974" s="73" t="s">
        <v>232</v>
      </c>
      <c r="D1974" s="73" t="s">
        <v>168</v>
      </c>
      <c r="E1974" s="73" t="str">
        <f>VLOOKUP(D1974,clientes!$C$3:$D$60,2,FALSE)</f>
        <v>POOL EXCEDENTE</v>
      </c>
      <c r="F1974" s="73" t="s">
        <v>122</v>
      </c>
      <c r="G1974" s="73" t="str">
        <f>VLOOKUP(F1974,'[2]Lista de Produtos CLASSIFICAÇÃO'!$E$103:$F$114,2,FALSE)</f>
        <v>Óleo Vegetal</v>
      </c>
      <c r="H1974" s="74">
        <v>0</v>
      </c>
    </row>
    <row r="1975" spans="1:8" x14ac:dyDescent="0.25">
      <c r="A1975" s="75">
        <v>2025</v>
      </c>
      <c r="B1975" s="76" t="s">
        <v>211</v>
      </c>
      <c r="C1975" s="77" t="s">
        <v>232</v>
      </c>
      <c r="D1975" s="77" t="s">
        <v>168</v>
      </c>
      <c r="E1975" s="73" t="str">
        <f>VLOOKUP(D1975,clientes!$C$3:$D$60,2,FALSE)</f>
        <v>POOL EXCEDENTE</v>
      </c>
      <c r="F1975" s="77" t="s">
        <v>122</v>
      </c>
      <c r="G1975" s="73" t="str">
        <f>VLOOKUP(F1975,'[2]Lista de Produtos CLASSIFICAÇÃO'!$E$103:$F$114,2,FALSE)</f>
        <v>Óleo Vegetal</v>
      </c>
      <c r="H1975" s="78">
        <v>2173</v>
      </c>
    </row>
    <row r="1976" spans="1:8" x14ac:dyDescent="0.25">
      <c r="A1976" s="71">
        <v>2025</v>
      </c>
      <c r="B1976" s="72" t="s">
        <v>212</v>
      </c>
      <c r="C1976" s="73" t="s">
        <v>232</v>
      </c>
      <c r="D1976" s="73" t="s">
        <v>168</v>
      </c>
      <c r="E1976" s="73" t="str">
        <f>VLOOKUP(D1976,clientes!$C$3:$D$60,2,FALSE)</f>
        <v>POOL EXCEDENTE</v>
      </c>
      <c r="F1976" s="73" t="s">
        <v>122</v>
      </c>
      <c r="G1976" s="73" t="str">
        <f>VLOOKUP(F1976,'[2]Lista de Produtos CLASSIFICAÇÃO'!$E$103:$F$114,2,FALSE)</f>
        <v>Óleo Vegetal</v>
      </c>
      <c r="H1976" s="74">
        <v>0</v>
      </c>
    </row>
    <row r="1977" spans="1:8" x14ac:dyDescent="0.25">
      <c r="A1977" s="75">
        <v>2025</v>
      </c>
      <c r="B1977" s="76" t="s">
        <v>213</v>
      </c>
      <c r="C1977" s="77" t="s">
        <v>232</v>
      </c>
      <c r="D1977" s="77" t="s">
        <v>168</v>
      </c>
      <c r="E1977" s="73" t="str">
        <f>VLOOKUP(D1977,clientes!$C$3:$D$60,2,FALSE)</f>
        <v>POOL EXCEDENTE</v>
      </c>
      <c r="F1977" s="77" t="s">
        <v>122</v>
      </c>
      <c r="G1977" s="73" t="str">
        <f>VLOOKUP(F1977,'[2]Lista de Produtos CLASSIFICAÇÃO'!$E$103:$F$114,2,FALSE)</f>
        <v>Óleo Vegetal</v>
      </c>
      <c r="H1977" s="78">
        <v>2173</v>
      </c>
    </row>
    <row r="1978" spans="1:8" x14ac:dyDescent="0.25">
      <c r="A1978" s="71">
        <v>2025</v>
      </c>
      <c r="B1978" s="72" t="s">
        <v>214</v>
      </c>
      <c r="C1978" s="73" t="s">
        <v>232</v>
      </c>
      <c r="D1978" s="73" t="s">
        <v>168</v>
      </c>
      <c r="E1978" s="73" t="str">
        <f>VLOOKUP(D1978,clientes!$C$3:$D$60,2,FALSE)</f>
        <v>POOL EXCEDENTE</v>
      </c>
      <c r="F1978" s="73" t="s">
        <v>122</v>
      </c>
      <c r="G1978" s="73" t="str">
        <f>VLOOKUP(F1978,'[2]Lista de Produtos CLASSIFICAÇÃO'!$E$103:$F$114,2,FALSE)</f>
        <v>Óleo Vegetal</v>
      </c>
      <c r="H1978" s="74">
        <v>0</v>
      </c>
    </row>
    <row r="1979" spans="1:8" x14ac:dyDescent="0.25">
      <c r="A1979" s="75">
        <v>2025</v>
      </c>
      <c r="B1979" s="76" t="s">
        <v>215</v>
      </c>
      <c r="C1979" s="77" t="s">
        <v>232</v>
      </c>
      <c r="D1979" s="77" t="s">
        <v>168</v>
      </c>
      <c r="E1979" s="73" t="str">
        <f>VLOOKUP(D1979,clientes!$C$3:$D$60,2,FALSE)</f>
        <v>POOL EXCEDENTE</v>
      </c>
      <c r="F1979" s="77" t="s">
        <v>122</v>
      </c>
      <c r="G1979" s="73" t="str">
        <f>VLOOKUP(F1979,'[2]Lista de Produtos CLASSIFICAÇÃO'!$E$103:$F$114,2,FALSE)</f>
        <v>Óleo Vegetal</v>
      </c>
      <c r="H1979" s="78">
        <v>2173</v>
      </c>
    </row>
    <row r="1980" spans="1:8" x14ac:dyDescent="0.25">
      <c r="A1980" s="71">
        <v>2025</v>
      </c>
      <c r="B1980" s="72" t="s">
        <v>230</v>
      </c>
      <c r="C1980" s="73" t="s">
        <v>232</v>
      </c>
      <c r="D1980" s="73" t="s">
        <v>168</v>
      </c>
      <c r="E1980" s="73" t="str">
        <f>VLOOKUP(D1980,clientes!$C$3:$D$60,2,FALSE)</f>
        <v>POOL EXCEDENTE</v>
      </c>
      <c r="F1980" s="73" t="s">
        <v>122</v>
      </c>
      <c r="G1980" s="73" t="str">
        <f>VLOOKUP(F1980,'[2]Lista de Produtos CLASSIFICAÇÃO'!$E$103:$F$114,2,FALSE)</f>
        <v>Óleo Vegetal</v>
      </c>
      <c r="H1980" s="74">
        <v>0</v>
      </c>
    </row>
    <row r="1981" spans="1:8" x14ac:dyDescent="0.25">
      <c r="A1981" s="75">
        <v>2025</v>
      </c>
      <c r="B1981" s="76" t="s">
        <v>231</v>
      </c>
      <c r="C1981" s="77" t="s">
        <v>232</v>
      </c>
      <c r="D1981" s="77" t="s">
        <v>168</v>
      </c>
      <c r="E1981" s="73" t="str">
        <f>VLOOKUP(D1981,clientes!$C$3:$D$60,2,FALSE)</f>
        <v>POOL EXCEDENTE</v>
      </c>
      <c r="F1981" s="77" t="s">
        <v>122</v>
      </c>
      <c r="G1981" s="73" t="str">
        <f>VLOOKUP(F1981,'[2]Lista de Produtos CLASSIFICAÇÃO'!$E$103:$F$114,2,FALSE)</f>
        <v>Óleo Vegetal</v>
      </c>
      <c r="H1981" s="78">
        <v>2173</v>
      </c>
    </row>
    <row r="1982" spans="1:8" x14ac:dyDescent="0.25">
      <c r="A1982" s="71">
        <v>2025</v>
      </c>
      <c r="B1982" s="72" t="s">
        <v>226</v>
      </c>
      <c r="C1982" s="73" t="s">
        <v>233</v>
      </c>
      <c r="D1982" s="73" t="s">
        <v>159</v>
      </c>
      <c r="E1982" s="73" t="str">
        <f>VLOOKUP(D1982,clientes!$C$3:$D$60,2,FALSE)</f>
        <v>RAIZEN</v>
      </c>
      <c r="F1982" s="73" t="s">
        <v>120</v>
      </c>
      <c r="G1982" s="73" t="str">
        <f>VLOOKUP(F1982,'[2]Lista de Produtos CLASSIFICAÇÃO'!$E$103:$F$114,2,FALSE)</f>
        <v>Derivados</v>
      </c>
      <c r="H1982" s="74">
        <v>50000</v>
      </c>
    </row>
    <row r="1983" spans="1:8" x14ac:dyDescent="0.25">
      <c r="A1983" s="75">
        <v>2025</v>
      </c>
      <c r="B1983" s="76" t="s">
        <v>227</v>
      </c>
      <c r="C1983" s="77" t="s">
        <v>233</v>
      </c>
      <c r="D1983" s="77" t="s">
        <v>159</v>
      </c>
      <c r="E1983" s="73" t="str">
        <f>VLOOKUP(D1983,clientes!$C$3:$D$60,2,FALSE)</f>
        <v>RAIZEN</v>
      </c>
      <c r="F1983" s="77" t="s">
        <v>120</v>
      </c>
      <c r="G1983" s="73" t="str">
        <f>VLOOKUP(F1983,'[2]Lista de Produtos CLASSIFICAÇÃO'!$E$103:$F$114,2,FALSE)</f>
        <v>Derivados</v>
      </c>
      <c r="H1983" s="78">
        <v>50000</v>
      </c>
    </row>
    <row r="1984" spans="1:8" x14ac:dyDescent="0.25">
      <c r="A1984" s="71">
        <v>2025</v>
      </c>
      <c r="B1984" s="72" t="s">
        <v>228</v>
      </c>
      <c r="C1984" s="73" t="s">
        <v>233</v>
      </c>
      <c r="D1984" s="73" t="s">
        <v>159</v>
      </c>
      <c r="E1984" s="73" t="str">
        <f>VLOOKUP(D1984,clientes!$C$3:$D$60,2,FALSE)</f>
        <v>RAIZEN</v>
      </c>
      <c r="F1984" s="73" t="s">
        <v>120</v>
      </c>
      <c r="G1984" s="73" t="str">
        <f>VLOOKUP(F1984,'[2]Lista de Produtos CLASSIFICAÇÃO'!$E$103:$F$114,2,FALSE)</f>
        <v>Derivados</v>
      </c>
      <c r="H1984" s="74">
        <v>50000</v>
      </c>
    </row>
    <row r="1985" spans="1:8" x14ac:dyDescent="0.25">
      <c r="A1985" s="75">
        <v>2025</v>
      </c>
      <c r="B1985" s="76" t="s">
        <v>229</v>
      </c>
      <c r="C1985" s="77" t="s">
        <v>233</v>
      </c>
      <c r="D1985" s="77" t="s">
        <v>159</v>
      </c>
      <c r="E1985" s="73" t="str">
        <f>VLOOKUP(D1985,clientes!$C$3:$D$60,2,FALSE)</f>
        <v>RAIZEN</v>
      </c>
      <c r="F1985" s="77" t="s">
        <v>120</v>
      </c>
      <c r="G1985" s="73" t="str">
        <f>VLOOKUP(F1985,'[2]Lista de Produtos CLASSIFICAÇÃO'!$E$103:$F$114,2,FALSE)</f>
        <v>Derivados</v>
      </c>
      <c r="H1985" s="78">
        <v>50000</v>
      </c>
    </row>
    <row r="1986" spans="1:8" x14ac:dyDescent="0.25">
      <c r="A1986" s="71">
        <v>2025</v>
      </c>
      <c r="B1986" s="72" t="s">
        <v>210</v>
      </c>
      <c r="C1986" s="73" t="s">
        <v>233</v>
      </c>
      <c r="D1986" s="73" t="s">
        <v>159</v>
      </c>
      <c r="E1986" s="73" t="str">
        <f>VLOOKUP(D1986,clientes!$C$3:$D$60,2,FALSE)</f>
        <v>RAIZEN</v>
      </c>
      <c r="F1986" s="73" t="s">
        <v>120</v>
      </c>
      <c r="G1986" s="73" t="str">
        <f>VLOOKUP(F1986,'[2]Lista de Produtos CLASSIFICAÇÃO'!$E$103:$F$114,2,FALSE)</f>
        <v>Derivados</v>
      </c>
      <c r="H1986" s="74">
        <v>50000</v>
      </c>
    </row>
    <row r="1987" spans="1:8" x14ac:dyDescent="0.25">
      <c r="A1987" s="75">
        <v>2025</v>
      </c>
      <c r="B1987" s="76" t="s">
        <v>211</v>
      </c>
      <c r="C1987" s="77" t="s">
        <v>233</v>
      </c>
      <c r="D1987" s="77" t="s">
        <v>159</v>
      </c>
      <c r="E1987" s="73" t="str">
        <f>VLOOKUP(D1987,clientes!$C$3:$D$60,2,FALSE)</f>
        <v>RAIZEN</v>
      </c>
      <c r="F1987" s="77" t="s">
        <v>120</v>
      </c>
      <c r="G1987" s="73" t="str">
        <f>VLOOKUP(F1987,'[2]Lista de Produtos CLASSIFICAÇÃO'!$E$103:$F$114,2,FALSE)</f>
        <v>Derivados</v>
      </c>
      <c r="H1987" s="78">
        <v>50000</v>
      </c>
    </row>
    <row r="1988" spans="1:8" x14ac:dyDescent="0.25">
      <c r="A1988" s="71">
        <v>2025</v>
      </c>
      <c r="B1988" s="72" t="s">
        <v>212</v>
      </c>
      <c r="C1988" s="73" t="s">
        <v>233</v>
      </c>
      <c r="D1988" s="73" t="s">
        <v>159</v>
      </c>
      <c r="E1988" s="73" t="str">
        <f>VLOOKUP(D1988,clientes!$C$3:$D$60,2,FALSE)</f>
        <v>RAIZEN</v>
      </c>
      <c r="F1988" s="73" t="s">
        <v>120</v>
      </c>
      <c r="G1988" s="73" t="str">
        <f>VLOOKUP(F1988,'[2]Lista de Produtos CLASSIFICAÇÃO'!$E$103:$F$114,2,FALSE)</f>
        <v>Derivados</v>
      </c>
      <c r="H1988" s="74">
        <v>50000</v>
      </c>
    </row>
    <row r="1989" spans="1:8" x14ac:dyDescent="0.25">
      <c r="A1989" s="75">
        <v>2025</v>
      </c>
      <c r="B1989" s="76" t="s">
        <v>213</v>
      </c>
      <c r="C1989" s="77" t="s">
        <v>233</v>
      </c>
      <c r="D1989" s="77" t="s">
        <v>159</v>
      </c>
      <c r="E1989" s="73" t="str">
        <f>VLOOKUP(D1989,clientes!$C$3:$D$60,2,FALSE)</f>
        <v>RAIZEN</v>
      </c>
      <c r="F1989" s="77" t="s">
        <v>120</v>
      </c>
      <c r="G1989" s="73" t="str">
        <f>VLOOKUP(F1989,'[2]Lista de Produtos CLASSIFICAÇÃO'!$E$103:$F$114,2,FALSE)</f>
        <v>Derivados</v>
      </c>
      <c r="H1989" s="78">
        <v>50000</v>
      </c>
    </row>
    <row r="1990" spans="1:8" x14ac:dyDescent="0.25">
      <c r="A1990" s="71">
        <v>2025</v>
      </c>
      <c r="B1990" s="72" t="s">
        <v>214</v>
      </c>
      <c r="C1990" s="73" t="s">
        <v>233</v>
      </c>
      <c r="D1990" s="73" t="s">
        <v>159</v>
      </c>
      <c r="E1990" s="73" t="str">
        <f>VLOOKUP(D1990,clientes!$C$3:$D$60,2,FALSE)</f>
        <v>RAIZEN</v>
      </c>
      <c r="F1990" s="73" t="s">
        <v>120</v>
      </c>
      <c r="G1990" s="73" t="str">
        <f>VLOOKUP(F1990,'[2]Lista de Produtos CLASSIFICAÇÃO'!$E$103:$F$114,2,FALSE)</f>
        <v>Derivados</v>
      </c>
      <c r="H1990" s="74">
        <v>50000</v>
      </c>
    </row>
    <row r="1991" spans="1:8" x14ac:dyDescent="0.25">
      <c r="A1991" s="75">
        <v>2025</v>
      </c>
      <c r="B1991" s="76" t="s">
        <v>215</v>
      </c>
      <c r="C1991" s="77" t="s">
        <v>233</v>
      </c>
      <c r="D1991" s="77" t="s">
        <v>159</v>
      </c>
      <c r="E1991" s="73" t="str">
        <f>VLOOKUP(D1991,clientes!$C$3:$D$60,2,FALSE)</f>
        <v>RAIZEN</v>
      </c>
      <c r="F1991" s="77" t="s">
        <v>120</v>
      </c>
      <c r="G1991" s="73" t="str">
        <f>VLOOKUP(F1991,'[2]Lista de Produtos CLASSIFICAÇÃO'!$E$103:$F$114,2,FALSE)</f>
        <v>Derivados</v>
      </c>
      <c r="H1991" s="78">
        <v>50000</v>
      </c>
    </row>
    <row r="1992" spans="1:8" x14ac:dyDescent="0.25">
      <c r="A1992" s="71">
        <v>2025</v>
      </c>
      <c r="B1992" s="72" t="s">
        <v>230</v>
      </c>
      <c r="C1992" s="73" t="s">
        <v>233</v>
      </c>
      <c r="D1992" s="73" t="s">
        <v>159</v>
      </c>
      <c r="E1992" s="73" t="str">
        <f>VLOOKUP(D1992,clientes!$C$3:$D$60,2,FALSE)</f>
        <v>RAIZEN</v>
      </c>
      <c r="F1992" s="73" t="s">
        <v>120</v>
      </c>
      <c r="G1992" s="73" t="str">
        <f>VLOOKUP(F1992,'[2]Lista de Produtos CLASSIFICAÇÃO'!$E$103:$F$114,2,FALSE)</f>
        <v>Derivados</v>
      </c>
      <c r="H1992" s="74">
        <v>50000</v>
      </c>
    </row>
    <row r="1993" spans="1:8" x14ac:dyDescent="0.25">
      <c r="A1993" s="75">
        <v>2025</v>
      </c>
      <c r="B1993" s="76" t="s">
        <v>231</v>
      </c>
      <c r="C1993" s="77" t="s">
        <v>233</v>
      </c>
      <c r="D1993" s="77" t="s">
        <v>159</v>
      </c>
      <c r="E1993" s="73" t="str">
        <f>VLOOKUP(D1993,clientes!$C$3:$D$60,2,FALSE)</f>
        <v>RAIZEN</v>
      </c>
      <c r="F1993" s="77" t="s">
        <v>120</v>
      </c>
      <c r="G1993" s="73" t="str">
        <f>VLOOKUP(F1993,'[2]Lista de Produtos CLASSIFICAÇÃO'!$E$103:$F$114,2,FALSE)</f>
        <v>Derivados</v>
      </c>
      <c r="H1993" s="78">
        <v>50000</v>
      </c>
    </row>
    <row r="1994" spans="1:8" x14ac:dyDescent="0.25">
      <c r="A1994" s="71">
        <v>2025</v>
      </c>
      <c r="B1994" s="72" t="s">
        <v>226</v>
      </c>
      <c r="C1994" s="73" t="s">
        <v>233</v>
      </c>
      <c r="D1994" s="73" t="s">
        <v>161</v>
      </c>
      <c r="E1994" s="73" t="str">
        <f>VLOOKUP(D1994,clientes!$C$3:$D$60,2,FALSE)</f>
        <v>SUL PLATA</v>
      </c>
      <c r="F1994" s="73" t="s">
        <v>120</v>
      </c>
      <c r="G1994" s="73" t="str">
        <f>VLOOKUP(F1994,'[2]Lista de Produtos CLASSIFICAÇÃO'!$E$103:$F$114,2,FALSE)</f>
        <v>Derivados</v>
      </c>
      <c r="H1994" s="74">
        <v>45000</v>
      </c>
    </row>
    <row r="1995" spans="1:8" x14ac:dyDescent="0.25">
      <c r="A1995" s="75">
        <v>2025</v>
      </c>
      <c r="B1995" s="76" t="s">
        <v>227</v>
      </c>
      <c r="C1995" s="77" t="s">
        <v>233</v>
      </c>
      <c r="D1995" s="77" t="s">
        <v>161</v>
      </c>
      <c r="E1995" s="73" t="str">
        <f>VLOOKUP(D1995,clientes!$C$3:$D$60,2,FALSE)</f>
        <v>SUL PLATA</v>
      </c>
      <c r="F1995" s="77" t="s">
        <v>120</v>
      </c>
      <c r="G1995" s="73" t="str">
        <f>VLOOKUP(F1995,'[2]Lista de Produtos CLASSIFICAÇÃO'!$E$103:$F$114,2,FALSE)</f>
        <v>Derivados</v>
      </c>
      <c r="H1995" s="78">
        <v>45000</v>
      </c>
    </row>
    <row r="1996" spans="1:8" x14ac:dyDescent="0.25">
      <c r="A1996" s="71">
        <v>2025</v>
      </c>
      <c r="B1996" s="72" t="s">
        <v>228</v>
      </c>
      <c r="C1996" s="73" t="s">
        <v>233</v>
      </c>
      <c r="D1996" s="73" t="s">
        <v>161</v>
      </c>
      <c r="E1996" s="73" t="str">
        <f>VLOOKUP(D1996,clientes!$C$3:$D$60,2,FALSE)</f>
        <v>SUL PLATA</v>
      </c>
      <c r="F1996" s="73" t="s">
        <v>120</v>
      </c>
      <c r="G1996" s="73" t="str">
        <f>VLOOKUP(F1996,'[2]Lista de Produtos CLASSIFICAÇÃO'!$E$103:$F$114,2,FALSE)</f>
        <v>Derivados</v>
      </c>
      <c r="H1996" s="74">
        <v>45000</v>
      </c>
    </row>
    <row r="1997" spans="1:8" x14ac:dyDescent="0.25">
      <c r="A1997" s="75">
        <v>2025</v>
      </c>
      <c r="B1997" s="76" t="s">
        <v>229</v>
      </c>
      <c r="C1997" s="77" t="s">
        <v>233</v>
      </c>
      <c r="D1997" s="77" t="s">
        <v>161</v>
      </c>
      <c r="E1997" s="73" t="str">
        <f>VLOOKUP(D1997,clientes!$C$3:$D$60,2,FALSE)</f>
        <v>SUL PLATA</v>
      </c>
      <c r="F1997" s="77" t="s">
        <v>120</v>
      </c>
      <c r="G1997" s="73" t="str">
        <f>VLOOKUP(F1997,'[2]Lista de Produtos CLASSIFICAÇÃO'!$E$103:$F$114,2,FALSE)</f>
        <v>Derivados</v>
      </c>
      <c r="H1997" s="78">
        <v>45000</v>
      </c>
    </row>
    <row r="1998" spans="1:8" x14ac:dyDescent="0.25">
      <c r="A1998" s="71">
        <v>2025</v>
      </c>
      <c r="B1998" s="72" t="s">
        <v>210</v>
      </c>
      <c r="C1998" s="73" t="s">
        <v>233</v>
      </c>
      <c r="D1998" s="73" t="s">
        <v>161</v>
      </c>
      <c r="E1998" s="73" t="str">
        <f>VLOOKUP(D1998,clientes!$C$3:$D$60,2,FALSE)</f>
        <v>SUL PLATA</v>
      </c>
      <c r="F1998" s="73" t="s">
        <v>120</v>
      </c>
      <c r="G1998" s="73" t="str">
        <f>VLOOKUP(F1998,'[2]Lista de Produtos CLASSIFICAÇÃO'!$E$103:$F$114,2,FALSE)</f>
        <v>Derivados</v>
      </c>
      <c r="H1998" s="74">
        <v>45000</v>
      </c>
    </row>
    <row r="1999" spans="1:8" x14ac:dyDescent="0.25">
      <c r="A1999" s="75">
        <v>2025</v>
      </c>
      <c r="B1999" s="76" t="s">
        <v>211</v>
      </c>
      <c r="C1999" s="77" t="s">
        <v>233</v>
      </c>
      <c r="D1999" s="77" t="s">
        <v>161</v>
      </c>
      <c r="E1999" s="73" t="str">
        <f>VLOOKUP(D1999,clientes!$C$3:$D$60,2,FALSE)</f>
        <v>SUL PLATA</v>
      </c>
      <c r="F1999" s="77" t="s">
        <v>120</v>
      </c>
      <c r="G1999" s="73" t="str">
        <f>VLOOKUP(F1999,'[2]Lista de Produtos CLASSIFICAÇÃO'!$E$103:$F$114,2,FALSE)</f>
        <v>Derivados</v>
      </c>
      <c r="H1999" s="78">
        <v>45000</v>
      </c>
    </row>
    <row r="2000" spans="1:8" x14ac:dyDescent="0.25">
      <c r="A2000" s="71">
        <v>2025</v>
      </c>
      <c r="B2000" s="72" t="s">
        <v>212</v>
      </c>
      <c r="C2000" s="73" t="s">
        <v>233</v>
      </c>
      <c r="D2000" s="73" t="s">
        <v>161</v>
      </c>
      <c r="E2000" s="73" t="str">
        <f>VLOOKUP(D2000,clientes!$C$3:$D$60,2,FALSE)</f>
        <v>SUL PLATA</v>
      </c>
      <c r="F2000" s="73" t="s">
        <v>120</v>
      </c>
      <c r="G2000" s="73" t="str">
        <f>VLOOKUP(F2000,'[2]Lista de Produtos CLASSIFICAÇÃO'!$E$103:$F$114,2,FALSE)</f>
        <v>Derivados</v>
      </c>
      <c r="H2000" s="74">
        <v>45000</v>
      </c>
    </row>
    <row r="2001" spans="1:8" x14ac:dyDescent="0.25">
      <c r="A2001" s="75">
        <v>2025</v>
      </c>
      <c r="B2001" s="76" t="s">
        <v>213</v>
      </c>
      <c r="C2001" s="77" t="s">
        <v>233</v>
      </c>
      <c r="D2001" s="77" t="s">
        <v>161</v>
      </c>
      <c r="E2001" s="73" t="str">
        <f>VLOOKUP(D2001,clientes!$C$3:$D$60,2,FALSE)</f>
        <v>SUL PLATA</v>
      </c>
      <c r="F2001" s="77" t="s">
        <v>120</v>
      </c>
      <c r="G2001" s="73" t="str">
        <f>VLOOKUP(F2001,'[2]Lista de Produtos CLASSIFICAÇÃO'!$E$103:$F$114,2,FALSE)</f>
        <v>Derivados</v>
      </c>
      <c r="H2001" s="78">
        <v>45000</v>
      </c>
    </row>
    <row r="2002" spans="1:8" x14ac:dyDescent="0.25">
      <c r="A2002" s="71">
        <v>2025</v>
      </c>
      <c r="B2002" s="72" t="s">
        <v>214</v>
      </c>
      <c r="C2002" s="73" t="s">
        <v>233</v>
      </c>
      <c r="D2002" s="73" t="s">
        <v>161</v>
      </c>
      <c r="E2002" s="73" t="str">
        <f>VLOOKUP(D2002,clientes!$C$3:$D$60,2,FALSE)</f>
        <v>SUL PLATA</v>
      </c>
      <c r="F2002" s="73" t="s">
        <v>120</v>
      </c>
      <c r="G2002" s="73" t="str">
        <f>VLOOKUP(F2002,'[2]Lista de Produtos CLASSIFICAÇÃO'!$E$103:$F$114,2,FALSE)</f>
        <v>Derivados</v>
      </c>
      <c r="H2002" s="74">
        <v>45000</v>
      </c>
    </row>
    <row r="2003" spans="1:8" x14ac:dyDescent="0.25">
      <c r="A2003" s="75">
        <v>2025</v>
      </c>
      <c r="B2003" s="76" t="s">
        <v>215</v>
      </c>
      <c r="C2003" s="77" t="s">
        <v>233</v>
      </c>
      <c r="D2003" s="77" t="s">
        <v>161</v>
      </c>
      <c r="E2003" s="73" t="str">
        <f>VLOOKUP(D2003,clientes!$C$3:$D$60,2,FALSE)</f>
        <v>SUL PLATA</v>
      </c>
      <c r="F2003" s="77" t="s">
        <v>120</v>
      </c>
      <c r="G2003" s="73" t="str">
        <f>VLOOKUP(F2003,'[2]Lista de Produtos CLASSIFICAÇÃO'!$E$103:$F$114,2,FALSE)</f>
        <v>Derivados</v>
      </c>
      <c r="H2003" s="78">
        <v>45000</v>
      </c>
    </row>
    <row r="2004" spans="1:8" x14ac:dyDescent="0.25">
      <c r="A2004" s="71">
        <v>2025</v>
      </c>
      <c r="B2004" s="72" t="s">
        <v>230</v>
      </c>
      <c r="C2004" s="73" t="s">
        <v>233</v>
      </c>
      <c r="D2004" s="73" t="s">
        <v>161</v>
      </c>
      <c r="E2004" s="73" t="str">
        <f>VLOOKUP(D2004,clientes!$C$3:$D$60,2,FALSE)</f>
        <v>SUL PLATA</v>
      </c>
      <c r="F2004" s="73" t="s">
        <v>120</v>
      </c>
      <c r="G2004" s="73" t="str">
        <f>VLOOKUP(F2004,'[2]Lista de Produtos CLASSIFICAÇÃO'!$E$103:$F$114,2,FALSE)</f>
        <v>Derivados</v>
      </c>
      <c r="H2004" s="74">
        <v>45000</v>
      </c>
    </row>
    <row r="2005" spans="1:8" x14ac:dyDescent="0.25">
      <c r="A2005" s="75">
        <v>2025</v>
      </c>
      <c r="B2005" s="76" t="s">
        <v>231</v>
      </c>
      <c r="C2005" s="77" t="s">
        <v>233</v>
      </c>
      <c r="D2005" s="77" t="s">
        <v>161</v>
      </c>
      <c r="E2005" s="73" t="str">
        <f>VLOOKUP(D2005,clientes!$C$3:$D$60,2,FALSE)</f>
        <v>SUL PLATA</v>
      </c>
      <c r="F2005" s="77" t="s">
        <v>120</v>
      </c>
      <c r="G2005" s="73" t="str">
        <f>VLOOKUP(F2005,'[2]Lista de Produtos CLASSIFICAÇÃO'!$E$103:$F$114,2,FALSE)</f>
        <v>Derivados</v>
      </c>
      <c r="H2005" s="78">
        <v>45000</v>
      </c>
    </row>
    <row r="2006" spans="1:8" x14ac:dyDescent="0.25">
      <c r="A2006" s="71">
        <v>2025</v>
      </c>
      <c r="B2006" s="72" t="s">
        <v>226</v>
      </c>
      <c r="C2006" s="73" t="s">
        <v>233</v>
      </c>
      <c r="D2006" s="73" t="s">
        <v>187</v>
      </c>
      <c r="E2006" s="73" t="str">
        <f>VLOOKUP(D2006,clientes!$C$3:$D$60,2,FALSE)</f>
        <v>TEREOS / INPASA / GLENCORE / FS</v>
      </c>
      <c r="F2006" s="73" t="s">
        <v>121</v>
      </c>
      <c r="G2006" s="73" t="str">
        <f>VLOOKUP(F2006,'[2]Lista de Produtos CLASSIFICAÇÃO'!$E$103:$F$114,2,FALSE)</f>
        <v>Biocombustíveis</v>
      </c>
      <c r="H2006" s="74">
        <v>10000</v>
      </c>
    </row>
    <row r="2007" spans="1:8" x14ac:dyDescent="0.25">
      <c r="A2007" s="75">
        <v>2025</v>
      </c>
      <c r="B2007" s="76" t="s">
        <v>227</v>
      </c>
      <c r="C2007" s="77" t="s">
        <v>233</v>
      </c>
      <c r="D2007" s="77" t="s">
        <v>187</v>
      </c>
      <c r="E2007" s="73" t="str">
        <f>VLOOKUP(D2007,clientes!$C$3:$D$60,2,FALSE)</f>
        <v>TEREOS / INPASA / GLENCORE / FS</v>
      </c>
      <c r="F2007" s="77" t="s">
        <v>121</v>
      </c>
      <c r="G2007" s="73" t="str">
        <f>VLOOKUP(F2007,'[2]Lista de Produtos CLASSIFICAÇÃO'!$E$103:$F$114,2,FALSE)</f>
        <v>Biocombustíveis</v>
      </c>
      <c r="H2007" s="78">
        <v>0</v>
      </c>
    </row>
    <row r="2008" spans="1:8" x14ac:dyDescent="0.25">
      <c r="A2008" s="71">
        <v>2025</v>
      </c>
      <c r="B2008" s="72" t="s">
        <v>228</v>
      </c>
      <c r="C2008" s="73" t="s">
        <v>233</v>
      </c>
      <c r="D2008" s="73" t="s">
        <v>187</v>
      </c>
      <c r="E2008" s="73" t="str">
        <f>VLOOKUP(D2008,clientes!$C$3:$D$60,2,FALSE)</f>
        <v>TEREOS / INPASA / GLENCORE / FS</v>
      </c>
      <c r="F2008" s="73" t="s">
        <v>121</v>
      </c>
      <c r="G2008" s="73" t="str">
        <f>VLOOKUP(F2008,'[2]Lista de Produtos CLASSIFICAÇÃO'!$E$103:$F$114,2,FALSE)</f>
        <v>Biocombustíveis</v>
      </c>
      <c r="H2008" s="74">
        <v>10000</v>
      </c>
    </row>
    <row r="2009" spans="1:8" x14ac:dyDescent="0.25">
      <c r="A2009" s="75">
        <v>2025</v>
      </c>
      <c r="B2009" s="76" t="s">
        <v>229</v>
      </c>
      <c r="C2009" s="77" t="s">
        <v>233</v>
      </c>
      <c r="D2009" s="77" t="s">
        <v>187</v>
      </c>
      <c r="E2009" s="73" t="str">
        <f>VLOOKUP(D2009,clientes!$C$3:$D$60,2,FALSE)</f>
        <v>TEREOS / INPASA / GLENCORE / FS</v>
      </c>
      <c r="F2009" s="77" t="s">
        <v>121</v>
      </c>
      <c r="G2009" s="73" t="str">
        <f>VLOOKUP(F2009,'[2]Lista de Produtos CLASSIFICAÇÃO'!$E$103:$F$114,2,FALSE)</f>
        <v>Biocombustíveis</v>
      </c>
      <c r="H2009" s="78">
        <v>0</v>
      </c>
    </row>
    <row r="2010" spans="1:8" x14ac:dyDescent="0.25">
      <c r="A2010" s="71">
        <v>2025</v>
      </c>
      <c r="B2010" s="72" t="s">
        <v>210</v>
      </c>
      <c r="C2010" s="73" t="s">
        <v>233</v>
      </c>
      <c r="D2010" s="73" t="s">
        <v>187</v>
      </c>
      <c r="E2010" s="73" t="str">
        <f>VLOOKUP(D2010,clientes!$C$3:$D$60,2,FALSE)</f>
        <v>TEREOS / INPASA / GLENCORE / FS</v>
      </c>
      <c r="F2010" s="73" t="s">
        <v>121</v>
      </c>
      <c r="G2010" s="73" t="str">
        <f>VLOOKUP(F2010,'[2]Lista de Produtos CLASSIFICAÇÃO'!$E$103:$F$114,2,FALSE)</f>
        <v>Biocombustíveis</v>
      </c>
      <c r="H2010" s="74">
        <v>10000</v>
      </c>
    </row>
    <row r="2011" spans="1:8" x14ac:dyDescent="0.25">
      <c r="A2011" s="75">
        <v>2025</v>
      </c>
      <c r="B2011" s="76" t="s">
        <v>211</v>
      </c>
      <c r="C2011" s="77" t="s">
        <v>233</v>
      </c>
      <c r="D2011" s="77" t="s">
        <v>187</v>
      </c>
      <c r="E2011" s="73" t="str">
        <f>VLOOKUP(D2011,clientes!$C$3:$D$60,2,FALSE)</f>
        <v>TEREOS / INPASA / GLENCORE / FS</v>
      </c>
      <c r="F2011" s="77" t="s">
        <v>121</v>
      </c>
      <c r="G2011" s="73" t="str">
        <f>VLOOKUP(F2011,'[2]Lista de Produtos CLASSIFICAÇÃO'!$E$103:$F$114,2,FALSE)</f>
        <v>Biocombustíveis</v>
      </c>
      <c r="H2011" s="78">
        <v>0</v>
      </c>
    </row>
    <row r="2012" spans="1:8" x14ac:dyDescent="0.25">
      <c r="A2012" s="71">
        <v>2025</v>
      </c>
      <c r="B2012" s="72" t="s">
        <v>212</v>
      </c>
      <c r="C2012" s="73" t="s">
        <v>233</v>
      </c>
      <c r="D2012" s="73" t="s">
        <v>187</v>
      </c>
      <c r="E2012" s="73" t="str">
        <f>VLOOKUP(D2012,clientes!$C$3:$D$60,2,FALSE)</f>
        <v>TEREOS / INPASA / GLENCORE / FS</v>
      </c>
      <c r="F2012" s="73" t="s">
        <v>121</v>
      </c>
      <c r="G2012" s="73" t="str">
        <f>VLOOKUP(F2012,'[2]Lista de Produtos CLASSIFICAÇÃO'!$E$103:$F$114,2,FALSE)</f>
        <v>Biocombustíveis</v>
      </c>
      <c r="H2012" s="74">
        <v>10000</v>
      </c>
    </row>
    <row r="2013" spans="1:8" x14ac:dyDescent="0.25">
      <c r="A2013" s="75">
        <v>2025</v>
      </c>
      <c r="B2013" s="76" t="s">
        <v>213</v>
      </c>
      <c r="C2013" s="77" t="s">
        <v>233</v>
      </c>
      <c r="D2013" s="77" t="s">
        <v>187</v>
      </c>
      <c r="E2013" s="73" t="str">
        <f>VLOOKUP(D2013,clientes!$C$3:$D$60,2,FALSE)</f>
        <v>TEREOS / INPASA / GLENCORE / FS</v>
      </c>
      <c r="F2013" s="77" t="s">
        <v>121</v>
      </c>
      <c r="G2013" s="73" t="str">
        <f>VLOOKUP(F2013,'[2]Lista de Produtos CLASSIFICAÇÃO'!$E$103:$F$114,2,FALSE)</f>
        <v>Biocombustíveis</v>
      </c>
      <c r="H2013" s="78">
        <v>0</v>
      </c>
    </row>
    <row r="2014" spans="1:8" x14ac:dyDescent="0.25">
      <c r="A2014" s="71">
        <v>2025</v>
      </c>
      <c r="B2014" s="72" t="s">
        <v>214</v>
      </c>
      <c r="C2014" s="73" t="s">
        <v>233</v>
      </c>
      <c r="D2014" s="73" t="s">
        <v>187</v>
      </c>
      <c r="E2014" s="73" t="str">
        <f>VLOOKUP(D2014,clientes!$C$3:$D$60,2,FALSE)</f>
        <v>TEREOS / INPASA / GLENCORE / FS</v>
      </c>
      <c r="F2014" s="73" t="s">
        <v>121</v>
      </c>
      <c r="G2014" s="73" t="str">
        <f>VLOOKUP(F2014,'[2]Lista de Produtos CLASSIFICAÇÃO'!$E$103:$F$114,2,FALSE)</f>
        <v>Biocombustíveis</v>
      </c>
      <c r="H2014" s="74">
        <v>10000</v>
      </c>
    </row>
    <row r="2015" spans="1:8" x14ac:dyDescent="0.25">
      <c r="A2015" s="75">
        <v>2025</v>
      </c>
      <c r="B2015" s="76" t="s">
        <v>215</v>
      </c>
      <c r="C2015" s="77" t="s">
        <v>233</v>
      </c>
      <c r="D2015" s="77" t="s">
        <v>187</v>
      </c>
      <c r="E2015" s="73" t="str">
        <f>VLOOKUP(D2015,clientes!$C$3:$D$60,2,FALSE)</f>
        <v>TEREOS / INPASA / GLENCORE / FS</v>
      </c>
      <c r="F2015" s="77" t="s">
        <v>121</v>
      </c>
      <c r="G2015" s="73" t="str">
        <f>VLOOKUP(F2015,'[2]Lista de Produtos CLASSIFICAÇÃO'!$E$103:$F$114,2,FALSE)</f>
        <v>Biocombustíveis</v>
      </c>
      <c r="H2015" s="78">
        <v>0</v>
      </c>
    </row>
    <row r="2016" spans="1:8" x14ac:dyDescent="0.25">
      <c r="A2016" s="71">
        <v>2025</v>
      </c>
      <c r="B2016" s="72" t="s">
        <v>230</v>
      </c>
      <c r="C2016" s="73" t="s">
        <v>233</v>
      </c>
      <c r="D2016" s="73" t="s">
        <v>187</v>
      </c>
      <c r="E2016" s="73" t="str">
        <f>VLOOKUP(D2016,clientes!$C$3:$D$60,2,FALSE)</f>
        <v>TEREOS / INPASA / GLENCORE / FS</v>
      </c>
      <c r="F2016" s="73" t="s">
        <v>121</v>
      </c>
      <c r="G2016" s="73" t="str">
        <f>VLOOKUP(F2016,'[2]Lista de Produtos CLASSIFICAÇÃO'!$E$103:$F$114,2,FALSE)</f>
        <v>Biocombustíveis</v>
      </c>
      <c r="H2016" s="74">
        <v>10000</v>
      </c>
    </row>
    <row r="2017" spans="1:8" x14ac:dyDescent="0.25">
      <c r="A2017" s="75">
        <v>2025</v>
      </c>
      <c r="B2017" s="76" t="s">
        <v>231</v>
      </c>
      <c r="C2017" s="77" t="s">
        <v>233</v>
      </c>
      <c r="D2017" s="77" t="s">
        <v>187</v>
      </c>
      <c r="E2017" s="73" t="str">
        <f>VLOOKUP(D2017,clientes!$C$3:$D$60,2,FALSE)</f>
        <v>TEREOS / INPASA / GLENCORE / FS</v>
      </c>
      <c r="F2017" s="77" t="s">
        <v>121</v>
      </c>
      <c r="G2017" s="73" t="str">
        <f>VLOOKUP(F2017,'[2]Lista de Produtos CLASSIFICAÇÃO'!$E$103:$F$114,2,FALSE)</f>
        <v>Biocombustíveis</v>
      </c>
      <c r="H2017" s="78">
        <v>0</v>
      </c>
    </row>
    <row r="2018" spans="1:8" x14ac:dyDescent="0.25">
      <c r="A2018" s="71">
        <v>2025</v>
      </c>
      <c r="B2018" s="72" t="s">
        <v>226</v>
      </c>
      <c r="C2018" s="73" t="s">
        <v>225</v>
      </c>
      <c r="D2018" s="73" t="s">
        <v>163</v>
      </c>
      <c r="E2018" s="73" t="str">
        <f>VLOOKUP(D2018,clientes!$C$3:$D$60,2,FALSE)</f>
        <v>TRICON ENERGY</v>
      </c>
      <c r="F2018" s="73" t="s">
        <v>115</v>
      </c>
      <c r="G2018" s="73" t="str">
        <f>VLOOKUP(F2018,'[2]Lista de Produtos CLASSIFICAÇÃO'!$E$103:$F$114,2,FALSE)</f>
        <v>Soda Caustica</v>
      </c>
      <c r="H2018" s="74">
        <v>5300</v>
      </c>
    </row>
    <row r="2019" spans="1:8" x14ac:dyDescent="0.25">
      <c r="A2019" s="75">
        <v>2025</v>
      </c>
      <c r="B2019" s="76" t="s">
        <v>227</v>
      </c>
      <c r="C2019" s="77" t="s">
        <v>225</v>
      </c>
      <c r="D2019" s="77" t="s">
        <v>163</v>
      </c>
      <c r="E2019" s="73" t="str">
        <f>VLOOKUP(D2019,clientes!$C$3:$D$60,2,FALSE)</f>
        <v>TRICON ENERGY</v>
      </c>
      <c r="F2019" s="77" t="s">
        <v>115</v>
      </c>
      <c r="G2019" s="73" t="str">
        <f>VLOOKUP(F2019,'[2]Lista de Produtos CLASSIFICAÇÃO'!$E$103:$F$114,2,FALSE)</f>
        <v>Soda Caustica</v>
      </c>
      <c r="H2019" s="78">
        <v>5300</v>
      </c>
    </row>
    <row r="2020" spans="1:8" x14ac:dyDescent="0.25">
      <c r="A2020" s="71">
        <v>2025</v>
      </c>
      <c r="B2020" s="72" t="s">
        <v>228</v>
      </c>
      <c r="C2020" s="73" t="s">
        <v>225</v>
      </c>
      <c r="D2020" s="73" t="s">
        <v>163</v>
      </c>
      <c r="E2020" s="73" t="str">
        <f>VLOOKUP(D2020,clientes!$C$3:$D$60,2,FALSE)</f>
        <v>TRICON ENERGY</v>
      </c>
      <c r="F2020" s="73" t="s">
        <v>115</v>
      </c>
      <c r="G2020" s="73" t="str">
        <f>VLOOKUP(F2020,'[2]Lista de Produtos CLASSIFICAÇÃO'!$E$103:$F$114,2,FALSE)</f>
        <v>Soda Caustica</v>
      </c>
      <c r="H2020" s="74">
        <v>5300</v>
      </c>
    </row>
    <row r="2021" spans="1:8" x14ac:dyDescent="0.25">
      <c r="A2021" s="75">
        <v>2025</v>
      </c>
      <c r="B2021" s="76" t="s">
        <v>229</v>
      </c>
      <c r="C2021" s="77" t="s">
        <v>225</v>
      </c>
      <c r="D2021" s="77" t="s">
        <v>163</v>
      </c>
      <c r="E2021" s="73" t="str">
        <f>VLOOKUP(D2021,clientes!$C$3:$D$60,2,FALSE)</f>
        <v>TRICON ENERGY</v>
      </c>
      <c r="F2021" s="77" t="s">
        <v>115</v>
      </c>
      <c r="G2021" s="73" t="str">
        <f>VLOOKUP(F2021,'[2]Lista de Produtos CLASSIFICAÇÃO'!$E$103:$F$114,2,FALSE)</f>
        <v>Soda Caustica</v>
      </c>
      <c r="H2021" s="78">
        <v>5300</v>
      </c>
    </row>
    <row r="2022" spans="1:8" x14ac:dyDescent="0.25">
      <c r="A2022" s="71">
        <v>2025</v>
      </c>
      <c r="B2022" s="72" t="s">
        <v>210</v>
      </c>
      <c r="C2022" s="73" t="s">
        <v>225</v>
      </c>
      <c r="D2022" s="73" t="s">
        <v>163</v>
      </c>
      <c r="E2022" s="73" t="str">
        <f>VLOOKUP(D2022,clientes!$C$3:$D$60,2,FALSE)</f>
        <v>TRICON ENERGY</v>
      </c>
      <c r="F2022" s="73" t="s">
        <v>115</v>
      </c>
      <c r="G2022" s="73" t="str">
        <f>VLOOKUP(F2022,'[2]Lista de Produtos CLASSIFICAÇÃO'!$E$103:$F$114,2,FALSE)</f>
        <v>Soda Caustica</v>
      </c>
      <c r="H2022" s="74">
        <v>5300</v>
      </c>
    </row>
    <row r="2023" spans="1:8" x14ac:dyDescent="0.25">
      <c r="A2023" s="75">
        <v>2025</v>
      </c>
      <c r="B2023" s="76" t="s">
        <v>211</v>
      </c>
      <c r="C2023" s="77" t="s">
        <v>225</v>
      </c>
      <c r="D2023" s="77" t="s">
        <v>163</v>
      </c>
      <c r="E2023" s="73" t="str">
        <f>VLOOKUP(D2023,clientes!$C$3:$D$60,2,FALSE)</f>
        <v>TRICON ENERGY</v>
      </c>
      <c r="F2023" s="77" t="s">
        <v>115</v>
      </c>
      <c r="G2023" s="73" t="str">
        <f>VLOOKUP(F2023,'[2]Lista de Produtos CLASSIFICAÇÃO'!$E$103:$F$114,2,FALSE)</f>
        <v>Soda Caustica</v>
      </c>
      <c r="H2023" s="78">
        <v>5300</v>
      </c>
    </row>
    <row r="2024" spans="1:8" x14ac:dyDescent="0.25">
      <c r="A2024" s="71">
        <v>2025</v>
      </c>
      <c r="B2024" s="72" t="s">
        <v>212</v>
      </c>
      <c r="C2024" s="73" t="s">
        <v>225</v>
      </c>
      <c r="D2024" s="73" t="s">
        <v>163</v>
      </c>
      <c r="E2024" s="73" t="str">
        <f>VLOOKUP(D2024,clientes!$C$3:$D$60,2,FALSE)</f>
        <v>TRICON ENERGY</v>
      </c>
      <c r="F2024" s="73" t="s">
        <v>115</v>
      </c>
      <c r="G2024" s="73" t="str">
        <f>VLOOKUP(F2024,'[2]Lista de Produtos CLASSIFICAÇÃO'!$E$103:$F$114,2,FALSE)</f>
        <v>Soda Caustica</v>
      </c>
      <c r="H2024" s="74">
        <v>5300</v>
      </c>
    </row>
    <row r="2025" spans="1:8" x14ac:dyDescent="0.25">
      <c r="A2025" s="75">
        <v>2025</v>
      </c>
      <c r="B2025" s="76" t="s">
        <v>213</v>
      </c>
      <c r="C2025" s="77" t="s">
        <v>225</v>
      </c>
      <c r="D2025" s="77" t="s">
        <v>163</v>
      </c>
      <c r="E2025" s="73" t="str">
        <f>VLOOKUP(D2025,clientes!$C$3:$D$60,2,FALSE)</f>
        <v>TRICON ENERGY</v>
      </c>
      <c r="F2025" s="77" t="s">
        <v>115</v>
      </c>
      <c r="G2025" s="73" t="str">
        <f>VLOOKUP(F2025,'[2]Lista de Produtos CLASSIFICAÇÃO'!$E$103:$F$114,2,FALSE)</f>
        <v>Soda Caustica</v>
      </c>
      <c r="H2025" s="78">
        <v>5300</v>
      </c>
    </row>
    <row r="2026" spans="1:8" x14ac:dyDescent="0.25">
      <c r="A2026" s="71">
        <v>2025</v>
      </c>
      <c r="B2026" s="72" t="s">
        <v>214</v>
      </c>
      <c r="C2026" s="73" t="s">
        <v>225</v>
      </c>
      <c r="D2026" s="73" t="s">
        <v>163</v>
      </c>
      <c r="E2026" s="73" t="str">
        <f>VLOOKUP(D2026,clientes!$C$3:$D$60,2,FALSE)</f>
        <v>TRICON ENERGY</v>
      </c>
      <c r="F2026" s="73" t="s">
        <v>115</v>
      </c>
      <c r="G2026" s="73" t="str">
        <f>VLOOKUP(F2026,'[2]Lista de Produtos CLASSIFICAÇÃO'!$E$103:$F$114,2,FALSE)</f>
        <v>Soda Caustica</v>
      </c>
      <c r="H2026" s="74">
        <v>5300</v>
      </c>
    </row>
    <row r="2027" spans="1:8" x14ac:dyDescent="0.25">
      <c r="A2027" s="75">
        <v>2025</v>
      </c>
      <c r="B2027" s="76" t="s">
        <v>215</v>
      </c>
      <c r="C2027" s="77" t="s">
        <v>225</v>
      </c>
      <c r="D2027" s="77" t="s">
        <v>163</v>
      </c>
      <c r="E2027" s="73" t="str">
        <f>VLOOKUP(D2027,clientes!$C$3:$D$60,2,FALSE)</f>
        <v>TRICON ENERGY</v>
      </c>
      <c r="F2027" s="77" t="s">
        <v>115</v>
      </c>
      <c r="G2027" s="73" t="str">
        <f>VLOOKUP(F2027,'[2]Lista de Produtos CLASSIFICAÇÃO'!$E$103:$F$114,2,FALSE)</f>
        <v>Soda Caustica</v>
      </c>
      <c r="H2027" s="78">
        <v>5300</v>
      </c>
    </row>
    <row r="2028" spans="1:8" x14ac:dyDescent="0.25">
      <c r="A2028" s="71">
        <v>2025</v>
      </c>
      <c r="B2028" s="72" t="s">
        <v>230</v>
      </c>
      <c r="C2028" s="73" t="s">
        <v>225</v>
      </c>
      <c r="D2028" s="73" t="s">
        <v>163</v>
      </c>
      <c r="E2028" s="73" t="str">
        <f>VLOOKUP(D2028,clientes!$C$3:$D$60,2,FALSE)</f>
        <v>TRICON ENERGY</v>
      </c>
      <c r="F2028" s="73" t="s">
        <v>115</v>
      </c>
      <c r="G2028" s="73" t="str">
        <f>VLOOKUP(F2028,'[2]Lista de Produtos CLASSIFICAÇÃO'!$E$103:$F$114,2,FALSE)</f>
        <v>Soda Caustica</v>
      </c>
      <c r="H2028" s="74">
        <v>5300</v>
      </c>
    </row>
    <row r="2029" spans="1:8" x14ac:dyDescent="0.25">
      <c r="A2029" s="75">
        <v>2025</v>
      </c>
      <c r="B2029" s="76" t="s">
        <v>231</v>
      </c>
      <c r="C2029" s="77" t="s">
        <v>225</v>
      </c>
      <c r="D2029" s="77" t="s">
        <v>163</v>
      </c>
      <c r="E2029" s="73" t="str">
        <f>VLOOKUP(D2029,clientes!$C$3:$D$60,2,FALSE)</f>
        <v>TRICON ENERGY</v>
      </c>
      <c r="F2029" s="77" t="s">
        <v>115</v>
      </c>
      <c r="G2029" s="73" t="str">
        <f>VLOOKUP(F2029,'[2]Lista de Produtos CLASSIFICAÇÃO'!$E$103:$F$114,2,FALSE)</f>
        <v>Soda Caustica</v>
      </c>
      <c r="H2029" s="78">
        <v>5300</v>
      </c>
    </row>
    <row r="2030" spans="1:8" x14ac:dyDescent="0.25">
      <c r="A2030" s="71">
        <v>2025</v>
      </c>
      <c r="B2030" s="72" t="s">
        <v>226</v>
      </c>
      <c r="C2030" s="73" t="s">
        <v>235</v>
      </c>
      <c r="D2030" s="73" t="s">
        <v>171</v>
      </c>
      <c r="E2030" s="73" t="str">
        <f>VLOOKUP(D2030,clientes!$C$3:$D$60,2,FALSE)</f>
        <v>VALENZ</v>
      </c>
      <c r="F2030" s="73" t="s">
        <v>22</v>
      </c>
      <c r="G2030" s="73" t="str">
        <f>VLOOKUP(F2030,'[2]Lista de Produtos CLASSIFICAÇÃO'!$E$103:$F$114,2,FALSE)</f>
        <v>Metanol</v>
      </c>
      <c r="H2030" s="74">
        <v>85000</v>
      </c>
    </row>
    <row r="2031" spans="1:8" x14ac:dyDescent="0.25">
      <c r="A2031" s="75">
        <v>2025</v>
      </c>
      <c r="B2031" s="76" t="s">
        <v>227</v>
      </c>
      <c r="C2031" s="77" t="s">
        <v>235</v>
      </c>
      <c r="D2031" s="77" t="s">
        <v>171</v>
      </c>
      <c r="E2031" s="73" t="str">
        <f>VLOOKUP(D2031,clientes!$C$3:$D$60,2,FALSE)</f>
        <v>VALENZ</v>
      </c>
      <c r="F2031" s="77" t="s">
        <v>22</v>
      </c>
      <c r="G2031" s="73" t="str">
        <f>VLOOKUP(F2031,'[2]Lista de Produtos CLASSIFICAÇÃO'!$E$103:$F$114,2,FALSE)</f>
        <v>Metanol</v>
      </c>
      <c r="H2031" s="78">
        <v>85000</v>
      </c>
    </row>
    <row r="2032" spans="1:8" x14ac:dyDescent="0.25">
      <c r="A2032" s="71">
        <v>2025</v>
      </c>
      <c r="B2032" s="72" t="s">
        <v>228</v>
      </c>
      <c r="C2032" s="73" t="s">
        <v>235</v>
      </c>
      <c r="D2032" s="73" t="s">
        <v>171</v>
      </c>
      <c r="E2032" s="73" t="str">
        <f>VLOOKUP(D2032,clientes!$C$3:$D$60,2,FALSE)</f>
        <v>VALENZ</v>
      </c>
      <c r="F2032" s="73" t="s">
        <v>22</v>
      </c>
      <c r="G2032" s="73" t="str">
        <f>VLOOKUP(F2032,'[2]Lista de Produtos CLASSIFICAÇÃO'!$E$103:$F$114,2,FALSE)</f>
        <v>Metanol</v>
      </c>
      <c r="H2032" s="74">
        <v>85000</v>
      </c>
    </row>
    <row r="2033" spans="1:8" x14ac:dyDescent="0.25">
      <c r="A2033" s="75">
        <v>2025</v>
      </c>
      <c r="B2033" s="76" t="s">
        <v>229</v>
      </c>
      <c r="C2033" s="77" t="s">
        <v>235</v>
      </c>
      <c r="D2033" s="77" t="s">
        <v>171</v>
      </c>
      <c r="E2033" s="73" t="str">
        <f>VLOOKUP(D2033,clientes!$C$3:$D$60,2,FALSE)</f>
        <v>VALENZ</v>
      </c>
      <c r="F2033" s="77" t="s">
        <v>22</v>
      </c>
      <c r="G2033" s="73" t="str">
        <f>VLOOKUP(F2033,'[2]Lista de Produtos CLASSIFICAÇÃO'!$E$103:$F$114,2,FALSE)</f>
        <v>Metanol</v>
      </c>
      <c r="H2033" s="78">
        <v>85000</v>
      </c>
    </row>
    <row r="2034" spans="1:8" x14ac:dyDescent="0.25">
      <c r="A2034" s="71">
        <v>2025</v>
      </c>
      <c r="B2034" s="72" t="s">
        <v>210</v>
      </c>
      <c r="C2034" s="73" t="s">
        <v>235</v>
      </c>
      <c r="D2034" s="73" t="s">
        <v>171</v>
      </c>
      <c r="E2034" s="73" t="str">
        <f>VLOOKUP(D2034,clientes!$C$3:$D$60,2,FALSE)</f>
        <v>VALENZ</v>
      </c>
      <c r="F2034" s="73" t="s">
        <v>22</v>
      </c>
      <c r="G2034" s="73" t="str">
        <f>VLOOKUP(F2034,'[2]Lista de Produtos CLASSIFICAÇÃO'!$E$103:$F$114,2,FALSE)</f>
        <v>Metanol</v>
      </c>
      <c r="H2034" s="74">
        <v>85000</v>
      </c>
    </row>
    <row r="2035" spans="1:8" x14ac:dyDescent="0.25">
      <c r="A2035" s="75">
        <v>2025</v>
      </c>
      <c r="B2035" s="76" t="s">
        <v>211</v>
      </c>
      <c r="C2035" s="77" t="s">
        <v>235</v>
      </c>
      <c r="D2035" s="77" t="s">
        <v>171</v>
      </c>
      <c r="E2035" s="73" t="str">
        <f>VLOOKUP(D2035,clientes!$C$3:$D$60,2,FALSE)</f>
        <v>VALENZ</v>
      </c>
      <c r="F2035" s="77" t="s">
        <v>22</v>
      </c>
      <c r="G2035" s="73" t="str">
        <f>VLOOKUP(F2035,'[2]Lista de Produtos CLASSIFICAÇÃO'!$E$103:$F$114,2,FALSE)</f>
        <v>Metanol</v>
      </c>
      <c r="H2035" s="78">
        <v>85000</v>
      </c>
    </row>
    <row r="2036" spans="1:8" x14ac:dyDescent="0.25">
      <c r="A2036" s="71">
        <v>2025</v>
      </c>
      <c r="B2036" s="72" t="s">
        <v>212</v>
      </c>
      <c r="C2036" s="73" t="s">
        <v>235</v>
      </c>
      <c r="D2036" s="73" t="s">
        <v>171</v>
      </c>
      <c r="E2036" s="73" t="str">
        <f>VLOOKUP(D2036,clientes!$C$3:$D$60,2,FALSE)</f>
        <v>VALENZ</v>
      </c>
      <c r="F2036" s="73" t="s">
        <v>22</v>
      </c>
      <c r="G2036" s="73" t="str">
        <f>VLOOKUP(F2036,'[2]Lista de Produtos CLASSIFICAÇÃO'!$E$103:$F$114,2,FALSE)</f>
        <v>Metanol</v>
      </c>
      <c r="H2036" s="74">
        <v>85000</v>
      </c>
    </row>
    <row r="2037" spans="1:8" x14ac:dyDescent="0.25">
      <c r="A2037" s="75">
        <v>2025</v>
      </c>
      <c r="B2037" s="76" t="s">
        <v>213</v>
      </c>
      <c r="C2037" s="77" t="s">
        <v>235</v>
      </c>
      <c r="D2037" s="77" t="s">
        <v>171</v>
      </c>
      <c r="E2037" s="73" t="str">
        <f>VLOOKUP(D2037,clientes!$C$3:$D$60,2,FALSE)</f>
        <v>VALENZ</v>
      </c>
      <c r="F2037" s="77" t="s">
        <v>22</v>
      </c>
      <c r="G2037" s="73" t="str">
        <f>VLOOKUP(F2037,'[2]Lista de Produtos CLASSIFICAÇÃO'!$E$103:$F$114,2,FALSE)</f>
        <v>Metanol</v>
      </c>
      <c r="H2037" s="78">
        <v>85000</v>
      </c>
    </row>
    <row r="2038" spans="1:8" x14ac:dyDescent="0.25">
      <c r="A2038" s="71">
        <v>2025</v>
      </c>
      <c r="B2038" s="72" t="s">
        <v>214</v>
      </c>
      <c r="C2038" s="73" t="s">
        <v>235</v>
      </c>
      <c r="D2038" s="73" t="s">
        <v>171</v>
      </c>
      <c r="E2038" s="73" t="str">
        <f>VLOOKUP(D2038,clientes!$C$3:$D$60,2,FALSE)</f>
        <v>VALENZ</v>
      </c>
      <c r="F2038" s="73" t="s">
        <v>22</v>
      </c>
      <c r="G2038" s="73" t="str">
        <f>VLOOKUP(F2038,'[2]Lista de Produtos CLASSIFICAÇÃO'!$E$103:$F$114,2,FALSE)</f>
        <v>Metanol</v>
      </c>
      <c r="H2038" s="74">
        <v>85000</v>
      </c>
    </row>
    <row r="2039" spans="1:8" x14ac:dyDescent="0.25">
      <c r="A2039" s="75">
        <v>2025</v>
      </c>
      <c r="B2039" s="76" t="s">
        <v>215</v>
      </c>
      <c r="C2039" s="77" t="s">
        <v>235</v>
      </c>
      <c r="D2039" s="77" t="s">
        <v>171</v>
      </c>
      <c r="E2039" s="73" t="str">
        <f>VLOOKUP(D2039,clientes!$C$3:$D$60,2,FALSE)</f>
        <v>VALENZ</v>
      </c>
      <c r="F2039" s="77" t="s">
        <v>22</v>
      </c>
      <c r="G2039" s="73" t="str">
        <f>VLOOKUP(F2039,'[2]Lista de Produtos CLASSIFICAÇÃO'!$E$103:$F$114,2,FALSE)</f>
        <v>Metanol</v>
      </c>
      <c r="H2039" s="78">
        <v>85000</v>
      </c>
    </row>
    <row r="2040" spans="1:8" x14ac:dyDescent="0.25">
      <c r="A2040" s="71">
        <v>2025</v>
      </c>
      <c r="B2040" s="72" t="s">
        <v>230</v>
      </c>
      <c r="C2040" s="73" t="s">
        <v>235</v>
      </c>
      <c r="D2040" s="73" t="s">
        <v>171</v>
      </c>
      <c r="E2040" s="73" t="str">
        <f>VLOOKUP(D2040,clientes!$C$3:$D$60,2,FALSE)</f>
        <v>VALENZ</v>
      </c>
      <c r="F2040" s="73" t="s">
        <v>22</v>
      </c>
      <c r="G2040" s="73" t="str">
        <f>VLOOKUP(F2040,'[2]Lista de Produtos CLASSIFICAÇÃO'!$E$103:$F$114,2,FALSE)</f>
        <v>Metanol</v>
      </c>
      <c r="H2040" s="74">
        <v>85000</v>
      </c>
    </row>
    <row r="2041" spans="1:8" x14ac:dyDescent="0.25">
      <c r="A2041" s="75">
        <v>2025</v>
      </c>
      <c r="B2041" s="76" t="s">
        <v>231</v>
      </c>
      <c r="C2041" s="77" t="s">
        <v>235</v>
      </c>
      <c r="D2041" s="77" t="s">
        <v>171</v>
      </c>
      <c r="E2041" s="73" t="str">
        <f>VLOOKUP(D2041,clientes!$C$3:$D$60,2,FALSE)</f>
        <v>VALENZ</v>
      </c>
      <c r="F2041" s="77" t="s">
        <v>22</v>
      </c>
      <c r="G2041" s="73" t="str">
        <f>VLOOKUP(F2041,'[2]Lista de Produtos CLASSIFICAÇÃO'!$E$103:$F$114,2,FALSE)</f>
        <v>Metanol</v>
      </c>
      <c r="H2041" s="78">
        <v>85000</v>
      </c>
    </row>
    <row r="2042" spans="1:8" x14ac:dyDescent="0.25">
      <c r="A2042" s="71">
        <v>2025</v>
      </c>
      <c r="B2042" s="72" t="s">
        <v>226</v>
      </c>
      <c r="C2042" s="73" t="s">
        <v>225</v>
      </c>
      <c r="D2042" s="73" t="s">
        <v>160</v>
      </c>
      <c r="E2042" s="73" t="str">
        <f>VLOOKUP(D2042,clientes!$C$3:$D$60,2,FALSE)</f>
        <v>VIBRA</v>
      </c>
      <c r="F2042" s="73" t="s">
        <v>120</v>
      </c>
      <c r="G2042" s="73" t="str">
        <f>VLOOKUP(F2042,'[2]Lista de Produtos CLASSIFICAÇÃO'!$E$103:$F$114,2,FALSE)</f>
        <v>Derivados</v>
      </c>
      <c r="H2042" s="74">
        <v>20000</v>
      </c>
    </row>
    <row r="2043" spans="1:8" x14ac:dyDescent="0.25">
      <c r="A2043" s="75">
        <v>2025</v>
      </c>
      <c r="B2043" s="76" t="s">
        <v>227</v>
      </c>
      <c r="C2043" s="77" t="s">
        <v>225</v>
      </c>
      <c r="D2043" s="77" t="s">
        <v>160</v>
      </c>
      <c r="E2043" s="73" t="str">
        <f>VLOOKUP(D2043,clientes!$C$3:$D$60,2,FALSE)</f>
        <v>VIBRA</v>
      </c>
      <c r="F2043" s="77" t="s">
        <v>120</v>
      </c>
      <c r="G2043" s="73" t="str">
        <f>VLOOKUP(F2043,'[2]Lista de Produtos CLASSIFICAÇÃO'!$E$103:$F$114,2,FALSE)</f>
        <v>Derivados</v>
      </c>
      <c r="H2043" s="78">
        <v>20000</v>
      </c>
    </row>
    <row r="2044" spans="1:8" x14ac:dyDescent="0.25">
      <c r="A2044" s="71">
        <v>2025</v>
      </c>
      <c r="B2044" s="72" t="s">
        <v>228</v>
      </c>
      <c r="C2044" s="73" t="s">
        <v>225</v>
      </c>
      <c r="D2044" s="73" t="s">
        <v>160</v>
      </c>
      <c r="E2044" s="73" t="str">
        <f>VLOOKUP(D2044,clientes!$C$3:$D$60,2,FALSE)</f>
        <v>VIBRA</v>
      </c>
      <c r="F2044" s="73" t="s">
        <v>120</v>
      </c>
      <c r="G2044" s="73" t="str">
        <f>VLOOKUP(F2044,'[2]Lista de Produtos CLASSIFICAÇÃO'!$E$103:$F$114,2,FALSE)</f>
        <v>Derivados</v>
      </c>
      <c r="H2044" s="74">
        <v>20000</v>
      </c>
    </row>
    <row r="2045" spans="1:8" x14ac:dyDescent="0.25">
      <c r="A2045" s="75">
        <v>2025</v>
      </c>
      <c r="B2045" s="76" t="s">
        <v>229</v>
      </c>
      <c r="C2045" s="77" t="s">
        <v>225</v>
      </c>
      <c r="D2045" s="77" t="s">
        <v>160</v>
      </c>
      <c r="E2045" s="73" t="str">
        <f>VLOOKUP(D2045,clientes!$C$3:$D$60,2,FALSE)</f>
        <v>VIBRA</v>
      </c>
      <c r="F2045" s="77" t="s">
        <v>120</v>
      </c>
      <c r="G2045" s="73" t="str">
        <f>VLOOKUP(F2045,'[2]Lista de Produtos CLASSIFICAÇÃO'!$E$103:$F$114,2,FALSE)</f>
        <v>Derivados</v>
      </c>
      <c r="H2045" s="78">
        <v>20000</v>
      </c>
    </row>
    <row r="2046" spans="1:8" x14ac:dyDescent="0.25">
      <c r="A2046" s="71">
        <v>2025</v>
      </c>
      <c r="B2046" s="72" t="s">
        <v>210</v>
      </c>
      <c r="C2046" s="73" t="s">
        <v>225</v>
      </c>
      <c r="D2046" s="73" t="s">
        <v>160</v>
      </c>
      <c r="E2046" s="73" t="str">
        <f>VLOOKUP(D2046,clientes!$C$3:$D$60,2,FALSE)</f>
        <v>VIBRA</v>
      </c>
      <c r="F2046" s="73" t="s">
        <v>120</v>
      </c>
      <c r="G2046" s="73" t="str">
        <f>VLOOKUP(F2046,'[2]Lista de Produtos CLASSIFICAÇÃO'!$E$103:$F$114,2,FALSE)</f>
        <v>Derivados</v>
      </c>
      <c r="H2046" s="74">
        <v>20000</v>
      </c>
    </row>
    <row r="2047" spans="1:8" x14ac:dyDescent="0.25">
      <c r="A2047" s="75">
        <v>2025</v>
      </c>
      <c r="B2047" s="76" t="s">
        <v>211</v>
      </c>
      <c r="C2047" s="77" t="s">
        <v>225</v>
      </c>
      <c r="D2047" s="77" t="s">
        <v>160</v>
      </c>
      <c r="E2047" s="73" t="str">
        <f>VLOOKUP(D2047,clientes!$C$3:$D$60,2,FALSE)</f>
        <v>VIBRA</v>
      </c>
      <c r="F2047" s="77" t="s">
        <v>120</v>
      </c>
      <c r="G2047" s="73" t="str">
        <f>VLOOKUP(F2047,'[2]Lista de Produtos CLASSIFICAÇÃO'!$E$103:$F$114,2,FALSE)</f>
        <v>Derivados</v>
      </c>
      <c r="H2047" s="78">
        <v>20000</v>
      </c>
    </row>
    <row r="2048" spans="1:8" x14ac:dyDescent="0.25">
      <c r="A2048" s="71">
        <v>2025</v>
      </c>
      <c r="B2048" s="72" t="s">
        <v>212</v>
      </c>
      <c r="C2048" s="73" t="s">
        <v>225</v>
      </c>
      <c r="D2048" s="73" t="s">
        <v>160</v>
      </c>
      <c r="E2048" s="73" t="str">
        <f>VLOOKUP(D2048,clientes!$C$3:$D$60,2,FALSE)</f>
        <v>VIBRA</v>
      </c>
      <c r="F2048" s="73" t="s">
        <v>120</v>
      </c>
      <c r="G2048" s="73" t="str">
        <f>VLOOKUP(F2048,'[2]Lista de Produtos CLASSIFICAÇÃO'!$E$103:$F$114,2,FALSE)</f>
        <v>Derivados</v>
      </c>
      <c r="H2048" s="74">
        <v>20000</v>
      </c>
    </row>
    <row r="2049" spans="1:8" x14ac:dyDescent="0.25">
      <c r="A2049" s="75">
        <v>2025</v>
      </c>
      <c r="B2049" s="76" t="s">
        <v>213</v>
      </c>
      <c r="C2049" s="77" t="s">
        <v>225</v>
      </c>
      <c r="D2049" s="77" t="s">
        <v>160</v>
      </c>
      <c r="E2049" s="73" t="str">
        <f>VLOOKUP(D2049,clientes!$C$3:$D$60,2,FALSE)</f>
        <v>VIBRA</v>
      </c>
      <c r="F2049" s="77" t="s">
        <v>120</v>
      </c>
      <c r="G2049" s="73" t="str">
        <f>VLOOKUP(F2049,'[2]Lista de Produtos CLASSIFICAÇÃO'!$E$103:$F$114,2,FALSE)</f>
        <v>Derivados</v>
      </c>
      <c r="H2049" s="78">
        <v>20000</v>
      </c>
    </row>
    <row r="2050" spans="1:8" x14ac:dyDescent="0.25">
      <c r="A2050" s="71">
        <v>2025</v>
      </c>
      <c r="B2050" s="72" t="s">
        <v>214</v>
      </c>
      <c r="C2050" s="73" t="s">
        <v>225</v>
      </c>
      <c r="D2050" s="73" t="s">
        <v>160</v>
      </c>
      <c r="E2050" s="73" t="str">
        <f>VLOOKUP(D2050,clientes!$C$3:$D$60,2,FALSE)</f>
        <v>VIBRA</v>
      </c>
      <c r="F2050" s="73" t="s">
        <v>120</v>
      </c>
      <c r="G2050" s="73" t="str">
        <f>VLOOKUP(F2050,'[2]Lista de Produtos CLASSIFICAÇÃO'!$E$103:$F$114,2,FALSE)</f>
        <v>Derivados</v>
      </c>
      <c r="H2050" s="74">
        <v>20000</v>
      </c>
    </row>
    <row r="2051" spans="1:8" x14ac:dyDescent="0.25">
      <c r="A2051" s="75">
        <v>2025</v>
      </c>
      <c r="B2051" s="76" t="s">
        <v>215</v>
      </c>
      <c r="C2051" s="77" t="s">
        <v>225</v>
      </c>
      <c r="D2051" s="77" t="s">
        <v>160</v>
      </c>
      <c r="E2051" s="73" t="str">
        <f>VLOOKUP(D2051,clientes!$C$3:$D$60,2,FALSE)</f>
        <v>VIBRA</v>
      </c>
      <c r="F2051" s="77" t="s">
        <v>120</v>
      </c>
      <c r="G2051" s="73" t="str">
        <f>VLOOKUP(F2051,'[2]Lista de Produtos CLASSIFICAÇÃO'!$E$103:$F$114,2,FALSE)</f>
        <v>Derivados</v>
      </c>
      <c r="H2051" s="78">
        <v>20000</v>
      </c>
    </row>
    <row r="2052" spans="1:8" x14ac:dyDescent="0.25">
      <c r="A2052" s="71">
        <v>2025</v>
      </c>
      <c r="B2052" s="72" t="s">
        <v>230</v>
      </c>
      <c r="C2052" s="73" t="s">
        <v>225</v>
      </c>
      <c r="D2052" s="73" t="s">
        <v>160</v>
      </c>
      <c r="E2052" s="73" t="str">
        <f>VLOOKUP(D2052,clientes!$C$3:$D$60,2,FALSE)</f>
        <v>VIBRA</v>
      </c>
      <c r="F2052" s="73" t="s">
        <v>120</v>
      </c>
      <c r="G2052" s="73" t="str">
        <f>VLOOKUP(F2052,'[2]Lista de Produtos CLASSIFICAÇÃO'!$E$103:$F$114,2,FALSE)</f>
        <v>Derivados</v>
      </c>
      <c r="H2052" s="74">
        <v>20000</v>
      </c>
    </row>
    <row r="2053" spans="1:8" x14ac:dyDescent="0.25">
      <c r="A2053" s="75">
        <v>2025</v>
      </c>
      <c r="B2053" s="76" t="s">
        <v>231</v>
      </c>
      <c r="C2053" s="77" t="s">
        <v>225</v>
      </c>
      <c r="D2053" s="77" t="s">
        <v>160</v>
      </c>
      <c r="E2053" s="73" t="str">
        <f>VLOOKUP(D2053,clientes!$C$3:$D$60,2,FALSE)</f>
        <v>VIBRA</v>
      </c>
      <c r="F2053" s="77" t="s">
        <v>120</v>
      </c>
      <c r="G2053" s="73" t="str">
        <f>VLOOKUP(F2053,'[2]Lista de Produtos CLASSIFICAÇÃO'!$E$103:$F$114,2,FALSE)</f>
        <v>Derivados</v>
      </c>
      <c r="H2053" s="78">
        <v>20000</v>
      </c>
    </row>
    <row r="2054" spans="1:8" x14ac:dyDescent="0.25">
      <c r="A2054" s="71">
        <v>2026</v>
      </c>
      <c r="B2054" s="72" t="s">
        <v>226</v>
      </c>
      <c r="C2054" s="73" t="s">
        <v>232</v>
      </c>
      <c r="D2054" s="73" t="s">
        <v>175</v>
      </c>
      <c r="E2054" s="73" t="str">
        <f>VLOOKUP(D2054,clientes!$C$3:$D$60,2,FALSE)</f>
        <v>AAK DO BRASIL</v>
      </c>
      <c r="F2054" s="73" t="s">
        <v>123</v>
      </c>
      <c r="G2054" s="73" t="str">
        <f>VLOOKUP(F2054,'[2]Lista de Produtos CLASSIFICAÇÃO'!$E$103:$F$114,2,FALSE)</f>
        <v>Aquecidos</v>
      </c>
      <c r="H2054" s="74">
        <v>11000</v>
      </c>
    </row>
    <row r="2055" spans="1:8" x14ac:dyDescent="0.25">
      <c r="A2055" s="75">
        <v>2026</v>
      </c>
      <c r="B2055" s="76" t="s">
        <v>227</v>
      </c>
      <c r="C2055" s="77" t="s">
        <v>232</v>
      </c>
      <c r="D2055" s="77" t="s">
        <v>175</v>
      </c>
      <c r="E2055" s="73" t="str">
        <f>VLOOKUP(D2055,clientes!$C$3:$D$60,2,FALSE)</f>
        <v>AAK DO BRASIL</v>
      </c>
      <c r="F2055" s="77" t="s">
        <v>123</v>
      </c>
      <c r="G2055" s="73" t="str">
        <f>VLOOKUP(F2055,'[2]Lista de Produtos CLASSIFICAÇÃO'!$E$103:$F$114,2,FALSE)</f>
        <v>Aquecidos</v>
      </c>
      <c r="H2055" s="78">
        <v>11000</v>
      </c>
    </row>
    <row r="2056" spans="1:8" x14ac:dyDescent="0.25">
      <c r="A2056" s="71">
        <v>2026</v>
      </c>
      <c r="B2056" s="72" t="s">
        <v>228</v>
      </c>
      <c r="C2056" s="73" t="s">
        <v>232</v>
      </c>
      <c r="D2056" s="73" t="s">
        <v>175</v>
      </c>
      <c r="E2056" s="73" t="str">
        <f>VLOOKUP(D2056,clientes!$C$3:$D$60,2,FALSE)</f>
        <v>AAK DO BRASIL</v>
      </c>
      <c r="F2056" s="73" t="s">
        <v>123</v>
      </c>
      <c r="G2056" s="73" t="str">
        <f>VLOOKUP(F2056,'[2]Lista de Produtos CLASSIFICAÇÃO'!$E$103:$F$114,2,FALSE)</f>
        <v>Aquecidos</v>
      </c>
      <c r="H2056" s="74">
        <v>11000</v>
      </c>
    </row>
    <row r="2057" spans="1:8" x14ac:dyDescent="0.25">
      <c r="A2057" s="75">
        <v>2026</v>
      </c>
      <c r="B2057" s="76" t="s">
        <v>229</v>
      </c>
      <c r="C2057" s="77" t="s">
        <v>232</v>
      </c>
      <c r="D2057" s="77" t="s">
        <v>175</v>
      </c>
      <c r="E2057" s="73" t="str">
        <f>VLOOKUP(D2057,clientes!$C$3:$D$60,2,FALSE)</f>
        <v>AAK DO BRASIL</v>
      </c>
      <c r="F2057" s="77" t="s">
        <v>123</v>
      </c>
      <c r="G2057" s="73" t="str">
        <f>VLOOKUP(F2057,'[2]Lista de Produtos CLASSIFICAÇÃO'!$E$103:$F$114,2,FALSE)</f>
        <v>Aquecidos</v>
      </c>
      <c r="H2057" s="78">
        <v>11000</v>
      </c>
    </row>
    <row r="2058" spans="1:8" x14ac:dyDescent="0.25">
      <c r="A2058" s="71">
        <v>2026</v>
      </c>
      <c r="B2058" s="72" t="s">
        <v>210</v>
      </c>
      <c r="C2058" s="73" t="s">
        <v>232</v>
      </c>
      <c r="D2058" s="73" t="s">
        <v>175</v>
      </c>
      <c r="E2058" s="73" t="str">
        <f>VLOOKUP(D2058,clientes!$C$3:$D$60,2,FALSE)</f>
        <v>AAK DO BRASIL</v>
      </c>
      <c r="F2058" s="73" t="s">
        <v>123</v>
      </c>
      <c r="G2058" s="73" t="str">
        <f>VLOOKUP(F2058,'[2]Lista de Produtos CLASSIFICAÇÃO'!$E$103:$F$114,2,FALSE)</f>
        <v>Aquecidos</v>
      </c>
      <c r="H2058" s="74">
        <v>11000</v>
      </c>
    </row>
    <row r="2059" spans="1:8" x14ac:dyDescent="0.25">
      <c r="A2059" s="75">
        <v>2026</v>
      </c>
      <c r="B2059" s="76" t="s">
        <v>211</v>
      </c>
      <c r="C2059" s="77" t="s">
        <v>232</v>
      </c>
      <c r="D2059" s="77" t="s">
        <v>175</v>
      </c>
      <c r="E2059" s="73" t="str">
        <f>VLOOKUP(D2059,clientes!$C$3:$D$60,2,FALSE)</f>
        <v>AAK DO BRASIL</v>
      </c>
      <c r="F2059" s="77" t="s">
        <v>123</v>
      </c>
      <c r="G2059" s="73" t="str">
        <f>VLOOKUP(F2059,'[2]Lista de Produtos CLASSIFICAÇÃO'!$E$103:$F$114,2,FALSE)</f>
        <v>Aquecidos</v>
      </c>
      <c r="H2059" s="78">
        <v>11000</v>
      </c>
    </row>
    <row r="2060" spans="1:8" x14ac:dyDescent="0.25">
      <c r="A2060" s="71">
        <v>2026</v>
      </c>
      <c r="B2060" s="72" t="s">
        <v>212</v>
      </c>
      <c r="C2060" s="73" t="s">
        <v>232</v>
      </c>
      <c r="D2060" s="73" t="s">
        <v>175</v>
      </c>
      <c r="E2060" s="73" t="str">
        <f>VLOOKUP(D2060,clientes!$C$3:$D$60,2,FALSE)</f>
        <v>AAK DO BRASIL</v>
      </c>
      <c r="F2060" s="73" t="s">
        <v>123</v>
      </c>
      <c r="G2060" s="73" t="str">
        <f>VLOOKUP(F2060,'[2]Lista de Produtos CLASSIFICAÇÃO'!$E$103:$F$114,2,FALSE)</f>
        <v>Aquecidos</v>
      </c>
      <c r="H2060" s="74">
        <v>11000</v>
      </c>
    </row>
    <row r="2061" spans="1:8" x14ac:dyDescent="0.25">
      <c r="A2061" s="75">
        <v>2026</v>
      </c>
      <c r="B2061" s="76" t="s">
        <v>213</v>
      </c>
      <c r="C2061" s="77" t="s">
        <v>232</v>
      </c>
      <c r="D2061" s="77" t="s">
        <v>175</v>
      </c>
      <c r="E2061" s="73" t="str">
        <f>VLOOKUP(D2061,clientes!$C$3:$D$60,2,FALSE)</f>
        <v>AAK DO BRASIL</v>
      </c>
      <c r="F2061" s="77" t="s">
        <v>123</v>
      </c>
      <c r="G2061" s="73" t="str">
        <f>VLOOKUP(F2061,'[2]Lista de Produtos CLASSIFICAÇÃO'!$E$103:$F$114,2,FALSE)</f>
        <v>Aquecidos</v>
      </c>
      <c r="H2061" s="78">
        <v>11000</v>
      </c>
    </row>
    <row r="2062" spans="1:8" x14ac:dyDescent="0.25">
      <c r="A2062" s="71">
        <v>2026</v>
      </c>
      <c r="B2062" s="72" t="s">
        <v>214</v>
      </c>
      <c r="C2062" s="73" t="s">
        <v>232</v>
      </c>
      <c r="D2062" s="73" t="s">
        <v>175</v>
      </c>
      <c r="E2062" s="73" t="str">
        <f>VLOOKUP(D2062,clientes!$C$3:$D$60,2,FALSE)</f>
        <v>AAK DO BRASIL</v>
      </c>
      <c r="F2062" s="73" t="s">
        <v>123</v>
      </c>
      <c r="G2062" s="73" t="str">
        <f>VLOOKUP(F2062,'[2]Lista de Produtos CLASSIFICAÇÃO'!$E$103:$F$114,2,FALSE)</f>
        <v>Aquecidos</v>
      </c>
      <c r="H2062" s="74">
        <v>11000</v>
      </c>
    </row>
    <row r="2063" spans="1:8" x14ac:dyDescent="0.25">
      <c r="A2063" s="75">
        <v>2026</v>
      </c>
      <c r="B2063" s="76" t="s">
        <v>215</v>
      </c>
      <c r="C2063" s="77" t="s">
        <v>232</v>
      </c>
      <c r="D2063" s="77" t="s">
        <v>175</v>
      </c>
      <c r="E2063" s="73" t="str">
        <f>VLOOKUP(D2063,clientes!$C$3:$D$60,2,FALSE)</f>
        <v>AAK DO BRASIL</v>
      </c>
      <c r="F2063" s="77" t="s">
        <v>123</v>
      </c>
      <c r="G2063" s="73" t="str">
        <f>VLOOKUP(F2063,'[2]Lista de Produtos CLASSIFICAÇÃO'!$E$103:$F$114,2,FALSE)</f>
        <v>Aquecidos</v>
      </c>
      <c r="H2063" s="78">
        <v>11000</v>
      </c>
    </row>
    <row r="2064" spans="1:8" x14ac:dyDescent="0.25">
      <c r="A2064" s="71">
        <v>2026</v>
      </c>
      <c r="B2064" s="72" t="s">
        <v>230</v>
      </c>
      <c r="C2064" s="73" t="s">
        <v>232</v>
      </c>
      <c r="D2064" s="73" t="s">
        <v>175</v>
      </c>
      <c r="E2064" s="73" t="str">
        <f>VLOOKUP(D2064,clientes!$C$3:$D$60,2,FALSE)</f>
        <v>AAK DO BRASIL</v>
      </c>
      <c r="F2064" s="73" t="s">
        <v>123</v>
      </c>
      <c r="G2064" s="73" t="str">
        <f>VLOOKUP(F2064,'[2]Lista de Produtos CLASSIFICAÇÃO'!$E$103:$F$114,2,FALSE)</f>
        <v>Aquecidos</v>
      </c>
      <c r="H2064" s="74">
        <v>11000</v>
      </c>
    </row>
    <row r="2065" spans="1:8" x14ac:dyDescent="0.25">
      <c r="A2065" s="75">
        <v>2026</v>
      </c>
      <c r="B2065" s="76" t="s">
        <v>231</v>
      </c>
      <c r="C2065" s="77" t="s">
        <v>232</v>
      </c>
      <c r="D2065" s="77" t="s">
        <v>175</v>
      </c>
      <c r="E2065" s="73" t="str">
        <f>VLOOKUP(D2065,clientes!$C$3:$D$60,2,FALSE)</f>
        <v>AAK DO BRASIL</v>
      </c>
      <c r="F2065" s="77" t="s">
        <v>123</v>
      </c>
      <c r="G2065" s="73" t="str">
        <f>VLOOKUP(F2065,'[2]Lista de Produtos CLASSIFICAÇÃO'!$E$103:$F$114,2,FALSE)</f>
        <v>Aquecidos</v>
      </c>
      <c r="H2065" s="78">
        <v>11000</v>
      </c>
    </row>
    <row r="2066" spans="1:8" x14ac:dyDescent="0.25">
      <c r="A2066" s="71">
        <v>2026</v>
      </c>
      <c r="B2066" s="72" t="s">
        <v>226</v>
      </c>
      <c r="C2066" s="73" t="s">
        <v>225</v>
      </c>
      <c r="D2066" s="73" t="s">
        <v>157</v>
      </c>
      <c r="E2066" s="73" t="str">
        <f>VLOOKUP(D2066,clientes!$C$3:$D$60,2,FALSE)</f>
        <v>ADM</v>
      </c>
      <c r="F2066" s="73" t="s">
        <v>122</v>
      </c>
      <c r="G2066" s="73" t="str">
        <f>VLOOKUP(F2066,'[2]Lista de Produtos CLASSIFICAÇÃO'!$E$103:$F$114,2,FALSE)</f>
        <v>Óleo Vegetal</v>
      </c>
      <c r="H2066" s="74">
        <v>2826</v>
      </c>
    </row>
    <row r="2067" spans="1:8" x14ac:dyDescent="0.25">
      <c r="A2067" s="75">
        <v>2026</v>
      </c>
      <c r="B2067" s="76" t="s">
        <v>227</v>
      </c>
      <c r="C2067" s="77" t="s">
        <v>225</v>
      </c>
      <c r="D2067" s="77" t="s">
        <v>157</v>
      </c>
      <c r="E2067" s="73" t="str">
        <f>VLOOKUP(D2067,clientes!$C$3:$D$60,2,FALSE)</f>
        <v>ADM</v>
      </c>
      <c r="F2067" s="77" t="s">
        <v>122</v>
      </c>
      <c r="G2067" s="73" t="str">
        <f>VLOOKUP(F2067,'[2]Lista de Produtos CLASSIFICAÇÃO'!$E$103:$F$114,2,FALSE)</f>
        <v>Óleo Vegetal</v>
      </c>
      <c r="H2067" s="78">
        <v>2826</v>
      </c>
    </row>
    <row r="2068" spans="1:8" x14ac:dyDescent="0.25">
      <c r="A2068" s="71">
        <v>2026</v>
      </c>
      <c r="B2068" s="72" t="s">
        <v>228</v>
      </c>
      <c r="C2068" s="73" t="s">
        <v>225</v>
      </c>
      <c r="D2068" s="73" t="s">
        <v>157</v>
      </c>
      <c r="E2068" s="73" t="str">
        <f>VLOOKUP(D2068,clientes!$C$3:$D$60,2,FALSE)</f>
        <v>ADM</v>
      </c>
      <c r="F2068" s="73" t="s">
        <v>122</v>
      </c>
      <c r="G2068" s="73" t="str">
        <f>VLOOKUP(F2068,'[2]Lista de Produtos CLASSIFICAÇÃO'!$E$103:$F$114,2,FALSE)</f>
        <v>Óleo Vegetal</v>
      </c>
      <c r="H2068" s="74">
        <v>2826</v>
      </c>
    </row>
    <row r="2069" spans="1:8" x14ac:dyDescent="0.25">
      <c r="A2069" s="75">
        <v>2026</v>
      </c>
      <c r="B2069" s="76" t="s">
        <v>229</v>
      </c>
      <c r="C2069" s="77" t="s">
        <v>225</v>
      </c>
      <c r="D2069" s="77" t="s">
        <v>157</v>
      </c>
      <c r="E2069" s="73" t="str">
        <f>VLOOKUP(D2069,clientes!$C$3:$D$60,2,FALSE)</f>
        <v>ADM</v>
      </c>
      <c r="F2069" s="77" t="s">
        <v>122</v>
      </c>
      <c r="G2069" s="73" t="str">
        <f>VLOOKUP(F2069,'[2]Lista de Produtos CLASSIFICAÇÃO'!$E$103:$F$114,2,FALSE)</f>
        <v>Óleo Vegetal</v>
      </c>
      <c r="H2069" s="78">
        <v>2826</v>
      </c>
    </row>
    <row r="2070" spans="1:8" x14ac:dyDescent="0.25">
      <c r="A2070" s="71">
        <v>2026</v>
      </c>
      <c r="B2070" s="72" t="s">
        <v>210</v>
      </c>
      <c r="C2070" s="73" t="s">
        <v>225</v>
      </c>
      <c r="D2070" s="73" t="s">
        <v>157</v>
      </c>
      <c r="E2070" s="73" t="str">
        <f>VLOOKUP(D2070,clientes!$C$3:$D$60,2,FALSE)</f>
        <v>ADM</v>
      </c>
      <c r="F2070" s="73" t="s">
        <v>122</v>
      </c>
      <c r="G2070" s="73" t="str">
        <f>VLOOKUP(F2070,'[2]Lista de Produtos CLASSIFICAÇÃO'!$E$103:$F$114,2,FALSE)</f>
        <v>Óleo Vegetal</v>
      </c>
      <c r="H2070" s="74">
        <v>2826</v>
      </c>
    </row>
    <row r="2071" spans="1:8" x14ac:dyDescent="0.25">
      <c r="A2071" s="75">
        <v>2026</v>
      </c>
      <c r="B2071" s="76" t="s">
        <v>211</v>
      </c>
      <c r="C2071" s="77" t="s">
        <v>225</v>
      </c>
      <c r="D2071" s="77" t="s">
        <v>157</v>
      </c>
      <c r="E2071" s="73" t="str">
        <f>VLOOKUP(D2071,clientes!$C$3:$D$60,2,FALSE)</f>
        <v>ADM</v>
      </c>
      <c r="F2071" s="77" t="s">
        <v>122</v>
      </c>
      <c r="G2071" s="73" t="str">
        <f>VLOOKUP(F2071,'[2]Lista de Produtos CLASSIFICAÇÃO'!$E$103:$F$114,2,FALSE)</f>
        <v>Óleo Vegetal</v>
      </c>
      <c r="H2071" s="78">
        <v>2826</v>
      </c>
    </row>
    <row r="2072" spans="1:8" x14ac:dyDescent="0.25">
      <c r="A2072" s="71">
        <v>2026</v>
      </c>
      <c r="B2072" s="72" t="s">
        <v>212</v>
      </c>
      <c r="C2072" s="73" t="s">
        <v>225</v>
      </c>
      <c r="D2072" s="73" t="s">
        <v>157</v>
      </c>
      <c r="E2072" s="73" t="str">
        <f>VLOOKUP(D2072,clientes!$C$3:$D$60,2,FALSE)</f>
        <v>ADM</v>
      </c>
      <c r="F2072" s="73" t="s">
        <v>122</v>
      </c>
      <c r="G2072" s="73" t="str">
        <f>VLOOKUP(F2072,'[2]Lista de Produtos CLASSIFICAÇÃO'!$E$103:$F$114,2,FALSE)</f>
        <v>Óleo Vegetal</v>
      </c>
      <c r="H2072" s="74">
        <v>2826</v>
      </c>
    </row>
    <row r="2073" spans="1:8" x14ac:dyDescent="0.25">
      <c r="A2073" s="75">
        <v>2026</v>
      </c>
      <c r="B2073" s="76" t="s">
        <v>213</v>
      </c>
      <c r="C2073" s="77" t="s">
        <v>225</v>
      </c>
      <c r="D2073" s="77" t="s">
        <v>157</v>
      </c>
      <c r="E2073" s="73" t="str">
        <f>VLOOKUP(D2073,clientes!$C$3:$D$60,2,FALSE)</f>
        <v>ADM</v>
      </c>
      <c r="F2073" s="77" t="s">
        <v>122</v>
      </c>
      <c r="G2073" s="73" t="str">
        <f>VLOOKUP(F2073,'[2]Lista de Produtos CLASSIFICAÇÃO'!$E$103:$F$114,2,FALSE)</f>
        <v>Óleo Vegetal</v>
      </c>
      <c r="H2073" s="78">
        <v>2826</v>
      </c>
    </row>
    <row r="2074" spans="1:8" x14ac:dyDescent="0.25">
      <c r="A2074" s="71">
        <v>2026</v>
      </c>
      <c r="B2074" s="72" t="s">
        <v>214</v>
      </c>
      <c r="C2074" s="73" t="s">
        <v>225</v>
      </c>
      <c r="D2074" s="73" t="s">
        <v>157</v>
      </c>
      <c r="E2074" s="73" t="str">
        <f>VLOOKUP(D2074,clientes!$C$3:$D$60,2,FALSE)</f>
        <v>ADM</v>
      </c>
      <c r="F2074" s="73" t="s">
        <v>122</v>
      </c>
      <c r="G2074" s="73" t="str">
        <f>VLOOKUP(F2074,'[2]Lista de Produtos CLASSIFICAÇÃO'!$E$103:$F$114,2,FALSE)</f>
        <v>Óleo Vegetal</v>
      </c>
      <c r="H2074" s="74">
        <v>2826</v>
      </c>
    </row>
    <row r="2075" spans="1:8" x14ac:dyDescent="0.25">
      <c r="A2075" s="75">
        <v>2026</v>
      </c>
      <c r="B2075" s="76" t="s">
        <v>215</v>
      </c>
      <c r="C2075" s="77" t="s">
        <v>225</v>
      </c>
      <c r="D2075" s="77" t="s">
        <v>157</v>
      </c>
      <c r="E2075" s="73" t="str">
        <f>VLOOKUP(D2075,clientes!$C$3:$D$60,2,FALSE)</f>
        <v>ADM</v>
      </c>
      <c r="F2075" s="77" t="s">
        <v>122</v>
      </c>
      <c r="G2075" s="73" t="str">
        <f>VLOOKUP(F2075,'[2]Lista de Produtos CLASSIFICAÇÃO'!$E$103:$F$114,2,FALSE)</f>
        <v>Óleo Vegetal</v>
      </c>
      <c r="H2075" s="78">
        <v>2826</v>
      </c>
    </row>
    <row r="2076" spans="1:8" x14ac:dyDescent="0.25">
      <c r="A2076" s="71">
        <v>2026</v>
      </c>
      <c r="B2076" s="72" t="s">
        <v>230</v>
      </c>
      <c r="C2076" s="73" t="s">
        <v>225</v>
      </c>
      <c r="D2076" s="73" t="s">
        <v>157</v>
      </c>
      <c r="E2076" s="73" t="str">
        <f>VLOOKUP(D2076,clientes!$C$3:$D$60,2,FALSE)</f>
        <v>ADM</v>
      </c>
      <c r="F2076" s="73" t="s">
        <v>122</v>
      </c>
      <c r="G2076" s="73" t="str">
        <f>VLOOKUP(F2076,'[2]Lista de Produtos CLASSIFICAÇÃO'!$E$103:$F$114,2,FALSE)</f>
        <v>Óleo Vegetal</v>
      </c>
      <c r="H2076" s="74">
        <v>2826</v>
      </c>
    </row>
    <row r="2077" spans="1:8" x14ac:dyDescent="0.25">
      <c r="A2077" s="75">
        <v>2026</v>
      </c>
      <c r="B2077" s="76" t="s">
        <v>231</v>
      </c>
      <c r="C2077" s="77" t="s">
        <v>225</v>
      </c>
      <c r="D2077" s="77" t="s">
        <v>157</v>
      </c>
      <c r="E2077" s="73" t="str">
        <f>VLOOKUP(D2077,clientes!$C$3:$D$60,2,FALSE)</f>
        <v>ADM</v>
      </c>
      <c r="F2077" s="77" t="s">
        <v>122</v>
      </c>
      <c r="G2077" s="73" t="str">
        <f>VLOOKUP(F2077,'[2]Lista de Produtos CLASSIFICAÇÃO'!$E$103:$F$114,2,FALSE)</f>
        <v>Óleo Vegetal</v>
      </c>
      <c r="H2077" s="78">
        <v>2826</v>
      </c>
    </row>
    <row r="2078" spans="1:8" x14ac:dyDescent="0.25">
      <c r="A2078" s="71">
        <v>2026</v>
      </c>
      <c r="B2078" s="72" t="s">
        <v>226</v>
      </c>
      <c r="C2078" s="73" t="s">
        <v>225</v>
      </c>
      <c r="D2078" s="73" t="s">
        <v>18</v>
      </c>
      <c r="E2078" s="73" t="str">
        <f>VLOOKUP(D2078,clientes!$C$3:$D$60,2,FALSE)</f>
        <v>ACOSTAGEM</v>
      </c>
      <c r="F2078" s="73" t="s">
        <v>17</v>
      </c>
      <c r="G2078" s="73" t="str">
        <f>VLOOKUP(F2078,'[2]Lista de Produtos CLASSIFICAÇÃO'!$E$103:$F$114,2,FALSE)</f>
        <v>Acostagem</v>
      </c>
      <c r="H2078" s="74">
        <v>0</v>
      </c>
    </row>
    <row r="2079" spans="1:8" x14ac:dyDescent="0.25">
      <c r="A2079" s="75">
        <v>2026</v>
      </c>
      <c r="B2079" s="76" t="s">
        <v>227</v>
      </c>
      <c r="C2079" s="77" t="s">
        <v>225</v>
      </c>
      <c r="D2079" s="77" t="s">
        <v>18</v>
      </c>
      <c r="E2079" s="73" t="str">
        <f>VLOOKUP(D2079,clientes!$C$3:$D$60,2,FALSE)</f>
        <v>ACOSTAGEM</v>
      </c>
      <c r="F2079" s="77" t="s">
        <v>17</v>
      </c>
      <c r="G2079" s="73" t="str">
        <f>VLOOKUP(F2079,'[2]Lista de Produtos CLASSIFICAÇÃO'!$E$103:$F$114,2,FALSE)</f>
        <v>Acostagem</v>
      </c>
      <c r="H2079" s="78">
        <v>0</v>
      </c>
    </row>
    <row r="2080" spans="1:8" x14ac:dyDescent="0.25">
      <c r="A2080" s="71">
        <v>2026</v>
      </c>
      <c r="B2080" s="72" t="s">
        <v>228</v>
      </c>
      <c r="C2080" s="73" t="s">
        <v>225</v>
      </c>
      <c r="D2080" s="73" t="s">
        <v>18</v>
      </c>
      <c r="E2080" s="73" t="str">
        <f>VLOOKUP(D2080,clientes!$C$3:$D$60,2,FALSE)</f>
        <v>ACOSTAGEM</v>
      </c>
      <c r="F2080" s="73" t="s">
        <v>17</v>
      </c>
      <c r="G2080" s="73" t="str">
        <f>VLOOKUP(F2080,'[2]Lista de Produtos CLASSIFICAÇÃO'!$E$103:$F$114,2,FALSE)</f>
        <v>Acostagem</v>
      </c>
      <c r="H2080" s="74">
        <v>0</v>
      </c>
    </row>
    <row r="2081" spans="1:8" x14ac:dyDescent="0.25">
      <c r="A2081" s="75">
        <v>2026</v>
      </c>
      <c r="B2081" s="76" t="s">
        <v>229</v>
      </c>
      <c r="C2081" s="77" t="s">
        <v>225</v>
      </c>
      <c r="D2081" s="77" t="s">
        <v>18</v>
      </c>
      <c r="E2081" s="73" t="str">
        <f>VLOOKUP(D2081,clientes!$C$3:$D$60,2,FALSE)</f>
        <v>ACOSTAGEM</v>
      </c>
      <c r="F2081" s="77" t="s">
        <v>17</v>
      </c>
      <c r="G2081" s="73" t="str">
        <f>VLOOKUP(F2081,'[2]Lista de Produtos CLASSIFICAÇÃO'!$E$103:$F$114,2,FALSE)</f>
        <v>Acostagem</v>
      </c>
      <c r="H2081" s="78">
        <v>0</v>
      </c>
    </row>
    <row r="2082" spans="1:8" x14ac:dyDescent="0.25">
      <c r="A2082" s="71">
        <v>2026</v>
      </c>
      <c r="B2082" s="72" t="s">
        <v>210</v>
      </c>
      <c r="C2082" s="73" t="s">
        <v>225</v>
      </c>
      <c r="D2082" s="73" t="s">
        <v>18</v>
      </c>
      <c r="E2082" s="73" t="str">
        <f>VLOOKUP(D2082,clientes!$C$3:$D$60,2,FALSE)</f>
        <v>ACOSTAGEM</v>
      </c>
      <c r="F2082" s="73" t="s">
        <v>17</v>
      </c>
      <c r="G2082" s="73" t="str">
        <f>VLOOKUP(F2082,'[2]Lista de Produtos CLASSIFICAÇÃO'!$E$103:$F$114,2,FALSE)</f>
        <v>Acostagem</v>
      </c>
      <c r="H2082" s="74">
        <v>0</v>
      </c>
    </row>
    <row r="2083" spans="1:8" x14ac:dyDescent="0.25">
      <c r="A2083" s="75">
        <v>2026</v>
      </c>
      <c r="B2083" s="76" t="s">
        <v>211</v>
      </c>
      <c r="C2083" s="77" t="s">
        <v>225</v>
      </c>
      <c r="D2083" s="77" t="s">
        <v>18</v>
      </c>
      <c r="E2083" s="73" t="str">
        <f>VLOOKUP(D2083,clientes!$C$3:$D$60,2,FALSE)</f>
        <v>ACOSTAGEM</v>
      </c>
      <c r="F2083" s="77" t="s">
        <v>17</v>
      </c>
      <c r="G2083" s="73" t="str">
        <f>VLOOKUP(F2083,'[2]Lista de Produtos CLASSIFICAÇÃO'!$E$103:$F$114,2,FALSE)</f>
        <v>Acostagem</v>
      </c>
      <c r="H2083" s="78">
        <v>0</v>
      </c>
    </row>
    <row r="2084" spans="1:8" x14ac:dyDescent="0.25">
      <c r="A2084" s="71">
        <v>2026</v>
      </c>
      <c r="B2084" s="72" t="s">
        <v>212</v>
      </c>
      <c r="C2084" s="73" t="s">
        <v>225</v>
      </c>
      <c r="D2084" s="73" t="s">
        <v>18</v>
      </c>
      <c r="E2084" s="73" t="str">
        <f>VLOOKUP(D2084,clientes!$C$3:$D$60,2,FALSE)</f>
        <v>ACOSTAGEM</v>
      </c>
      <c r="F2084" s="73" t="s">
        <v>17</v>
      </c>
      <c r="G2084" s="73" t="str">
        <f>VLOOKUP(F2084,'[2]Lista de Produtos CLASSIFICAÇÃO'!$E$103:$F$114,2,FALSE)</f>
        <v>Acostagem</v>
      </c>
      <c r="H2084" s="74">
        <v>0</v>
      </c>
    </row>
    <row r="2085" spans="1:8" x14ac:dyDescent="0.25">
      <c r="A2085" s="75">
        <v>2026</v>
      </c>
      <c r="B2085" s="76" t="s">
        <v>213</v>
      </c>
      <c r="C2085" s="77" t="s">
        <v>225</v>
      </c>
      <c r="D2085" s="77" t="s">
        <v>18</v>
      </c>
      <c r="E2085" s="73" t="str">
        <f>VLOOKUP(D2085,clientes!$C$3:$D$60,2,FALSE)</f>
        <v>ACOSTAGEM</v>
      </c>
      <c r="F2085" s="77" t="s">
        <v>17</v>
      </c>
      <c r="G2085" s="73" t="str">
        <f>VLOOKUP(F2085,'[2]Lista de Produtos CLASSIFICAÇÃO'!$E$103:$F$114,2,FALSE)</f>
        <v>Acostagem</v>
      </c>
      <c r="H2085" s="78">
        <v>0</v>
      </c>
    </row>
    <row r="2086" spans="1:8" x14ac:dyDescent="0.25">
      <c r="A2086" s="71">
        <v>2026</v>
      </c>
      <c r="B2086" s="72" t="s">
        <v>214</v>
      </c>
      <c r="C2086" s="73" t="s">
        <v>225</v>
      </c>
      <c r="D2086" s="73" t="s">
        <v>18</v>
      </c>
      <c r="E2086" s="73" t="str">
        <f>VLOOKUP(D2086,clientes!$C$3:$D$60,2,FALSE)</f>
        <v>ACOSTAGEM</v>
      </c>
      <c r="F2086" s="73" t="s">
        <v>17</v>
      </c>
      <c r="G2086" s="73" t="str">
        <f>VLOOKUP(F2086,'[2]Lista de Produtos CLASSIFICAÇÃO'!$E$103:$F$114,2,FALSE)</f>
        <v>Acostagem</v>
      </c>
      <c r="H2086" s="74">
        <v>0</v>
      </c>
    </row>
    <row r="2087" spans="1:8" x14ac:dyDescent="0.25">
      <c r="A2087" s="75">
        <v>2026</v>
      </c>
      <c r="B2087" s="76" t="s">
        <v>215</v>
      </c>
      <c r="C2087" s="77" t="s">
        <v>225</v>
      </c>
      <c r="D2087" s="77" t="s">
        <v>18</v>
      </c>
      <c r="E2087" s="73" t="str">
        <f>VLOOKUP(D2087,clientes!$C$3:$D$60,2,FALSE)</f>
        <v>ACOSTAGEM</v>
      </c>
      <c r="F2087" s="77" t="s">
        <v>17</v>
      </c>
      <c r="G2087" s="73" t="str">
        <f>VLOOKUP(F2087,'[2]Lista de Produtos CLASSIFICAÇÃO'!$E$103:$F$114,2,FALSE)</f>
        <v>Acostagem</v>
      </c>
      <c r="H2087" s="78">
        <v>0</v>
      </c>
    </row>
    <row r="2088" spans="1:8" x14ac:dyDescent="0.25">
      <c r="A2088" s="71">
        <v>2026</v>
      </c>
      <c r="B2088" s="72" t="s">
        <v>230</v>
      </c>
      <c r="C2088" s="73" t="s">
        <v>225</v>
      </c>
      <c r="D2088" s="73" t="s">
        <v>18</v>
      </c>
      <c r="E2088" s="73" t="str">
        <f>VLOOKUP(D2088,clientes!$C$3:$D$60,2,FALSE)</f>
        <v>ACOSTAGEM</v>
      </c>
      <c r="F2088" s="73" t="s">
        <v>17</v>
      </c>
      <c r="G2088" s="73" t="str">
        <f>VLOOKUP(F2088,'[2]Lista de Produtos CLASSIFICAÇÃO'!$E$103:$F$114,2,FALSE)</f>
        <v>Acostagem</v>
      </c>
      <c r="H2088" s="74">
        <v>0</v>
      </c>
    </row>
    <row r="2089" spans="1:8" x14ac:dyDescent="0.25">
      <c r="A2089" s="75">
        <v>2026</v>
      </c>
      <c r="B2089" s="76" t="s">
        <v>231</v>
      </c>
      <c r="C2089" s="77" t="s">
        <v>225</v>
      </c>
      <c r="D2089" s="77" t="s">
        <v>18</v>
      </c>
      <c r="E2089" s="73" t="str">
        <f>VLOOKUP(D2089,clientes!$C$3:$D$60,2,FALSE)</f>
        <v>ACOSTAGEM</v>
      </c>
      <c r="F2089" s="77" t="s">
        <v>17</v>
      </c>
      <c r="G2089" s="73" t="str">
        <f>VLOOKUP(F2089,'[2]Lista de Produtos CLASSIFICAÇÃO'!$E$103:$F$114,2,FALSE)</f>
        <v>Acostagem</v>
      </c>
      <c r="H2089" s="78">
        <v>0</v>
      </c>
    </row>
    <row r="2090" spans="1:8" x14ac:dyDescent="0.25">
      <c r="A2090" s="71">
        <v>2026</v>
      </c>
      <c r="B2090" s="72" t="s">
        <v>226</v>
      </c>
      <c r="C2090" s="73" t="s">
        <v>225</v>
      </c>
      <c r="D2090" s="73" t="s">
        <v>155</v>
      </c>
      <c r="E2090" s="73" t="str">
        <f>VLOOKUP(D2090,clientes!$C$3:$D$60,2,FALSE)</f>
        <v>ADISSEO</v>
      </c>
      <c r="F2090" s="73" t="s">
        <v>16</v>
      </c>
      <c r="G2090" s="73" t="str">
        <f>VLOOKUP(F2090,'[2]Lista de Produtos CLASSIFICAÇÃO'!$E$103:$F$114,2,FALSE)</f>
        <v>Outros</v>
      </c>
      <c r="H2090" s="74">
        <v>9969</v>
      </c>
    </row>
    <row r="2091" spans="1:8" x14ac:dyDescent="0.25">
      <c r="A2091" s="75">
        <v>2026</v>
      </c>
      <c r="B2091" s="76" t="s">
        <v>227</v>
      </c>
      <c r="C2091" s="77" t="s">
        <v>225</v>
      </c>
      <c r="D2091" s="77" t="s">
        <v>155</v>
      </c>
      <c r="E2091" s="73" t="str">
        <f>VLOOKUP(D2091,clientes!$C$3:$D$60,2,FALSE)</f>
        <v>ADISSEO</v>
      </c>
      <c r="F2091" s="77" t="s">
        <v>16</v>
      </c>
      <c r="G2091" s="73" t="str">
        <f>VLOOKUP(F2091,'[2]Lista de Produtos CLASSIFICAÇÃO'!$E$103:$F$114,2,FALSE)</f>
        <v>Outros</v>
      </c>
      <c r="H2091" s="78">
        <v>9969</v>
      </c>
    </row>
    <row r="2092" spans="1:8" x14ac:dyDescent="0.25">
      <c r="A2092" s="71">
        <v>2026</v>
      </c>
      <c r="B2092" s="72" t="s">
        <v>228</v>
      </c>
      <c r="C2092" s="73" t="s">
        <v>225</v>
      </c>
      <c r="D2092" s="73" t="s">
        <v>155</v>
      </c>
      <c r="E2092" s="73" t="str">
        <f>VLOOKUP(D2092,clientes!$C$3:$D$60,2,FALSE)</f>
        <v>ADISSEO</v>
      </c>
      <c r="F2092" s="73" t="s">
        <v>16</v>
      </c>
      <c r="G2092" s="73" t="str">
        <f>VLOOKUP(F2092,'[2]Lista de Produtos CLASSIFICAÇÃO'!$E$103:$F$114,2,FALSE)</f>
        <v>Outros</v>
      </c>
      <c r="H2092" s="74">
        <v>9969</v>
      </c>
    </row>
    <row r="2093" spans="1:8" x14ac:dyDescent="0.25">
      <c r="A2093" s="75">
        <v>2026</v>
      </c>
      <c r="B2093" s="76" t="s">
        <v>229</v>
      </c>
      <c r="C2093" s="77" t="s">
        <v>225</v>
      </c>
      <c r="D2093" s="77" t="s">
        <v>155</v>
      </c>
      <c r="E2093" s="73" t="str">
        <f>VLOOKUP(D2093,clientes!$C$3:$D$60,2,FALSE)</f>
        <v>ADISSEO</v>
      </c>
      <c r="F2093" s="77" t="s">
        <v>16</v>
      </c>
      <c r="G2093" s="73" t="str">
        <f>VLOOKUP(F2093,'[2]Lista de Produtos CLASSIFICAÇÃO'!$E$103:$F$114,2,FALSE)</f>
        <v>Outros</v>
      </c>
      <c r="H2093" s="78">
        <v>9969</v>
      </c>
    </row>
    <row r="2094" spans="1:8" x14ac:dyDescent="0.25">
      <c r="A2094" s="71">
        <v>2026</v>
      </c>
      <c r="B2094" s="72" t="s">
        <v>210</v>
      </c>
      <c r="C2094" s="73" t="s">
        <v>225</v>
      </c>
      <c r="D2094" s="73" t="s">
        <v>155</v>
      </c>
      <c r="E2094" s="73" t="str">
        <f>VLOOKUP(D2094,clientes!$C$3:$D$60,2,FALSE)</f>
        <v>ADISSEO</v>
      </c>
      <c r="F2094" s="73" t="s">
        <v>16</v>
      </c>
      <c r="G2094" s="73" t="str">
        <f>VLOOKUP(F2094,'[2]Lista de Produtos CLASSIFICAÇÃO'!$E$103:$F$114,2,FALSE)</f>
        <v>Outros</v>
      </c>
      <c r="H2094" s="74">
        <v>9969</v>
      </c>
    </row>
    <row r="2095" spans="1:8" x14ac:dyDescent="0.25">
      <c r="A2095" s="75">
        <v>2026</v>
      </c>
      <c r="B2095" s="76" t="s">
        <v>211</v>
      </c>
      <c r="C2095" s="77" t="s">
        <v>225</v>
      </c>
      <c r="D2095" s="77" t="s">
        <v>155</v>
      </c>
      <c r="E2095" s="73" t="str">
        <f>VLOOKUP(D2095,clientes!$C$3:$D$60,2,FALSE)</f>
        <v>ADISSEO</v>
      </c>
      <c r="F2095" s="77" t="s">
        <v>16</v>
      </c>
      <c r="G2095" s="73" t="str">
        <f>VLOOKUP(F2095,'[2]Lista de Produtos CLASSIFICAÇÃO'!$E$103:$F$114,2,FALSE)</f>
        <v>Outros</v>
      </c>
      <c r="H2095" s="78">
        <v>9969</v>
      </c>
    </row>
    <row r="2096" spans="1:8" x14ac:dyDescent="0.25">
      <c r="A2096" s="71">
        <v>2026</v>
      </c>
      <c r="B2096" s="72" t="s">
        <v>212</v>
      </c>
      <c r="C2096" s="73" t="s">
        <v>225</v>
      </c>
      <c r="D2096" s="73" t="s">
        <v>155</v>
      </c>
      <c r="E2096" s="73" t="str">
        <f>VLOOKUP(D2096,clientes!$C$3:$D$60,2,FALSE)</f>
        <v>ADISSEO</v>
      </c>
      <c r="F2096" s="73" t="s">
        <v>16</v>
      </c>
      <c r="G2096" s="73" t="str">
        <f>VLOOKUP(F2096,'[2]Lista de Produtos CLASSIFICAÇÃO'!$E$103:$F$114,2,FALSE)</f>
        <v>Outros</v>
      </c>
      <c r="H2096" s="74">
        <v>9969</v>
      </c>
    </row>
    <row r="2097" spans="1:8" x14ac:dyDescent="0.25">
      <c r="A2097" s="75">
        <v>2026</v>
      </c>
      <c r="B2097" s="76" t="s">
        <v>213</v>
      </c>
      <c r="C2097" s="77" t="s">
        <v>225</v>
      </c>
      <c r="D2097" s="77" t="s">
        <v>155</v>
      </c>
      <c r="E2097" s="73" t="str">
        <f>VLOOKUP(D2097,clientes!$C$3:$D$60,2,FALSE)</f>
        <v>ADISSEO</v>
      </c>
      <c r="F2097" s="77" t="s">
        <v>16</v>
      </c>
      <c r="G2097" s="73" t="str">
        <f>VLOOKUP(F2097,'[2]Lista de Produtos CLASSIFICAÇÃO'!$E$103:$F$114,2,FALSE)</f>
        <v>Outros</v>
      </c>
      <c r="H2097" s="78">
        <v>9969</v>
      </c>
    </row>
    <row r="2098" spans="1:8" x14ac:dyDescent="0.25">
      <c r="A2098" s="71">
        <v>2026</v>
      </c>
      <c r="B2098" s="72" t="s">
        <v>214</v>
      </c>
      <c r="C2098" s="73" t="s">
        <v>225</v>
      </c>
      <c r="D2098" s="73" t="s">
        <v>155</v>
      </c>
      <c r="E2098" s="73" t="str">
        <f>VLOOKUP(D2098,clientes!$C$3:$D$60,2,FALSE)</f>
        <v>ADISSEO</v>
      </c>
      <c r="F2098" s="73" t="s">
        <v>16</v>
      </c>
      <c r="G2098" s="73" t="str">
        <f>VLOOKUP(F2098,'[2]Lista de Produtos CLASSIFICAÇÃO'!$E$103:$F$114,2,FALSE)</f>
        <v>Outros</v>
      </c>
      <c r="H2098" s="74">
        <v>9969</v>
      </c>
    </row>
    <row r="2099" spans="1:8" x14ac:dyDescent="0.25">
      <c r="A2099" s="75">
        <v>2026</v>
      </c>
      <c r="B2099" s="76" t="s">
        <v>215</v>
      </c>
      <c r="C2099" s="77" t="s">
        <v>225</v>
      </c>
      <c r="D2099" s="77" t="s">
        <v>155</v>
      </c>
      <c r="E2099" s="73" t="str">
        <f>VLOOKUP(D2099,clientes!$C$3:$D$60,2,FALSE)</f>
        <v>ADISSEO</v>
      </c>
      <c r="F2099" s="77" t="s">
        <v>16</v>
      </c>
      <c r="G2099" s="73" t="str">
        <f>VLOOKUP(F2099,'[2]Lista de Produtos CLASSIFICAÇÃO'!$E$103:$F$114,2,FALSE)</f>
        <v>Outros</v>
      </c>
      <c r="H2099" s="78">
        <v>9969</v>
      </c>
    </row>
    <row r="2100" spans="1:8" x14ac:dyDescent="0.25">
      <c r="A2100" s="71">
        <v>2026</v>
      </c>
      <c r="B2100" s="72" t="s">
        <v>230</v>
      </c>
      <c r="C2100" s="73" t="s">
        <v>225</v>
      </c>
      <c r="D2100" s="73" t="s">
        <v>155</v>
      </c>
      <c r="E2100" s="73" t="str">
        <f>VLOOKUP(D2100,clientes!$C$3:$D$60,2,FALSE)</f>
        <v>ADISSEO</v>
      </c>
      <c r="F2100" s="73" t="s">
        <v>16</v>
      </c>
      <c r="G2100" s="73" t="str">
        <f>VLOOKUP(F2100,'[2]Lista de Produtos CLASSIFICAÇÃO'!$E$103:$F$114,2,FALSE)</f>
        <v>Outros</v>
      </c>
      <c r="H2100" s="74">
        <v>9969</v>
      </c>
    </row>
    <row r="2101" spans="1:8" x14ac:dyDescent="0.25">
      <c r="A2101" s="75">
        <v>2026</v>
      </c>
      <c r="B2101" s="76" t="s">
        <v>231</v>
      </c>
      <c r="C2101" s="77" t="s">
        <v>225</v>
      </c>
      <c r="D2101" s="77" t="s">
        <v>155</v>
      </c>
      <c r="E2101" s="73" t="str">
        <f>VLOOKUP(D2101,clientes!$C$3:$D$60,2,FALSE)</f>
        <v>ADISSEO</v>
      </c>
      <c r="F2101" s="77" t="s">
        <v>16</v>
      </c>
      <c r="G2101" s="73" t="str">
        <f>VLOOKUP(F2101,'[2]Lista de Produtos CLASSIFICAÇÃO'!$E$103:$F$114,2,FALSE)</f>
        <v>Outros</v>
      </c>
      <c r="H2101" s="78">
        <v>9969</v>
      </c>
    </row>
    <row r="2102" spans="1:8" x14ac:dyDescent="0.25">
      <c r="A2102" s="71">
        <v>2026</v>
      </c>
      <c r="B2102" s="72" t="s">
        <v>226</v>
      </c>
      <c r="C2102" s="73" t="s">
        <v>232</v>
      </c>
      <c r="D2102" s="73" t="s">
        <v>188</v>
      </c>
      <c r="E2102" s="73" t="str">
        <f>VLOOKUP(D2102,clientes!$C$3:$D$60,2,FALSE)</f>
        <v>ARES MERCHANTS PTE LIMITE</v>
      </c>
      <c r="F2102" s="73" t="s">
        <v>123</v>
      </c>
      <c r="G2102" s="73" t="str">
        <f>VLOOKUP(F2102,'[2]Lista de Produtos CLASSIFICAÇÃO'!$E$103:$F$114,2,FALSE)</f>
        <v>Aquecidos</v>
      </c>
      <c r="H2102" s="74">
        <v>7000</v>
      </c>
    </row>
    <row r="2103" spans="1:8" x14ac:dyDescent="0.25">
      <c r="A2103" s="75">
        <v>2026</v>
      </c>
      <c r="B2103" s="76" t="s">
        <v>227</v>
      </c>
      <c r="C2103" s="77" t="s">
        <v>232</v>
      </c>
      <c r="D2103" s="77" t="s">
        <v>188</v>
      </c>
      <c r="E2103" s="73" t="str">
        <f>VLOOKUP(D2103,clientes!$C$3:$D$60,2,FALSE)</f>
        <v>ARES MERCHANTS PTE LIMITE</v>
      </c>
      <c r="F2103" s="77" t="s">
        <v>123</v>
      </c>
      <c r="G2103" s="73" t="str">
        <f>VLOOKUP(F2103,'[2]Lista de Produtos CLASSIFICAÇÃO'!$E$103:$F$114,2,FALSE)</f>
        <v>Aquecidos</v>
      </c>
      <c r="H2103" s="78">
        <v>7000</v>
      </c>
    </row>
    <row r="2104" spans="1:8" x14ac:dyDescent="0.25">
      <c r="A2104" s="71">
        <v>2026</v>
      </c>
      <c r="B2104" s="72" t="s">
        <v>228</v>
      </c>
      <c r="C2104" s="73" t="s">
        <v>232</v>
      </c>
      <c r="D2104" s="73" t="s">
        <v>188</v>
      </c>
      <c r="E2104" s="73" t="str">
        <f>VLOOKUP(D2104,clientes!$C$3:$D$60,2,FALSE)</f>
        <v>ARES MERCHANTS PTE LIMITE</v>
      </c>
      <c r="F2104" s="73" t="s">
        <v>123</v>
      </c>
      <c r="G2104" s="73" t="str">
        <f>VLOOKUP(F2104,'[2]Lista de Produtos CLASSIFICAÇÃO'!$E$103:$F$114,2,FALSE)</f>
        <v>Aquecidos</v>
      </c>
      <c r="H2104" s="74">
        <v>7000</v>
      </c>
    </row>
    <row r="2105" spans="1:8" x14ac:dyDescent="0.25">
      <c r="A2105" s="75">
        <v>2026</v>
      </c>
      <c r="B2105" s="76" t="s">
        <v>229</v>
      </c>
      <c r="C2105" s="77" t="s">
        <v>232</v>
      </c>
      <c r="D2105" s="77" t="s">
        <v>188</v>
      </c>
      <c r="E2105" s="73" t="str">
        <f>VLOOKUP(D2105,clientes!$C$3:$D$60,2,FALSE)</f>
        <v>ARES MERCHANTS PTE LIMITE</v>
      </c>
      <c r="F2105" s="77" t="s">
        <v>123</v>
      </c>
      <c r="G2105" s="73" t="str">
        <f>VLOOKUP(F2105,'[2]Lista de Produtos CLASSIFICAÇÃO'!$E$103:$F$114,2,FALSE)</f>
        <v>Aquecidos</v>
      </c>
      <c r="H2105" s="78">
        <v>7000</v>
      </c>
    </row>
    <row r="2106" spans="1:8" x14ac:dyDescent="0.25">
      <c r="A2106" s="71">
        <v>2026</v>
      </c>
      <c r="B2106" s="72" t="s">
        <v>210</v>
      </c>
      <c r="C2106" s="73" t="s">
        <v>232</v>
      </c>
      <c r="D2106" s="73" t="s">
        <v>188</v>
      </c>
      <c r="E2106" s="73" t="str">
        <f>VLOOKUP(D2106,clientes!$C$3:$D$60,2,FALSE)</f>
        <v>ARES MERCHANTS PTE LIMITE</v>
      </c>
      <c r="F2106" s="73" t="s">
        <v>123</v>
      </c>
      <c r="G2106" s="73" t="str">
        <f>VLOOKUP(F2106,'[2]Lista de Produtos CLASSIFICAÇÃO'!$E$103:$F$114,2,FALSE)</f>
        <v>Aquecidos</v>
      </c>
      <c r="H2106" s="74">
        <v>7000</v>
      </c>
    </row>
    <row r="2107" spans="1:8" x14ac:dyDescent="0.25">
      <c r="A2107" s="75">
        <v>2026</v>
      </c>
      <c r="B2107" s="76" t="s">
        <v>211</v>
      </c>
      <c r="C2107" s="77" t="s">
        <v>232</v>
      </c>
      <c r="D2107" s="77" t="s">
        <v>188</v>
      </c>
      <c r="E2107" s="73" t="str">
        <f>VLOOKUP(D2107,clientes!$C$3:$D$60,2,FALSE)</f>
        <v>ARES MERCHANTS PTE LIMITE</v>
      </c>
      <c r="F2107" s="77" t="s">
        <v>123</v>
      </c>
      <c r="G2107" s="73" t="str">
        <f>VLOOKUP(F2107,'[2]Lista de Produtos CLASSIFICAÇÃO'!$E$103:$F$114,2,FALSE)</f>
        <v>Aquecidos</v>
      </c>
      <c r="H2107" s="78">
        <v>7000</v>
      </c>
    </row>
    <row r="2108" spans="1:8" x14ac:dyDescent="0.25">
      <c r="A2108" s="71">
        <v>2026</v>
      </c>
      <c r="B2108" s="72" t="s">
        <v>212</v>
      </c>
      <c r="C2108" s="73" t="s">
        <v>232</v>
      </c>
      <c r="D2108" s="73" t="s">
        <v>188</v>
      </c>
      <c r="E2108" s="73" t="str">
        <f>VLOOKUP(D2108,clientes!$C$3:$D$60,2,FALSE)</f>
        <v>ARES MERCHANTS PTE LIMITE</v>
      </c>
      <c r="F2108" s="73" t="s">
        <v>123</v>
      </c>
      <c r="G2108" s="73" t="str">
        <f>VLOOKUP(F2108,'[2]Lista de Produtos CLASSIFICAÇÃO'!$E$103:$F$114,2,FALSE)</f>
        <v>Aquecidos</v>
      </c>
      <c r="H2108" s="74">
        <v>7000</v>
      </c>
    </row>
    <row r="2109" spans="1:8" x14ac:dyDescent="0.25">
      <c r="A2109" s="75">
        <v>2026</v>
      </c>
      <c r="B2109" s="76" t="s">
        <v>213</v>
      </c>
      <c r="C2109" s="77" t="s">
        <v>232</v>
      </c>
      <c r="D2109" s="77" t="s">
        <v>188</v>
      </c>
      <c r="E2109" s="73" t="str">
        <f>VLOOKUP(D2109,clientes!$C$3:$D$60,2,FALSE)</f>
        <v>ARES MERCHANTS PTE LIMITE</v>
      </c>
      <c r="F2109" s="77" t="s">
        <v>123</v>
      </c>
      <c r="G2109" s="73" t="str">
        <f>VLOOKUP(F2109,'[2]Lista de Produtos CLASSIFICAÇÃO'!$E$103:$F$114,2,FALSE)</f>
        <v>Aquecidos</v>
      </c>
      <c r="H2109" s="78">
        <v>7000</v>
      </c>
    </row>
    <row r="2110" spans="1:8" x14ac:dyDescent="0.25">
      <c r="A2110" s="71">
        <v>2026</v>
      </c>
      <c r="B2110" s="72" t="s">
        <v>214</v>
      </c>
      <c r="C2110" s="73" t="s">
        <v>232</v>
      </c>
      <c r="D2110" s="73" t="s">
        <v>188</v>
      </c>
      <c r="E2110" s="73" t="str">
        <f>VLOOKUP(D2110,clientes!$C$3:$D$60,2,FALSE)</f>
        <v>ARES MERCHANTS PTE LIMITE</v>
      </c>
      <c r="F2110" s="73" t="s">
        <v>123</v>
      </c>
      <c r="G2110" s="73" t="str">
        <f>VLOOKUP(F2110,'[2]Lista de Produtos CLASSIFICAÇÃO'!$E$103:$F$114,2,FALSE)</f>
        <v>Aquecidos</v>
      </c>
      <c r="H2110" s="74">
        <v>7000</v>
      </c>
    </row>
    <row r="2111" spans="1:8" x14ac:dyDescent="0.25">
      <c r="A2111" s="75">
        <v>2026</v>
      </c>
      <c r="B2111" s="76" t="s">
        <v>215</v>
      </c>
      <c r="C2111" s="77" t="s">
        <v>232</v>
      </c>
      <c r="D2111" s="77" t="s">
        <v>188</v>
      </c>
      <c r="E2111" s="73" t="str">
        <f>VLOOKUP(D2111,clientes!$C$3:$D$60,2,FALSE)</f>
        <v>ARES MERCHANTS PTE LIMITE</v>
      </c>
      <c r="F2111" s="77" t="s">
        <v>123</v>
      </c>
      <c r="G2111" s="73" t="str">
        <f>VLOOKUP(F2111,'[2]Lista de Produtos CLASSIFICAÇÃO'!$E$103:$F$114,2,FALSE)</f>
        <v>Aquecidos</v>
      </c>
      <c r="H2111" s="78">
        <v>7000</v>
      </c>
    </row>
    <row r="2112" spans="1:8" x14ac:dyDescent="0.25">
      <c r="A2112" s="71">
        <v>2026</v>
      </c>
      <c r="B2112" s="72" t="s">
        <v>230</v>
      </c>
      <c r="C2112" s="73" t="s">
        <v>232</v>
      </c>
      <c r="D2112" s="73" t="s">
        <v>188</v>
      </c>
      <c r="E2112" s="73" t="str">
        <f>VLOOKUP(D2112,clientes!$C$3:$D$60,2,FALSE)</f>
        <v>ARES MERCHANTS PTE LIMITE</v>
      </c>
      <c r="F2112" s="73" t="s">
        <v>123</v>
      </c>
      <c r="G2112" s="73" t="str">
        <f>VLOOKUP(F2112,'[2]Lista de Produtos CLASSIFICAÇÃO'!$E$103:$F$114,2,FALSE)</f>
        <v>Aquecidos</v>
      </c>
      <c r="H2112" s="74">
        <v>7000</v>
      </c>
    </row>
    <row r="2113" spans="1:8" x14ac:dyDescent="0.25">
      <c r="A2113" s="75">
        <v>2026</v>
      </c>
      <c r="B2113" s="76" t="s">
        <v>231</v>
      </c>
      <c r="C2113" s="77" t="s">
        <v>232</v>
      </c>
      <c r="D2113" s="77" t="s">
        <v>188</v>
      </c>
      <c r="E2113" s="73" t="str">
        <f>VLOOKUP(D2113,clientes!$C$3:$D$60,2,FALSE)</f>
        <v>ARES MERCHANTS PTE LIMITE</v>
      </c>
      <c r="F2113" s="77" t="s">
        <v>123</v>
      </c>
      <c r="G2113" s="73" t="str">
        <f>VLOOKUP(F2113,'[2]Lista de Produtos CLASSIFICAÇÃO'!$E$103:$F$114,2,FALSE)</f>
        <v>Aquecidos</v>
      </c>
      <c r="H2113" s="78">
        <v>7000</v>
      </c>
    </row>
    <row r="2114" spans="1:8" x14ac:dyDescent="0.25">
      <c r="A2114" s="71">
        <v>2026</v>
      </c>
      <c r="B2114" s="72" t="s">
        <v>226</v>
      </c>
      <c r="C2114" s="73" t="s">
        <v>296</v>
      </c>
      <c r="D2114" s="73" t="s">
        <v>243</v>
      </c>
      <c r="E2114" s="73" t="str">
        <f>VLOOKUP(D2114,clientes!$C$3:$D$60,2,FALSE)</f>
        <v>ART PETRO</v>
      </c>
      <c r="F2114" s="73" t="s">
        <v>120</v>
      </c>
      <c r="G2114" s="73" t="str">
        <f>VLOOKUP(F2114,'[2]Lista de Produtos CLASSIFICAÇÃO'!$E$103:$F$114,2,FALSE)</f>
        <v>Derivados</v>
      </c>
      <c r="H2114" s="74">
        <v>0</v>
      </c>
    </row>
    <row r="2115" spans="1:8" x14ac:dyDescent="0.25">
      <c r="A2115" s="75">
        <v>2026</v>
      </c>
      <c r="B2115" s="76" t="s">
        <v>227</v>
      </c>
      <c r="C2115" s="77" t="s">
        <v>296</v>
      </c>
      <c r="D2115" s="77" t="s">
        <v>243</v>
      </c>
      <c r="E2115" s="73" t="str">
        <f>VLOOKUP(D2115,clientes!$C$3:$D$60,2,FALSE)</f>
        <v>ART PETRO</v>
      </c>
      <c r="F2115" s="77" t="s">
        <v>120</v>
      </c>
      <c r="G2115" s="73" t="str">
        <f>VLOOKUP(F2115,'[2]Lista de Produtos CLASSIFICAÇÃO'!$E$103:$F$114,2,FALSE)</f>
        <v>Derivados</v>
      </c>
      <c r="H2115" s="78">
        <v>0</v>
      </c>
    </row>
    <row r="2116" spans="1:8" x14ac:dyDescent="0.25">
      <c r="A2116" s="71">
        <v>2026</v>
      </c>
      <c r="B2116" s="72" t="s">
        <v>228</v>
      </c>
      <c r="C2116" s="73" t="s">
        <v>296</v>
      </c>
      <c r="D2116" s="73" t="s">
        <v>243</v>
      </c>
      <c r="E2116" s="73" t="str">
        <f>VLOOKUP(D2116,clientes!$C$3:$D$60,2,FALSE)</f>
        <v>ART PETRO</v>
      </c>
      <c r="F2116" s="73" t="s">
        <v>120</v>
      </c>
      <c r="G2116" s="73" t="str">
        <f>VLOOKUP(F2116,'[2]Lista de Produtos CLASSIFICAÇÃO'!$E$103:$F$114,2,FALSE)</f>
        <v>Derivados</v>
      </c>
      <c r="H2116" s="74">
        <v>0</v>
      </c>
    </row>
    <row r="2117" spans="1:8" x14ac:dyDescent="0.25">
      <c r="A2117" s="75">
        <v>2026</v>
      </c>
      <c r="B2117" s="76" t="s">
        <v>229</v>
      </c>
      <c r="C2117" s="77" t="s">
        <v>296</v>
      </c>
      <c r="D2117" s="77" t="s">
        <v>243</v>
      </c>
      <c r="E2117" s="73" t="str">
        <f>VLOOKUP(D2117,clientes!$C$3:$D$60,2,FALSE)</f>
        <v>ART PETRO</v>
      </c>
      <c r="F2117" s="77" t="s">
        <v>120</v>
      </c>
      <c r="G2117" s="73" t="str">
        <f>VLOOKUP(F2117,'[2]Lista de Produtos CLASSIFICAÇÃO'!$E$103:$F$114,2,FALSE)</f>
        <v>Derivados</v>
      </c>
      <c r="H2117" s="78">
        <v>0</v>
      </c>
    </row>
    <row r="2118" spans="1:8" x14ac:dyDescent="0.25">
      <c r="A2118" s="71">
        <v>2026</v>
      </c>
      <c r="B2118" s="72" t="s">
        <v>210</v>
      </c>
      <c r="C2118" s="73" t="s">
        <v>296</v>
      </c>
      <c r="D2118" s="73" t="s">
        <v>243</v>
      </c>
      <c r="E2118" s="73" t="str">
        <f>VLOOKUP(D2118,clientes!$C$3:$D$60,2,FALSE)</f>
        <v>ART PETRO</v>
      </c>
      <c r="F2118" s="73" t="s">
        <v>120</v>
      </c>
      <c r="G2118" s="73" t="str">
        <f>VLOOKUP(F2118,'[2]Lista de Produtos CLASSIFICAÇÃO'!$E$103:$F$114,2,FALSE)</f>
        <v>Derivados</v>
      </c>
      <c r="H2118" s="74">
        <v>10000</v>
      </c>
    </row>
    <row r="2119" spans="1:8" x14ac:dyDescent="0.25">
      <c r="A2119" s="75">
        <v>2026</v>
      </c>
      <c r="B2119" s="76" t="s">
        <v>211</v>
      </c>
      <c r="C2119" s="77" t="s">
        <v>296</v>
      </c>
      <c r="D2119" s="77" t="s">
        <v>243</v>
      </c>
      <c r="E2119" s="73" t="str">
        <f>VLOOKUP(D2119,clientes!$C$3:$D$60,2,FALSE)</f>
        <v>ART PETRO</v>
      </c>
      <c r="F2119" s="77" t="s">
        <v>120</v>
      </c>
      <c r="G2119" s="73" t="str">
        <f>VLOOKUP(F2119,'[2]Lista de Produtos CLASSIFICAÇÃO'!$E$103:$F$114,2,FALSE)</f>
        <v>Derivados</v>
      </c>
      <c r="H2119" s="78">
        <v>10000</v>
      </c>
    </row>
    <row r="2120" spans="1:8" x14ac:dyDescent="0.25">
      <c r="A2120" s="71">
        <v>2026</v>
      </c>
      <c r="B2120" s="72" t="s">
        <v>212</v>
      </c>
      <c r="C2120" s="73" t="s">
        <v>296</v>
      </c>
      <c r="D2120" s="73" t="s">
        <v>243</v>
      </c>
      <c r="E2120" s="73" t="str">
        <f>VLOOKUP(D2120,clientes!$C$3:$D$60,2,FALSE)</f>
        <v>ART PETRO</v>
      </c>
      <c r="F2120" s="73" t="s">
        <v>120</v>
      </c>
      <c r="G2120" s="73" t="str">
        <f>VLOOKUP(F2120,'[2]Lista de Produtos CLASSIFICAÇÃO'!$E$103:$F$114,2,FALSE)</f>
        <v>Derivados</v>
      </c>
      <c r="H2120" s="74">
        <v>10000</v>
      </c>
    </row>
    <row r="2121" spans="1:8" x14ac:dyDescent="0.25">
      <c r="A2121" s="75">
        <v>2026</v>
      </c>
      <c r="B2121" s="76" t="s">
        <v>213</v>
      </c>
      <c r="C2121" s="77" t="s">
        <v>296</v>
      </c>
      <c r="D2121" s="77" t="s">
        <v>243</v>
      </c>
      <c r="E2121" s="73" t="str">
        <f>VLOOKUP(D2121,clientes!$C$3:$D$60,2,FALSE)</f>
        <v>ART PETRO</v>
      </c>
      <c r="F2121" s="77" t="s">
        <v>120</v>
      </c>
      <c r="G2121" s="73" t="str">
        <f>VLOOKUP(F2121,'[2]Lista de Produtos CLASSIFICAÇÃO'!$E$103:$F$114,2,FALSE)</f>
        <v>Derivados</v>
      </c>
      <c r="H2121" s="78">
        <v>10000</v>
      </c>
    </row>
    <row r="2122" spans="1:8" x14ac:dyDescent="0.25">
      <c r="A2122" s="71">
        <v>2026</v>
      </c>
      <c r="B2122" s="72" t="s">
        <v>214</v>
      </c>
      <c r="C2122" s="73" t="s">
        <v>296</v>
      </c>
      <c r="D2122" s="73" t="s">
        <v>243</v>
      </c>
      <c r="E2122" s="73" t="str">
        <f>VLOOKUP(D2122,clientes!$C$3:$D$60,2,FALSE)</f>
        <v>ART PETRO</v>
      </c>
      <c r="F2122" s="73" t="s">
        <v>120</v>
      </c>
      <c r="G2122" s="73" t="str">
        <f>VLOOKUP(F2122,'[2]Lista de Produtos CLASSIFICAÇÃO'!$E$103:$F$114,2,FALSE)</f>
        <v>Derivados</v>
      </c>
      <c r="H2122" s="74">
        <v>10000</v>
      </c>
    </row>
    <row r="2123" spans="1:8" x14ac:dyDescent="0.25">
      <c r="A2123" s="75">
        <v>2026</v>
      </c>
      <c r="B2123" s="76" t="s">
        <v>215</v>
      </c>
      <c r="C2123" s="77" t="s">
        <v>296</v>
      </c>
      <c r="D2123" s="77" t="s">
        <v>243</v>
      </c>
      <c r="E2123" s="73" t="str">
        <f>VLOOKUP(D2123,clientes!$C$3:$D$60,2,FALSE)</f>
        <v>ART PETRO</v>
      </c>
      <c r="F2123" s="77" t="s">
        <v>120</v>
      </c>
      <c r="G2123" s="73" t="str">
        <f>VLOOKUP(F2123,'[2]Lista de Produtos CLASSIFICAÇÃO'!$E$103:$F$114,2,FALSE)</f>
        <v>Derivados</v>
      </c>
      <c r="H2123" s="78">
        <v>10000</v>
      </c>
    </row>
    <row r="2124" spans="1:8" x14ac:dyDescent="0.25">
      <c r="A2124" s="71">
        <v>2026</v>
      </c>
      <c r="B2124" s="72" t="s">
        <v>230</v>
      </c>
      <c r="C2124" s="73" t="s">
        <v>296</v>
      </c>
      <c r="D2124" s="73" t="s">
        <v>243</v>
      </c>
      <c r="E2124" s="73" t="str">
        <f>VLOOKUP(D2124,clientes!$C$3:$D$60,2,FALSE)</f>
        <v>ART PETRO</v>
      </c>
      <c r="F2124" s="73" t="s">
        <v>120</v>
      </c>
      <c r="G2124" s="73" t="str">
        <f>VLOOKUP(F2124,'[2]Lista de Produtos CLASSIFICAÇÃO'!$E$103:$F$114,2,FALSE)</f>
        <v>Derivados</v>
      </c>
      <c r="H2124" s="74">
        <v>10000</v>
      </c>
    </row>
    <row r="2125" spans="1:8" x14ac:dyDescent="0.25">
      <c r="A2125" s="75">
        <v>2026</v>
      </c>
      <c r="B2125" s="76" t="s">
        <v>231</v>
      </c>
      <c r="C2125" s="77" t="s">
        <v>296</v>
      </c>
      <c r="D2125" s="77" t="s">
        <v>243</v>
      </c>
      <c r="E2125" s="73" t="str">
        <f>VLOOKUP(D2125,clientes!$C$3:$D$60,2,FALSE)</f>
        <v>ART PETRO</v>
      </c>
      <c r="F2125" s="77" t="s">
        <v>120</v>
      </c>
      <c r="G2125" s="73" t="str">
        <f>VLOOKUP(F2125,'[2]Lista de Produtos CLASSIFICAÇÃO'!$E$103:$F$114,2,FALSE)</f>
        <v>Derivados</v>
      </c>
      <c r="H2125" s="78">
        <v>10000</v>
      </c>
    </row>
    <row r="2126" spans="1:8" x14ac:dyDescent="0.25">
      <c r="A2126" s="71">
        <v>2026</v>
      </c>
      <c r="B2126" s="72" t="s">
        <v>226</v>
      </c>
      <c r="C2126" s="73" t="s">
        <v>232</v>
      </c>
      <c r="D2126" s="73" t="s">
        <v>165</v>
      </c>
      <c r="E2126" s="73" t="str">
        <f>VLOOKUP(D2126,clientes!$C$3:$D$60,2,FALSE)</f>
        <v>BRF</v>
      </c>
      <c r="F2126" s="73" t="s">
        <v>123</v>
      </c>
      <c r="G2126" s="73" t="str">
        <f>VLOOKUP(F2126,'[2]Lista de Produtos CLASSIFICAÇÃO'!$E$103:$F$114,2,FALSE)</f>
        <v>Aquecidos</v>
      </c>
      <c r="H2126" s="74">
        <v>13000</v>
      </c>
    </row>
    <row r="2127" spans="1:8" x14ac:dyDescent="0.25">
      <c r="A2127" s="75">
        <v>2026</v>
      </c>
      <c r="B2127" s="76" t="s">
        <v>227</v>
      </c>
      <c r="C2127" s="77" t="s">
        <v>232</v>
      </c>
      <c r="D2127" s="77" t="s">
        <v>165</v>
      </c>
      <c r="E2127" s="73" t="str">
        <f>VLOOKUP(D2127,clientes!$C$3:$D$60,2,FALSE)</f>
        <v>BRF</v>
      </c>
      <c r="F2127" s="77" t="s">
        <v>123</v>
      </c>
      <c r="G2127" s="73" t="str">
        <f>VLOOKUP(F2127,'[2]Lista de Produtos CLASSIFICAÇÃO'!$E$103:$F$114,2,FALSE)</f>
        <v>Aquecidos</v>
      </c>
      <c r="H2127" s="78">
        <v>13000</v>
      </c>
    </row>
    <row r="2128" spans="1:8" x14ac:dyDescent="0.25">
      <c r="A2128" s="71">
        <v>2026</v>
      </c>
      <c r="B2128" s="72" t="s">
        <v>228</v>
      </c>
      <c r="C2128" s="73" t="s">
        <v>232</v>
      </c>
      <c r="D2128" s="73" t="s">
        <v>165</v>
      </c>
      <c r="E2128" s="73" t="str">
        <f>VLOOKUP(D2128,clientes!$C$3:$D$60,2,FALSE)</f>
        <v>BRF</v>
      </c>
      <c r="F2128" s="73" t="s">
        <v>123</v>
      </c>
      <c r="G2128" s="73" t="str">
        <f>VLOOKUP(F2128,'[2]Lista de Produtos CLASSIFICAÇÃO'!$E$103:$F$114,2,FALSE)</f>
        <v>Aquecidos</v>
      </c>
      <c r="H2128" s="74">
        <v>13000</v>
      </c>
    </row>
    <row r="2129" spans="1:8" x14ac:dyDescent="0.25">
      <c r="A2129" s="75">
        <v>2026</v>
      </c>
      <c r="B2129" s="76" t="s">
        <v>229</v>
      </c>
      <c r="C2129" s="77" t="s">
        <v>232</v>
      </c>
      <c r="D2129" s="77" t="s">
        <v>165</v>
      </c>
      <c r="E2129" s="73" t="str">
        <f>VLOOKUP(D2129,clientes!$C$3:$D$60,2,FALSE)</f>
        <v>BRF</v>
      </c>
      <c r="F2129" s="77" t="s">
        <v>123</v>
      </c>
      <c r="G2129" s="73" t="str">
        <f>VLOOKUP(F2129,'[2]Lista de Produtos CLASSIFICAÇÃO'!$E$103:$F$114,2,FALSE)</f>
        <v>Aquecidos</v>
      </c>
      <c r="H2129" s="78">
        <v>13000</v>
      </c>
    </row>
    <row r="2130" spans="1:8" x14ac:dyDescent="0.25">
      <c r="A2130" s="71">
        <v>2026</v>
      </c>
      <c r="B2130" s="72" t="s">
        <v>210</v>
      </c>
      <c r="C2130" s="73" t="s">
        <v>232</v>
      </c>
      <c r="D2130" s="73" t="s">
        <v>165</v>
      </c>
      <c r="E2130" s="73" t="str">
        <f>VLOOKUP(D2130,clientes!$C$3:$D$60,2,FALSE)</f>
        <v>BRF</v>
      </c>
      <c r="F2130" s="73" t="s">
        <v>123</v>
      </c>
      <c r="G2130" s="73" t="str">
        <f>VLOOKUP(F2130,'[2]Lista de Produtos CLASSIFICAÇÃO'!$E$103:$F$114,2,FALSE)</f>
        <v>Aquecidos</v>
      </c>
      <c r="H2130" s="74">
        <v>13000</v>
      </c>
    </row>
    <row r="2131" spans="1:8" x14ac:dyDescent="0.25">
      <c r="A2131" s="75">
        <v>2026</v>
      </c>
      <c r="B2131" s="76" t="s">
        <v>211</v>
      </c>
      <c r="C2131" s="77" t="s">
        <v>232</v>
      </c>
      <c r="D2131" s="77" t="s">
        <v>165</v>
      </c>
      <c r="E2131" s="73" t="str">
        <f>VLOOKUP(D2131,clientes!$C$3:$D$60,2,FALSE)</f>
        <v>BRF</v>
      </c>
      <c r="F2131" s="77" t="s">
        <v>123</v>
      </c>
      <c r="G2131" s="73" t="str">
        <f>VLOOKUP(F2131,'[2]Lista de Produtos CLASSIFICAÇÃO'!$E$103:$F$114,2,FALSE)</f>
        <v>Aquecidos</v>
      </c>
      <c r="H2131" s="78">
        <v>13000</v>
      </c>
    </row>
    <row r="2132" spans="1:8" x14ac:dyDescent="0.25">
      <c r="A2132" s="71">
        <v>2026</v>
      </c>
      <c r="B2132" s="72" t="s">
        <v>212</v>
      </c>
      <c r="C2132" s="73" t="s">
        <v>232</v>
      </c>
      <c r="D2132" s="73" t="s">
        <v>165</v>
      </c>
      <c r="E2132" s="73" t="str">
        <f>VLOOKUP(D2132,clientes!$C$3:$D$60,2,FALSE)</f>
        <v>BRF</v>
      </c>
      <c r="F2132" s="73" t="s">
        <v>123</v>
      </c>
      <c r="G2132" s="73" t="str">
        <f>VLOOKUP(F2132,'[2]Lista de Produtos CLASSIFICAÇÃO'!$E$103:$F$114,2,FALSE)</f>
        <v>Aquecidos</v>
      </c>
      <c r="H2132" s="74">
        <v>13000</v>
      </c>
    </row>
    <row r="2133" spans="1:8" x14ac:dyDescent="0.25">
      <c r="A2133" s="75">
        <v>2026</v>
      </c>
      <c r="B2133" s="76" t="s">
        <v>213</v>
      </c>
      <c r="C2133" s="77" t="s">
        <v>232</v>
      </c>
      <c r="D2133" s="77" t="s">
        <v>165</v>
      </c>
      <c r="E2133" s="73" t="str">
        <f>VLOOKUP(D2133,clientes!$C$3:$D$60,2,FALSE)</f>
        <v>BRF</v>
      </c>
      <c r="F2133" s="77" t="s">
        <v>123</v>
      </c>
      <c r="G2133" s="73" t="str">
        <f>VLOOKUP(F2133,'[2]Lista de Produtos CLASSIFICAÇÃO'!$E$103:$F$114,2,FALSE)</f>
        <v>Aquecidos</v>
      </c>
      <c r="H2133" s="78">
        <v>13000</v>
      </c>
    </row>
    <row r="2134" spans="1:8" x14ac:dyDescent="0.25">
      <c r="A2134" s="71">
        <v>2026</v>
      </c>
      <c r="B2134" s="72" t="s">
        <v>214</v>
      </c>
      <c r="C2134" s="73" t="s">
        <v>232</v>
      </c>
      <c r="D2134" s="73" t="s">
        <v>165</v>
      </c>
      <c r="E2134" s="73" t="str">
        <f>VLOOKUP(D2134,clientes!$C$3:$D$60,2,FALSE)</f>
        <v>BRF</v>
      </c>
      <c r="F2134" s="73" t="s">
        <v>123</v>
      </c>
      <c r="G2134" s="73" t="str">
        <f>VLOOKUP(F2134,'[2]Lista de Produtos CLASSIFICAÇÃO'!$E$103:$F$114,2,FALSE)</f>
        <v>Aquecidos</v>
      </c>
      <c r="H2134" s="74">
        <v>13000</v>
      </c>
    </row>
    <row r="2135" spans="1:8" x14ac:dyDescent="0.25">
      <c r="A2135" s="75">
        <v>2026</v>
      </c>
      <c r="B2135" s="76" t="s">
        <v>215</v>
      </c>
      <c r="C2135" s="77" t="s">
        <v>232</v>
      </c>
      <c r="D2135" s="77" t="s">
        <v>165</v>
      </c>
      <c r="E2135" s="73" t="str">
        <f>VLOOKUP(D2135,clientes!$C$3:$D$60,2,FALSE)</f>
        <v>BRF</v>
      </c>
      <c r="F2135" s="77" t="s">
        <v>123</v>
      </c>
      <c r="G2135" s="73" t="str">
        <f>VLOOKUP(F2135,'[2]Lista de Produtos CLASSIFICAÇÃO'!$E$103:$F$114,2,FALSE)</f>
        <v>Aquecidos</v>
      </c>
      <c r="H2135" s="78">
        <v>13000</v>
      </c>
    </row>
    <row r="2136" spans="1:8" x14ac:dyDescent="0.25">
      <c r="A2136" s="71">
        <v>2026</v>
      </c>
      <c r="B2136" s="72" t="s">
        <v>230</v>
      </c>
      <c r="C2136" s="73" t="s">
        <v>232</v>
      </c>
      <c r="D2136" s="73" t="s">
        <v>165</v>
      </c>
      <c r="E2136" s="73" t="str">
        <f>VLOOKUP(D2136,clientes!$C$3:$D$60,2,FALSE)</f>
        <v>BRF</v>
      </c>
      <c r="F2136" s="73" t="s">
        <v>123</v>
      </c>
      <c r="G2136" s="73" t="str">
        <f>VLOOKUP(F2136,'[2]Lista de Produtos CLASSIFICAÇÃO'!$E$103:$F$114,2,FALSE)</f>
        <v>Aquecidos</v>
      </c>
      <c r="H2136" s="74">
        <v>13000</v>
      </c>
    </row>
    <row r="2137" spans="1:8" x14ac:dyDescent="0.25">
      <c r="A2137" s="75">
        <v>2026</v>
      </c>
      <c r="B2137" s="76" t="s">
        <v>231</v>
      </c>
      <c r="C2137" s="77" t="s">
        <v>232</v>
      </c>
      <c r="D2137" s="77" t="s">
        <v>165</v>
      </c>
      <c r="E2137" s="73" t="str">
        <f>VLOOKUP(D2137,clientes!$C$3:$D$60,2,FALSE)</f>
        <v>BRF</v>
      </c>
      <c r="F2137" s="77" t="s">
        <v>123</v>
      </c>
      <c r="G2137" s="73" t="str">
        <f>VLOOKUP(F2137,'[2]Lista de Produtos CLASSIFICAÇÃO'!$E$103:$F$114,2,FALSE)</f>
        <v>Aquecidos</v>
      </c>
      <c r="H2137" s="78">
        <v>13000</v>
      </c>
    </row>
    <row r="2138" spans="1:8" x14ac:dyDescent="0.25">
      <c r="A2138" s="71">
        <v>2026</v>
      </c>
      <c r="B2138" s="72" t="s">
        <v>226</v>
      </c>
      <c r="C2138" s="73" t="s">
        <v>233</v>
      </c>
      <c r="D2138" s="73" t="s">
        <v>179</v>
      </c>
      <c r="E2138" s="73" t="str">
        <f>VLOOKUP(D2138,clientes!$C$3:$D$60,2,FALSE)</f>
        <v>BSBIOS</v>
      </c>
      <c r="F2138" s="73" t="s">
        <v>26</v>
      </c>
      <c r="G2138" s="73" t="str">
        <f>VLOOKUP(F2138,'[2]Lista de Produtos CLASSIFICAÇÃO'!$E$103:$F$114,2,FALSE)</f>
        <v>Biocombustíveis</v>
      </c>
      <c r="H2138" s="74">
        <v>5000</v>
      </c>
    </row>
    <row r="2139" spans="1:8" x14ac:dyDescent="0.25">
      <c r="A2139" s="75">
        <v>2026</v>
      </c>
      <c r="B2139" s="76" t="s">
        <v>227</v>
      </c>
      <c r="C2139" s="77" t="s">
        <v>233</v>
      </c>
      <c r="D2139" s="77" t="s">
        <v>179</v>
      </c>
      <c r="E2139" s="73" t="str">
        <f>VLOOKUP(D2139,clientes!$C$3:$D$60,2,FALSE)</f>
        <v>BSBIOS</v>
      </c>
      <c r="F2139" s="77" t="s">
        <v>26</v>
      </c>
      <c r="G2139" s="73" t="str">
        <f>VLOOKUP(F2139,'[2]Lista de Produtos CLASSIFICAÇÃO'!$E$103:$F$114,2,FALSE)</f>
        <v>Biocombustíveis</v>
      </c>
      <c r="H2139" s="78">
        <v>8000</v>
      </c>
    </row>
    <row r="2140" spans="1:8" x14ac:dyDescent="0.25">
      <c r="A2140" s="71">
        <v>2026</v>
      </c>
      <c r="B2140" s="72" t="s">
        <v>228</v>
      </c>
      <c r="C2140" s="73" t="s">
        <v>233</v>
      </c>
      <c r="D2140" s="73" t="s">
        <v>179</v>
      </c>
      <c r="E2140" s="73" t="str">
        <f>VLOOKUP(D2140,clientes!$C$3:$D$60,2,FALSE)</f>
        <v>BSBIOS</v>
      </c>
      <c r="F2140" s="73" t="s">
        <v>26</v>
      </c>
      <c r="G2140" s="73" t="str">
        <f>VLOOKUP(F2140,'[2]Lista de Produtos CLASSIFICAÇÃO'!$E$103:$F$114,2,FALSE)</f>
        <v>Biocombustíveis</v>
      </c>
      <c r="H2140" s="74">
        <v>5000</v>
      </c>
    </row>
    <row r="2141" spans="1:8" x14ac:dyDescent="0.25">
      <c r="A2141" s="75">
        <v>2026</v>
      </c>
      <c r="B2141" s="76" t="s">
        <v>229</v>
      </c>
      <c r="C2141" s="77" t="s">
        <v>233</v>
      </c>
      <c r="D2141" s="77" t="s">
        <v>179</v>
      </c>
      <c r="E2141" s="73" t="str">
        <f>VLOOKUP(D2141,clientes!$C$3:$D$60,2,FALSE)</f>
        <v>BSBIOS</v>
      </c>
      <c r="F2141" s="77" t="s">
        <v>26</v>
      </c>
      <c r="G2141" s="73" t="str">
        <f>VLOOKUP(F2141,'[2]Lista de Produtos CLASSIFICAÇÃO'!$E$103:$F$114,2,FALSE)</f>
        <v>Biocombustíveis</v>
      </c>
      <c r="H2141" s="78">
        <v>8000</v>
      </c>
    </row>
    <row r="2142" spans="1:8" x14ac:dyDescent="0.25">
      <c r="A2142" s="71">
        <v>2026</v>
      </c>
      <c r="B2142" s="72" t="s">
        <v>210</v>
      </c>
      <c r="C2142" s="73" t="s">
        <v>233</v>
      </c>
      <c r="D2142" s="73" t="s">
        <v>179</v>
      </c>
      <c r="E2142" s="73" t="str">
        <f>VLOOKUP(D2142,clientes!$C$3:$D$60,2,FALSE)</f>
        <v>BSBIOS</v>
      </c>
      <c r="F2142" s="73" t="s">
        <v>26</v>
      </c>
      <c r="G2142" s="73" t="str">
        <f>VLOOKUP(F2142,'[2]Lista de Produtos CLASSIFICAÇÃO'!$E$103:$F$114,2,FALSE)</f>
        <v>Biocombustíveis</v>
      </c>
      <c r="H2142" s="74">
        <v>5000</v>
      </c>
    </row>
    <row r="2143" spans="1:8" x14ac:dyDescent="0.25">
      <c r="A2143" s="75">
        <v>2026</v>
      </c>
      <c r="B2143" s="76" t="s">
        <v>211</v>
      </c>
      <c r="C2143" s="77" t="s">
        <v>233</v>
      </c>
      <c r="D2143" s="77" t="s">
        <v>179</v>
      </c>
      <c r="E2143" s="73" t="str">
        <f>VLOOKUP(D2143,clientes!$C$3:$D$60,2,FALSE)</f>
        <v>BSBIOS</v>
      </c>
      <c r="F2143" s="77" t="s">
        <v>26</v>
      </c>
      <c r="G2143" s="73" t="str">
        <f>VLOOKUP(F2143,'[2]Lista de Produtos CLASSIFICAÇÃO'!$E$103:$F$114,2,FALSE)</f>
        <v>Biocombustíveis</v>
      </c>
      <c r="H2143" s="78">
        <v>8000</v>
      </c>
    </row>
    <row r="2144" spans="1:8" x14ac:dyDescent="0.25">
      <c r="A2144" s="71">
        <v>2026</v>
      </c>
      <c r="B2144" s="72" t="s">
        <v>212</v>
      </c>
      <c r="C2144" s="73" t="s">
        <v>233</v>
      </c>
      <c r="D2144" s="73" t="s">
        <v>179</v>
      </c>
      <c r="E2144" s="73" t="str">
        <f>VLOOKUP(D2144,clientes!$C$3:$D$60,2,FALSE)</f>
        <v>BSBIOS</v>
      </c>
      <c r="F2144" s="73" t="s">
        <v>26</v>
      </c>
      <c r="G2144" s="73" t="str">
        <f>VLOOKUP(F2144,'[2]Lista de Produtos CLASSIFICAÇÃO'!$E$103:$F$114,2,FALSE)</f>
        <v>Biocombustíveis</v>
      </c>
      <c r="H2144" s="74">
        <v>5000</v>
      </c>
    </row>
    <row r="2145" spans="1:8" x14ac:dyDescent="0.25">
      <c r="A2145" s="75">
        <v>2026</v>
      </c>
      <c r="B2145" s="76" t="s">
        <v>213</v>
      </c>
      <c r="C2145" s="77" t="s">
        <v>233</v>
      </c>
      <c r="D2145" s="77" t="s">
        <v>179</v>
      </c>
      <c r="E2145" s="73" t="str">
        <f>VLOOKUP(D2145,clientes!$C$3:$D$60,2,FALSE)</f>
        <v>BSBIOS</v>
      </c>
      <c r="F2145" s="77" t="s">
        <v>26</v>
      </c>
      <c r="G2145" s="73" t="str">
        <f>VLOOKUP(F2145,'[2]Lista de Produtos CLASSIFICAÇÃO'!$E$103:$F$114,2,FALSE)</f>
        <v>Biocombustíveis</v>
      </c>
      <c r="H2145" s="78">
        <v>8000</v>
      </c>
    </row>
    <row r="2146" spans="1:8" x14ac:dyDescent="0.25">
      <c r="A2146" s="71">
        <v>2026</v>
      </c>
      <c r="B2146" s="72" t="s">
        <v>214</v>
      </c>
      <c r="C2146" s="73" t="s">
        <v>233</v>
      </c>
      <c r="D2146" s="73" t="s">
        <v>179</v>
      </c>
      <c r="E2146" s="73" t="str">
        <f>VLOOKUP(D2146,clientes!$C$3:$D$60,2,FALSE)</f>
        <v>BSBIOS</v>
      </c>
      <c r="F2146" s="73" t="s">
        <v>26</v>
      </c>
      <c r="G2146" s="73" t="str">
        <f>VLOOKUP(F2146,'[2]Lista de Produtos CLASSIFICAÇÃO'!$E$103:$F$114,2,FALSE)</f>
        <v>Biocombustíveis</v>
      </c>
      <c r="H2146" s="74">
        <v>5000</v>
      </c>
    </row>
    <row r="2147" spans="1:8" x14ac:dyDescent="0.25">
      <c r="A2147" s="75">
        <v>2026</v>
      </c>
      <c r="B2147" s="76" t="s">
        <v>215</v>
      </c>
      <c r="C2147" s="77" t="s">
        <v>233</v>
      </c>
      <c r="D2147" s="77" t="s">
        <v>179</v>
      </c>
      <c r="E2147" s="73" t="str">
        <f>VLOOKUP(D2147,clientes!$C$3:$D$60,2,FALSE)</f>
        <v>BSBIOS</v>
      </c>
      <c r="F2147" s="77" t="s">
        <v>26</v>
      </c>
      <c r="G2147" s="73" t="str">
        <f>VLOOKUP(F2147,'[2]Lista de Produtos CLASSIFICAÇÃO'!$E$103:$F$114,2,FALSE)</f>
        <v>Biocombustíveis</v>
      </c>
      <c r="H2147" s="78">
        <v>8000</v>
      </c>
    </row>
    <row r="2148" spans="1:8" x14ac:dyDescent="0.25">
      <c r="A2148" s="71">
        <v>2026</v>
      </c>
      <c r="B2148" s="72" t="s">
        <v>230</v>
      </c>
      <c r="C2148" s="73" t="s">
        <v>233</v>
      </c>
      <c r="D2148" s="73" t="s">
        <v>179</v>
      </c>
      <c r="E2148" s="73" t="str">
        <f>VLOOKUP(D2148,clientes!$C$3:$D$60,2,FALSE)</f>
        <v>BSBIOS</v>
      </c>
      <c r="F2148" s="73" t="s">
        <v>26</v>
      </c>
      <c r="G2148" s="73" t="str">
        <f>VLOOKUP(F2148,'[2]Lista de Produtos CLASSIFICAÇÃO'!$E$103:$F$114,2,FALSE)</f>
        <v>Biocombustíveis</v>
      </c>
      <c r="H2148" s="74">
        <v>5000</v>
      </c>
    </row>
    <row r="2149" spans="1:8" x14ac:dyDescent="0.25">
      <c r="A2149" s="75">
        <v>2026</v>
      </c>
      <c r="B2149" s="76" t="s">
        <v>231</v>
      </c>
      <c r="C2149" s="77" t="s">
        <v>233</v>
      </c>
      <c r="D2149" s="77" t="s">
        <v>179</v>
      </c>
      <c r="E2149" s="73" t="str">
        <f>VLOOKUP(D2149,clientes!$C$3:$D$60,2,FALSE)</f>
        <v>BSBIOS</v>
      </c>
      <c r="F2149" s="77" t="s">
        <v>26</v>
      </c>
      <c r="G2149" s="73" t="str">
        <f>VLOOKUP(F2149,'[2]Lista de Produtos CLASSIFICAÇÃO'!$E$103:$F$114,2,FALSE)</f>
        <v>Biocombustíveis</v>
      </c>
      <c r="H2149" s="78">
        <v>8000</v>
      </c>
    </row>
    <row r="2150" spans="1:8" x14ac:dyDescent="0.25">
      <c r="A2150" s="71">
        <v>2026</v>
      </c>
      <c r="B2150" s="72" t="s">
        <v>226</v>
      </c>
      <c r="C2150" s="73" t="s">
        <v>225</v>
      </c>
      <c r="D2150" s="73" t="s">
        <v>239</v>
      </c>
      <c r="E2150" s="73" t="str">
        <f>VLOOKUP(D2150,clientes!$C$3:$D$60,2,FALSE)</f>
        <v>BSC QUIMICA</v>
      </c>
      <c r="F2150" s="73" t="s">
        <v>115</v>
      </c>
      <c r="G2150" s="73" t="str">
        <f>VLOOKUP(F2150,'[2]Lista de Produtos CLASSIFICAÇÃO'!$E$103:$F$114,2,FALSE)</f>
        <v>Soda Caustica</v>
      </c>
      <c r="H2150" s="74">
        <v>666</v>
      </c>
    </row>
    <row r="2151" spans="1:8" x14ac:dyDescent="0.25">
      <c r="A2151" s="75">
        <v>2026</v>
      </c>
      <c r="B2151" s="76" t="s">
        <v>227</v>
      </c>
      <c r="C2151" s="77" t="s">
        <v>225</v>
      </c>
      <c r="D2151" s="77" t="s">
        <v>239</v>
      </c>
      <c r="E2151" s="73" t="str">
        <f>VLOOKUP(D2151,clientes!$C$3:$D$60,2,FALSE)</f>
        <v>BSC QUIMICA</v>
      </c>
      <c r="F2151" s="77" t="s">
        <v>115</v>
      </c>
      <c r="G2151" s="73" t="str">
        <f>VLOOKUP(F2151,'[2]Lista de Produtos CLASSIFICAÇÃO'!$E$103:$F$114,2,FALSE)</f>
        <v>Soda Caustica</v>
      </c>
      <c r="H2151" s="78">
        <v>666</v>
      </c>
    </row>
    <row r="2152" spans="1:8" x14ac:dyDescent="0.25">
      <c r="A2152" s="71">
        <v>2026</v>
      </c>
      <c r="B2152" s="72" t="s">
        <v>228</v>
      </c>
      <c r="C2152" s="73" t="s">
        <v>225</v>
      </c>
      <c r="D2152" s="73" t="s">
        <v>239</v>
      </c>
      <c r="E2152" s="73" t="str">
        <f>VLOOKUP(D2152,clientes!$C$3:$D$60,2,FALSE)</f>
        <v>BSC QUIMICA</v>
      </c>
      <c r="F2152" s="73" t="s">
        <v>115</v>
      </c>
      <c r="G2152" s="73" t="str">
        <f>VLOOKUP(F2152,'[2]Lista de Produtos CLASSIFICAÇÃO'!$E$103:$F$114,2,FALSE)</f>
        <v>Soda Caustica</v>
      </c>
      <c r="H2152" s="74">
        <v>666</v>
      </c>
    </row>
    <row r="2153" spans="1:8" x14ac:dyDescent="0.25">
      <c r="A2153" s="75">
        <v>2026</v>
      </c>
      <c r="B2153" s="76" t="s">
        <v>229</v>
      </c>
      <c r="C2153" s="77" t="s">
        <v>225</v>
      </c>
      <c r="D2153" s="77" t="s">
        <v>239</v>
      </c>
      <c r="E2153" s="73" t="str">
        <f>VLOOKUP(D2153,clientes!$C$3:$D$60,2,FALSE)</f>
        <v>BSC QUIMICA</v>
      </c>
      <c r="F2153" s="77" t="s">
        <v>115</v>
      </c>
      <c r="G2153" s="73" t="str">
        <f>VLOOKUP(F2153,'[2]Lista de Produtos CLASSIFICAÇÃO'!$E$103:$F$114,2,FALSE)</f>
        <v>Soda Caustica</v>
      </c>
      <c r="H2153" s="78">
        <v>666</v>
      </c>
    </row>
    <row r="2154" spans="1:8" x14ac:dyDescent="0.25">
      <c r="A2154" s="71">
        <v>2026</v>
      </c>
      <c r="B2154" s="72" t="s">
        <v>210</v>
      </c>
      <c r="C2154" s="73" t="s">
        <v>225</v>
      </c>
      <c r="D2154" s="73" t="s">
        <v>239</v>
      </c>
      <c r="E2154" s="73" t="str">
        <f>VLOOKUP(D2154,clientes!$C$3:$D$60,2,FALSE)</f>
        <v>BSC QUIMICA</v>
      </c>
      <c r="F2154" s="73" t="s">
        <v>115</v>
      </c>
      <c r="G2154" s="73" t="str">
        <f>VLOOKUP(F2154,'[2]Lista de Produtos CLASSIFICAÇÃO'!$E$103:$F$114,2,FALSE)</f>
        <v>Soda Caustica</v>
      </c>
      <c r="H2154" s="74">
        <v>666</v>
      </c>
    </row>
    <row r="2155" spans="1:8" x14ac:dyDescent="0.25">
      <c r="A2155" s="75">
        <v>2026</v>
      </c>
      <c r="B2155" s="76" t="s">
        <v>211</v>
      </c>
      <c r="C2155" s="77" t="s">
        <v>225</v>
      </c>
      <c r="D2155" s="77" t="s">
        <v>239</v>
      </c>
      <c r="E2155" s="73" t="str">
        <f>VLOOKUP(D2155,clientes!$C$3:$D$60,2,FALSE)</f>
        <v>BSC QUIMICA</v>
      </c>
      <c r="F2155" s="77" t="s">
        <v>115</v>
      </c>
      <c r="G2155" s="73" t="str">
        <f>VLOOKUP(F2155,'[2]Lista de Produtos CLASSIFICAÇÃO'!$E$103:$F$114,2,FALSE)</f>
        <v>Soda Caustica</v>
      </c>
      <c r="H2155" s="78">
        <v>666</v>
      </c>
    </row>
    <row r="2156" spans="1:8" x14ac:dyDescent="0.25">
      <c r="A2156" s="71">
        <v>2026</v>
      </c>
      <c r="B2156" s="72" t="s">
        <v>212</v>
      </c>
      <c r="C2156" s="73" t="s">
        <v>225</v>
      </c>
      <c r="D2156" s="73" t="s">
        <v>239</v>
      </c>
      <c r="E2156" s="73" t="str">
        <f>VLOOKUP(D2156,clientes!$C$3:$D$60,2,FALSE)</f>
        <v>BSC QUIMICA</v>
      </c>
      <c r="F2156" s="73" t="s">
        <v>115</v>
      </c>
      <c r="G2156" s="73" t="str">
        <f>VLOOKUP(F2156,'[2]Lista de Produtos CLASSIFICAÇÃO'!$E$103:$F$114,2,FALSE)</f>
        <v>Soda Caustica</v>
      </c>
      <c r="H2156" s="74">
        <v>666</v>
      </c>
    </row>
    <row r="2157" spans="1:8" x14ac:dyDescent="0.25">
      <c r="A2157" s="75">
        <v>2026</v>
      </c>
      <c r="B2157" s="76" t="s">
        <v>213</v>
      </c>
      <c r="C2157" s="77" t="s">
        <v>225</v>
      </c>
      <c r="D2157" s="77" t="s">
        <v>239</v>
      </c>
      <c r="E2157" s="73" t="str">
        <f>VLOOKUP(D2157,clientes!$C$3:$D$60,2,FALSE)</f>
        <v>BSC QUIMICA</v>
      </c>
      <c r="F2157" s="77" t="s">
        <v>115</v>
      </c>
      <c r="G2157" s="73" t="str">
        <f>VLOOKUP(F2157,'[2]Lista de Produtos CLASSIFICAÇÃO'!$E$103:$F$114,2,FALSE)</f>
        <v>Soda Caustica</v>
      </c>
      <c r="H2157" s="78">
        <v>666</v>
      </c>
    </row>
    <row r="2158" spans="1:8" x14ac:dyDescent="0.25">
      <c r="A2158" s="71">
        <v>2026</v>
      </c>
      <c r="B2158" s="72" t="s">
        <v>214</v>
      </c>
      <c r="C2158" s="73" t="s">
        <v>225</v>
      </c>
      <c r="D2158" s="73" t="s">
        <v>239</v>
      </c>
      <c r="E2158" s="73" t="str">
        <f>VLOOKUP(D2158,clientes!$C$3:$D$60,2,FALSE)</f>
        <v>BSC QUIMICA</v>
      </c>
      <c r="F2158" s="73" t="s">
        <v>115</v>
      </c>
      <c r="G2158" s="73" t="str">
        <f>VLOOKUP(F2158,'[2]Lista de Produtos CLASSIFICAÇÃO'!$E$103:$F$114,2,FALSE)</f>
        <v>Soda Caustica</v>
      </c>
      <c r="H2158" s="74">
        <v>666</v>
      </c>
    </row>
    <row r="2159" spans="1:8" x14ac:dyDescent="0.25">
      <c r="A2159" s="75">
        <v>2026</v>
      </c>
      <c r="B2159" s="76" t="s">
        <v>215</v>
      </c>
      <c r="C2159" s="77" t="s">
        <v>225</v>
      </c>
      <c r="D2159" s="77" t="s">
        <v>239</v>
      </c>
      <c r="E2159" s="73" t="str">
        <f>VLOOKUP(D2159,clientes!$C$3:$D$60,2,FALSE)</f>
        <v>BSC QUIMICA</v>
      </c>
      <c r="F2159" s="77" t="s">
        <v>115</v>
      </c>
      <c r="G2159" s="73" t="str">
        <f>VLOOKUP(F2159,'[2]Lista de Produtos CLASSIFICAÇÃO'!$E$103:$F$114,2,FALSE)</f>
        <v>Soda Caustica</v>
      </c>
      <c r="H2159" s="78">
        <v>666</v>
      </c>
    </row>
    <row r="2160" spans="1:8" x14ac:dyDescent="0.25">
      <c r="A2160" s="71">
        <v>2026</v>
      </c>
      <c r="B2160" s="72" t="s">
        <v>230</v>
      </c>
      <c r="C2160" s="73" t="s">
        <v>225</v>
      </c>
      <c r="D2160" s="73" t="s">
        <v>239</v>
      </c>
      <c r="E2160" s="73" t="str">
        <f>VLOOKUP(D2160,clientes!$C$3:$D$60,2,FALSE)</f>
        <v>BSC QUIMICA</v>
      </c>
      <c r="F2160" s="73" t="s">
        <v>115</v>
      </c>
      <c r="G2160" s="73" t="str">
        <f>VLOOKUP(F2160,'[2]Lista de Produtos CLASSIFICAÇÃO'!$E$103:$F$114,2,FALSE)</f>
        <v>Soda Caustica</v>
      </c>
      <c r="H2160" s="74">
        <v>666</v>
      </c>
    </row>
    <row r="2161" spans="1:8" x14ac:dyDescent="0.25">
      <c r="A2161" s="75">
        <v>2026</v>
      </c>
      <c r="B2161" s="76" t="s">
        <v>231</v>
      </c>
      <c r="C2161" s="77" t="s">
        <v>225</v>
      </c>
      <c r="D2161" s="77" t="s">
        <v>239</v>
      </c>
      <c r="E2161" s="73" t="str">
        <f>VLOOKUP(D2161,clientes!$C$3:$D$60,2,FALSE)</f>
        <v>BSC QUIMICA</v>
      </c>
      <c r="F2161" s="77" t="s">
        <v>115</v>
      </c>
      <c r="G2161" s="73" t="str">
        <f>VLOOKUP(F2161,'[2]Lista de Produtos CLASSIFICAÇÃO'!$E$103:$F$114,2,FALSE)</f>
        <v>Soda Caustica</v>
      </c>
      <c r="H2161" s="78">
        <v>666</v>
      </c>
    </row>
    <row r="2162" spans="1:8" x14ac:dyDescent="0.25">
      <c r="A2162" s="71">
        <v>2026</v>
      </c>
      <c r="B2162" s="72" t="s">
        <v>226</v>
      </c>
      <c r="C2162" s="73" t="s">
        <v>225</v>
      </c>
      <c r="D2162" s="73" t="s">
        <v>177</v>
      </c>
      <c r="E2162" s="73" t="str">
        <f>VLOOKUP(D2162,clientes!$C$3:$D$60,2,FALSE)</f>
        <v>BRENNTAG</v>
      </c>
      <c r="F2162" s="73" t="s">
        <v>115</v>
      </c>
      <c r="G2162" s="73" t="str">
        <f>VLOOKUP(F2162,'[2]Lista de Produtos CLASSIFICAÇÃO'!$E$103:$F$114,2,FALSE)</f>
        <v>Soda Caustica</v>
      </c>
      <c r="H2162" s="74">
        <v>3000</v>
      </c>
    </row>
    <row r="2163" spans="1:8" x14ac:dyDescent="0.25">
      <c r="A2163" s="75">
        <v>2026</v>
      </c>
      <c r="B2163" s="76" t="s">
        <v>227</v>
      </c>
      <c r="C2163" s="77" t="s">
        <v>225</v>
      </c>
      <c r="D2163" s="77" t="s">
        <v>177</v>
      </c>
      <c r="E2163" s="73" t="str">
        <f>VLOOKUP(D2163,clientes!$C$3:$D$60,2,FALSE)</f>
        <v>BRENNTAG</v>
      </c>
      <c r="F2163" s="77" t="s">
        <v>115</v>
      </c>
      <c r="G2163" s="73" t="str">
        <f>VLOOKUP(F2163,'[2]Lista de Produtos CLASSIFICAÇÃO'!$E$103:$F$114,2,FALSE)</f>
        <v>Soda Caustica</v>
      </c>
      <c r="H2163" s="78">
        <v>3000</v>
      </c>
    </row>
    <row r="2164" spans="1:8" x14ac:dyDescent="0.25">
      <c r="A2164" s="71">
        <v>2026</v>
      </c>
      <c r="B2164" s="72" t="s">
        <v>228</v>
      </c>
      <c r="C2164" s="73" t="s">
        <v>225</v>
      </c>
      <c r="D2164" s="73" t="s">
        <v>177</v>
      </c>
      <c r="E2164" s="73" t="str">
        <f>VLOOKUP(D2164,clientes!$C$3:$D$60,2,FALSE)</f>
        <v>BRENNTAG</v>
      </c>
      <c r="F2164" s="73" t="s">
        <v>115</v>
      </c>
      <c r="G2164" s="73" t="str">
        <f>VLOOKUP(F2164,'[2]Lista de Produtos CLASSIFICAÇÃO'!$E$103:$F$114,2,FALSE)</f>
        <v>Soda Caustica</v>
      </c>
      <c r="H2164" s="74">
        <v>3000</v>
      </c>
    </row>
    <row r="2165" spans="1:8" x14ac:dyDescent="0.25">
      <c r="A2165" s="75">
        <v>2026</v>
      </c>
      <c r="B2165" s="76" t="s">
        <v>229</v>
      </c>
      <c r="C2165" s="77" t="s">
        <v>225</v>
      </c>
      <c r="D2165" s="77" t="s">
        <v>177</v>
      </c>
      <c r="E2165" s="73" t="str">
        <f>VLOOKUP(D2165,clientes!$C$3:$D$60,2,FALSE)</f>
        <v>BRENNTAG</v>
      </c>
      <c r="F2165" s="77" t="s">
        <v>115</v>
      </c>
      <c r="G2165" s="73" t="str">
        <f>VLOOKUP(F2165,'[2]Lista de Produtos CLASSIFICAÇÃO'!$E$103:$F$114,2,FALSE)</f>
        <v>Soda Caustica</v>
      </c>
      <c r="H2165" s="78">
        <v>3000</v>
      </c>
    </row>
    <row r="2166" spans="1:8" x14ac:dyDescent="0.25">
      <c r="A2166" s="71">
        <v>2026</v>
      </c>
      <c r="B2166" s="72" t="s">
        <v>210</v>
      </c>
      <c r="C2166" s="73" t="s">
        <v>225</v>
      </c>
      <c r="D2166" s="73" t="s">
        <v>177</v>
      </c>
      <c r="E2166" s="73" t="str">
        <f>VLOOKUP(D2166,clientes!$C$3:$D$60,2,FALSE)</f>
        <v>BRENNTAG</v>
      </c>
      <c r="F2166" s="73" t="s">
        <v>115</v>
      </c>
      <c r="G2166" s="73" t="str">
        <f>VLOOKUP(F2166,'[2]Lista de Produtos CLASSIFICAÇÃO'!$E$103:$F$114,2,FALSE)</f>
        <v>Soda Caustica</v>
      </c>
      <c r="H2166" s="74">
        <v>3000</v>
      </c>
    </row>
    <row r="2167" spans="1:8" x14ac:dyDescent="0.25">
      <c r="A2167" s="75">
        <v>2026</v>
      </c>
      <c r="B2167" s="76" t="s">
        <v>211</v>
      </c>
      <c r="C2167" s="77" t="s">
        <v>225</v>
      </c>
      <c r="D2167" s="77" t="s">
        <v>177</v>
      </c>
      <c r="E2167" s="73" t="str">
        <f>VLOOKUP(D2167,clientes!$C$3:$D$60,2,FALSE)</f>
        <v>BRENNTAG</v>
      </c>
      <c r="F2167" s="77" t="s">
        <v>115</v>
      </c>
      <c r="G2167" s="73" t="str">
        <f>VLOOKUP(F2167,'[2]Lista de Produtos CLASSIFICAÇÃO'!$E$103:$F$114,2,FALSE)</f>
        <v>Soda Caustica</v>
      </c>
      <c r="H2167" s="78">
        <v>3000</v>
      </c>
    </row>
    <row r="2168" spans="1:8" x14ac:dyDescent="0.25">
      <c r="A2168" s="71">
        <v>2026</v>
      </c>
      <c r="B2168" s="72" t="s">
        <v>212</v>
      </c>
      <c r="C2168" s="73" t="s">
        <v>225</v>
      </c>
      <c r="D2168" s="73" t="s">
        <v>177</v>
      </c>
      <c r="E2168" s="73" t="str">
        <f>VLOOKUP(D2168,clientes!$C$3:$D$60,2,FALSE)</f>
        <v>BRENNTAG</v>
      </c>
      <c r="F2168" s="73" t="s">
        <v>115</v>
      </c>
      <c r="G2168" s="73" t="str">
        <f>VLOOKUP(F2168,'[2]Lista de Produtos CLASSIFICAÇÃO'!$E$103:$F$114,2,FALSE)</f>
        <v>Soda Caustica</v>
      </c>
      <c r="H2168" s="74">
        <v>3000</v>
      </c>
    </row>
    <row r="2169" spans="1:8" x14ac:dyDescent="0.25">
      <c r="A2169" s="75">
        <v>2026</v>
      </c>
      <c r="B2169" s="76" t="s">
        <v>213</v>
      </c>
      <c r="C2169" s="77" t="s">
        <v>225</v>
      </c>
      <c r="D2169" s="77" t="s">
        <v>177</v>
      </c>
      <c r="E2169" s="73" t="str">
        <f>VLOOKUP(D2169,clientes!$C$3:$D$60,2,FALSE)</f>
        <v>BRENNTAG</v>
      </c>
      <c r="F2169" s="77" t="s">
        <v>115</v>
      </c>
      <c r="G2169" s="73" t="str">
        <f>VLOOKUP(F2169,'[2]Lista de Produtos CLASSIFICAÇÃO'!$E$103:$F$114,2,FALSE)</f>
        <v>Soda Caustica</v>
      </c>
      <c r="H2169" s="78">
        <v>3000</v>
      </c>
    </row>
    <row r="2170" spans="1:8" x14ac:dyDescent="0.25">
      <c r="A2170" s="71">
        <v>2026</v>
      </c>
      <c r="B2170" s="72" t="s">
        <v>214</v>
      </c>
      <c r="C2170" s="73" t="s">
        <v>225</v>
      </c>
      <c r="D2170" s="73" t="s">
        <v>177</v>
      </c>
      <c r="E2170" s="73" t="str">
        <f>VLOOKUP(D2170,clientes!$C$3:$D$60,2,FALSE)</f>
        <v>BRENNTAG</v>
      </c>
      <c r="F2170" s="73" t="s">
        <v>115</v>
      </c>
      <c r="G2170" s="73" t="str">
        <f>VLOOKUP(F2170,'[2]Lista de Produtos CLASSIFICAÇÃO'!$E$103:$F$114,2,FALSE)</f>
        <v>Soda Caustica</v>
      </c>
      <c r="H2170" s="74">
        <v>3000</v>
      </c>
    </row>
    <row r="2171" spans="1:8" x14ac:dyDescent="0.25">
      <c r="A2171" s="75">
        <v>2026</v>
      </c>
      <c r="B2171" s="76" t="s">
        <v>215</v>
      </c>
      <c r="C2171" s="77" t="s">
        <v>225</v>
      </c>
      <c r="D2171" s="77" t="s">
        <v>177</v>
      </c>
      <c r="E2171" s="73" t="str">
        <f>VLOOKUP(D2171,clientes!$C$3:$D$60,2,FALSE)</f>
        <v>BRENNTAG</v>
      </c>
      <c r="F2171" s="77" t="s">
        <v>115</v>
      </c>
      <c r="G2171" s="73" t="str">
        <f>VLOOKUP(F2171,'[2]Lista de Produtos CLASSIFICAÇÃO'!$E$103:$F$114,2,FALSE)</f>
        <v>Soda Caustica</v>
      </c>
      <c r="H2171" s="78">
        <v>3000</v>
      </c>
    </row>
    <row r="2172" spans="1:8" x14ac:dyDescent="0.25">
      <c r="A2172" s="71">
        <v>2026</v>
      </c>
      <c r="B2172" s="72" t="s">
        <v>230</v>
      </c>
      <c r="C2172" s="73" t="s">
        <v>225</v>
      </c>
      <c r="D2172" s="73" t="s">
        <v>177</v>
      </c>
      <c r="E2172" s="73" t="str">
        <f>VLOOKUP(D2172,clientes!$C$3:$D$60,2,FALSE)</f>
        <v>BRENNTAG</v>
      </c>
      <c r="F2172" s="73" t="s">
        <v>115</v>
      </c>
      <c r="G2172" s="73" t="str">
        <f>VLOOKUP(F2172,'[2]Lista de Produtos CLASSIFICAÇÃO'!$E$103:$F$114,2,FALSE)</f>
        <v>Soda Caustica</v>
      </c>
      <c r="H2172" s="74">
        <v>3000</v>
      </c>
    </row>
    <row r="2173" spans="1:8" x14ac:dyDescent="0.25">
      <c r="A2173" s="75">
        <v>2026</v>
      </c>
      <c r="B2173" s="76" t="s">
        <v>231</v>
      </c>
      <c r="C2173" s="77" t="s">
        <v>225</v>
      </c>
      <c r="D2173" s="77" t="s">
        <v>177</v>
      </c>
      <c r="E2173" s="73" t="str">
        <f>VLOOKUP(D2173,clientes!$C$3:$D$60,2,FALSE)</f>
        <v>BRENNTAG</v>
      </c>
      <c r="F2173" s="77" t="s">
        <v>115</v>
      </c>
      <c r="G2173" s="73" t="str">
        <f>VLOOKUP(F2173,'[2]Lista de Produtos CLASSIFICAÇÃO'!$E$103:$F$114,2,FALSE)</f>
        <v>Soda Caustica</v>
      </c>
      <c r="H2173" s="78">
        <v>3000</v>
      </c>
    </row>
    <row r="2174" spans="1:8" x14ac:dyDescent="0.25">
      <c r="A2174" s="71">
        <v>2026</v>
      </c>
      <c r="B2174" s="72" t="s">
        <v>226</v>
      </c>
      <c r="C2174" s="73" t="s">
        <v>232</v>
      </c>
      <c r="D2174" s="73" t="s">
        <v>156</v>
      </c>
      <c r="E2174" s="73" t="str">
        <f>VLOOKUP(D2174,clientes!$C$3:$D$60,2,FALSE)</f>
        <v>BUNGE</v>
      </c>
      <c r="F2174" s="73" t="s">
        <v>123</v>
      </c>
      <c r="G2174" s="73" t="str">
        <f>VLOOKUP(F2174,'[2]Lista de Produtos CLASSIFICAÇÃO'!$E$103:$F$114,2,FALSE)</f>
        <v>Aquecidos</v>
      </c>
      <c r="H2174" s="74">
        <v>5700</v>
      </c>
    </row>
    <row r="2175" spans="1:8" x14ac:dyDescent="0.25">
      <c r="A2175" s="75">
        <v>2026</v>
      </c>
      <c r="B2175" s="76" t="s">
        <v>227</v>
      </c>
      <c r="C2175" s="77" t="s">
        <v>232</v>
      </c>
      <c r="D2175" s="77" t="s">
        <v>156</v>
      </c>
      <c r="E2175" s="73" t="str">
        <f>VLOOKUP(D2175,clientes!$C$3:$D$60,2,FALSE)</f>
        <v>BUNGE</v>
      </c>
      <c r="F2175" s="77" t="s">
        <v>123</v>
      </c>
      <c r="G2175" s="73" t="str">
        <f>VLOOKUP(F2175,'[2]Lista de Produtos CLASSIFICAÇÃO'!$E$103:$F$114,2,FALSE)</f>
        <v>Aquecidos</v>
      </c>
      <c r="H2175" s="78">
        <v>5700</v>
      </c>
    </row>
    <row r="2176" spans="1:8" x14ac:dyDescent="0.25">
      <c r="A2176" s="71">
        <v>2026</v>
      </c>
      <c r="B2176" s="72" t="s">
        <v>228</v>
      </c>
      <c r="C2176" s="73" t="s">
        <v>232</v>
      </c>
      <c r="D2176" s="73" t="s">
        <v>156</v>
      </c>
      <c r="E2176" s="73" t="str">
        <f>VLOOKUP(D2176,clientes!$C$3:$D$60,2,FALSE)</f>
        <v>BUNGE</v>
      </c>
      <c r="F2176" s="73" t="s">
        <v>123</v>
      </c>
      <c r="G2176" s="73" t="str">
        <f>VLOOKUP(F2176,'[2]Lista de Produtos CLASSIFICAÇÃO'!$E$103:$F$114,2,FALSE)</f>
        <v>Aquecidos</v>
      </c>
      <c r="H2176" s="74">
        <v>5700</v>
      </c>
    </row>
    <row r="2177" spans="1:8" x14ac:dyDescent="0.25">
      <c r="A2177" s="75">
        <v>2026</v>
      </c>
      <c r="B2177" s="76" t="s">
        <v>229</v>
      </c>
      <c r="C2177" s="77" t="s">
        <v>232</v>
      </c>
      <c r="D2177" s="77" t="s">
        <v>156</v>
      </c>
      <c r="E2177" s="73" t="str">
        <f>VLOOKUP(D2177,clientes!$C$3:$D$60,2,FALSE)</f>
        <v>BUNGE</v>
      </c>
      <c r="F2177" s="77" t="s">
        <v>123</v>
      </c>
      <c r="G2177" s="73" t="str">
        <f>VLOOKUP(F2177,'[2]Lista de Produtos CLASSIFICAÇÃO'!$E$103:$F$114,2,FALSE)</f>
        <v>Aquecidos</v>
      </c>
      <c r="H2177" s="78">
        <v>5700</v>
      </c>
    </row>
    <row r="2178" spans="1:8" x14ac:dyDescent="0.25">
      <c r="A2178" s="71">
        <v>2026</v>
      </c>
      <c r="B2178" s="72" t="s">
        <v>210</v>
      </c>
      <c r="C2178" s="73" t="s">
        <v>232</v>
      </c>
      <c r="D2178" s="73" t="s">
        <v>156</v>
      </c>
      <c r="E2178" s="73" t="str">
        <f>VLOOKUP(D2178,clientes!$C$3:$D$60,2,FALSE)</f>
        <v>BUNGE</v>
      </c>
      <c r="F2178" s="73" t="s">
        <v>123</v>
      </c>
      <c r="G2178" s="73" t="str">
        <f>VLOOKUP(F2178,'[2]Lista de Produtos CLASSIFICAÇÃO'!$E$103:$F$114,2,FALSE)</f>
        <v>Aquecidos</v>
      </c>
      <c r="H2178" s="74">
        <v>5700</v>
      </c>
    </row>
    <row r="2179" spans="1:8" x14ac:dyDescent="0.25">
      <c r="A2179" s="75">
        <v>2026</v>
      </c>
      <c r="B2179" s="76" t="s">
        <v>211</v>
      </c>
      <c r="C2179" s="77" t="s">
        <v>232</v>
      </c>
      <c r="D2179" s="77" t="s">
        <v>156</v>
      </c>
      <c r="E2179" s="73" t="str">
        <f>VLOOKUP(D2179,clientes!$C$3:$D$60,2,FALSE)</f>
        <v>BUNGE</v>
      </c>
      <c r="F2179" s="77" t="s">
        <v>123</v>
      </c>
      <c r="G2179" s="73" t="str">
        <f>VLOOKUP(F2179,'[2]Lista de Produtos CLASSIFICAÇÃO'!$E$103:$F$114,2,FALSE)</f>
        <v>Aquecidos</v>
      </c>
      <c r="H2179" s="78">
        <v>5700</v>
      </c>
    </row>
    <row r="2180" spans="1:8" x14ac:dyDescent="0.25">
      <c r="A2180" s="71">
        <v>2026</v>
      </c>
      <c r="B2180" s="72" t="s">
        <v>212</v>
      </c>
      <c r="C2180" s="73" t="s">
        <v>232</v>
      </c>
      <c r="D2180" s="73" t="s">
        <v>156</v>
      </c>
      <c r="E2180" s="73" t="str">
        <f>VLOOKUP(D2180,clientes!$C$3:$D$60,2,FALSE)</f>
        <v>BUNGE</v>
      </c>
      <c r="F2180" s="73" t="s">
        <v>123</v>
      </c>
      <c r="G2180" s="73" t="str">
        <f>VLOOKUP(F2180,'[2]Lista de Produtos CLASSIFICAÇÃO'!$E$103:$F$114,2,FALSE)</f>
        <v>Aquecidos</v>
      </c>
      <c r="H2180" s="74">
        <v>5700</v>
      </c>
    </row>
    <row r="2181" spans="1:8" x14ac:dyDescent="0.25">
      <c r="A2181" s="75">
        <v>2026</v>
      </c>
      <c r="B2181" s="76" t="s">
        <v>213</v>
      </c>
      <c r="C2181" s="77" t="s">
        <v>232</v>
      </c>
      <c r="D2181" s="77" t="s">
        <v>156</v>
      </c>
      <c r="E2181" s="73" t="str">
        <f>VLOOKUP(D2181,clientes!$C$3:$D$60,2,FALSE)</f>
        <v>BUNGE</v>
      </c>
      <c r="F2181" s="77" t="s">
        <v>123</v>
      </c>
      <c r="G2181" s="73" t="str">
        <f>VLOOKUP(F2181,'[2]Lista de Produtos CLASSIFICAÇÃO'!$E$103:$F$114,2,FALSE)</f>
        <v>Aquecidos</v>
      </c>
      <c r="H2181" s="78">
        <v>5700</v>
      </c>
    </row>
    <row r="2182" spans="1:8" x14ac:dyDescent="0.25">
      <c r="A2182" s="71">
        <v>2026</v>
      </c>
      <c r="B2182" s="72" t="s">
        <v>214</v>
      </c>
      <c r="C2182" s="73" t="s">
        <v>232</v>
      </c>
      <c r="D2182" s="73" t="s">
        <v>156</v>
      </c>
      <c r="E2182" s="73" t="str">
        <f>VLOOKUP(D2182,clientes!$C$3:$D$60,2,FALSE)</f>
        <v>BUNGE</v>
      </c>
      <c r="F2182" s="73" t="s">
        <v>123</v>
      </c>
      <c r="G2182" s="73" t="str">
        <f>VLOOKUP(F2182,'[2]Lista de Produtos CLASSIFICAÇÃO'!$E$103:$F$114,2,FALSE)</f>
        <v>Aquecidos</v>
      </c>
      <c r="H2182" s="74">
        <v>5700</v>
      </c>
    </row>
    <row r="2183" spans="1:8" x14ac:dyDescent="0.25">
      <c r="A2183" s="75">
        <v>2026</v>
      </c>
      <c r="B2183" s="76" t="s">
        <v>215</v>
      </c>
      <c r="C2183" s="77" t="s">
        <v>232</v>
      </c>
      <c r="D2183" s="77" t="s">
        <v>156</v>
      </c>
      <c r="E2183" s="73" t="str">
        <f>VLOOKUP(D2183,clientes!$C$3:$D$60,2,FALSE)</f>
        <v>BUNGE</v>
      </c>
      <c r="F2183" s="77" t="s">
        <v>123</v>
      </c>
      <c r="G2183" s="73" t="str">
        <f>VLOOKUP(F2183,'[2]Lista de Produtos CLASSIFICAÇÃO'!$E$103:$F$114,2,FALSE)</f>
        <v>Aquecidos</v>
      </c>
      <c r="H2183" s="78">
        <v>5700</v>
      </c>
    </row>
    <row r="2184" spans="1:8" x14ac:dyDescent="0.25">
      <c r="A2184" s="71">
        <v>2026</v>
      </c>
      <c r="B2184" s="72" t="s">
        <v>230</v>
      </c>
      <c r="C2184" s="73" t="s">
        <v>232</v>
      </c>
      <c r="D2184" s="73" t="s">
        <v>156</v>
      </c>
      <c r="E2184" s="73" t="str">
        <f>VLOOKUP(D2184,clientes!$C$3:$D$60,2,FALSE)</f>
        <v>BUNGE</v>
      </c>
      <c r="F2184" s="73" t="s">
        <v>123</v>
      </c>
      <c r="G2184" s="73" t="str">
        <f>VLOOKUP(F2184,'[2]Lista de Produtos CLASSIFICAÇÃO'!$E$103:$F$114,2,FALSE)</f>
        <v>Aquecidos</v>
      </c>
      <c r="H2184" s="74">
        <v>5700</v>
      </c>
    </row>
    <row r="2185" spans="1:8" x14ac:dyDescent="0.25">
      <c r="A2185" s="75">
        <v>2026</v>
      </c>
      <c r="B2185" s="76" t="s">
        <v>231</v>
      </c>
      <c r="C2185" s="77" t="s">
        <v>232</v>
      </c>
      <c r="D2185" s="77" t="s">
        <v>156</v>
      </c>
      <c r="E2185" s="73" t="str">
        <f>VLOOKUP(D2185,clientes!$C$3:$D$60,2,FALSE)</f>
        <v>BUNGE</v>
      </c>
      <c r="F2185" s="77" t="s">
        <v>123</v>
      </c>
      <c r="G2185" s="73" t="str">
        <f>VLOOKUP(F2185,'[2]Lista de Produtos CLASSIFICAÇÃO'!$E$103:$F$114,2,FALSE)</f>
        <v>Aquecidos</v>
      </c>
      <c r="H2185" s="78">
        <v>5700</v>
      </c>
    </row>
    <row r="2186" spans="1:8" x14ac:dyDescent="0.25">
      <c r="A2186" s="71">
        <v>2026</v>
      </c>
      <c r="B2186" s="72" t="s">
        <v>226</v>
      </c>
      <c r="C2186" s="73" t="s">
        <v>232</v>
      </c>
      <c r="D2186" s="73" t="s">
        <v>166</v>
      </c>
      <c r="E2186" s="73" t="str">
        <f>VLOOKUP(D2186,clientes!$C$3:$D$60,2,FALSE)</f>
        <v>CARGILL</v>
      </c>
      <c r="F2186" s="73" t="s">
        <v>123</v>
      </c>
      <c r="G2186" s="73" t="str">
        <f>VLOOKUP(F2186,'[2]Lista de Produtos CLASSIFICAÇÃO'!$E$103:$F$114,2,FALSE)</f>
        <v>Aquecidos</v>
      </c>
      <c r="H2186" s="74">
        <v>7252</v>
      </c>
    </row>
    <row r="2187" spans="1:8" x14ac:dyDescent="0.25">
      <c r="A2187" s="75">
        <v>2026</v>
      </c>
      <c r="B2187" s="76" t="s">
        <v>227</v>
      </c>
      <c r="C2187" s="77" t="s">
        <v>232</v>
      </c>
      <c r="D2187" s="77" t="s">
        <v>166</v>
      </c>
      <c r="E2187" s="73" t="str">
        <f>VLOOKUP(D2187,clientes!$C$3:$D$60,2,FALSE)</f>
        <v>CARGILL</v>
      </c>
      <c r="F2187" s="77" t="s">
        <v>123</v>
      </c>
      <c r="G2187" s="73" t="str">
        <f>VLOOKUP(F2187,'[2]Lista de Produtos CLASSIFICAÇÃO'!$E$103:$F$114,2,FALSE)</f>
        <v>Aquecidos</v>
      </c>
      <c r="H2187" s="78">
        <v>7252</v>
      </c>
    </row>
    <row r="2188" spans="1:8" x14ac:dyDescent="0.25">
      <c r="A2188" s="71">
        <v>2026</v>
      </c>
      <c r="B2188" s="72" t="s">
        <v>228</v>
      </c>
      <c r="C2188" s="73" t="s">
        <v>232</v>
      </c>
      <c r="D2188" s="73" t="s">
        <v>166</v>
      </c>
      <c r="E2188" s="73" t="str">
        <f>VLOOKUP(D2188,clientes!$C$3:$D$60,2,FALSE)</f>
        <v>CARGILL</v>
      </c>
      <c r="F2188" s="73" t="s">
        <v>123</v>
      </c>
      <c r="G2188" s="73" t="str">
        <f>VLOOKUP(F2188,'[2]Lista de Produtos CLASSIFICAÇÃO'!$E$103:$F$114,2,FALSE)</f>
        <v>Aquecidos</v>
      </c>
      <c r="H2188" s="74">
        <v>7252</v>
      </c>
    </row>
    <row r="2189" spans="1:8" x14ac:dyDescent="0.25">
      <c r="A2189" s="75">
        <v>2026</v>
      </c>
      <c r="B2189" s="76" t="s">
        <v>229</v>
      </c>
      <c r="C2189" s="77" t="s">
        <v>232</v>
      </c>
      <c r="D2189" s="77" t="s">
        <v>166</v>
      </c>
      <c r="E2189" s="73" t="str">
        <f>VLOOKUP(D2189,clientes!$C$3:$D$60,2,FALSE)</f>
        <v>CARGILL</v>
      </c>
      <c r="F2189" s="77" t="s">
        <v>123</v>
      </c>
      <c r="G2189" s="73" t="str">
        <f>VLOOKUP(F2189,'[2]Lista de Produtos CLASSIFICAÇÃO'!$E$103:$F$114,2,FALSE)</f>
        <v>Aquecidos</v>
      </c>
      <c r="H2189" s="78">
        <v>7252</v>
      </c>
    </row>
    <row r="2190" spans="1:8" x14ac:dyDescent="0.25">
      <c r="A2190" s="71">
        <v>2026</v>
      </c>
      <c r="B2190" s="72" t="s">
        <v>210</v>
      </c>
      <c r="C2190" s="73" t="s">
        <v>232</v>
      </c>
      <c r="D2190" s="73" t="s">
        <v>166</v>
      </c>
      <c r="E2190" s="73" t="str">
        <f>VLOOKUP(D2190,clientes!$C$3:$D$60,2,FALSE)</f>
        <v>CARGILL</v>
      </c>
      <c r="F2190" s="73" t="s">
        <v>123</v>
      </c>
      <c r="G2190" s="73" t="str">
        <f>VLOOKUP(F2190,'[2]Lista de Produtos CLASSIFICAÇÃO'!$E$103:$F$114,2,FALSE)</f>
        <v>Aquecidos</v>
      </c>
      <c r="H2190" s="74">
        <v>7252</v>
      </c>
    </row>
    <row r="2191" spans="1:8" x14ac:dyDescent="0.25">
      <c r="A2191" s="75">
        <v>2026</v>
      </c>
      <c r="B2191" s="76" t="s">
        <v>211</v>
      </c>
      <c r="C2191" s="77" t="s">
        <v>232</v>
      </c>
      <c r="D2191" s="77" t="s">
        <v>166</v>
      </c>
      <c r="E2191" s="73" t="str">
        <f>VLOOKUP(D2191,clientes!$C$3:$D$60,2,FALSE)</f>
        <v>CARGILL</v>
      </c>
      <c r="F2191" s="77" t="s">
        <v>123</v>
      </c>
      <c r="G2191" s="73" t="str">
        <f>VLOOKUP(F2191,'[2]Lista de Produtos CLASSIFICAÇÃO'!$E$103:$F$114,2,FALSE)</f>
        <v>Aquecidos</v>
      </c>
      <c r="H2191" s="78">
        <v>7252</v>
      </c>
    </row>
    <row r="2192" spans="1:8" x14ac:dyDescent="0.25">
      <c r="A2192" s="71">
        <v>2026</v>
      </c>
      <c r="B2192" s="72" t="s">
        <v>212</v>
      </c>
      <c r="C2192" s="73" t="s">
        <v>232</v>
      </c>
      <c r="D2192" s="73" t="s">
        <v>166</v>
      </c>
      <c r="E2192" s="73" t="str">
        <f>VLOOKUP(D2192,clientes!$C$3:$D$60,2,FALSE)</f>
        <v>CARGILL</v>
      </c>
      <c r="F2192" s="73" t="s">
        <v>123</v>
      </c>
      <c r="G2192" s="73" t="str">
        <f>VLOOKUP(F2192,'[2]Lista de Produtos CLASSIFICAÇÃO'!$E$103:$F$114,2,FALSE)</f>
        <v>Aquecidos</v>
      </c>
      <c r="H2192" s="74">
        <v>7252</v>
      </c>
    </row>
    <row r="2193" spans="1:8" x14ac:dyDescent="0.25">
      <c r="A2193" s="75">
        <v>2026</v>
      </c>
      <c r="B2193" s="76" t="s">
        <v>213</v>
      </c>
      <c r="C2193" s="77" t="s">
        <v>232</v>
      </c>
      <c r="D2193" s="77" t="s">
        <v>166</v>
      </c>
      <c r="E2193" s="73" t="str">
        <f>VLOOKUP(D2193,clientes!$C$3:$D$60,2,FALSE)</f>
        <v>CARGILL</v>
      </c>
      <c r="F2193" s="77" t="s">
        <v>123</v>
      </c>
      <c r="G2193" s="73" t="str">
        <f>VLOOKUP(F2193,'[2]Lista de Produtos CLASSIFICAÇÃO'!$E$103:$F$114,2,FALSE)</f>
        <v>Aquecidos</v>
      </c>
      <c r="H2193" s="78">
        <v>7252</v>
      </c>
    </row>
    <row r="2194" spans="1:8" x14ac:dyDescent="0.25">
      <c r="A2194" s="71">
        <v>2026</v>
      </c>
      <c r="B2194" s="72" t="s">
        <v>214</v>
      </c>
      <c r="C2194" s="73" t="s">
        <v>232</v>
      </c>
      <c r="D2194" s="73" t="s">
        <v>166</v>
      </c>
      <c r="E2194" s="73" t="str">
        <f>VLOOKUP(D2194,clientes!$C$3:$D$60,2,FALSE)</f>
        <v>CARGILL</v>
      </c>
      <c r="F2194" s="73" t="s">
        <v>123</v>
      </c>
      <c r="G2194" s="73" t="str">
        <f>VLOOKUP(F2194,'[2]Lista de Produtos CLASSIFICAÇÃO'!$E$103:$F$114,2,FALSE)</f>
        <v>Aquecidos</v>
      </c>
      <c r="H2194" s="74">
        <v>7252</v>
      </c>
    </row>
    <row r="2195" spans="1:8" x14ac:dyDescent="0.25">
      <c r="A2195" s="75">
        <v>2026</v>
      </c>
      <c r="B2195" s="76" t="s">
        <v>215</v>
      </c>
      <c r="C2195" s="77" t="s">
        <v>232</v>
      </c>
      <c r="D2195" s="77" t="s">
        <v>166</v>
      </c>
      <c r="E2195" s="73" t="str">
        <f>VLOOKUP(D2195,clientes!$C$3:$D$60,2,FALSE)</f>
        <v>CARGILL</v>
      </c>
      <c r="F2195" s="77" t="s">
        <v>123</v>
      </c>
      <c r="G2195" s="73" t="str">
        <f>VLOOKUP(F2195,'[2]Lista de Produtos CLASSIFICAÇÃO'!$E$103:$F$114,2,FALSE)</f>
        <v>Aquecidos</v>
      </c>
      <c r="H2195" s="78">
        <v>7252</v>
      </c>
    </row>
    <row r="2196" spans="1:8" x14ac:dyDescent="0.25">
      <c r="A2196" s="71">
        <v>2026</v>
      </c>
      <c r="B2196" s="72" t="s">
        <v>230</v>
      </c>
      <c r="C2196" s="73" t="s">
        <v>232</v>
      </c>
      <c r="D2196" s="73" t="s">
        <v>166</v>
      </c>
      <c r="E2196" s="73" t="str">
        <f>VLOOKUP(D2196,clientes!$C$3:$D$60,2,FALSE)</f>
        <v>CARGILL</v>
      </c>
      <c r="F2196" s="73" t="s">
        <v>123</v>
      </c>
      <c r="G2196" s="73" t="str">
        <f>VLOOKUP(F2196,'[2]Lista de Produtos CLASSIFICAÇÃO'!$E$103:$F$114,2,FALSE)</f>
        <v>Aquecidos</v>
      </c>
      <c r="H2196" s="74">
        <v>7252</v>
      </c>
    </row>
    <row r="2197" spans="1:8" x14ac:dyDescent="0.25">
      <c r="A2197" s="75">
        <v>2026</v>
      </c>
      <c r="B2197" s="76" t="s">
        <v>231</v>
      </c>
      <c r="C2197" s="77" t="s">
        <v>232</v>
      </c>
      <c r="D2197" s="77" t="s">
        <v>166</v>
      </c>
      <c r="E2197" s="73" t="str">
        <f>VLOOKUP(D2197,clientes!$C$3:$D$60,2,FALSE)</f>
        <v>CARGILL</v>
      </c>
      <c r="F2197" s="77" t="s">
        <v>123</v>
      </c>
      <c r="G2197" s="73" t="str">
        <f>VLOOKUP(F2197,'[2]Lista de Produtos CLASSIFICAÇÃO'!$E$103:$F$114,2,FALSE)</f>
        <v>Aquecidos</v>
      </c>
      <c r="H2197" s="78">
        <v>7252</v>
      </c>
    </row>
    <row r="2198" spans="1:8" x14ac:dyDescent="0.25">
      <c r="A2198" s="71">
        <v>2026</v>
      </c>
      <c r="B2198" s="72" t="s">
        <v>226</v>
      </c>
      <c r="C2198" s="73" t="s">
        <v>232</v>
      </c>
      <c r="D2198" s="73" t="s">
        <v>166</v>
      </c>
      <c r="E2198" s="73" t="str">
        <f>VLOOKUP(D2198,clientes!$C$3:$D$60,2,FALSE)</f>
        <v>CARGILL</v>
      </c>
      <c r="F2198" s="73" t="s">
        <v>122</v>
      </c>
      <c r="G2198" s="73" t="str">
        <f>VLOOKUP(F2198,'[2]Lista de Produtos CLASSIFICAÇÃO'!$E$103:$F$114,2,FALSE)</f>
        <v>Óleo Vegetal</v>
      </c>
      <c r="H2198" s="74">
        <v>4891</v>
      </c>
    </row>
    <row r="2199" spans="1:8" x14ac:dyDescent="0.25">
      <c r="A2199" s="75">
        <v>2026</v>
      </c>
      <c r="B2199" s="76" t="s">
        <v>227</v>
      </c>
      <c r="C2199" s="77" t="s">
        <v>232</v>
      </c>
      <c r="D2199" s="77" t="s">
        <v>166</v>
      </c>
      <c r="E2199" s="73" t="str">
        <f>VLOOKUP(D2199,clientes!$C$3:$D$60,2,FALSE)</f>
        <v>CARGILL</v>
      </c>
      <c r="F2199" s="77" t="s">
        <v>122</v>
      </c>
      <c r="G2199" s="73" t="str">
        <f>VLOOKUP(F2199,'[2]Lista de Produtos CLASSIFICAÇÃO'!$E$103:$F$114,2,FALSE)</f>
        <v>Óleo Vegetal</v>
      </c>
      <c r="H2199" s="78">
        <v>4891</v>
      </c>
    </row>
    <row r="2200" spans="1:8" x14ac:dyDescent="0.25">
      <c r="A2200" s="71">
        <v>2026</v>
      </c>
      <c r="B2200" s="72" t="s">
        <v>228</v>
      </c>
      <c r="C2200" s="73" t="s">
        <v>232</v>
      </c>
      <c r="D2200" s="73" t="s">
        <v>166</v>
      </c>
      <c r="E2200" s="73" t="str">
        <f>VLOOKUP(D2200,clientes!$C$3:$D$60,2,FALSE)</f>
        <v>CARGILL</v>
      </c>
      <c r="F2200" s="73" t="s">
        <v>122</v>
      </c>
      <c r="G2200" s="73" t="str">
        <f>VLOOKUP(F2200,'[2]Lista de Produtos CLASSIFICAÇÃO'!$E$103:$F$114,2,FALSE)</f>
        <v>Óleo Vegetal</v>
      </c>
      <c r="H2200" s="74">
        <v>4891</v>
      </c>
    </row>
    <row r="2201" spans="1:8" x14ac:dyDescent="0.25">
      <c r="A2201" s="75">
        <v>2026</v>
      </c>
      <c r="B2201" s="76" t="s">
        <v>229</v>
      </c>
      <c r="C2201" s="77" t="s">
        <v>232</v>
      </c>
      <c r="D2201" s="77" t="s">
        <v>166</v>
      </c>
      <c r="E2201" s="73" t="str">
        <f>VLOOKUP(D2201,clientes!$C$3:$D$60,2,FALSE)</f>
        <v>CARGILL</v>
      </c>
      <c r="F2201" s="77" t="s">
        <v>122</v>
      </c>
      <c r="G2201" s="73" t="str">
        <f>VLOOKUP(F2201,'[2]Lista de Produtos CLASSIFICAÇÃO'!$E$103:$F$114,2,FALSE)</f>
        <v>Óleo Vegetal</v>
      </c>
      <c r="H2201" s="78">
        <v>4891</v>
      </c>
    </row>
    <row r="2202" spans="1:8" x14ac:dyDescent="0.25">
      <c r="A2202" s="71">
        <v>2026</v>
      </c>
      <c r="B2202" s="72" t="s">
        <v>210</v>
      </c>
      <c r="C2202" s="73" t="s">
        <v>232</v>
      </c>
      <c r="D2202" s="73" t="s">
        <v>166</v>
      </c>
      <c r="E2202" s="73" t="str">
        <f>VLOOKUP(D2202,clientes!$C$3:$D$60,2,FALSE)</f>
        <v>CARGILL</v>
      </c>
      <c r="F2202" s="73" t="s">
        <v>122</v>
      </c>
      <c r="G2202" s="73" t="str">
        <f>VLOOKUP(F2202,'[2]Lista de Produtos CLASSIFICAÇÃO'!$E$103:$F$114,2,FALSE)</f>
        <v>Óleo Vegetal</v>
      </c>
      <c r="H2202" s="74">
        <v>4891</v>
      </c>
    </row>
    <row r="2203" spans="1:8" x14ac:dyDescent="0.25">
      <c r="A2203" s="75">
        <v>2026</v>
      </c>
      <c r="B2203" s="76" t="s">
        <v>211</v>
      </c>
      <c r="C2203" s="77" t="s">
        <v>232</v>
      </c>
      <c r="D2203" s="77" t="s">
        <v>166</v>
      </c>
      <c r="E2203" s="73" t="str">
        <f>VLOOKUP(D2203,clientes!$C$3:$D$60,2,FALSE)</f>
        <v>CARGILL</v>
      </c>
      <c r="F2203" s="77" t="s">
        <v>122</v>
      </c>
      <c r="G2203" s="73" t="str">
        <f>VLOOKUP(F2203,'[2]Lista de Produtos CLASSIFICAÇÃO'!$E$103:$F$114,2,FALSE)</f>
        <v>Óleo Vegetal</v>
      </c>
      <c r="H2203" s="78">
        <v>4891</v>
      </c>
    </row>
    <row r="2204" spans="1:8" x14ac:dyDescent="0.25">
      <c r="A2204" s="71">
        <v>2026</v>
      </c>
      <c r="B2204" s="72" t="s">
        <v>212</v>
      </c>
      <c r="C2204" s="73" t="s">
        <v>232</v>
      </c>
      <c r="D2204" s="73" t="s">
        <v>166</v>
      </c>
      <c r="E2204" s="73" t="str">
        <f>VLOOKUP(D2204,clientes!$C$3:$D$60,2,FALSE)</f>
        <v>CARGILL</v>
      </c>
      <c r="F2204" s="73" t="s">
        <v>122</v>
      </c>
      <c r="G2204" s="73" t="str">
        <f>VLOOKUP(F2204,'[2]Lista de Produtos CLASSIFICAÇÃO'!$E$103:$F$114,2,FALSE)</f>
        <v>Óleo Vegetal</v>
      </c>
      <c r="H2204" s="74">
        <v>4891</v>
      </c>
    </row>
    <row r="2205" spans="1:8" x14ac:dyDescent="0.25">
      <c r="A2205" s="75">
        <v>2026</v>
      </c>
      <c r="B2205" s="76" t="s">
        <v>213</v>
      </c>
      <c r="C2205" s="77" t="s">
        <v>232</v>
      </c>
      <c r="D2205" s="77" t="s">
        <v>166</v>
      </c>
      <c r="E2205" s="73" t="str">
        <f>VLOOKUP(D2205,clientes!$C$3:$D$60,2,FALSE)</f>
        <v>CARGILL</v>
      </c>
      <c r="F2205" s="77" t="s">
        <v>122</v>
      </c>
      <c r="G2205" s="73" t="str">
        <f>VLOOKUP(F2205,'[2]Lista de Produtos CLASSIFICAÇÃO'!$E$103:$F$114,2,FALSE)</f>
        <v>Óleo Vegetal</v>
      </c>
      <c r="H2205" s="78">
        <v>4891</v>
      </c>
    </row>
    <row r="2206" spans="1:8" x14ac:dyDescent="0.25">
      <c r="A2206" s="71">
        <v>2026</v>
      </c>
      <c r="B2206" s="72" t="s">
        <v>214</v>
      </c>
      <c r="C2206" s="73" t="s">
        <v>232</v>
      </c>
      <c r="D2206" s="73" t="s">
        <v>166</v>
      </c>
      <c r="E2206" s="73" t="str">
        <f>VLOOKUP(D2206,clientes!$C$3:$D$60,2,FALSE)</f>
        <v>CARGILL</v>
      </c>
      <c r="F2206" s="73" t="s">
        <v>122</v>
      </c>
      <c r="G2206" s="73" t="str">
        <f>VLOOKUP(F2206,'[2]Lista de Produtos CLASSIFICAÇÃO'!$E$103:$F$114,2,FALSE)</f>
        <v>Óleo Vegetal</v>
      </c>
      <c r="H2206" s="74">
        <v>4891</v>
      </c>
    </row>
    <row r="2207" spans="1:8" x14ac:dyDescent="0.25">
      <c r="A2207" s="75">
        <v>2026</v>
      </c>
      <c r="B2207" s="76" t="s">
        <v>215</v>
      </c>
      <c r="C2207" s="77" t="s">
        <v>232</v>
      </c>
      <c r="D2207" s="77" t="s">
        <v>166</v>
      </c>
      <c r="E2207" s="73" t="str">
        <f>VLOOKUP(D2207,clientes!$C$3:$D$60,2,FALSE)</f>
        <v>CARGILL</v>
      </c>
      <c r="F2207" s="77" t="s">
        <v>122</v>
      </c>
      <c r="G2207" s="73" t="str">
        <f>VLOOKUP(F2207,'[2]Lista de Produtos CLASSIFICAÇÃO'!$E$103:$F$114,2,FALSE)</f>
        <v>Óleo Vegetal</v>
      </c>
      <c r="H2207" s="78">
        <v>4891</v>
      </c>
    </row>
    <row r="2208" spans="1:8" x14ac:dyDescent="0.25">
      <c r="A2208" s="71">
        <v>2026</v>
      </c>
      <c r="B2208" s="72" t="s">
        <v>230</v>
      </c>
      <c r="C2208" s="73" t="s">
        <v>232</v>
      </c>
      <c r="D2208" s="73" t="s">
        <v>166</v>
      </c>
      <c r="E2208" s="73" t="str">
        <f>VLOOKUP(D2208,clientes!$C$3:$D$60,2,FALSE)</f>
        <v>CARGILL</v>
      </c>
      <c r="F2208" s="73" t="s">
        <v>122</v>
      </c>
      <c r="G2208" s="73" t="str">
        <f>VLOOKUP(F2208,'[2]Lista de Produtos CLASSIFICAÇÃO'!$E$103:$F$114,2,FALSE)</f>
        <v>Óleo Vegetal</v>
      </c>
      <c r="H2208" s="74">
        <v>4891</v>
      </c>
    </row>
    <row r="2209" spans="1:8" x14ac:dyDescent="0.25">
      <c r="A2209" s="75">
        <v>2026</v>
      </c>
      <c r="B2209" s="76" t="s">
        <v>231</v>
      </c>
      <c r="C2209" s="77" t="s">
        <v>232</v>
      </c>
      <c r="D2209" s="77" t="s">
        <v>166</v>
      </c>
      <c r="E2209" s="73" t="str">
        <f>VLOOKUP(D2209,clientes!$C$3:$D$60,2,FALSE)</f>
        <v>CARGILL</v>
      </c>
      <c r="F2209" s="77" t="s">
        <v>122</v>
      </c>
      <c r="G2209" s="73" t="str">
        <f>VLOOKUP(F2209,'[2]Lista de Produtos CLASSIFICAÇÃO'!$E$103:$F$114,2,FALSE)</f>
        <v>Óleo Vegetal</v>
      </c>
      <c r="H2209" s="78">
        <v>4891</v>
      </c>
    </row>
    <row r="2210" spans="1:8" x14ac:dyDescent="0.25">
      <c r="A2210" s="71">
        <v>2026</v>
      </c>
      <c r="B2210" s="72" t="s">
        <v>226</v>
      </c>
      <c r="C2210" s="73" t="s">
        <v>232</v>
      </c>
      <c r="D2210" s="73" t="s">
        <v>174</v>
      </c>
      <c r="E2210" s="73" t="str">
        <f>VLOOKUP(D2210,clientes!$C$3:$D$60,2,FALSE)</f>
        <v>CELENA</v>
      </c>
      <c r="F2210" s="73" t="s">
        <v>123</v>
      </c>
      <c r="G2210" s="73" t="str">
        <f>VLOOKUP(F2210,'[2]Lista de Produtos CLASSIFICAÇÃO'!$E$103:$F$114,2,FALSE)</f>
        <v>Aquecidos</v>
      </c>
      <c r="H2210" s="74">
        <v>24545</v>
      </c>
    </row>
    <row r="2211" spans="1:8" x14ac:dyDescent="0.25">
      <c r="A2211" s="75">
        <v>2026</v>
      </c>
      <c r="B2211" s="76" t="s">
        <v>227</v>
      </c>
      <c r="C2211" s="77" t="s">
        <v>232</v>
      </c>
      <c r="D2211" s="77" t="s">
        <v>174</v>
      </c>
      <c r="E2211" s="73" t="str">
        <f>VLOOKUP(D2211,clientes!$C$3:$D$60,2,FALSE)</f>
        <v>CELENA</v>
      </c>
      <c r="F2211" s="77" t="s">
        <v>123</v>
      </c>
      <c r="G2211" s="73" t="str">
        <f>VLOOKUP(F2211,'[2]Lista de Produtos CLASSIFICAÇÃO'!$E$103:$F$114,2,FALSE)</f>
        <v>Aquecidos</v>
      </c>
      <c r="H2211" s="78">
        <v>24545</v>
      </c>
    </row>
    <row r="2212" spans="1:8" x14ac:dyDescent="0.25">
      <c r="A2212" s="71">
        <v>2026</v>
      </c>
      <c r="B2212" s="72" t="s">
        <v>228</v>
      </c>
      <c r="C2212" s="73" t="s">
        <v>232</v>
      </c>
      <c r="D2212" s="73" t="s">
        <v>174</v>
      </c>
      <c r="E2212" s="73" t="str">
        <f>VLOOKUP(D2212,clientes!$C$3:$D$60,2,FALSE)</f>
        <v>CELENA</v>
      </c>
      <c r="F2212" s="73" t="s">
        <v>123</v>
      </c>
      <c r="G2212" s="73" t="str">
        <f>VLOOKUP(F2212,'[2]Lista de Produtos CLASSIFICAÇÃO'!$E$103:$F$114,2,FALSE)</f>
        <v>Aquecidos</v>
      </c>
      <c r="H2212" s="74">
        <v>24545</v>
      </c>
    </row>
    <row r="2213" spans="1:8" x14ac:dyDescent="0.25">
      <c r="A2213" s="75">
        <v>2026</v>
      </c>
      <c r="B2213" s="76" t="s">
        <v>229</v>
      </c>
      <c r="C2213" s="77" t="s">
        <v>232</v>
      </c>
      <c r="D2213" s="77" t="s">
        <v>174</v>
      </c>
      <c r="E2213" s="73" t="str">
        <f>VLOOKUP(D2213,clientes!$C$3:$D$60,2,FALSE)</f>
        <v>CELENA</v>
      </c>
      <c r="F2213" s="77" t="s">
        <v>123</v>
      </c>
      <c r="G2213" s="73" t="str">
        <f>VLOOKUP(F2213,'[2]Lista de Produtos CLASSIFICAÇÃO'!$E$103:$F$114,2,FALSE)</f>
        <v>Aquecidos</v>
      </c>
      <c r="H2213" s="78">
        <v>24545</v>
      </c>
    </row>
    <row r="2214" spans="1:8" x14ac:dyDescent="0.25">
      <c r="A2214" s="71">
        <v>2026</v>
      </c>
      <c r="B2214" s="72" t="s">
        <v>210</v>
      </c>
      <c r="C2214" s="73" t="s">
        <v>232</v>
      </c>
      <c r="D2214" s="73" t="s">
        <v>174</v>
      </c>
      <c r="E2214" s="73" t="str">
        <f>VLOOKUP(D2214,clientes!$C$3:$D$60,2,FALSE)</f>
        <v>CELENA</v>
      </c>
      <c r="F2214" s="73" t="s">
        <v>123</v>
      </c>
      <c r="G2214" s="73" t="str">
        <f>VLOOKUP(F2214,'[2]Lista de Produtos CLASSIFICAÇÃO'!$E$103:$F$114,2,FALSE)</f>
        <v>Aquecidos</v>
      </c>
      <c r="H2214" s="74">
        <v>24545</v>
      </c>
    </row>
    <row r="2215" spans="1:8" x14ac:dyDescent="0.25">
      <c r="A2215" s="75">
        <v>2026</v>
      </c>
      <c r="B2215" s="76" t="s">
        <v>211</v>
      </c>
      <c r="C2215" s="77" t="s">
        <v>232</v>
      </c>
      <c r="D2215" s="77" t="s">
        <v>174</v>
      </c>
      <c r="E2215" s="73" t="str">
        <f>VLOOKUP(D2215,clientes!$C$3:$D$60,2,FALSE)</f>
        <v>CELENA</v>
      </c>
      <c r="F2215" s="77" t="s">
        <v>123</v>
      </c>
      <c r="G2215" s="73" t="str">
        <f>VLOOKUP(F2215,'[2]Lista de Produtos CLASSIFICAÇÃO'!$E$103:$F$114,2,FALSE)</f>
        <v>Aquecidos</v>
      </c>
      <c r="H2215" s="78">
        <v>24545</v>
      </c>
    </row>
    <row r="2216" spans="1:8" x14ac:dyDescent="0.25">
      <c r="A2216" s="71">
        <v>2026</v>
      </c>
      <c r="B2216" s="72" t="s">
        <v>212</v>
      </c>
      <c r="C2216" s="73" t="s">
        <v>232</v>
      </c>
      <c r="D2216" s="73" t="s">
        <v>174</v>
      </c>
      <c r="E2216" s="73" t="str">
        <f>VLOOKUP(D2216,clientes!$C$3:$D$60,2,FALSE)</f>
        <v>CELENA</v>
      </c>
      <c r="F2216" s="73" t="s">
        <v>123</v>
      </c>
      <c r="G2216" s="73" t="str">
        <f>VLOOKUP(F2216,'[2]Lista de Produtos CLASSIFICAÇÃO'!$E$103:$F$114,2,FALSE)</f>
        <v>Aquecidos</v>
      </c>
      <c r="H2216" s="74">
        <v>24545</v>
      </c>
    </row>
    <row r="2217" spans="1:8" x14ac:dyDescent="0.25">
      <c r="A2217" s="75">
        <v>2026</v>
      </c>
      <c r="B2217" s="76" t="s">
        <v>213</v>
      </c>
      <c r="C2217" s="77" t="s">
        <v>232</v>
      </c>
      <c r="D2217" s="77" t="s">
        <v>174</v>
      </c>
      <c r="E2217" s="73" t="str">
        <f>VLOOKUP(D2217,clientes!$C$3:$D$60,2,FALSE)</f>
        <v>CELENA</v>
      </c>
      <c r="F2217" s="77" t="s">
        <v>123</v>
      </c>
      <c r="G2217" s="73" t="str">
        <f>VLOOKUP(F2217,'[2]Lista de Produtos CLASSIFICAÇÃO'!$E$103:$F$114,2,FALSE)</f>
        <v>Aquecidos</v>
      </c>
      <c r="H2217" s="78">
        <v>24545</v>
      </c>
    </row>
    <row r="2218" spans="1:8" x14ac:dyDescent="0.25">
      <c r="A2218" s="71">
        <v>2026</v>
      </c>
      <c r="B2218" s="72" t="s">
        <v>214</v>
      </c>
      <c r="C2218" s="73" t="s">
        <v>232</v>
      </c>
      <c r="D2218" s="73" t="s">
        <v>174</v>
      </c>
      <c r="E2218" s="73" t="str">
        <f>VLOOKUP(D2218,clientes!$C$3:$D$60,2,FALSE)</f>
        <v>CELENA</v>
      </c>
      <c r="F2218" s="73" t="s">
        <v>123</v>
      </c>
      <c r="G2218" s="73" t="str">
        <f>VLOOKUP(F2218,'[2]Lista de Produtos CLASSIFICAÇÃO'!$E$103:$F$114,2,FALSE)</f>
        <v>Aquecidos</v>
      </c>
      <c r="H2218" s="74">
        <v>24545</v>
      </c>
    </row>
    <row r="2219" spans="1:8" x14ac:dyDescent="0.25">
      <c r="A2219" s="75">
        <v>2026</v>
      </c>
      <c r="B2219" s="76" t="s">
        <v>215</v>
      </c>
      <c r="C2219" s="77" t="s">
        <v>232</v>
      </c>
      <c r="D2219" s="77" t="s">
        <v>174</v>
      </c>
      <c r="E2219" s="73" t="str">
        <f>VLOOKUP(D2219,clientes!$C$3:$D$60,2,FALSE)</f>
        <v>CELENA</v>
      </c>
      <c r="F2219" s="77" t="s">
        <v>123</v>
      </c>
      <c r="G2219" s="73" t="str">
        <f>VLOOKUP(F2219,'[2]Lista de Produtos CLASSIFICAÇÃO'!$E$103:$F$114,2,FALSE)</f>
        <v>Aquecidos</v>
      </c>
      <c r="H2219" s="78">
        <v>24545</v>
      </c>
    </row>
    <row r="2220" spans="1:8" x14ac:dyDescent="0.25">
      <c r="A2220" s="71">
        <v>2026</v>
      </c>
      <c r="B2220" s="72" t="s">
        <v>230</v>
      </c>
      <c r="C2220" s="73" t="s">
        <v>232</v>
      </c>
      <c r="D2220" s="73" t="s">
        <v>174</v>
      </c>
      <c r="E2220" s="73" t="str">
        <f>VLOOKUP(D2220,clientes!$C$3:$D$60,2,FALSE)</f>
        <v>CELENA</v>
      </c>
      <c r="F2220" s="73" t="s">
        <v>123</v>
      </c>
      <c r="G2220" s="73" t="str">
        <f>VLOOKUP(F2220,'[2]Lista de Produtos CLASSIFICAÇÃO'!$E$103:$F$114,2,FALSE)</f>
        <v>Aquecidos</v>
      </c>
      <c r="H2220" s="74">
        <v>24545</v>
      </c>
    </row>
    <row r="2221" spans="1:8" x14ac:dyDescent="0.25">
      <c r="A2221" s="75">
        <v>2026</v>
      </c>
      <c r="B2221" s="76" t="s">
        <v>231</v>
      </c>
      <c r="C2221" s="77" t="s">
        <v>232</v>
      </c>
      <c r="D2221" s="77" t="s">
        <v>174</v>
      </c>
      <c r="E2221" s="73" t="str">
        <f>VLOOKUP(D2221,clientes!$C$3:$D$60,2,FALSE)</f>
        <v>CELENA</v>
      </c>
      <c r="F2221" s="77" t="s">
        <v>123</v>
      </c>
      <c r="G2221" s="73" t="str">
        <f>VLOOKUP(F2221,'[2]Lista de Produtos CLASSIFICAÇÃO'!$E$103:$F$114,2,FALSE)</f>
        <v>Aquecidos</v>
      </c>
      <c r="H2221" s="78">
        <v>24545</v>
      </c>
    </row>
    <row r="2222" spans="1:8" x14ac:dyDescent="0.25">
      <c r="A2222" s="71">
        <v>2026</v>
      </c>
      <c r="B2222" s="72" t="s">
        <v>226</v>
      </c>
      <c r="C2222" s="73" t="s">
        <v>233</v>
      </c>
      <c r="D2222" s="73" t="s">
        <v>185</v>
      </c>
      <c r="E2222" s="73" t="str">
        <f>VLOOKUP(D2222,clientes!$C$3:$D$60,2,FALSE)</f>
        <v>CIAPETRO</v>
      </c>
      <c r="F2222" s="73" t="s">
        <v>120</v>
      </c>
      <c r="G2222" s="73" t="str">
        <f>VLOOKUP(F2222,'[2]Lista de Produtos CLASSIFICAÇÃO'!$E$103:$F$114,2,FALSE)</f>
        <v>Derivados</v>
      </c>
      <c r="H2222" s="74">
        <v>15000</v>
      </c>
    </row>
    <row r="2223" spans="1:8" x14ac:dyDescent="0.25">
      <c r="A2223" s="75">
        <v>2026</v>
      </c>
      <c r="B2223" s="76" t="s">
        <v>227</v>
      </c>
      <c r="C2223" s="77" t="s">
        <v>233</v>
      </c>
      <c r="D2223" s="77" t="s">
        <v>185</v>
      </c>
      <c r="E2223" s="73" t="str">
        <f>VLOOKUP(D2223,clientes!$C$3:$D$60,2,FALSE)</f>
        <v>CIAPETRO</v>
      </c>
      <c r="F2223" s="77" t="s">
        <v>120</v>
      </c>
      <c r="G2223" s="73" t="str">
        <f>VLOOKUP(F2223,'[2]Lista de Produtos CLASSIFICAÇÃO'!$E$103:$F$114,2,FALSE)</f>
        <v>Derivados</v>
      </c>
      <c r="H2223" s="78">
        <v>15000</v>
      </c>
    </row>
    <row r="2224" spans="1:8" x14ac:dyDescent="0.25">
      <c r="A2224" s="71">
        <v>2026</v>
      </c>
      <c r="B2224" s="72" t="s">
        <v>228</v>
      </c>
      <c r="C2224" s="73" t="s">
        <v>233</v>
      </c>
      <c r="D2224" s="73" t="s">
        <v>185</v>
      </c>
      <c r="E2224" s="73" t="str">
        <f>VLOOKUP(D2224,clientes!$C$3:$D$60,2,FALSE)</f>
        <v>CIAPETRO</v>
      </c>
      <c r="F2224" s="73" t="s">
        <v>120</v>
      </c>
      <c r="G2224" s="73" t="str">
        <f>VLOOKUP(F2224,'[2]Lista de Produtos CLASSIFICAÇÃO'!$E$103:$F$114,2,FALSE)</f>
        <v>Derivados</v>
      </c>
      <c r="H2224" s="74">
        <v>15000</v>
      </c>
    </row>
    <row r="2225" spans="1:8" x14ac:dyDescent="0.25">
      <c r="A2225" s="75">
        <v>2026</v>
      </c>
      <c r="B2225" s="76" t="s">
        <v>229</v>
      </c>
      <c r="C2225" s="77" t="s">
        <v>233</v>
      </c>
      <c r="D2225" s="77" t="s">
        <v>185</v>
      </c>
      <c r="E2225" s="73" t="str">
        <f>VLOOKUP(D2225,clientes!$C$3:$D$60,2,FALSE)</f>
        <v>CIAPETRO</v>
      </c>
      <c r="F2225" s="77" t="s">
        <v>120</v>
      </c>
      <c r="G2225" s="73" t="str">
        <f>VLOOKUP(F2225,'[2]Lista de Produtos CLASSIFICAÇÃO'!$E$103:$F$114,2,FALSE)</f>
        <v>Derivados</v>
      </c>
      <c r="H2225" s="78">
        <v>15000</v>
      </c>
    </row>
    <row r="2226" spans="1:8" x14ac:dyDescent="0.25">
      <c r="A2226" s="71">
        <v>2026</v>
      </c>
      <c r="B2226" s="72" t="s">
        <v>210</v>
      </c>
      <c r="C2226" s="73" t="s">
        <v>233</v>
      </c>
      <c r="D2226" s="73" t="s">
        <v>185</v>
      </c>
      <c r="E2226" s="73" t="str">
        <f>VLOOKUP(D2226,clientes!$C$3:$D$60,2,FALSE)</f>
        <v>CIAPETRO</v>
      </c>
      <c r="F2226" s="73" t="s">
        <v>120</v>
      </c>
      <c r="G2226" s="73" t="str">
        <f>VLOOKUP(F2226,'[2]Lista de Produtos CLASSIFICAÇÃO'!$E$103:$F$114,2,FALSE)</f>
        <v>Derivados</v>
      </c>
      <c r="H2226" s="74">
        <v>15000</v>
      </c>
    </row>
    <row r="2227" spans="1:8" x14ac:dyDescent="0.25">
      <c r="A2227" s="75">
        <v>2026</v>
      </c>
      <c r="B2227" s="76" t="s">
        <v>211</v>
      </c>
      <c r="C2227" s="77" t="s">
        <v>233</v>
      </c>
      <c r="D2227" s="77" t="s">
        <v>185</v>
      </c>
      <c r="E2227" s="73" t="str">
        <f>VLOOKUP(D2227,clientes!$C$3:$D$60,2,FALSE)</f>
        <v>CIAPETRO</v>
      </c>
      <c r="F2227" s="77" t="s">
        <v>120</v>
      </c>
      <c r="G2227" s="73" t="str">
        <f>VLOOKUP(F2227,'[2]Lista de Produtos CLASSIFICAÇÃO'!$E$103:$F$114,2,FALSE)</f>
        <v>Derivados</v>
      </c>
      <c r="H2227" s="78">
        <v>15000</v>
      </c>
    </row>
    <row r="2228" spans="1:8" x14ac:dyDescent="0.25">
      <c r="A2228" s="71">
        <v>2026</v>
      </c>
      <c r="B2228" s="72" t="s">
        <v>212</v>
      </c>
      <c r="C2228" s="73" t="s">
        <v>233</v>
      </c>
      <c r="D2228" s="73" t="s">
        <v>185</v>
      </c>
      <c r="E2228" s="73" t="str">
        <f>VLOOKUP(D2228,clientes!$C$3:$D$60,2,FALSE)</f>
        <v>CIAPETRO</v>
      </c>
      <c r="F2228" s="73" t="s">
        <v>120</v>
      </c>
      <c r="G2228" s="73" t="str">
        <f>VLOOKUP(F2228,'[2]Lista de Produtos CLASSIFICAÇÃO'!$E$103:$F$114,2,FALSE)</f>
        <v>Derivados</v>
      </c>
      <c r="H2228" s="74">
        <v>15000</v>
      </c>
    </row>
    <row r="2229" spans="1:8" x14ac:dyDescent="0.25">
      <c r="A2229" s="75">
        <v>2026</v>
      </c>
      <c r="B2229" s="76" t="s">
        <v>213</v>
      </c>
      <c r="C2229" s="77" t="s">
        <v>233</v>
      </c>
      <c r="D2229" s="77" t="s">
        <v>185</v>
      </c>
      <c r="E2229" s="73" t="str">
        <f>VLOOKUP(D2229,clientes!$C$3:$D$60,2,FALSE)</f>
        <v>CIAPETRO</v>
      </c>
      <c r="F2229" s="77" t="s">
        <v>120</v>
      </c>
      <c r="G2229" s="73" t="str">
        <f>VLOOKUP(F2229,'[2]Lista de Produtos CLASSIFICAÇÃO'!$E$103:$F$114,2,FALSE)</f>
        <v>Derivados</v>
      </c>
      <c r="H2229" s="78">
        <v>15000</v>
      </c>
    </row>
    <row r="2230" spans="1:8" x14ac:dyDescent="0.25">
      <c r="A2230" s="71">
        <v>2026</v>
      </c>
      <c r="B2230" s="72" t="s">
        <v>214</v>
      </c>
      <c r="C2230" s="73" t="s">
        <v>233</v>
      </c>
      <c r="D2230" s="73" t="s">
        <v>185</v>
      </c>
      <c r="E2230" s="73" t="str">
        <f>VLOOKUP(D2230,clientes!$C$3:$D$60,2,FALSE)</f>
        <v>CIAPETRO</v>
      </c>
      <c r="F2230" s="73" t="s">
        <v>120</v>
      </c>
      <c r="G2230" s="73" t="str">
        <f>VLOOKUP(F2230,'[2]Lista de Produtos CLASSIFICAÇÃO'!$E$103:$F$114,2,FALSE)</f>
        <v>Derivados</v>
      </c>
      <c r="H2230" s="74">
        <v>15000</v>
      </c>
    </row>
    <row r="2231" spans="1:8" x14ac:dyDescent="0.25">
      <c r="A2231" s="75">
        <v>2026</v>
      </c>
      <c r="B2231" s="76" t="s">
        <v>215</v>
      </c>
      <c r="C2231" s="77" t="s">
        <v>233</v>
      </c>
      <c r="D2231" s="77" t="s">
        <v>185</v>
      </c>
      <c r="E2231" s="73" t="str">
        <f>VLOOKUP(D2231,clientes!$C$3:$D$60,2,FALSE)</f>
        <v>CIAPETRO</v>
      </c>
      <c r="F2231" s="77" t="s">
        <v>120</v>
      </c>
      <c r="G2231" s="73" t="str">
        <f>VLOOKUP(F2231,'[2]Lista de Produtos CLASSIFICAÇÃO'!$E$103:$F$114,2,FALSE)</f>
        <v>Derivados</v>
      </c>
      <c r="H2231" s="78">
        <v>15000</v>
      </c>
    </row>
    <row r="2232" spans="1:8" x14ac:dyDescent="0.25">
      <c r="A2232" s="71">
        <v>2026</v>
      </c>
      <c r="B2232" s="72" t="s">
        <v>230</v>
      </c>
      <c r="C2232" s="73" t="s">
        <v>233</v>
      </c>
      <c r="D2232" s="73" t="s">
        <v>185</v>
      </c>
      <c r="E2232" s="73" t="str">
        <f>VLOOKUP(D2232,clientes!$C$3:$D$60,2,FALSE)</f>
        <v>CIAPETRO</v>
      </c>
      <c r="F2232" s="73" t="s">
        <v>120</v>
      </c>
      <c r="G2232" s="73" t="str">
        <f>VLOOKUP(F2232,'[2]Lista de Produtos CLASSIFICAÇÃO'!$E$103:$F$114,2,FALSE)</f>
        <v>Derivados</v>
      </c>
      <c r="H2232" s="74">
        <v>15000</v>
      </c>
    </row>
    <row r="2233" spans="1:8" x14ac:dyDescent="0.25">
      <c r="A2233" s="75">
        <v>2026</v>
      </c>
      <c r="B2233" s="76" t="s">
        <v>231</v>
      </c>
      <c r="C2233" s="77" t="s">
        <v>233</v>
      </c>
      <c r="D2233" s="77" t="s">
        <v>185</v>
      </c>
      <c r="E2233" s="73" t="str">
        <f>VLOOKUP(D2233,clientes!$C$3:$D$60,2,FALSE)</f>
        <v>CIAPETRO</v>
      </c>
      <c r="F2233" s="77" t="s">
        <v>120</v>
      </c>
      <c r="G2233" s="73" t="str">
        <f>VLOOKUP(F2233,'[2]Lista de Produtos CLASSIFICAÇÃO'!$E$103:$F$114,2,FALSE)</f>
        <v>Derivados</v>
      </c>
      <c r="H2233" s="78">
        <v>15000</v>
      </c>
    </row>
    <row r="2234" spans="1:8" x14ac:dyDescent="0.25">
      <c r="A2234" s="71">
        <v>2026</v>
      </c>
      <c r="B2234" s="72" t="s">
        <v>226</v>
      </c>
      <c r="C2234" s="73" t="s">
        <v>232</v>
      </c>
      <c r="D2234" s="73" t="s">
        <v>181</v>
      </c>
      <c r="E2234" s="73" t="str">
        <f>VLOOKUP(D2234,clientes!$C$3:$D$60,2,FALSE)</f>
        <v>COAMO</v>
      </c>
      <c r="F2234" s="73" t="s">
        <v>123</v>
      </c>
      <c r="G2234" s="73" t="str">
        <f>VLOOKUP(F2234,'[2]Lista de Produtos CLASSIFICAÇÃO'!$E$103:$F$114,2,FALSE)</f>
        <v>Aquecidos</v>
      </c>
      <c r="H2234" s="74">
        <v>2008</v>
      </c>
    </row>
    <row r="2235" spans="1:8" x14ac:dyDescent="0.25">
      <c r="A2235" s="75">
        <v>2026</v>
      </c>
      <c r="B2235" s="76" t="s">
        <v>227</v>
      </c>
      <c r="C2235" s="77" t="s">
        <v>232</v>
      </c>
      <c r="D2235" s="77" t="s">
        <v>181</v>
      </c>
      <c r="E2235" s="73" t="str">
        <f>VLOOKUP(D2235,clientes!$C$3:$D$60,2,FALSE)</f>
        <v>COAMO</v>
      </c>
      <c r="F2235" s="77" t="s">
        <v>123</v>
      </c>
      <c r="G2235" s="73" t="str">
        <f>VLOOKUP(F2235,'[2]Lista de Produtos CLASSIFICAÇÃO'!$E$103:$F$114,2,FALSE)</f>
        <v>Aquecidos</v>
      </c>
      <c r="H2235" s="78">
        <v>2008</v>
      </c>
    </row>
    <row r="2236" spans="1:8" x14ac:dyDescent="0.25">
      <c r="A2236" s="71">
        <v>2026</v>
      </c>
      <c r="B2236" s="72" t="s">
        <v>228</v>
      </c>
      <c r="C2236" s="73" t="s">
        <v>232</v>
      </c>
      <c r="D2236" s="73" t="s">
        <v>181</v>
      </c>
      <c r="E2236" s="73" t="str">
        <f>VLOOKUP(D2236,clientes!$C$3:$D$60,2,FALSE)</f>
        <v>COAMO</v>
      </c>
      <c r="F2236" s="73" t="s">
        <v>123</v>
      </c>
      <c r="G2236" s="73" t="str">
        <f>VLOOKUP(F2236,'[2]Lista de Produtos CLASSIFICAÇÃO'!$E$103:$F$114,2,FALSE)</f>
        <v>Aquecidos</v>
      </c>
      <c r="H2236" s="74">
        <v>2008</v>
      </c>
    </row>
    <row r="2237" spans="1:8" x14ac:dyDescent="0.25">
      <c r="A2237" s="75">
        <v>2026</v>
      </c>
      <c r="B2237" s="76" t="s">
        <v>229</v>
      </c>
      <c r="C2237" s="77" t="s">
        <v>232</v>
      </c>
      <c r="D2237" s="77" t="s">
        <v>181</v>
      </c>
      <c r="E2237" s="73" t="str">
        <f>VLOOKUP(D2237,clientes!$C$3:$D$60,2,FALSE)</f>
        <v>COAMO</v>
      </c>
      <c r="F2237" s="77" t="s">
        <v>123</v>
      </c>
      <c r="G2237" s="73" t="str">
        <f>VLOOKUP(F2237,'[2]Lista de Produtos CLASSIFICAÇÃO'!$E$103:$F$114,2,FALSE)</f>
        <v>Aquecidos</v>
      </c>
      <c r="H2237" s="78">
        <v>2008</v>
      </c>
    </row>
    <row r="2238" spans="1:8" x14ac:dyDescent="0.25">
      <c r="A2238" s="71">
        <v>2026</v>
      </c>
      <c r="B2238" s="72" t="s">
        <v>210</v>
      </c>
      <c r="C2238" s="73" t="s">
        <v>232</v>
      </c>
      <c r="D2238" s="73" t="s">
        <v>181</v>
      </c>
      <c r="E2238" s="73" t="str">
        <f>VLOOKUP(D2238,clientes!$C$3:$D$60,2,FALSE)</f>
        <v>COAMO</v>
      </c>
      <c r="F2238" s="73" t="s">
        <v>123</v>
      </c>
      <c r="G2238" s="73" t="str">
        <f>VLOOKUP(F2238,'[2]Lista de Produtos CLASSIFICAÇÃO'!$E$103:$F$114,2,FALSE)</f>
        <v>Aquecidos</v>
      </c>
      <c r="H2238" s="74">
        <v>2008</v>
      </c>
    </row>
    <row r="2239" spans="1:8" x14ac:dyDescent="0.25">
      <c r="A2239" s="75">
        <v>2026</v>
      </c>
      <c r="B2239" s="76" t="s">
        <v>211</v>
      </c>
      <c r="C2239" s="77" t="s">
        <v>232</v>
      </c>
      <c r="D2239" s="77" t="s">
        <v>181</v>
      </c>
      <c r="E2239" s="73" t="str">
        <f>VLOOKUP(D2239,clientes!$C$3:$D$60,2,FALSE)</f>
        <v>COAMO</v>
      </c>
      <c r="F2239" s="77" t="s">
        <v>123</v>
      </c>
      <c r="G2239" s="73" t="str">
        <f>VLOOKUP(F2239,'[2]Lista de Produtos CLASSIFICAÇÃO'!$E$103:$F$114,2,FALSE)</f>
        <v>Aquecidos</v>
      </c>
      <c r="H2239" s="78">
        <v>2008</v>
      </c>
    </row>
    <row r="2240" spans="1:8" x14ac:dyDescent="0.25">
      <c r="A2240" s="71">
        <v>2026</v>
      </c>
      <c r="B2240" s="72" t="s">
        <v>212</v>
      </c>
      <c r="C2240" s="73" t="s">
        <v>232</v>
      </c>
      <c r="D2240" s="73" t="s">
        <v>181</v>
      </c>
      <c r="E2240" s="73" t="str">
        <f>VLOOKUP(D2240,clientes!$C$3:$D$60,2,FALSE)</f>
        <v>COAMO</v>
      </c>
      <c r="F2240" s="73" t="s">
        <v>123</v>
      </c>
      <c r="G2240" s="73" t="str">
        <f>VLOOKUP(F2240,'[2]Lista de Produtos CLASSIFICAÇÃO'!$E$103:$F$114,2,FALSE)</f>
        <v>Aquecidos</v>
      </c>
      <c r="H2240" s="74">
        <v>2008</v>
      </c>
    </row>
    <row r="2241" spans="1:8" x14ac:dyDescent="0.25">
      <c r="A2241" s="75">
        <v>2026</v>
      </c>
      <c r="B2241" s="76" t="s">
        <v>213</v>
      </c>
      <c r="C2241" s="77" t="s">
        <v>232</v>
      </c>
      <c r="D2241" s="77" t="s">
        <v>181</v>
      </c>
      <c r="E2241" s="73" t="str">
        <f>VLOOKUP(D2241,clientes!$C$3:$D$60,2,FALSE)</f>
        <v>COAMO</v>
      </c>
      <c r="F2241" s="77" t="s">
        <v>123</v>
      </c>
      <c r="G2241" s="73" t="str">
        <f>VLOOKUP(F2241,'[2]Lista de Produtos CLASSIFICAÇÃO'!$E$103:$F$114,2,FALSE)</f>
        <v>Aquecidos</v>
      </c>
      <c r="H2241" s="78">
        <v>2008</v>
      </c>
    </row>
    <row r="2242" spans="1:8" x14ac:dyDescent="0.25">
      <c r="A2242" s="71">
        <v>2026</v>
      </c>
      <c r="B2242" s="72" t="s">
        <v>214</v>
      </c>
      <c r="C2242" s="73" t="s">
        <v>232</v>
      </c>
      <c r="D2242" s="73" t="s">
        <v>181</v>
      </c>
      <c r="E2242" s="73" t="str">
        <f>VLOOKUP(D2242,clientes!$C$3:$D$60,2,FALSE)</f>
        <v>COAMO</v>
      </c>
      <c r="F2242" s="73" t="s">
        <v>123</v>
      </c>
      <c r="G2242" s="73" t="str">
        <f>VLOOKUP(F2242,'[2]Lista de Produtos CLASSIFICAÇÃO'!$E$103:$F$114,2,FALSE)</f>
        <v>Aquecidos</v>
      </c>
      <c r="H2242" s="74">
        <v>2008</v>
      </c>
    </row>
    <row r="2243" spans="1:8" x14ac:dyDescent="0.25">
      <c r="A2243" s="75">
        <v>2026</v>
      </c>
      <c r="B2243" s="76" t="s">
        <v>215</v>
      </c>
      <c r="C2243" s="77" t="s">
        <v>232</v>
      </c>
      <c r="D2243" s="77" t="s">
        <v>181</v>
      </c>
      <c r="E2243" s="73" t="str">
        <f>VLOOKUP(D2243,clientes!$C$3:$D$60,2,FALSE)</f>
        <v>COAMO</v>
      </c>
      <c r="F2243" s="77" t="s">
        <v>123</v>
      </c>
      <c r="G2243" s="73" t="str">
        <f>VLOOKUP(F2243,'[2]Lista de Produtos CLASSIFICAÇÃO'!$E$103:$F$114,2,FALSE)</f>
        <v>Aquecidos</v>
      </c>
      <c r="H2243" s="78">
        <v>2008</v>
      </c>
    </row>
    <row r="2244" spans="1:8" x14ac:dyDescent="0.25">
      <c r="A2244" s="71">
        <v>2026</v>
      </c>
      <c r="B2244" s="72" t="s">
        <v>230</v>
      </c>
      <c r="C2244" s="73" t="s">
        <v>232</v>
      </c>
      <c r="D2244" s="73" t="s">
        <v>181</v>
      </c>
      <c r="E2244" s="73" t="str">
        <f>VLOOKUP(D2244,clientes!$C$3:$D$60,2,FALSE)</f>
        <v>COAMO</v>
      </c>
      <c r="F2244" s="73" t="s">
        <v>123</v>
      </c>
      <c r="G2244" s="73" t="str">
        <f>VLOOKUP(F2244,'[2]Lista de Produtos CLASSIFICAÇÃO'!$E$103:$F$114,2,FALSE)</f>
        <v>Aquecidos</v>
      </c>
      <c r="H2244" s="74">
        <v>2008</v>
      </c>
    </row>
    <row r="2245" spans="1:8" x14ac:dyDescent="0.25">
      <c r="A2245" s="75">
        <v>2026</v>
      </c>
      <c r="B2245" s="76" t="s">
        <v>231</v>
      </c>
      <c r="C2245" s="77" t="s">
        <v>232</v>
      </c>
      <c r="D2245" s="77" t="s">
        <v>181</v>
      </c>
      <c r="E2245" s="73" t="str">
        <f>VLOOKUP(D2245,clientes!$C$3:$D$60,2,FALSE)</f>
        <v>COAMO</v>
      </c>
      <c r="F2245" s="77" t="s">
        <v>123</v>
      </c>
      <c r="G2245" s="73" t="str">
        <f>VLOOKUP(F2245,'[2]Lista de Produtos CLASSIFICAÇÃO'!$E$103:$F$114,2,FALSE)</f>
        <v>Aquecidos</v>
      </c>
      <c r="H2245" s="78">
        <v>2008</v>
      </c>
    </row>
    <row r="2246" spans="1:8" x14ac:dyDescent="0.25">
      <c r="A2246" s="71">
        <v>2026</v>
      </c>
      <c r="B2246" s="72" t="s">
        <v>226</v>
      </c>
      <c r="C2246" s="73" t="s">
        <v>233</v>
      </c>
      <c r="D2246" s="73" t="s">
        <v>236</v>
      </c>
      <c r="E2246" s="73" t="str">
        <f>VLOOKUP(D2246,clientes!$C$3:$D$60,2,FALSE)</f>
        <v>ETANOL OUTROS</v>
      </c>
      <c r="F2246" s="73" t="s">
        <v>121</v>
      </c>
      <c r="G2246" s="73" t="str">
        <f>VLOOKUP(F2246,'[2]Lista de Produtos CLASSIFICAÇÃO'!$E$103:$F$114,2,FALSE)</f>
        <v>Biocombustíveis</v>
      </c>
      <c r="H2246" s="74">
        <v>10000</v>
      </c>
    </row>
    <row r="2247" spans="1:8" x14ac:dyDescent="0.25">
      <c r="A2247" s="75">
        <v>2026</v>
      </c>
      <c r="B2247" s="76" t="s">
        <v>227</v>
      </c>
      <c r="C2247" s="77" t="s">
        <v>233</v>
      </c>
      <c r="D2247" s="77" t="s">
        <v>236</v>
      </c>
      <c r="E2247" s="73" t="str">
        <f>VLOOKUP(D2247,clientes!$C$3:$D$60,2,FALSE)</f>
        <v>ETANOL OUTROS</v>
      </c>
      <c r="F2247" s="77" t="s">
        <v>121</v>
      </c>
      <c r="G2247" s="73" t="str">
        <f>VLOOKUP(F2247,'[2]Lista de Produtos CLASSIFICAÇÃO'!$E$103:$F$114,2,FALSE)</f>
        <v>Biocombustíveis</v>
      </c>
      <c r="H2247" s="78">
        <v>10000</v>
      </c>
    </row>
    <row r="2248" spans="1:8" x14ac:dyDescent="0.25">
      <c r="A2248" s="71">
        <v>2026</v>
      </c>
      <c r="B2248" s="72" t="s">
        <v>228</v>
      </c>
      <c r="C2248" s="73" t="s">
        <v>233</v>
      </c>
      <c r="D2248" s="73" t="s">
        <v>236</v>
      </c>
      <c r="E2248" s="73" t="str">
        <f>VLOOKUP(D2248,clientes!$C$3:$D$60,2,FALSE)</f>
        <v>ETANOL OUTROS</v>
      </c>
      <c r="F2248" s="73" t="s">
        <v>121</v>
      </c>
      <c r="G2248" s="73" t="str">
        <f>VLOOKUP(F2248,'[2]Lista de Produtos CLASSIFICAÇÃO'!$E$103:$F$114,2,FALSE)</f>
        <v>Biocombustíveis</v>
      </c>
      <c r="H2248" s="74">
        <v>10000</v>
      </c>
    </row>
    <row r="2249" spans="1:8" x14ac:dyDescent="0.25">
      <c r="A2249" s="75">
        <v>2026</v>
      </c>
      <c r="B2249" s="76" t="s">
        <v>229</v>
      </c>
      <c r="C2249" s="77" t="s">
        <v>233</v>
      </c>
      <c r="D2249" s="77" t="s">
        <v>236</v>
      </c>
      <c r="E2249" s="73" t="str">
        <f>VLOOKUP(D2249,clientes!$C$3:$D$60,2,FALSE)</f>
        <v>ETANOL OUTROS</v>
      </c>
      <c r="F2249" s="77" t="s">
        <v>121</v>
      </c>
      <c r="G2249" s="73" t="str">
        <f>VLOOKUP(F2249,'[2]Lista de Produtos CLASSIFICAÇÃO'!$E$103:$F$114,2,FALSE)</f>
        <v>Biocombustíveis</v>
      </c>
      <c r="H2249" s="78">
        <v>10000</v>
      </c>
    </row>
    <row r="2250" spans="1:8" x14ac:dyDescent="0.25">
      <c r="A2250" s="71">
        <v>2026</v>
      </c>
      <c r="B2250" s="72" t="s">
        <v>210</v>
      </c>
      <c r="C2250" s="73" t="s">
        <v>233</v>
      </c>
      <c r="D2250" s="73" t="s">
        <v>236</v>
      </c>
      <c r="E2250" s="73" t="str">
        <f>VLOOKUP(D2250,clientes!$C$3:$D$60,2,FALSE)</f>
        <v>ETANOL OUTROS</v>
      </c>
      <c r="F2250" s="73" t="s">
        <v>121</v>
      </c>
      <c r="G2250" s="73" t="str">
        <f>VLOOKUP(F2250,'[2]Lista de Produtos CLASSIFICAÇÃO'!$E$103:$F$114,2,FALSE)</f>
        <v>Biocombustíveis</v>
      </c>
      <c r="H2250" s="74">
        <v>10000</v>
      </c>
    </row>
    <row r="2251" spans="1:8" x14ac:dyDescent="0.25">
      <c r="A2251" s="75">
        <v>2026</v>
      </c>
      <c r="B2251" s="76" t="s">
        <v>211</v>
      </c>
      <c r="C2251" s="77" t="s">
        <v>233</v>
      </c>
      <c r="D2251" s="77" t="s">
        <v>236</v>
      </c>
      <c r="E2251" s="73" t="str">
        <f>VLOOKUP(D2251,clientes!$C$3:$D$60,2,FALSE)</f>
        <v>ETANOL OUTROS</v>
      </c>
      <c r="F2251" s="77" t="s">
        <v>121</v>
      </c>
      <c r="G2251" s="73" t="str">
        <f>VLOOKUP(F2251,'[2]Lista de Produtos CLASSIFICAÇÃO'!$E$103:$F$114,2,FALSE)</f>
        <v>Biocombustíveis</v>
      </c>
      <c r="H2251" s="78">
        <v>10000</v>
      </c>
    </row>
    <row r="2252" spans="1:8" x14ac:dyDescent="0.25">
      <c r="A2252" s="71">
        <v>2026</v>
      </c>
      <c r="B2252" s="72" t="s">
        <v>212</v>
      </c>
      <c r="C2252" s="73" t="s">
        <v>233</v>
      </c>
      <c r="D2252" s="73" t="s">
        <v>236</v>
      </c>
      <c r="E2252" s="73" t="str">
        <f>VLOOKUP(D2252,clientes!$C$3:$D$60,2,FALSE)</f>
        <v>ETANOL OUTROS</v>
      </c>
      <c r="F2252" s="73" t="s">
        <v>121</v>
      </c>
      <c r="G2252" s="73" t="str">
        <f>VLOOKUP(F2252,'[2]Lista de Produtos CLASSIFICAÇÃO'!$E$103:$F$114,2,FALSE)</f>
        <v>Biocombustíveis</v>
      </c>
      <c r="H2252" s="74">
        <v>10000</v>
      </c>
    </row>
    <row r="2253" spans="1:8" x14ac:dyDescent="0.25">
      <c r="A2253" s="75">
        <v>2026</v>
      </c>
      <c r="B2253" s="76" t="s">
        <v>213</v>
      </c>
      <c r="C2253" s="77" t="s">
        <v>233</v>
      </c>
      <c r="D2253" s="77" t="s">
        <v>236</v>
      </c>
      <c r="E2253" s="73" t="str">
        <f>VLOOKUP(D2253,clientes!$C$3:$D$60,2,FALSE)</f>
        <v>ETANOL OUTROS</v>
      </c>
      <c r="F2253" s="77" t="s">
        <v>121</v>
      </c>
      <c r="G2253" s="73" t="str">
        <f>VLOOKUP(F2253,'[2]Lista de Produtos CLASSIFICAÇÃO'!$E$103:$F$114,2,FALSE)</f>
        <v>Biocombustíveis</v>
      </c>
      <c r="H2253" s="78">
        <v>10000</v>
      </c>
    </row>
    <row r="2254" spans="1:8" x14ac:dyDescent="0.25">
      <c r="A2254" s="71">
        <v>2026</v>
      </c>
      <c r="B2254" s="72" t="s">
        <v>214</v>
      </c>
      <c r="C2254" s="73" t="s">
        <v>233</v>
      </c>
      <c r="D2254" s="73" t="s">
        <v>236</v>
      </c>
      <c r="E2254" s="73" t="str">
        <f>VLOOKUP(D2254,clientes!$C$3:$D$60,2,FALSE)</f>
        <v>ETANOL OUTROS</v>
      </c>
      <c r="F2254" s="73" t="s">
        <v>121</v>
      </c>
      <c r="G2254" s="73" t="str">
        <f>VLOOKUP(F2254,'[2]Lista de Produtos CLASSIFICAÇÃO'!$E$103:$F$114,2,FALSE)</f>
        <v>Biocombustíveis</v>
      </c>
      <c r="H2254" s="74">
        <v>10000</v>
      </c>
    </row>
    <row r="2255" spans="1:8" x14ac:dyDescent="0.25">
      <c r="A2255" s="75">
        <v>2026</v>
      </c>
      <c r="B2255" s="76" t="s">
        <v>215</v>
      </c>
      <c r="C2255" s="77" t="s">
        <v>233</v>
      </c>
      <c r="D2255" s="77" t="s">
        <v>236</v>
      </c>
      <c r="E2255" s="73" t="str">
        <f>VLOOKUP(D2255,clientes!$C$3:$D$60,2,FALSE)</f>
        <v>ETANOL OUTROS</v>
      </c>
      <c r="F2255" s="77" t="s">
        <v>121</v>
      </c>
      <c r="G2255" s="73" t="str">
        <f>VLOOKUP(F2255,'[2]Lista de Produtos CLASSIFICAÇÃO'!$E$103:$F$114,2,FALSE)</f>
        <v>Biocombustíveis</v>
      </c>
      <c r="H2255" s="78">
        <v>10000</v>
      </c>
    </row>
    <row r="2256" spans="1:8" x14ac:dyDescent="0.25">
      <c r="A2256" s="71">
        <v>2026</v>
      </c>
      <c r="B2256" s="72" t="s">
        <v>230</v>
      </c>
      <c r="C2256" s="73" t="s">
        <v>233</v>
      </c>
      <c r="D2256" s="73" t="s">
        <v>236</v>
      </c>
      <c r="E2256" s="73" t="str">
        <f>VLOOKUP(D2256,clientes!$C$3:$D$60,2,FALSE)</f>
        <v>ETANOL OUTROS</v>
      </c>
      <c r="F2256" s="73" t="s">
        <v>121</v>
      </c>
      <c r="G2256" s="73" t="str">
        <f>VLOOKUP(F2256,'[2]Lista de Produtos CLASSIFICAÇÃO'!$E$103:$F$114,2,FALSE)</f>
        <v>Biocombustíveis</v>
      </c>
      <c r="H2256" s="74">
        <v>10000</v>
      </c>
    </row>
    <row r="2257" spans="1:8" x14ac:dyDescent="0.25">
      <c r="A2257" s="75">
        <v>2026</v>
      </c>
      <c r="B2257" s="76" t="s">
        <v>231</v>
      </c>
      <c r="C2257" s="77" t="s">
        <v>233</v>
      </c>
      <c r="D2257" s="77" t="s">
        <v>236</v>
      </c>
      <c r="E2257" s="73" t="str">
        <f>VLOOKUP(D2257,clientes!$C$3:$D$60,2,FALSE)</f>
        <v>ETANOL OUTROS</v>
      </c>
      <c r="F2257" s="77" t="s">
        <v>121</v>
      </c>
      <c r="G2257" s="73" t="str">
        <f>VLOOKUP(F2257,'[2]Lista de Produtos CLASSIFICAÇÃO'!$E$103:$F$114,2,FALSE)</f>
        <v>Biocombustíveis</v>
      </c>
      <c r="H2257" s="78">
        <v>10000</v>
      </c>
    </row>
    <row r="2258" spans="1:8" x14ac:dyDescent="0.25">
      <c r="A2258" s="71">
        <v>2026</v>
      </c>
      <c r="B2258" s="72" t="s">
        <v>226</v>
      </c>
      <c r="C2258" s="73" t="s">
        <v>225</v>
      </c>
      <c r="D2258" s="73" t="s">
        <v>172</v>
      </c>
      <c r="E2258" s="73" t="str">
        <f>VLOOKUP(D2258,clientes!$C$3:$D$60,2,FALSE)</f>
        <v>EVONIK</v>
      </c>
      <c r="F2258" s="73" t="s">
        <v>124</v>
      </c>
      <c r="G2258" s="73" t="str">
        <f>VLOOKUP(F2258,'[2]Lista de Produtos CLASSIFICAÇÃO'!$E$103:$F$114,2,FALSE)</f>
        <v>Outros</v>
      </c>
      <c r="H2258" s="74">
        <v>4150</v>
      </c>
    </row>
    <row r="2259" spans="1:8" x14ac:dyDescent="0.25">
      <c r="A2259" s="75">
        <v>2026</v>
      </c>
      <c r="B2259" s="76" t="s">
        <v>227</v>
      </c>
      <c r="C2259" s="77" t="s">
        <v>225</v>
      </c>
      <c r="D2259" s="77" t="s">
        <v>172</v>
      </c>
      <c r="E2259" s="73" t="str">
        <f>VLOOKUP(D2259,clientes!$C$3:$D$60,2,FALSE)</f>
        <v>EVONIK</v>
      </c>
      <c r="F2259" s="77" t="s">
        <v>124</v>
      </c>
      <c r="G2259" s="73" t="str">
        <f>VLOOKUP(F2259,'[2]Lista de Produtos CLASSIFICAÇÃO'!$E$103:$F$114,2,FALSE)</f>
        <v>Outros</v>
      </c>
      <c r="H2259" s="78">
        <v>4150</v>
      </c>
    </row>
    <row r="2260" spans="1:8" x14ac:dyDescent="0.25">
      <c r="A2260" s="71">
        <v>2026</v>
      </c>
      <c r="B2260" s="72" t="s">
        <v>228</v>
      </c>
      <c r="C2260" s="73" t="s">
        <v>225</v>
      </c>
      <c r="D2260" s="73" t="s">
        <v>172</v>
      </c>
      <c r="E2260" s="73" t="str">
        <f>VLOOKUP(D2260,clientes!$C$3:$D$60,2,FALSE)</f>
        <v>EVONIK</v>
      </c>
      <c r="F2260" s="73" t="s">
        <v>124</v>
      </c>
      <c r="G2260" s="73" t="str">
        <f>VLOOKUP(F2260,'[2]Lista de Produtos CLASSIFICAÇÃO'!$E$103:$F$114,2,FALSE)</f>
        <v>Outros</v>
      </c>
      <c r="H2260" s="74">
        <v>4150</v>
      </c>
    </row>
    <row r="2261" spans="1:8" x14ac:dyDescent="0.25">
      <c r="A2261" s="75">
        <v>2026</v>
      </c>
      <c r="B2261" s="76" t="s">
        <v>229</v>
      </c>
      <c r="C2261" s="77" t="s">
        <v>225</v>
      </c>
      <c r="D2261" s="77" t="s">
        <v>172</v>
      </c>
      <c r="E2261" s="73" t="str">
        <f>VLOOKUP(D2261,clientes!$C$3:$D$60,2,FALSE)</f>
        <v>EVONIK</v>
      </c>
      <c r="F2261" s="77" t="s">
        <v>124</v>
      </c>
      <c r="G2261" s="73" t="str">
        <f>VLOOKUP(F2261,'[2]Lista de Produtos CLASSIFICAÇÃO'!$E$103:$F$114,2,FALSE)</f>
        <v>Outros</v>
      </c>
      <c r="H2261" s="78">
        <v>4150</v>
      </c>
    </row>
    <row r="2262" spans="1:8" x14ac:dyDescent="0.25">
      <c r="A2262" s="71">
        <v>2026</v>
      </c>
      <c r="B2262" s="72" t="s">
        <v>210</v>
      </c>
      <c r="C2262" s="73" t="s">
        <v>225</v>
      </c>
      <c r="D2262" s="73" t="s">
        <v>172</v>
      </c>
      <c r="E2262" s="73" t="str">
        <f>VLOOKUP(D2262,clientes!$C$3:$D$60,2,FALSE)</f>
        <v>EVONIK</v>
      </c>
      <c r="F2262" s="73" t="s">
        <v>124</v>
      </c>
      <c r="G2262" s="73" t="str">
        <f>VLOOKUP(F2262,'[2]Lista de Produtos CLASSIFICAÇÃO'!$E$103:$F$114,2,FALSE)</f>
        <v>Outros</v>
      </c>
      <c r="H2262" s="74">
        <v>4150</v>
      </c>
    </row>
    <row r="2263" spans="1:8" x14ac:dyDescent="0.25">
      <c r="A2263" s="75">
        <v>2026</v>
      </c>
      <c r="B2263" s="76" t="s">
        <v>211</v>
      </c>
      <c r="C2263" s="77" t="s">
        <v>225</v>
      </c>
      <c r="D2263" s="77" t="s">
        <v>172</v>
      </c>
      <c r="E2263" s="73" t="str">
        <f>VLOOKUP(D2263,clientes!$C$3:$D$60,2,FALSE)</f>
        <v>EVONIK</v>
      </c>
      <c r="F2263" s="77" t="s">
        <v>124</v>
      </c>
      <c r="G2263" s="73" t="str">
        <f>VLOOKUP(F2263,'[2]Lista de Produtos CLASSIFICAÇÃO'!$E$103:$F$114,2,FALSE)</f>
        <v>Outros</v>
      </c>
      <c r="H2263" s="78">
        <v>4150</v>
      </c>
    </row>
    <row r="2264" spans="1:8" x14ac:dyDescent="0.25">
      <c r="A2264" s="71">
        <v>2026</v>
      </c>
      <c r="B2264" s="72" t="s">
        <v>212</v>
      </c>
      <c r="C2264" s="73" t="s">
        <v>225</v>
      </c>
      <c r="D2264" s="73" t="s">
        <v>172</v>
      </c>
      <c r="E2264" s="73" t="str">
        <f>VLOOKUP(D2264,clientes!$C$3:$D$60,2,FALSE)</f>
        <v>EVONIK</v>
      </c>
      <c r="F2264" s="73" t="s">
        <v>124</v>
      </c>
      <c r="G2264" s="73" t="str">
        <f>VLOOKUP(F2264,'[2]Lista de Produtos CLASSIFICAÇÃO'!$E$103:$F$114,2,FALSE)</f>
        <v>Outros</v>
      </c>
      <c r="H2264" s="74">
        <v>4150</v>
      </c>
    </row>
    <row r="2265" spans="1:8" x14ac:dyDescent="0.25">
      <c r="A2265" s="75">
        <v>2026</v>
      </c>
      <c r="B2265" s="76" t="s">
        <v>213</v>
      </c>
      <c r="C2265" s="77" t="s">
        <v>225</v>
      </c>
      <c r="D2265" s="77" t="s">
        <v>172</v>
      </c>
      <c r="E2265" s="73" t="str">
        <f>VLOOKUP(D2265,clientes!$C$3:$D$60,2,FALSE)</f>
        <v>EVONIK</v>
      </c>
      <c r="F2265" s="77" t="s">
        <v>124</v>
      </c>
      <c r="G2265" s="73" t="str">
        <f>VLOOKUP(F2265,'[2]Lista de Produtos CLASSIFICAÇÃO'!$E$103:$F$114,2,FALSE)</f>
        <v>Outros</v>
      </c>
      <c r="H2265" s="78">
        <v>4150</v>
      </c>
    </row>
    <row r="2266" spans="1:8" x14ac:dyDescent="0.25">
      <c r="A2266" s="71">
        <v>2026</v>
      </c>
      <c r="B2266" s="72" t="s">
        <v>214</v>
      </c>
      <c r="C2266" s="73" t="s">
        <v>225</v>
      </c>
      <c r="D2266" s="73" t="s">
        <v>172</v>
      </c>
      <c r="E2266" s="73" t="str">
        <f>VLOOKUP(D2266,clientes!$C$3:$D$60,2,FALSE)</f>
        <v>EVONIK</v>
      </c>
      <c r="F2266" s="73" t="s">
        <v>124</v>
      </c>
      <c r="G2266" s="73" t="str">
        <f>VLOOKUP(F2266,'[2]Lista de Produtos CLASSIFICAÇÃO'!$E$103:$F$114,2,FALSE)</f>
        <v>Outros</v>
      </c>
      <c r="H2266" s="74">
        <v>4150</v>
      </c>
    </row>
    <row r="2267" spans="1:8" x14ac:dyDescent="0.25">
      <c r="A2267" s="75">
        <v>2026</v>
      </c>
      <c r="B2267" s="76" t="s">
        <v>215</v>
      </c>
      <c r="C2267" s="77" t="s">
        <v>225</v>
      </c>
      <c r="D2267" s="77" t="s">
        <v>172</v>
      </c>
      <c r="E2267" s="73" t="str">
        <f>VLOOKUP(D2267,clientes!$C$3:$D$60,2,FALSE)</f>
        <v>EVONIK</v>
      </c>
      <c r="F2267" s="77" t="s">
        <v>124</v>
      </c>
      <c r="G2267" s="73" t="str">
        <f>VLOOKUP(F2267,'[2]Lista de Produtos CLASSIFICAÇÃO'!$E$103:$F$114,2,FALSE)</f>
        <v>Outros</v>
      </c>
      <c r="H2267" s="78">
        <v>4150</v>
      </c>
    </row>
    <row r="2268" spans="1:8" x14ac:dyDescent="0.25">
      <c r="A2268" s="71">
        <v>2026</v>
      </c>
      <c r="B2268" s="72" t="s">
        <v>230</v>
      </c>
      <c r="C2268" s="73" t="s">
        <v>225</v>
      </c>
      <c r="D2268" s="73" t="s">
        <v>172</v>
      </c>
      <c r="E2268" s="73" t="str">
        <f>VLOOKUP(D2268,clientes!$C$3:$D$60,2,FALSE)</f>
        <v>EVONIK</v>
      </c>
      <c r="F2268" s="73" t="s">
        <v>124</v>
      </c>
      <c r="G2268" s="73" t="str">
        <f>VLOOKUP(F2268,'[2]Lista de Produtos CLASSIFICAÇÃO'!$E$103:$F$114,2,FALSE)</f>
        <v>Outros</v>
      </c>
      <c r="H2268" s="74">
        <v>4150</v>
      </c>
    </row>
    <row r="2269" spans="1:8" x14ac:dyDescent="0.25">
      <c r="A2269" s="75">
        <v>2026</v>
      </c>
      <c r="B2269" s="76" t="s">
        <v>231</v>
      </c>
      <c r="C2269" s="77" t="s">
        <v>225</v>
      </c>
      <c r="D2269" s="77" t="s">
        <v>172</v>
      </c>
      <c r="E2269" s="73" t="str">
        <f>VLOOKUP(D2269,clientes!$C$3:$D$60,2,FALSE)</f>
        <v>EVONIK</v>
      </c>
      <c r="F2269" s="77" t="s">
        <v>124</v>
      </c>
      <c r="G2269" s="73" t="str">
        <f>VLOOKUP(F2269,'[2]Lista de Produtos CLASSIFICAÇÃO'!$E$103:$F$114,2,FALSE)</f>
        <v>Outros</v>
      </c>
      <c r="H2269" s="78">
        <v>4150</v>
      </c>
    </row>
    <row r="2270" spans="1:8" x14ac:dyDescent="0.25">
      <c r="A2270" s="71">
        <v>2026</v>
      </c>
      <c r="B2270" s="72" t="s">
        <v>226</v>
      </c>
      <c r="C2270" s="73" t="s">
        <v>234</v>
      </c>
      <c r="D2270" s="73" t="s">
        <v>240</v>
      </c>
      <c r="E2270" s="73" t="str">
        <f>VLOOKUP(D2270,clientes!$C$3:$D$60,2,FALSE)</f>
        <v>FS</v>
      </c>
      <c r="F2270" s="73" t="s">
        <v>121</v>
      </c>
      <c r="G2270" s="73" t="str">
        <f>VLOOKUP(F2270,'[2]Lista de Produtos CLASSIFICAÇÃO'!$E$103:$F$114,2,FALSE)</f>
        <v>Biocombustíveis</v>
      </c>
      <c r="H2270" s="74">
        <v>11250</v>
      </c>
    </row>
    <row r="2271" spans="1:8" x14ac:dyDescent="0.25">
      <c r="A2271" s="75">
        <v>2026</v>
      </c>
      <c r="B2271" s="76" t="s">
        <v>226</v>
      </c>
      <c r="C2271" s="77" t="s">
        <v>296</v>
      </c>
      <c r="D2271" s="77" t="s">
        <v>240</v>
      </c>
      <c r="E2271" s="73" t="str">
        <f>VLOOKUP(D2271,clientes!$C$3:$D$60,2,FALSE)</f>
        <v>FS</v>
      </c>
      <c r="F2271" s="77" t="s">
        <v>121</v>
      </c>
      <c r="G2271" s="73" t="str">
        <f>VLOOKUP(F2271,'[2]Lista de Produtos CLASSIFICAÇÃO'!$E$103:$F$114,2,FALSE)</f>
        <v>Biocombustíveis</v>
      </c>
      <c r="H2271" s="78">
        <v>0</v>
      </c>
    </row>
    <row r="2272" spans="1:8" x14ac:dyDescent="0.25">
      <c r="A2272" s="71">
        <v>2026</v>
      </c>
      <c r="B2272" s="72" t="s">
        <v>227</v>
      </c>
      <c r="C2272" s="73" t="s">
        <v>234</v>
      </c>
      <c r="D2272" s="73" t="s">
        <v>240</v>
      </c>
      <c r="E2272" s="73" t="str">
        <f>VLOOKUP(D2272,clientes!$C$3:$D$60,2,FALSE)</f>
        <v>FS</v>
      </c>
      <c r="F2272" s="73" t="s">
        <v>121</v>
      </c>
      <c r="G2272" s="73" t="str">
        <f>VLOOKUP(F2272,'[2]Lista de Produtos CLASSIFICAÇÃO'!$E$103:$F$114,2,FALSE)</f>
        <v>Biocombustíveis</v>
      </c>
      <c r="H2272" s="74">
        <v>11250</v>
      </c>
    </row>
    <row r="2273" spans="1:8" x14ac:dyDescent="0.25">
      <c r="A2273" s="75">
        <v>2026</v>
      </c>
      <c r="B2273" s="76" t="s">
        <v>227</v>
      </c>
      <c r="C2273" s="77" t="s">
        <v>296</v>
      </c>
      <c r="D2273" s="77" t="s">
        <v>240</v>
      </c>
      <c r="E2273" s="73" t="str">
        <f>VLOOKUP(D2273,clientes!$C$3:$D$60,2,FALSE)</f>
        <v>FS</v>
      </c>
      <c r="F2273" s="77" t="s">
        <v>121</v>
      </c>
      <c r="G2273" s="73" t="str">
        <f>VLOOKUP(F2273,'[2]Lista de Produtos CLASSIFICAÇÃO'!$E$103:$F$114,2,FALSE)</f>
        <v>Biocombustíveis</v>
      </c>
      <c r="H2273" s="78">
        <v>0</v>
      </c>
    </row>
    <row r="2274" spans="1:8" x14ac:dyDescent="0.25">
      <c r="A2274" s="71">
        <v>2026</v>
      </c>
      <c r="B2274" s="72" t="s">
        <v>228</v>
      </c>
      <c r="C2274" s="73" t="s">
        <v>234</v>
      </c>
      <c r="D2274" s="73" t="s">
        <v>240</v>
      </c>
      <c r="E2274" s="73" t="str">
        <f>VLOOKUP(D2274,clientes!$C$3:$D$60,2,FALSE)</f>
        <v>FS</v>
      </c>
      <c r="F2274" s="73" t="s">
        <v>121</v>
      </c>
      <c r="G2274" s="73" t="str">
        <f>VLOOKUP(F2274,'[2]Lista de Produtos CLASSIFICAÇÃO'!$E$103:$F$114,2,FALSE)</f>
        <v>Biocombustíveis</v>
      </c>
      <c r="H2274" s="74">
        <v>11250</v>
      </c>
    </row>
    <row r="2275" spans="1:8" x14ac:dyDescent="0.25">
      <c r="A2275" s="75">
        <v>2026</v>
      </c>
      <c r="B2275" s="76" t="s">
        <v>228</v>
      </c>
      <c r="C2275" s="77" t="s">
        <v>296</v>
      </c>
      <c r="D2275" s="77" t="s">
        <v>240</v>
      </c>
      <c r="E2275" s="73" t="str">
        <f>VLOOKUP(D2275,clientes!$C$3:$D$60,2,FALSE)</f>
        <v>FS</v>
      </c>
      <c r="F2275" s="77" t="s">
        <v>121</v>
      </c>
      <c r="G2275" s="73" t="str">
        <f>VLOOKUP(F2275,'[2]Lista de Produtos CLASSIFICAÇÃO'!$E$103:$F$114,2,FALSE)</f>
        <v>Biocombustíveis</v>
      </c>
      <c r="H2275" s="78">
        <v>0</v>
      </c>
    </row>
    <row r="2276" spans="1:8" x14ac:dyDescent="0.25">
      <c r="A2276" s="71">
        <v>2026</v>
      </c>
      <c r="B2276" s="72" t="s">
        <v>229</v>
      </c>
      <c r="C2276" s="73" t="s">
        <v>234</v>
      </c>
      <c r="D2276" s="73" t="s">
        <v>240</v>
      </c>
      <c r="E2276" s="73" t="str">
        <f>VLOOKUP(D2276,clientes!$C$3:$D$60,2,FALSE)</f>
        <v>FS</v>
      </c>
      <c r="F2276" s="73" t="s">
        <v>121</v>
      </c>
      <c r="G2276" s="73" t="str">
        <f>VLOOKUP(F2276,'[2]Lista de Produtos CLASSIFICAÇÃO'!$E$103:$F$114,2,FALSE)</f>
        <v>Biocombustíveis</v>
      </c>
      <c r="H2276" s="74">
        <v>11250</v>
      </c>
    </row>
    <row r="2277" spans="1:8" x14ac:dyDescent="0.25">
      <c r="A2277" s="75">
        <v>2026</v>
      </c>
      <c r="B2277" s="76" t="s">
        <v>229</v>
      </c>
      <c r="C2277" s="77" t="s">
        <v>296</v>
      </c>
      <c r="D2277" s="77" t="s">
        <v>240</v>
      </c>
      <c r="E2277" s="73" t="str">
        <f>VLOOKUP(D2277,clientes!$C$3:$D$60,2,FALSE)</f>
        <v>FS</v>
      </c>
      <c r="F2277" s="77" t="s">
        <v>121</v>
      </c>
      <c r="G2277" s="73" t="str">
        <f>VLOOKUP(F2277,'[2]Lista de Produtos CLASSIFICAÇÃO'!$E$103:$F$114,2,FALSE)</f>
        <v>Biocombustíveis</v>
      </c>
      <c r="H2277" s="78">
        <v>0</v>
      </c>
    </row>
    <row r="2278" spans="1:8" x14ac:dyDescent="0.25">
      <c r="A2278" s="71">
        <v>2026</v>
      </c>
      <c r="B2278" s="72" t="s">
        <v>210</v>
      </c>
      <c r="C2278" s="73" t="s">
        <v>234</v>
      </c>
      <c r="D2278" s="73" t="s">
        <v>240</v>
      </c>
      <c r="E2278" s="73" t="str">
        <f>VLOOKUP(D2278,clientes!$C$3:$D$60,2,FALSE)</f>
        <v>FS</v>
      </c>
      <c r="F2278" s="73" t="s">
        <v>121</v>
      </c>
      <c r="G2278" s="73" t="str">
        <f>VLOOKUP(F2278,'[2]Lista de Produtos CLASSIFICAÇÃO'!$E$103:$F$114,2,FALSE)</f>
        <v>Biocombustíveis</v>
      </c>
      <c r="H2278" s="74">
        <v>11250</v>
      </c>
    </row>
    <row r="2279" spans="1:8" x14ac:dyDescent="0.25">
      <c r="A2279" s="75">
        <v>2026</v>
      </c>
      <c r="B2279" s="76" t="s">
        <v>210</v>
      </c>
      <c r="C2279" s="77" t="s">
        <v>296</v>
      </c>
      <c r="D2279" s="77" t="s">
        <v>240</v>
      </c>
      <c r="E2279" s="73" t="str">
        <f>VLOOKUP(D2279,clientes!$C$3:$D$60,2,FALSE)</f>
        <v>FS</v>
      </c>
      <c r="F2279" s="77" t="s">
        <v>121</v>
      </c>
      <c r="G2279" s="73" t="str">
        <f>VLOOKUP(F2279,'[2]Lista de Produtos CLASSIFICAÇÃO'!$E$103:$F$114,2,FALSE)</f>
        <v>Biocombustíveis</v>
      </c>
      <c r="H2279" s="78">
        <v>20000</v>
      </c>
    </row>
    <row r="2280" spans="1:8" x14ac:dyDescent="0.25">
      <c r="A2280" s="71">
        <v>2026</v>
      </c>
      <c r="B2280" s="72" t="s">
        <v>211</v>
      </c>
      <c r="C2280" s="73" t="s">
        <v>234</v>
      </c>
      <c r="D2280" s="73" t="s">
        <v>240</v>
      </c>
      <c r="E2280" s="73" t="str">
        <f>VLOOKUP(D2280,clientes!$C$3:$D$60,2,FALSE)</f>
        <v>FS</v>
      </c>
      <c r="F2280" s="73" t="s">
        <v>121</v>
      </c>
      <c r="G2280" s="73" t="str">
        <f>VLOOKUP(F2280,'[2]Lista de Produtos CLASSIFICAÇÃO'!$E$103:$F$114,2,FALSE)</f>
        <v>Biocombustíveis</v>
      </c>
      <c r="H2280" s="74">
        <v>11250</v>
      </c>
    </row>
    <row r="2281" spans="1:8" x14ac:dyDescent="0.25">
      <c r="A2281" s="75">
        <v>2026</v>
      </c>
      <c r="B2281" s="76" t="s">
        <v>211</v>
      </c>
      <c r="C2281" s="77" t="s">
        <v>296</v>
      </c>
      <c r="D2281" s="77" t="s">
        <v>240</v>
      </c>
      <c r="E2281" s="73" t="str">
        <f>VLOOKUP(D2281,clientes!$C$3:$D$60,2,FALSE)</f>
        <v>FS</v>
      </c>
      <c r="F2281" s="77" t="s">
        <v>121</v>
      </c>
      <c r="G2281" s="73" t="str">
        <f>VLOOKUP(F2281,'[2]Lista de Produtos CLASSIFICAÇÃO'!$E$103:$F$114,2,FALSE)</f>
        <v>Biocombustíveis</v>
      </c>
      <c r="H2281" s="78">
        <v>20000</v>
      </c>
    </row>
    <row r="2282" spans="1:8" x14ac:dyDescent="0.25">
      <c r="A2282" s="71">
        <v>2026</v>
      </c>
      <c r="B2282" s="72" t="s">
        <v>212</v>
      </c>
      <c r="C2282" s="73" t="s">
        <v>234</v>
      </c>
      <c r="D2282" s="73" t="s">
        <v>240</v>
      </c>
      <c r="E2282" s="73" t="str">
        <f>VLOOKUP(D2282,clientes!$C$3:$D$60,2,FALSE)</f>
        <v>FS</v>
      </c>
      <c r="F2282" s="73" t="s">
        <v>121</v>
      </c>
      <c r="G2282" s="73" t="str">
        <f>VLOOKUP(F2282,'[2]Lista de Produtos CLASSIFICAÇÃO'!$E$103:$F$114,2,FALSE)</f>
        <v>Biocombustíveis</v>
      </c>
      <c r="H2282" s="74">
        <v>11250</v>
      </c>
    </row>
    <row r="2283" spans="1:8" x14ac:dyDescent="0.25">
      <c r="A2283" s="75">
        <v>2026</v>
      </c>
      <c r="B2283" s="76" t="s">
        <v>212</v>
      </c>
      <c r="C2283" s="77" t="s">
        <v>296</v>
      </c>
      <c r="D2283" s="77" t="s">
        <v>240</v>
      </c>
      <c r="E2283" s="73" t="str">
        <f>VLOOKUP(D2283,clientes!$C$3:$D$60,2,FALSE)</f>
        <v>FS</v>
      </c>
      <c r="F2283" s="77" t="s">
        <v>121</v>
      </c>
      <c r="G2283" s="73" t="str">
        <f>VLOOKUP(F2283,'[2]Lista de Produtos CLASSIFICAÇÃO'!$E$103:$F$114,2,FALSE)</f>
        <v>Biocombustíveis</v>
      </c>
      <c r="H2283" s="78">
        <v>20000</v>
      </c>
    </row>
    <row r="2284" spans="1:8" x14ac:dyDescent="0.25">
      <c r="A2284" s="71">
        <v>2026</v>
      </c>
      <c r="B2284" s="72" t="s">
        <v>213</v>
      </c>
      <c r="C2284" s="73" t="s">
        <v>234</v>
      </c>
      <c r="D2284" s="73" t="s">
        <v>240</v>
      </c>
      <c r="E2284" s="73" t="str">
        <f>VLOOKUP(D2284,clientes!$C$3:$D$60,2,FALSE)</f>
        <v>FS</v>
      </c>
      <c r="F2284" s="73" t="s">
        <v>121</v>
      </c>
      <c r="G2284" s="73" t="str">
        <f>VLOOKUP(F2284,'[2]Lista de Produtos CLASSIFICAÇÃO'!$E$103:$F$114,2,FALSE)</f>
        <v>Biocombustíveis</v>
      </c>
      <c r="H2284" s="74">
        <v>11250</v>
      </c>
    </row>
    <row r="2285" spans="1:8" x14ac:dyDescent="0.25">
      <c r="A2285" s="75">
        <v>2026</v>
      </c>
      <c r="B2285" s="76" t="s">
        <v>213</v>
      </c>
      <c r="C2285" s="77" t="s">
        <v>296</v>
      </c>
      <c r="D2285" s="77" t="s">
        <v>240</v>
      </c>
      <c r="E2285" s="73" t="str">
        <f>VLOOKUP(D2285,clientes!$C$3:$D$60,2,FALSE)</f>
        <v>FS</v>
      </c>
      <c r="F2285" s="77" t="s">
        <v>121</v>
      </c>
      <c r="G2285" s="73" t="str">
        <f>VLOOKUP(F2285,'[2]Lista de Produtos CLASSIFICAÇÃO'!$E$103:$F$114,2,FALSE)</f>
        <v>Biocombustíveis</v>
      </c>
      <c r="H2285" s="78">
        <v>20000</v>
      </c>
    </row>
    <row r="2286" spans="1:8" x14ac:dyDescent="0.25">
      <c r="A2286" s="71">
        <v>2026</v>
      </c>
      <c r="B2286" s="72" t="s">
        <v>214</v>
      </c>
      <c r="C2286" s="73" t="s">
        <v>234</v>
      </c>
      <c r="D2286" s="73" t="s">
        <v>240</v>
      </c>
      <c r="E2286" s="73" t="str">
        <f>VLOOKUP(D2286,clientes!$C$3:$D$60,2,FALSE)</f>
        <v>FS</v>
      </c>
      <c r="F2286" s="73" t="s">
        <v>121</v>
      </c>
      <c r="G2286" s="73" t="str">
        <f>VLOOKUP(F2286,'[2]Lista de Produtos CLASSIFICAÇÃO'!$E$103:$F$114,2,FALSE)</f>
        <v>Biocombustíveis</v>
      </c>
      <c r="H2286" s="74">
        <v>11250</v>
      </c>
    </row>
    <row r="2287" spans="1:8" x14ac:dyDescent="0.25">
      <c r="A2287" s="75">
        <v>2026</v>
      </c>
      <c r="B2287" s="76" t="s">
        <v>214</v>
      </c>
      <c r="C2287" s="77" t="s">
        <v>296</v>
      </c>
      <c r="D2287" s="77" t="s">
        <v>240</v>
      </c>
      <c r="E2287" s="73" t="str">
        <f>VLOOKUP(D2287,clientes!$C$3:$D$60,2,FALSE)</f>
        <v>FS</v>
      </c>
      <c r="F2287" s="77" t="s">
        <v>121</v>
      </c>
      <c r="G2287" s="73" t="str">
        <f>VLOOKUP(F2287,'[2]Lista de Produtos CLASSIFICAÇÃO'!$E$103:$F$114,2,FALSE)</f>
        <v>Biocombustíveis</v>
      </c>
      <c r="H2287" s="78">
        <v>20000</v>
      </c>
    </row>
    <row r="2288" spans="1:8" x14ac:dyDescent="0.25">
      <c r="A2288" s="71">
        <v>2026</v>
      </c>
      <c r="B2288" s="72" t="s">
        <v>215</v>
      </c>
      <c r="C2288" s="73" t="s">
        <v>234</v>
      </c>
      <c r="D2288" s="73" t="s">
        <v>240</v>
      </c>
      <c r="E2288" s="73" t="str">
        <f>VLOOKUP(D2288,clientes!$C$3:$D$60,2,FALSE)</f>
        <v>FS</v>
      </c>
      <c r="F2288" s="73" t="s">
        <v>121</v>
      </c>
      <c r="G2288" s="73" t="str">
        <f>VLOOKUP(F2288,'[2]Lista de Produtos CLASSIFICAÇÃO'!$E$103:$F$114,2,FALSE)</f>
        <v>Biocombustíveis</v>
      </c>
      <c r="H2288" s="74">
        <v>11250</v>
      </c>
    </row>
    <row r="2289" spans="1:8" x14ac:dyDescent="0.25">
      <c r="A2289" s="75">
        <v>2026</v>
      </c>
      <c r="B2289" s="76" t="s">
        <v>215</v>
      </c>
      <c r="C2289" s="77" t="s">
        <v>296</v>
      </c>
      <c r="D2289" s="77" t="s">
        <v>240</v>
      </c>
      <c r="E2289" s="73" t="str">
        <f>VLOOKUP(D2289,clientes!$C$3:$D$60,2,FALSE)</f>
        <v>FS</v>
      </c>
      <c r="F2289" s="77" t="s">
        <v>121</v>
      </c>
      <c r="G2289" s="73" t="str">
        <f>VLOOKUP(F2289,'[2]Lista de Produtos CLASSIFICAÇÃO'!$E$103:$F$114,2,FALSE)</f>
        <v>Biocombustíveis</v>
      </c>
      <c r="H2289" s="78">
        <v>20000</v>
      </c>
    </row>
    <row r="2290" spans="1:8" x14ac:dyDescent="0.25">
      <c r="A2290" s="71">
        <v>2026</v>
      </c>
      <c r="B2290" s="72" t="s">
        <v>230</v>
      </c>
      <c r="C2290" s="73" t="s">
        <v>234</v>
      </c>
      <c r="D2290" s="73" t="s">
        <v>240</v>
      </c>
      <c r="E2290" s="73" t="str">
        <f>VLOOKUP(D2290,clientes!$C$3:$D$60,2,FALSE)</f>
        <v>FS</v>
      </c>
      <c r="F2290" s="73" t="s">
        <v>121</v>
      </c>
      <c r="G2290" s="73" t="str">
        <f>VLOOKUP(F2290,'[2]Lista de Produtos CLASSIFICAÇÃO'!$E$103:$F$114,2,FALSE)</f>
        <v>Biocombustíveis</v>
      </c>
      <c r="H2290" s="74">
        <v>11250</v>
      </c>
    </row>
    <row r="2291" spans="1:8" x14ac:dyDescent="0.25">
      <c r="A2291" s="75">
        <v>2026</v>
      </c>
      <c r="B2291" s="76" t="s">
        <v>230</v>
      </c>
      <c r="C2291" s="77" t="s">
        <v>296</v>
      </c>
      <c r="D2291" s="77" t="s">
        <v>240</v>
      </c>
      <c r="E2291" s="73" t="str">
        <f>VLOOKUP(D2291,clientes!$C$3:$D$60,2,FALSE)</f>
        <v>FS</v>
      </c>
      <c r="F2291" s="77" t="s">
        <v>121</v>
      </c>
      <c r="G2291" s="73" t="str">
        <f>VLOOKUP(F2291,'[2]Lista de Produtos CLASSIFICAÇÃO'!$E$103:$F$114,2,FALSE)</f>
        <v>Biocombustíveis</v>
      </c>
      <c r="H2291" s="78">
        <v>20000</v>
      </c>
    </row>
    <row r="2292" spans="1:8" x14ac:dyDescent="0.25">
      <c r="A2292" s="71">
        <v>2026</v>
      </c>
      <c r="B2292" s="72" t="s">
        <v>231</v>
      </c>
      <c r="C2292" s="73" t="s">
        <v>234</v>
      </c>
      <c r="D2292" s="73" t="s">
        <v>240</v>
      </c>
      <c r="E2292" s="73" t="str">
        <f>VLOOKUP(D2292,clientes!$C$3:$D$60,2,FALSE)</f>
        <v>FS</v>
      </c>
      <c r="F2292" s="73" t="s">
        <v>121</v>
      </c>
      <c r="G2292" s="73" t="str">
        <f>VLOOKUP(F2292,'[2]Lista de Produtos CLASSIFICAÇÃO'!$E$103:$F$114,2,FALSE)</f>
        <v>Biocombustíveis</v>
      </c>
      <c r="H2292" s="74">
        <v>11250</v>
      </c>
    </row>
    <row r="2293" spans="1:8" x14ac:dyDescent="0.25">
      <c r="A2293" s="75">
        <v>2026</v>
      </c>
      <c r="B2293" s="76" t="s">
        <v>231</v>
      </c>
      <c r="C2293" s="77" t="s">
        <v>296</v>
      </c>
      <c r="D2293" s="77" t="s">
        <v>240</v>
      </c>
      <c r="E2293" s="73" t="str">
        <f>VLOOKUP(D2293,clientes!$C$3:$D$60,2,FALSE)</f>
        <v>FS</v>
      </c>
      <c r="F2293" s="77" t="s">
        <v>121</v>
      </c>
      <c r="G2293" s="73" t="str">
        <f>VLOOKUP(F2293,'[2]Lista de Produtos CLASSIFICAÇÃO'!$E$103:$F$114,2,FALSE)</f>
        <v>Biocombustíveis</v>
      </c>
      <c r="H2293" s="78">
        <v>20000</v>
      </c>
    </row>
    <row r="2294" spans="1:8" x14ac:dyDescent="0.25">
      <c r="A2294" s="71">
        <v>2026</v>
      </c>
      <c r="B2294" s="72" t="s">
        <v>226</v>
      </c>
      <c r="C2294" s="73" t="s">
        <v>225</v>
      </c>
      <c r="D2294" s="73" t="s">
        <v>191</v>
      </c>
      <c r="E2294" s="73" t="str">
        <f>VLOOKUP(D2294,clientes!$C$3:$D$60,2,FALSE)</f>
        <v>GPC</v>
      </c>
      <c r="F2294" s="73" t="s">
        <v>115</v>
      </c>
      <c r="G2294" s="73" t="str">
        <f>VLOOKUP(F2294,'[2]Lista de Produtos CLASSIFICAÇÃO'!$E$103:$F$114,2,FALSE)</f>
        <v>Soda Caustica</v>
      </c>
      <c r="H2294" s="74">
        <v>1666</v>
      </c>
    </row>
    <row r="2295" spans="1:8" x14ac:dyDescent="0.25">
      <c r="A2295" s="75">
        <v>2026</v>
      </c>
      <c r="B2295" s="76" t="s">
        <v>227</v>
      </c>
      <c r="C2295" s="77" t="s">
        <v>225</v>
      </c>
      <c r="D2295" s="77" t="s">
        <v>191</v>
      </c>
      <c r="E2295" s="73" t="str">
        <f>VLOOKUP(D2295,clientes!$C$3:$D$60,2,FALSE)</f>
        <v>GPC</v>
      </c>
      <c r="F2295" s="77" t="s">
        <v>115</v>
      </c>
      <c r="G2295" s="73" t="str">
        <f>VLOOKUP(F2295,'[2]Lista de Produtos CLASSIFICAÇÃO'!$E$103:$F$114,2,FALSE)</f>
        <v>Soda Caustica</v>
      </c>
      <c r="H2295" s="78">
        <v>1666</v>
      </c>
    </row>
    <row r="2296" spans="1:8" x14ac:dyDescent="0.25">
      <c r="A2296" s="71">
        <v>2026</v>
      </c>
      <c r="B2296" s="72" t="s">
        <v>228</v>
      </c>
      <c r="C2296" s="73" t="s">
        <v>225</v>
      </c>
      <c r="D2296" s="73" t="s">
        <v>191</v>
      </c>
      <c r="E2296" s="73" t="str">
        <f>VLOOKUP(D2296,clientes!$C$3:$D$60,2,FALSE)</f>
        <v>GPC</v>
      </c>
      <c r="F2296" s="73" t="s">
        <v>115</v>
      </c>
      <c r="G2296" s="73" t="str">
        <f>VLOOKUP(F2296,'[2]Lista de Produtos CLASSIFICAÇÃO'!$E$103:$F$114,2,FALSE)</f>
        <v>Soda Caustica</v>
      </c>
      <c r="H2296" s="74">
        <v>1666</v>
      </c>
    </row>
    <row r="2297" spans="1:8" x14ac:dyDescent="0.25">
      <c r="A2297" s="75">
        <v>2026</v>
      </c>
      <c r="B2297" s="76" t="s">
        <v>229</v>
      </c>
      <c r="C2297" s="77" t="s">
        <v>225</v>
      </c>
      <c r="D2297" s="77" t="s">
        <v>191</v>
      </c>
      <c r="E2297" s="73" t="str">
        <f>VLOOKUP(D2297,clientes!$C$3:$D$60,2,FALSE)</f>
        <v>GPC</v>
      </c>
      <c r="F2297" s="77" t="s">
        <v>115</v>
      </c>
      <c r="G2297" s="73" t="str">
        <f>VLOOKUP(F2297,'[2]Lista de Produtos CLASSIFICAÇÃO'!$E$103:$F$114,2,FALSE)</f>
        <v>Soda Caustica</v>
      </c>
      <c r="H2297" s="78">
        <v>1666</v>
      </c>
    </row>
    <row r="2298" spans="1:8" x14ac:dyDescent="0.25">
      <c r="A2298" s="71">
        <v>2026</v>
      </c>
      <c r="B2298" s="72" t="s">
        <v>210</v>
      </c>
      <c r="C2298" s="73" t="s">
        <v>225</v>
      </c>
      <c r="D2298" s="73" t="s">
        <v>191</v>
      </c>
      <c r="E2298" s="73" t="str">
        <f>VLOOKUP(D2298,clientes!$C$3:$D$60,2,FALSE)</f>
        <v>GPC</v>
      </c>
      <c r="F2298" s="73" t="s">
        <v>115</v>
      </c>
      <c r="G2298" s="73" t="str">
        <f>VLOOKUP(F2298,'[2]Lista de Produtos CLASSIFICAÇÃO'!$E$103:$F$114,2,FALSE)</f>
        <v>Soda Caustica</v>
      </c>
      <c r="H2298" s="74">
        <v>1666</v>
      </c>
    </row>
    <row r="2299" spans="1:8" x14ac:dyDescent="0.25">
      <c r="A2299" s="75">
        <v>2026</v>
      </c>
      <c r="B2299" s="76" t="s">
        <v>211</v>
      </c>
      <c r="C2299" s="77" t="s">
        <v>225</v>
      </c>
      <c r="D2299" s="77" t="s">
        <v>191</v>
      </c>
      <c r="E2299" s="73" t="str">
        <f>VLOOKUP(D2299,clientes!$C$3:$D$60,2,FALSE)</f>
        <v>GPC</v>
      </c>
      <c r="F2299" s="77" t="s">
        <v>115</v>
      </c>
      <c r="G2299" s="73" t="str">
        <f>VLOOKUP(F2299,'[2]Lista de Produtos CLASSIFICAÇÃO'!$E$103:$F$114,2,FALSE)</f>
        <v>Soda Caustica</v>
      </c>
      <c r="H2299" s="78">
        <v>1666</v>
      </c>
    </row>
    <row r="2300" spans="1:8" x14ac:dyDescent="0.25">
      <c r="A2300" s="71">
        <v>2026</v>
      </c>
      <c r="B2300" s="72" t="s">
        <v>212</v>
      </c>
      <c r="C2300" s="73" t="s">
        <v>225</v>
      </c>
      <c r="D2300" s="73" t="s">
        <v>191</v>
      </c>
      <c r="E2300" s="73" t="str">
        <f>VLOOKUP(D2300,clientes!$C$3:$D$60,2,FALSE)</f>
        <v>GPC</v>
      </c>
      <c r="F2300" s="73" t="s">
        <v>115</v>
      </c>
      <c r="G2300" s="73" t="str">
        <f>VLOOKUP(F2300,'[2]Lista de Produtos CLASSIFICAÇÃO'!$E$103:$F$114,2,FALSE)</f>
        <v>Soda Caustica</v>
      </c>
      <c r="H2300" s="74">
        <v>1666</v>
      </c>
    </row>
    <row r="2301" spans="1:8" x14ac:dyDescent="0.25">
      <c r="A2301" s="75">
        <v>2026</v>
      </c>
      <c r="B2301" s="76" t="s">
        <v>213</v>
      </c>
      <c r="C2301" s="77" t="s">
        <v>225</v>
      </c>
      <c r="D2301" s="77" t="s">
        <v>191</v>
      </c>
      <c r="E2301" s="73" t="str">
        <f>VLOOKUP(D2301,clientes!$C$3:$D$60,2,FALSE)</f>
        <v>GPC</v>
      </c>
      <c r="F2301" s="77" t="s">
        <v>115</v>
      </c>
      <c r="G2301" s="73" t="str">
        <f>VLOOKUP(F2301,'[2]Lista de Produtos CLASSIFICAÇÃO'!$E$103:$F$114,2,FALSE)</f>
        <v>Soda Caustica</v>
      </c>
      <c r="H2301" s="78">
        <v>1666</v>
      </c>
    </row>
    <row r="2302" spans="1:8" x14ac:dyDescent="0.25">
      <c r="A2302" s="71">
        <v>2026</v>
      </c>
      <c r="B2302" s="72" t="s">
        <v>214</v>
      </c>
      <c r="C2302" s="73" t="s">
        <v>225</v>
      </c>
      <c r="D2302" s="73" t="s">
        <v>191</v>
      </c>
      <c r="E2302" s="73" t="str">
        <f>VLOOKUP(D2302,clientes!$C$3:$D$60,2,FALSE)</f>
        <v>GPC</v>
      </c>
      <c r="F2302" s="73" t="s">
        <v>115</v>
      </c>
      <c r="G2302" s="73" t="str">
        <f>VLOOKUP(F2302,'[2]Lista de Produtos CLASSIFICAÇÃO'!$E$103:$F$114,2,FALSE)</f>
        <v>Soda Caustica</v>
      </c>
      <c r="H2302" s="74">
        <v>1666</v>
      </c>
    </row>
    <row r="2303" spans="1:8" x14ac:dyDescent="0.25">
      <c r="A2303" s="75">
        <v>2026</v>
      </c>
      <c r="B2303" s="76" t="s">
        <v>215</v>
      </c>
      <c r="C2303" s="77" t="s">
        <v>225</v>
      </c>
      <c r="D2303" s="77" t="s">
        <v>191</v>
      </c>
      <c r="E2303" s="73" t="str">
        <f>VLOOKUP(D2303,clientes!$C$3:$D$60,2,FALSE)</f>
        <v>GPC</v>
      </c>
      <c r="F2303" s="77" t="s">
        <v>115</v>
      </c>
      <c r="G2303" s="73" t="str">
        <f>VLOOKUP(F2303,'[2]Lista de Produtos CLASSIFICAÇÃO'!$E$103:$F$114,2,FALSE)</f>
        <v>Soda Caustica</v>
      </c>
      <c r="H2303" s="78">
        <v>1666</v>
      </c>
    </row>
    <row r="2304" spans="1:8" x14ac:dyDescent="0.25">
      <c r="A2304" s="71">
        <v>2026</v>
      </c>
      <c r="B2304" s="72" t="s">
        <v>230</v>
      </c>
      <c r="C2304" s="73" t="s">
        <v>225</v>
      </c>
      <c r="D2304" s="73" t="s">
        <v>191</v>
      </c>
      <c r="E2304" s="73" t="str">
        <f>VLOOKUP(D2304,clientes!$C$3:$D$60,2,FALSE)</f>
        <v>GPC</v>
      </c>
      <c r="F2304" s="73" t="s">
        <v>115</v>
      </c>
      <c r="G2304" s="73" t="str">
        <f>VLOOKUP(F2304,'[2]Lista de Produtos CLASSIFICAÇÃO'!$E$103:$F$114,2,FALSE)</f>
        <v>Soda Caustica</v>
      </c>
      <c r="H2304" s="74">
        <v>1666</v>
      </c>
    </row>
    <row r="2305" spans="1:8" x14ac:dyDescent="0.25">
      <c r="A2305" s="75">
        <v>2026</v>
      </c>
      <c r="B2305" s="76" t="s">
        <v>231</v>
      </c>
      <c r="C2305" s="77" t="s">
        <v>225</v>
      </c>
      <c r="D2305" s="77" t="s">
        <v>191</v>
      </c>
      <c r="E2305" s="73" t="str">
        <f>VLOOKUP(D2305,clientes!$C$3:$D$60,2,FALSE)</f>
        <v>GPC</v>
      </c>
      <c r="F2305" s="77" t="s">
        <v>115</v>
      </c>
      <c r="G2305" s="73" t="str">
        <f>VLOOKUP(F2305,'[2]Lista de Produtos CLASSIFICAÇÃO'!$E$103:$F$114,2,FALSE)</f>
        <v>Soda Caustica</v>
      </c>
      <c r="H2305" s="78">
        <v>1666</v>
      </c>
    </row>
    <row r="2306" spans="1:8" x14ac:dyDescent="0.25">
      <c r="A2306" s="71">
        <v>2026</v>
      </c>
      <c r="B2306" s="72" t="s">
        <v>226</v>
      </c>
      <c r="C2306" s="73" t="s">
        <v>232</v>
      </c>
      <c r="D2306" s="73" t="s">
        <v>189</v>
      </c>
      <c r="E2306" s="73" t="str">
        <f>VLOOKUP(D2306,clientes!$C$3:$D$60,2,FALSE)</f>
        <v>ICOF</v>
      </c>
      <c r="F2306" s="73" t="s">
        <v>123</v>
      </c>
      <c r="G2306" s="73" t="str">
        <f>VLOOKUP(F2306,'[2]Lista de Produtos CLASSIFICAÇÃO'!$E$103:$F$114,2,FALSE)</f>
        <v>Aquecidos</v>
      </c>
      <c r="H2306" s="74">
        <v>11000</v>
      </c>
    </row>
    <row r="2307" spans="1:8" x14ac:dyDescent="0.25">
      <c r="A2307" s="75">
        <v>2026</v>
      </c>
      <c r="B2307" s="76" t="s">
        <v>227</v>
      </c>
      <c r="C2307" s="77" t="s">
        <v>232</v>
      </c>
      <c r="D2307" s="77" t="s">
        <v>189</v>
      </c>
      <c r="E2307" s="73" t="str">
        <f>VLOOKUP(D2307,clientes!$C$3:$D$60,2,FALSE)</f>
        <v>ICOF</v>
      </c>
      <c r="F2307" s="77" t="s">
        <v>123</v>
      </c>
      <c r="G2307" s="73" t="str">
        <f>VLOOKUP(F2307,'[2]Lista de Produtos CLASSIFICAÇÃO'!$E$103:$F$114,2,FALSE)</f>
        <v>Aquecidos</v>
      </c>
      <c r="H2307" s="78">
        <v>11000</v>
      </c>
    </row>
    <row r="2308" spans="1:8" x14ac:dyDescent="0.25">
      <c r="A2308" s="71">
        <v>2026</v>
      </c>
      <c r="B2308" s="72" t="s">
        <v>228</v>
      </c>
      <c r="C2308" s="73" t="s">
        <v>232</v>
      </c>
      <c r="D2308" s="73" t="s">
        <v>189</v>
      </c>
      <c r="E2308" s="73" t="str">
        <f>VLOOKUP(D2308,clientes!$C$3:$D$60,2,FALSE)</f>
        <v>ICOF</v>
      </c>
      <c r="F2308" s="73" t="s">
        <v>123</v>
      </c>
      <c r="G2308" s="73" t="str">
        <f>VLOOKUP(F2308,'[2]Lista de Produtos CLASSIFICAÇÃO'!$E$103:$F$114,2,FALSE)</f>
        <v>Aquecidos</v>
      </c>
      <c r="H2308" s="74">
        <v>11000</v>
      </c>
    </row>
    <row r="2309" spans="1:8" x14ac:dyDescent="0.25">
      <c r="A2309" s="75">
        <v>2026</v>
      </c>
      <c r="B2309" s="76" t="s">
        <v>229</v>
      </c>
      <c r="C2309" s="77" t="s">
        <v>232</v>
      </c>
      <c r="D2309" s="77" t="s">
        <v>189</v>
      </c>
      <c r="E2309" s="73" t="str">
        <f>VLOOKUP(D2309,clientes!$C$3:$D$60,2,FALSE)</f>
        <v>ICOF</v>
      </c>
      <c r="F2309" s="77" t="s">
        <v>123</v>
      </c>
      <c r="G2309" s="73" t="str">
        <f>VLOOKUP(F2309,'[2]Lista de Produtos CLASSIFICAÇÃO'!$E$103:$F$114,2,FALSE)</f>
        <v>Aquecidos</v>
      </c>
      <c r="H2309" s="78">
        <v>11000</v>
      </c>
    </row>
    <row r="2310" spans="1:8" x14ac:dyDescent="0.25">
      <c r="A2310" s="71">
        <v>2026</v>
      </c>
      <c r="B2310" s="72" t="s">
        <v>210</v>
      </c>
      <c r="C2310" s="73" t="s">
        <v>232</v>
      </c>
      <c r="D2310" s="73" t="s">
        <v>189</v>
      </c>
      <c r="E2310" s="73" t="str">
        <f>VLOOKUP(D2310,clientes!$C$3:$D$60,2,FALSE)</f>
        <v>ICOF</v>
      </c>
      <c r="F2310" s="73" t="s">
        <v>123</v>
      </c>
      <c r="G2310" s="73" t="str">
        <f>VLOOKUP(F2310,'[2]Lista de Produtos CLASSIFICAÇÃO'!$E$103:$F$114,2,FALSE)</f>
        <v>Aquecidos</v>
      </c>
      <c r="H2310" s="74">
        <v>11000</v>
      </c>
    </row>
    <row r="2311" spans="1:8" x14ac:dyDescent="0.25">
      <c r="A2311" s="75">
        <v>2026</v>
      </c>
      <c r="B2311" s="76" t="s">
        <v>211</v>
      </c>
      <c r="C2311" s="77" t="s">
        <v>232</v>
      </c>
      <c r="D2311" s="77" t="s">
        <v>189</v>
      </c>
      <c r="E2311" s="73" t="str">
        <f>VLOOKUP(D2311,clientes!$C$3:$D$60,2,FALSE)</f>
        <v>ICOF</v>
      </c>
      <c r="F2311" s="77" t="s">
        <v>123</v>
      </c>
      <c r="G2311" s="73" t="str">
        <f>VLOOKUP(F2311,'[2]Lista de Produtos CLASSIFICAÇÃO'!$E$103:$F$114,2,FALSE)</f>
        <v>Aquecidos</v>
      </c>
      <c r="H2311" s="78">
        <v>11000</v>
      </c>
    </row>
    <row r="2312" spans="1:8" x14ac:dyDescent="0.25">
      <c r="A2312" s="71">
        <v>2026</v>
      </c>
      <c r="B2312" s="72" t="s">
        <v>212</v>
      </c>
      <c r="C2312" s="73" t="s">
        <v>232</v>
      </c>
      <c r="D2312" s="73" t="s">
        <v>189</v>
      </c>
      <c r="E2312" s="73" t="str">
        <f>VLOOKUP(D2312,clientes!$C$3:$D$60,2,FALSE)</f>
        <v>ICOF</v>
      </c>
      <c r="F2312" s="73" t="s">
        <v>123</v>
      </c>
      <c r="G2312" s="73" t="str">
        <f>VLOOKUP(F2312,'[2]Lista de Produtos CLASSIFICAÇÃO'!$E$103:$F$114,2,FALSE)</f>
        <v>Aquecidos</v>
      </c>
      <c r="H2312" s="74">
        <v>11000</v>
      </c>
    </row>
    <row r="2313" spans="1:8" x14ac:dyDescent="0.25">
      <c r="A2313" s="75">
        <v>2026</v>
      </c>
      <c r="B2313" s="76" t="s">
        <v>213</v>
      </c>
      <c r="C2313" s="77" t="s">
        <v>232</v>
      </c>
      <c r="D2313" s="77" t="s">
        <v>189</v>
      </c>
      <c r="E2313" s="73" t="str">
        <f>VLOOKUP(D2313,clientes!$C$3:$D$60,2,FALSE)</f>
        <v>ICOF</v>
      </c>
      <c r="F2313" s="77" t="s">
        <v>123</v>
      </c>
      <c r="G2313" s="73" t="str">
        <f>VLOOKUP(F2313,'[2]Lista de Produtos CLASSIFICAÇÃO'!$E$103:$F$114,2,FALSE)</f>
        <v>Aquecidos</v>
      </c>
      <c r="H2313" s="78">
        <v>11000</v>
      </c>
    </row>
    <row r="2314" spans="1:8" x14ac:dyDescent="0.25">
      <c r="A2314" s="71">
        <v>2026</v>
      </c>
      <c r="B2314" s="72" t="s">
        <v>214</v>
      </c>
      <c r="C2314" s="73" t="s">
        <v>232</v>
      </c>
      <c r="D2314" s="73" t="s">
        <v>189</v>
      </c>
      <c r="E2314" s="73" t="str">
        <f>VLOOKUP(D2314,clientes!$C$3:$D$60,2,FALSE)</f>
        <v>ICOF</v>
      </c>
      <c r="F2314" s="73" t="s">
        <v>123</v>
      </c>
      <c r="G2314" s="73" t="str">
        <f>VLOOKUP(F2314,'[2]Lista de Produtos CLASSIFICAÇÃO'!$E$103:$F$114,2,FALSE)</f>
        <v>Aquecidos</v>
      </c>
      <c r="H2314" s="74">
        <v>11000</v>
      </c>
    </row>
    <row r="2315" spans="1:8" x14ac:dyDescent="0.25">
      <c r="A2315" s="75">
        <v>2026</v>
      </c>
      <c r="B2315" s="76" t="s">
        <v>215</v>
      </c>
      <c r="C2315" s="77" t="s">
        <v>232</v>
      </c>
      <c r="D2315" s="77" t="s">
        <v>189</v>
      </c>
      <c r="E2315" s="73" t="str">
        <f>VLOOKUP(D2315,clientes!$C$3:$D$60,2,FALSE)</f>
        <v>ICOF</v>
      </c>
      <c r="F2315" s="77" t="s">
        <v>123</v>
      </c>
      <c r="G2315" s="73" t="str">
        <f>VLOOKUP(F2315,'[2]Lista de Produtos CLASSIFICAÇÃO'!$E$103:$F$114,2,FALSE)</f>
        <v>Aquecidos</v>
      </c>
      <c r="H2315" s="78">
        <v>11000</v>
      </c>
    </row>
    <row r="2316" spans="1:8" x14ac:dyDescent="0.25">
      <c r="A2316" s="71">
        <v>2026</v>
      </c>
      <c r="B2316" s="72" t="s">
        <v>230</v>
      </c>
      <c r="C2316" s="73" t="s">
        <v>232</v>
      </c>
      <c r="D2316" s="73" t="s">
        <v>189</v>
      </c>
      <c r="E2316" s="73" t="str">
        <f>VLOOKUP(D2316,clientes!$C$3:$D$60,2,FALSE)</f>
        <v>ICOF</v>
      </c>
      <c r="F2316" s="73" t="s">
        <v>123</v>
      </c>
      <c r="G2316" s="73" t="str">
        <f>VLOOKUP(F2316,'[2]Lista de Produtos CLASSIFICAÇÃO'!$E$103:$F$114,2,FALSE)</f>
        <v>Aquecidos</v>
      </c>
      <c r="H2316" s="74">
        <v>11000</v>
      </c>
    </row>
    <row r="2317" spans="1:8" x14ac:dyDescent="0.25">
      <c r="A2317" s="75">
        <v>2026</v>
      </c>
      <c r="B2317" s="76" t="s">
        <v>231</v>
      </c>
      <c r="C2317" s="77" t="s">
        <v>232</v>
      </c>
      <c r="D2317" s="77" t="s">
        <v>189</v>
      </c>
      <c r="E2317" s="73" t="str">
        <f>VLOOKUP(D2317,clientes!$C$3:$D$60,2,FALSE)</f>
        <v>ICOF</v>
      </c>
      <c r="F2317" s="77" t="s">
        <v>123</v>
      </c>
      <c r="G2317" s="73" t="str">
        <f>VLOOKUP(F2317,'[2]Lista de Produtos CLASSIFICAÇÃO'!$E$103:$F$114,2,FALSE)</f>
        <v>Aquecidos</v>
      </c>
      <c r="H2317" s="78">
        <v>11000</v>
      </c>
    </row>
    <row r="2318" spans="1:8" x14ac:dyDescent="0.25">
      <c r="A2318" s="71">
        <v>2026</v>
      </c>
      <c r="B2318" s="72" t="s">
        <v>226</v>
      </c>
      <c r="C2318" s="73" t="s">
        <v>225</v>
      </c>
      <c r="D2318" s="73" t="s">
        <v>184</v>
      </c>
      <c r="E2318" s="73" t="str">
        <f>VLOOKUP(D2318,clientes!$C$3:$D$60,2,FALSE)</f>
        <v>INGREDION</v>
      </c>
      <c r="F2318" s="73" t="s">
        <v>122</v>
      </c>
      <c r="G2318" s="73" t="str">
        <f>VLOOKUP(F2318,'[2]Lista de Produtos CLASSIFICAÇÃO'!$E$103:$F$114,2,FALSE)</f>
        <v>Óleo Vegetal</v>
      </c>
      <c r="H2318" s="74">
        <v>2826</v>
      </c>
    </row>
    <row r="2319" spans="1:8" x14ac:dyDescent="0.25">
      <c r="A2319" s="75">
        <v>2026</v>
      </c>
      <c r="B2319" s="76" t="s">
        <v>227</v>
      </c>
      <c r="C2319" s="77" t="s">
        <v>225</v>
      </c>
      <c r="D2319" s="77" t="s">
        <v>184</v>
      </c>
      <c r="E2319" s="73" t="str">
        <f>VLOOKUP(D2319,clientes!$C$3:$D$60,2,FALSE)</f>
        <v>INGREDION</v>
      </c>
      <c r="F2319" s="77" t="s">
        <v>122</v>
      </c>
      <c r="G2319" s="73" t="str">
        <f>VLOOKUP(F2319,'[2]Lista de Produtos CLASSIFICAÇÃO'!$E$103:$F$114,2,FALSE)</f>
        <v>Óleo Vegetal</v>
      </c>
      <c r="H2319" s="78">
        <v>2826</v>
      </c>
    </row>
    <row r="2320" spans="1:8" x14ac:dyDescent="0.25">
      <c r="A2320" s="71">
        <v>2026</v>
      </c>
      <c r="B2320" s="72" t="s">
        <v>228</v>
      </c>
      <c r="C2320" s="73" t="s">
        <v>225</v>
      </c>
      <c r="D2320" s="73" t="s">
        <v>184</v>
      </c>
      <c r="E2320" s="73" t="str">
        <f>VLOOKUP(D2320,clientes!$C$3:$D$60,2,FALSE)</f>
        <v>INGREDION</v>
      </c>
      <c r="F2320" s="73" t="s">
        <v>122</v>
      </c>
      <c r="G2320" s="73" t="str">
        <f>VLOOKUP(F2320,'[2]Lista de Produtos CLASSIFICAÇÃO'!$E$103:$F$114,2,FALSE)</f>
        <v>Óleo Vegetal</v>
      </c>
      <c r="H2320" s="74">
        <v>2826</v>
      </c>
    </row>
    <row r="2321" spans="1:8" x14ac:dyDescent="0.25">
      <c r="A2321" s="75">
        <v>2026</v>
      </c>
      <c r="B2321" s="76" t="s">
        <v>229</v>
      </c>
      <c r="C2321" s="77" t="s">
        <v>225</v>
      </c>
      <c r="D2321" s="77" t="s">
        <v>184</v>
      </c>
      <c r="E2321" s="73" t="str">
        <f>VLOOKUP(D2321,clientes!$C$3:$D$60,2,FALSE)</f>
        <v>INGREDION</v>
      </c>
      <c r="F2321" s="77" t="s">
        <v>122</v>
      </c>
      <c r="G2321" s="73" t="str">
        <f>VLOOKUP(F2321,'[2]Lista de Produtos CLASSIFICAÇÃO'!$E$103:$F$114,2,FALSE)</f>
        <v>Óleo Vegetal</v>
      </c>
      <c r="H2321" s="78">
        <v>2826</v>
      </c>
    </row>
    <row r="2322" spans="1:8" x14ac:dyDescent="0.25">
      <c r="A2322" s="71">
        <v>2026</v>
      </c>
      <c r="B2322" s="72" t="s">
        <v>210</v>
      </c>
      <c r="C2322" s="73" t="s">
        <v>225</v>
      </c>
      <c r="D2322" s="73" t="s">
        <v>184</v>
      </c>
      <c r="E2322" s="73" t="str">
        <f>VLOOKUP(D2322,clientes!$C$3:$D$60,2,FALSE)</f>
        <v>INGREDION</v>
      </c>
      <c r="F2322" s="73" t="s">
        <v>122</v>
      </c>
      <c r="G2322" s="73" t="str">
        <f>VLOOKUP(F2322,'[2]Lista de Produtos CLASSIFICAÇÃO'!$E$103:$F$114,2,FALSE)</f>
        <v>Óleo Vegetal</v>
      </c>
      <c r="H2322" s="74">
        <v>2826</v>
      </c>
    </row>
    <row r="2323" spans="1:8" x14ac:dyDescent="0.25">
      <c r="A2323" s="75">
        <v>2026</v>
      </c>
      <c r="B2323" s="76" t="s">
        <v>211</v>
      </c>
      <c r="C2323" s="77" t="s">
        <v>225</v>
      </c>
      <c r="D2323" s="77" t="s">
        <v>184</v>
      </c>
      <c r="E2323" s="73" t="str">
        <f>VLOOKUP(D2323,clientes!$C$3:$D$60,2,FALSE)</f>
        <v>INGREDION</v>
      </c>
      <c r="F2323" s="77" t="s">
        <v>122</v>
      </c>
      <c r="G2323" s="73" t="str">
        <f>VLOOKUP(F2323,'[2]Lista de Produtos CLASSIFICAÇÃO'!$E$103:$F$114,2,FALSE)</f>
        <v>Óleo Vegetal</v>
      </c>
      <c r="H2323" s="78">
        <v>2826</v>
      </c>
    </row>
    <row r="2324" spans="1:8" x14ac:dyDescent="0.25">
      <c r="A2324" s="71">
        <v>2026</v>
      </c>
      <c r="B2324" s="72" t="s">
        <v>212</v>
      </c>
      <c r="C2324" s="73" t="s">
        <v>225</v>
      </c>
      <c r="D2324" s="73" t="s">
        <v>184</v>
      </c>
      <c r="E2324" s="73" t="str">
        <f>VLOOKUP(D2324,clientes!$C$3:$D$60,2,FALSE)</f>
        <v>INGREDION</v>
      </c>
      <c r="F2324" s="73" t="s">
        <v>122</v>
      </c>
      <c r="G2324" s="73" t="str">
        <f>VLOOKUP(F2324,'[2]Lista de Produtos CLASSIFICAÇÃO'!$E$103:$F$114,2,FALSE)</f>
        <v>Óleo Vegetal</v>
      </c>
      <c r="H2324" s="74">
        <v>2826</v>
      </c>
    </row>
    <row r="2325" spans="1:8" x14ac:dyDescent="0.25">
      <c r="A2325" s="75">
        <v>2026</v>
      </c>
      <c r="B2325" s="76" t="s">
        <v>213</v>
      </c>
      <c r="C2325" s="77" t="s">
        <v>225</v>
      </c>
      <c r="D2325" s="77" t="s">
        <v>184</v>
      </c>
      <c r="E2325" s="73" t="str">
        <f>VLOOKUP(D2325,clientes!$C$3:$D$60,2,FALSE)</f>
        <v>INGREDION</v>
      </c>
      <c r="F2325" s="77" t="s">
        <v>122</v>
      </c>
      <c r="G2325" s="73" t="str">
        <f>VLOOKUP(F2325,'[2]Lista de Produtos CLASSIFICAÇÃO'!$E$103:$F$114,2,FALSE)</f>
        <v>Óleo Vegetal</v>
      </c>
      <c r="H2325" s="78">
        <v>2826</v>
      </c>
    </row>
    <row r="2326" spans="1:8" x14ac:dyDescent="0.25">
      <c r="A2326" s="71">
        <v>2026</v>
      </c>
      <c r="B2326" s="72" t="s">
        <v>214</v>
      </c>
      <c r="C2326" s="73" t="s">
        <v>225</v>
      </c>
      <c r="D2326" s="73" t="s">
        <v>184</v>
      </c>
      <c r="E2326" s="73" t="str">
        <f>VLOOKUP(D2326,clientes!$C$3:$D$60,2,FALSE)</f>
        <v>INGREDION</v>
      </c>
      <c r="F2326" s="73" t="s">
        <v>122</v>
      </c>
      <c r="G2326" s="73" t="str">
        <f>VLOOKUP(F2326,'[2]Lista de Produtos CLASSIFICAÇÃO'!$E$103:$F$114,2,FALSE)</f>
        <v>Óleo Vegetal</v>
      </c>
      <c r="H2326" s="74">
        <v>2826</v>
      </c>
    </row>
    <row r="2327" spans="1:8" x14ac:dyDescent="0.25">
      <c r="A2327" s="75">
        <v>2026</v>
      </c>
      <c r="B2327" s="76" t="s">
        <v>215</v>
      </c>
      <c r="C2327" s="77" t="s">
        <v>225</v>
      </c>
      <c r="D2327" s="77" t="s">
        <v>184</v>
      </c>
      <c r="E2327" s="73" t="str">
        <f>VLOOKUP(D2327,clientes!$C$3:$D$60,2,FALSE)</f>
        <v>INGREDION</v>
      </c>
      <c r="F2327" s="77" t="s">
        <v>122</v>
      </c>
      <c r="G2327" s="73" t="str">
        <f>VLOOKUP(F2327,'[2]Lista de Produtos CLASSIFICAÇÃO'!$E$103:$F$114,2,FALSE)</f>
        <v>Óleo Vegetal</v>
      </c>
      <c r="H2327" s="78">
        <v>2826</v>
      </c>
    </row>
    <row r="2328" spans="1:8" x14ac:dyDescent="0.25">
      <c r="A2328" s="71">
        <v>2026</v>
      </c>
      <c r="B2328" s="72" t="s">
        <v>230</v>
      </c>
      <c r="C2328" s="73" t="s">
        <v>225</v>
      </c>
      <c r="D2328" s="73" t="s">
        <v>184</v>
      </c>
      <c r="E2328" s="73" t="str">
        <f>VLOOKUP(D2328,clientes!$C$3:$D$60,2,FALSE)</f>
        <v>INGREDION</v>
      </c>
      <c r="F2328" s="73" t="s">
        <v>122</v>
      </c>
      <c r="G2328" s="73" t="str">
        <f>VLOOKUP(F2328,'[2]Lista de Produtos CLASSIFICAÇÃO'!$E$103:$F$114,2,FALSE)</f>
        <v>Óleo Vegetal</v>
      </c>
      <c r="H2328" s="74">
        <v>2826</v>
      </c>
    </row>
    <row r="2329" spans="1:8" x14ac:dyDescent="0.25">
      <c r="A2329" s="75">
        <v>2026</v>
      </c>
      <c r="B2329" s="76" t="s">
        <v>231</v>
      </c>
      <c r="C2329" s="77" t="s">
        <v>225</v>
      </c>
      <c r="D2329" s="77" t="s">
        <v>184</v>
      </c>
      <c r="E2329" s="73" t="str">
        <f>VLOOKUP(D2329,clientes!$C$3:$D$60,2,FALSE)</f>
        <v>INGREDION</v>
      </c>
      <c r="F2329" s="77" t="s">
        <v>122</v>
      </c>
      <c r="G2329" s="73" t="str">
        <f>VLOOKUP(F2329,'[2]Lista de Produtos CLASSIFICAÇÃO'!$E$103:$F$114,2,FALSE)</f>
        <v>Óleo Vegetal</v>
      </c>
      <c r="H2329" s="78">
        <v>2826</v>
      </c>
    </row>
    <row r="2330" spans="1:8" x14ac:dyDescent="0.25">
      <c r="A2330" s="71">
        <v>2026</v>
      </c>
      <c r="B2330" s="72" t="s">
        <v>226</v>
      </c>
      <c r="C2330" s="73" t="s">
        <v>233</v>
      </c>
      <c r="D2330" s="73" t="s">
        <v>192</v>
      </c>
      <c r="E2330" s="73" t="str">
        <f>VLOOKUP(D2330,clientes!$C$3:$D$60,2,FALSE)</f>
        <v>INPASA</v>
      </c>
      <c r="F2330" s="73" t="s">
        <v>121</v>
      </c>
      <c r="G2330" s="73" t="str">
        <f>VLOOKUP(F2330,'[2]Lista de Produtos CLASSIFICAÇÃO'!$E$103:$F$114,2,FALSE)</f>
        <v>Biocombustíveis</v>
      </c>
      <c r="H2330" s="74">
        <v>15000</v>
      </c>
    </row>
    <row r="2331" spans="1:8" x14ac:dyDescent="0.25">
      <c r="A2331" s="75">
        <v>2026</v>
      </c>
      <c r="B2331" s="76" t="s">
        <v>226</v>
      </c>
      <c r="C2331" s="77" t="s">
        <v>296</v>
      </c>
      <c r="D2331" s="77" t="s">
        <v>192</v>
      </c>
      <c r="E2331" s="73" t="str">
        <f>VLOOKUP(D2331,clientes!$C$3:$D$60,2,FALSE)</f>
        <v>INPASA</v>
      </c>
      <c r="F2331" s="77" t="s">
        <v>121</v>
      </c>
      <c r="G2331" s="73" t="str">
        <f>VLOOKUP(F2331,'[2]Lista de Produtos CLASSIFICAÇÃO'!$E$103:$F$114,2,FALSE)</f>
        <v>Biocombustíveis</v>
      </c>
      <c r="H2331" s="78">
        <v>0</v>
      </c>
    </row>
    <row r="2332" spans="1:8" x14ac:dyDescent="0.25">
      <c r="A2332" s="71">
        <v>2026</v>
      </c>
      <c r="B2332" s="72" t="s">
        <v>227</v>
      </c>
      <c r="C2332" s="73" t="s">
        <v>233</v>
      </c>
      <c r="D2332" s="73" t="s">
        <v>192</v>
      </c>
      <c r="E2332" s="73" t="str">
        <f>VLOOKUP(D2332,clientes!$C$3:$D$60,2,FALSE)</f>
        <v>INPASA</v>
      </c>
      <c r="F2332" s="73" t="s">
        <v>121</v>
      </c>
      <c r="G2332" s="73" t="str">
        <f>VLOOKUP(F2332,'[2]Lista de Produtos CLASSIFICAÇÃO'!$E$103:$F$114,2,FALSE)</f>
        <v>Biocombustíveis</v>
      </c>
      <c r="H2332" s="74">
        <v>15000</v>
      </c>
    </row>
    <row r="2333" spans="1:8" x14ac:dyDescent="0.25">
      <c r="A2333" s="75">
        <v>2026</v>
      </c>
      <c r="B2333" s="76" t="s">
        <v>227</v>
      </c>
      <c r="C2333" s="77" t="s">
        <v>296</v>
      </c>
      <c r="D2333" s="77" t="s">
        <v>192</v>
      </c>
      <c r="E2333" s="73" t="str">
        <f>VLOOKUP(D2333,clientes!$C$3:$D$60,2,FALSE)</f>
        <v>INPASA</v>
      </c>
      <c r="F2333" s="77" t="s">
        <v>121</v>
      </c>
      <c r="G2333" s="73" t="str">
        <f>VLOOKUP(F2333,'[2]Lista de Produtos CLASSIFICAÇÃO'!$E$103:$F$114,2,FALSE)</f>
        <v>Biocombustíveis</v>
      </c>
      <c r="H2333" s="78">
        <v>0</v>
      </c>
    </row>
    <row r="2334" spans="1:8" x14ac:dyDescent="0.25">
      <c r="A2334" s="71">
        <v>2026</v>
      </c>
      <c r="B2334" s="72" t="s">
        <v>228</v>
      </c>
      <c r="C2334" s="73" t="s">
        <v>233</v>
      </c>
      <c r="D2334" s="73" t="s">
        <v>192</v>
      </c>
      <c r="E2334" s="73" t="str">
        <f>VLOOKUP(D2334,clientes!$C$3:$D$60,2,FALSE)</f>
        <v>INPASA</v>
      </c>
      <c r="F2334" s="73" t="s">
        <v>121</v>
      </c>
      <c r="G2334" s="73" t="str">
        <f>VLOOKUP(F2334,'[2]Lista de Produtos CLASSIFICAÇÃO'!$E$103:$F$114,2,FALSE)</f>
        <v>Biocombustíveis</v>
      </c>
      <c r="H2334" s="74">
        <v>15000</v>
      </c>
    </row>
    <row r="2335" spans="1:8" x14ac:dyDescent="0.25">
      <c r="A2335" s="75">
        <v>2026</v>
      </c>
      <c r="B2335" s="76" t="s">
        <v>228</v>
      </c>
      <c r="C2335" s="77" t="s">
        <v>296</v>
      </c>
      <c r="D2335" s="77" t="s">
        <v>192</v>
      </c>
      <c r="E2335" s="73" t="str">
        <f>VLOOKUP(D2335,clientes!$C$3:$D$60,2,FALSE)</f>
        <v>INPASA</v>
      </c>
      <c r="F2335" s="77" t="s">
        <v>121</v>
      </c>
      <c r="G2335" s="73" t="str">
        <f>VLOOKUP(F2335,'[2]Lista de Produtos CLASSIFICAÇÃO'!$E$103:$F$114,2,FALSE)</f>
        <v>Biocombustíveis</v>
      </c>
      <c r="H2335" s="78">
        <v>0</v>
      </c>
    </row>
    <row r="2336" spans="1:8" x14ac:dyDescent="0.25">
      <c r="A2336" s="71">
        <v>2026</v>
      </c>
      <c r="B2336" s="72" t="s">
        <v>229</v>
      </c>
      <c r="C2336" s="73" t="s">
        <v>233</v>
      </c>
      <c r="D2336" s="73" t="s">
        <v>192</v>
      </c>
      <c r="E2336" s="73" t="str">
        <f>VLOOKUP(D2336,clientes!$C$3:$D$60,2,FALSE)</f>
        <v>INPASA</v>
      </c>
      <c r="F2336" s="73" t="s">
        <v>121</v>
      </c>
      <c r="G2336" s="73" t="str">
        <f>VLOOKUP(F2336,'[2]Lista de Produtos CLASSIFICAÇÃO'!$E$103:$F$114,2,FALSE)</f>
        <v>Biocombustíveis</v>
      </c>
      <c r="H2336" s="74">
        <v>15000</v>
      </c>
    </row>
    <row r="2337" spans="1:8" x14ac:dyDescent="0.25">
      <c r="A2337" s="75">
        <v>2026</v>
      </c>
      <c r="B2337" s="76" t="s">
        <v>229</v>
      </c>
      <c r="C2337" s="77" t="s">
        <v>296</v>
      </c>
      <c r="D2337" s="77" t="s">
        <v>192</v>
      </c>
      <c r="E2337" s="73" t="str">
        <f>VLOOKUP(D2337,clientes!$C$3:$D$60,2,FALSE)</f>
        <v>INPASA</v>
      </c>
      <c r="F2337" s="77" t="s">
        <v>121</v>
      </c>
      <c r="G2337" s="73" t="str">
        <f>VLOOKUP(F2337,'[2]Lista de Produtos CLASSIFICAÇÃO'!$E$103:$F$114,2,FALSE)</f>
        <v>Biocombustíveis</v>
      </c>
      <c r="H2337" s="78">
        <v>0</v>
      </c>
    </row>
    <row r="2338" spans="1:8" x14ac:dyDescent="0.25">
      <c r="A2338" s="71">
        <v>2026</v>
      </c>
      <c r="B2338" s="72" t="s">
        <v>210</v>
      </c>
      <c r="C2338" s="73" t="s">
        <v>233</v>
      </c>
      <c r="D2338" s="73" t="s">
        <v>192</v>
      </c>
      <c r="E2338" s="73" t="str">
        <f>VLOOKUP(D2338,clientes!$C$3:$D$60,2,FALSE)</f>
        <v>INPASA</v>
      </c>
      <c r="F2338" s="73" t="s">
        <v>121</v>
      </c>
      <c r="G2338" s="73" t="str">
        <f>VLOOKUP(F2338,'[2]Lista de Produtos CLASSIFICAÇÃO'!$E$103:$F$114,2,FALSE)</f>
        <v>Biocombustíveis</v>
      </c>
      <c r="H2338" s="74">
        <v>15000</v>
      </c>
    </row>
    <row r="2339" spans="1:8" x14ac:dyDescent="0.25">
      <c r="A2339" s="75">
        <v>2026</v>
      </c>
      <c r="B2339" s="76" t="s">
        <v>210</v>
      </c>
      <c r="C2339" s="77" t="s">
        <v>296</v>
      </c>
      <c r="D2339" s="77" t="s">
        <v>192</v>
      </c>
      <c r="E2339" s="73" t="str">
        <f>VLOOKUP(D2339,clientes!$C$3:$D$60,2,FALSE)</f>
        <v>INPASA</v>
      </c>
      <c r="F2339" s="77" t="s">
        <v>121</v>
      </c>
      <c r="G2339" s="73" t="str">
        <f>VLOOKUP(F2339,'[2]Lista de Produtos CLASSIFICAÇÃO'!$E$103:$F$114,2,FALSE)</f>
        <v>Biocombustíveis</v>
      </c>
      <c r="H2339" s="78">
        <v>20000</v>
      </c>
    </row>
    <row r="2340" spans="1:8" x14ac:dyDescent="0.25">
      <c r="A2340" s="71">
        <v>2026</v>
      </c>
      <c r="B2340" s="72" t="s">
        <v>211</v>
      </c>
      <c r="C2340" s="73" t="s">
        <v>233</v>
      </c>
      <c r="D2340" s="73" t="s">
        <v>192</v>
      </c>
      <c r="E2340" s="73" t="str">
        <f>VLOOKUP(D2340,clientes!$C$3:$D$60,2,FALSE)</f>
        <v>INPASA</v>
      </c>
      <c r="F2340" s="73" t="s">
        <v>121</v>
      </c>
      <c r="G2340" s="73" t="str">
        <f>VLOOKUP(F2340,'[2]Lista de Produtos CLASSIFICAÇÃO'!$E$103:$F$114,2,FALSE)</f>
        <v>Biocombustíveis</v>
      </c>
      <c r="H2340" s="74">
        <v>15000</v>
      </c>
    </row>
    <row r="2341" spans="1:8" x14ac:dyDescent="0.25">
      <c r="A2341" s="75">
        <v>2026</v>
      </c>
      <c r="B2341" s="76" t="s">
        <v>211</v>
      </c>
      <c r="C2341" s="77" t="s">
        <v>296</v>
      </c>
      <c r="D2341" s="77" t="s">
        <v>192</v>
      </c>
      <c r="E2341" s="73" t="str">
        <f>VLOOKUP(D2341,clientes!$C$3:$D$60,2,FALSE)</f>
        <v>INPASA</v>
      </c>
      <c r="F2341" s="77" t="s">
        <v>121</v>
      </c>
      <c r="G2341" s="73" t="str">
        <f>VLOOKUP(F2341,'[2]Lista de Produtos CLASSIFICAÇÃO'!$E$103:$F$114,2,FALSE)</f>
        <v>Biocombustíveis</v>
      </c>
      <c r="H2341" s="78">
        <v>20000</v>
      </c>
    </row>
    <row r="2342" spans="1:8" x14ac:dyDescent="0.25">
      <c r="A2342" s="71">
        <v>2026</v>
      </c>
      <c r="B2342" s="72" t="s">
        <v>212</v>
      </c>
      <c r="C2342" s="73" t="s">
        <v>233</v>
      </c>
      <c r="D2342" s="73" t="s">
        <v>192</v>
      </c>
      <c r="E2342" s="73" t="str">
        <f>VLOOKUP(D2342,clientes!$C$3:$D$60,2,FALSE)</f>
        <v>INPASA</v>
      </c>
      <c r="F2342" s="73" t="s">
        <v>121</v>
      </c>
      <c r="G2342" s="73" t="str">
        <f>VLOOKUP(F2342,'[2]Lista de Produtos CLASSIFICAÇÃO'!$E$103:$F$114,2,FALSE)</f>
        <v>Biocombustíveis</v>
      </c>
      <c r="H2342" s="74">
        <v>15000</v>
      </c>
    </row>
    <row r="2343" spans="1:8" x14ac:dyDescent="0.25">
      <c r="A2343" s="75">
        <v>2026</v>
      </c>
      <c r="B2343" s="76" t="s">
        <v>212</v>
      </c>
      <c r="C2343" s="77" t="s">
        <v>296</v>
      </c>
      <c r="D2343" s="77" t="s">
        <v>192</v>
      </c>
      <c r="E2343" s="73" t="str">
        <f>VLOOKUP(D2343,clientes!$C$3:$D$60,2,FALSE)</f>
        <v>INPASA</v>
      </c>
      <c r="F2343" s="77" t="s">
        <v>121</v>
      </c>
      <c r="G2343" s="73" t="str">
        <f>VLOOKUP(F2343,'[2]Lista de Produtos CLASSIFICAÇÃO'!$E$103:$F$114,2,FALSE)</f>
        <v>Biocombustíveis</v>
      </c>
      <c r="H2343" s="78">
        <v>20000</v>
      </c>
    </row>
    <row r="2344" spans="1:8" x14ac:dyDescent="0.25">
      <c r="A2344" s="71">
        <v>2026</v>
      </c>
      <c r="B2344" s="72" t="s">
        <v>213</v>
      </c>
      <c r="C2344" s="73" t="s">
        <v>233</v>
      </c>
      <c r="D2344" s="73" t="s">
        <v>192</v>
      </c>
      <c r="E2344" s="73" t="str">
        <f>VLOOKUP(D2344,clientes!$C$3:$D$60,2,FALSE)</f>
        <v>INPASA</v>
      </c>
      <c r="F2344" s="73" t="s">
        <v>121</v>
      </c>
      <c r="G2344" s="73" t="str">
        <f>VLOOKUP(F2344,'[2]Lista de Produtos CLASSIFICAÇÃO'!$E$103:$F$114,2,FALSE)</f>
        <v>Biocombustíveis</v>
      </c>
      <c r="H2344" s="74">
        <v>15000</v>
      </c>
    </row>
    <row r="2345" spans="1:8" x14ac:dyDescent="0.25">
      <c r="A2345" s="75">
        <v>2026</v>
      </c>
      <c r="B2345" s="76" t="s">
        <v>213</v>
      </c>
      <c r="C2345" s="77" t="s">
        <v>296</v>
      </c>
      <c r="D2345" s="77" t="s">
        <v>192</v>
      </c>
      <c r="E2345" s="73" t="str">
        <f>VLOOKUP(D2345,clientes!$C$3:$D$60,2,FALSE)</f>
        <v>INPASA</v>
      </c>
      <c r="F2345" s="77" t="s">
        <v>121</v>
      </c>
      <c r="G2345" s="73" t="str">
        <f>VLOOKUP(F2345,'[2]Lista de Produtos CLASSIFICAÇÃO'!$E$103:$F$114,2,FALSE)</f>
        <v>Biocombustíveis</v>
      </c>
      <c r="H2345" s="78">
        <v>20000</v>
      </c>
    </row>
    <row r="2346" spans="1:8" x14ac:dyDescent="0.25">
      <c r="A2346" s="71">
        <v>2026</v>
      </c>
      <c r="B2346" s="72" t="s">
        <v>214</v>
      </c>
      <c r="C2346" s="73" t="s">
        <v>233</v>
      </c>
      <c r="D2346" s="73" t="s">
        <v>192</v>
      </c>
      <c r="E2346" s="73" t="str">
        <f>VLOOKUP(D2346,clientes!$C$3:$D$60,2,FALSE)</f>
        <v>INPASA</v>
      </c>
      <c r="F2346" s="73" t="s">
        <v>121</v>
      </c>
      <c r="G2346" s="73" t="str">
        <f>VLOOKUP(F2346,'[2]Lista de Produtos CLASSIFICAÇÃO'!$E$103:$F$114,2,FALSE)</f>
        <v>Biocombustíveis</v>
      </c>
      <c r="H2346" s="74">
        <v>15000</v>
      </c>
    </row>
    <row r="2347" spans="1:8" x14ac:dyDescent="0.25">
      <c r="A2347" s="75">
        <v>2026</v>
      </c>
      <c r="B2347" s="76" t="s">
        <v>214</v>
      </c>
      <c r="C2347" s="77" t="s">
        <v>296</v>
      </c>
      <c r="D2347" s="77" t="s">
        <v>192</v>
      </c>
      <c r="E2347" s="73" t="str">
        <f>VLOOKUP(D2347,clientes!$C$3:$D$60,2,FALSE)</f>
        <v>INPASA</v>
      </c>
      <c r="F2347" s="77" t="s">
        <v>121</v>
      </c>
      <c r="G2347" s="73" t="str">
        <f>VLOOKUP(F2347,'[2]Lista de Produtos CLASSIFICAÇÃO'!$E$103:$F$114,2,FALSE)</f>
        <v>Biocombustíveis</v>
      </c>
      <c r="H2347" s="78">
        <v>20000</v>
      </c>
    </row>
    <row r="2348" spans="1:8" x14ac:dyDescent="0.25">
      <c r="A2348" s="71">
        <v>2026</v>
      </c>
      <c r="B2348" s="72" t="s">
        <v>215</v>
      </c>
      <c r="C2348" s="73" t="s">
        <v>233</v>
      </c>
      <c r="D2348" s="73" t="s">
        <v>192</v>
      </c>
      <c r="E2348" s="73" t="str">
        <f>VLOOKUP(D2348,clientes!$C$3:$D$60,2,FALSE)</f>
        <v>INPASA</v>
      </c>
      <c r="F2348" s="73" t="s">
        <v>121</v>
      </c>
      <c r="G2348" s="73" t="str">
        <f>VLOOKUP(F2348,'[2]Lista de Produtos CLASSIFICAÇÃO'!$E$103:$F$114,2,FALSE)</f>
        <v>Biocombustíveis</v>
      </c>
      <c r="H2348" s="74">
        <v>15000</v>
      </c>
    </row>
    <row r="2349" spans="1:8" x14ac:dyDescent="0.25">
      <c r="A2349" s="75">
        <v>2026</v>
      </c>
      <c r="B2349" s="76" t="s">
        <v>215</v>
      </c>
      <c r="C2349" s="77" t="s">
        <v>296</v>
      </c>
      <c r="D2349" s="77" t="s">
        <v>192</v>
      </c>
      <c r="E2349" s="73" t="str">
        <f>VLOOKUP(D2349,clientes!$C$3:$D$60,2,FALSE)</f>
        <v>INPASA</v>
      </c>
      <c r="F2349" s="77" t="s">
        <v>121</v>
      </c>
      <c r="G2349" s="73" t="str">
        <f>VLOOKUP(F2349,'[2]Lista de Produtos CLASSIFICAÇÃO'!$E$103:$F$114,2,FALSE)</f>
        <v>Biocombustíveis</v>
      </c>
      <c r="H2349" s="78">
        <v>20000</v>
      </c>
    </row>
    <row r="2350" spans="1:8" x14ac:dyDescent="0.25">
      <c r="A2350" s="71">
        <v>2026</v>
      </c>
      <c r="B2350" s="72" t="s">
        <v>230</v>
      </c>
      <c r="C2350" s="73" t="s">
        <v>233</v>
      </c>
      <c r="D2350" s="73" t="s">
        <v>192</v>
      </c>
      <c r="E2350" s="73" t="str">
        <f>VLOOKUP(D2350,clientes!$C$3:$D$60,2,FALSE)</f>
        <v>INPASA</v>
      </c>
      <c r="F2350" s="73" t="s">
        <v>121</v>
      </c>
      <c r="G2350" s="73" t="str">
        <f>VLOOKUP(F2350,'[2]Lista de Produtos CLASSIFICAÇÃO'!$E$103:$F$114,2,FALSE)</f>
        <v>Biocombustíveis</v>
      </c>
      <c r="H2350" s="74">
        <v>15000</v>
      </c>
    </row>
    <row r="2351" spans="1:8" x14ac:dyDescent="0.25">
      <c r="A2351" s="75">
        <v>2026</v>
      </c>
      <c r="B2351" s="76" t="s">
        <v>230</v>
      </c>
      <c r="C2351" s="77" t="s">
        <v>296</v>
      </c>
      <c r="D2351" s="77" t="s">
        <v>192</v>
      </c>
      <c r="E2351" s="73" t="str">
        <f>VLOOKUP(D2351,clientes!$C$3:$D$60,2,FALSE)</f>
        <v>INPASA</v>
      </c>
      <c r="F2351" s="77" t="s">
        <v>121</v>
      </c>
      <c r="G2351" s="73" t="str">
        <f>VLOOKUP(F2351,'[2]Lista de Produtos CLASSIFICAÇÃO'!$E$103:$F$114,2,FALSE)</f>
        <v>Biocombustíveis</v>
      </c>
      <c r="H2351" s="78">
        <v>20000</v>
      </c>
    </row>
    <row r="2352" spans="1:8" x14ac:dyDescent="0.25">
      <c r="A2352" s="71">
        <v>2026</v>
      </c>
      <c r="B2352" s="72" t="s">
        <v>231</v>
      </c>
      <c r="C2352" s="73" t="s">
        <v>233</v>
      </c>
      <c r="D2352" s="73" t="s">
        <v>192</v>
      </c>
      <c r="E2352" s="73" t="str">
        <f>VLOOKUP(D2352,clientes!$C$3:$D$60,2,FALSE)</f>
        <v>INPASA</v>
      </c>
      <c r="F2352" s="73" t="s">
        <v>121</v>
      </c>
      <c r="G2352" s="73" t="str">
        <f>VLOOKUP(F2352,'[2]Lista de Produtos CLASSIFICAÇÃO'!$E$103:$F$114,2,FALSE)</f>
        <v>Biocombustíveis</v>
      </c>
      <c r="H2352" s="74">
        <v>15000</v>
      </c>
    </row>
    <row r="2353" spans="1:8" x14ac:dyDescent="0.25">
      <c r="A2353" s="75">
        <v>2026</v>
      </c>
      <c r="B2353" s="76" t="s">
        <v>231</v>
      </c>
      <c r="C2353" s="77" t="s">
        <v>296</v>
      </c>
      <c r="D2353" s="77" t="s">
        <v>192</v>
      </c>
      <c r="E2353" s="73" t="str">
        <f>VLOOKUP(D2353,clientes!$C$3:$D$60,2,FALSE)</f>
        <v>INPASA</v>
      </c>
      <c r="F2353" s="77" t="s">
        <v>121</v>
      </c>
      <c r="G2353" s="73" t="str">
        <f>VLOOKUP(F2353,'[2]Lista de Produtos CLASSIFICAÇÃO'!$E$103:$F$114,2,FALSE)</f>
        <v>Biocombustíveis</v>
      </c>
      <c r="H2353" s="78">
        <v>20000</v>
      </c>
    </row>
    <row r="2354" spans="1:8" x14ac:dyDescent="0.25">
      <c r="A2354" s="71">
        <v>2026</v>
      </c>
      <c r="B2354" s="72" t="s">
        <v>226</v>
      </c>
      <c r="C2354" s="73" t="s">
        <v>233</v>
      </c>
      <c r="D2354" s="73" t="s">
        <v>158</v>
      </c>
      <c r="E2354" s="73" t="str">
        <f>VLOOKUP(D2354,clientes!$C$3:$D$60,2,FALSE)</f>
        <v>IPIRANGA</v>
      </c>
      <c r="F2354" s="73" t="s">
        <v>120</v>
      </c>
      <c r="G2354" s="73" t="str">
        <f>VLOOKUP(F2354,'[2]Lista de Produtos CLASSIFICAÇÃO'!$E$103:$F$114,2,FALSE)</f>
        <v>Derivados</v>
      </c>
      <c r="H2354" s="74">
        <v>70000</v>
      </c>
    </row>
    <row r="2355" spans="1:8" x14ac:dyDescent="0.25">
      <c r="A2355" s="75">
        <v>2026</v>
      </c>
      <c r="B2355" s="76" t="s">
        <v>227</v>
      </c>
      <c r="C2355" s="77" t="s">
        <v>233</v>
      </c>
      <c r="D2355" s="77" t="s">
        <v>158</v>
      </c>
      <c r="E2355" s="73" t="str">
        <f>VLOOKUP(D2355,clientes!$C$3:$D$60,2,FALSE)</f>
        <v>IPIRANGA</v>
      </c>
      <c r="F2355" s="77" t="s">
        <v>120</v>
      </c>
      <c r="G2355" s="73" t="str">
        <f>VLOOKUP(F2355,'[2]Lista de Produtos CLASSIFICAÇÃO'!$E$103:$F$114,2,FALSE)</f>
        <v>Derivados</v>
      </c>
      <c r="H2355" s="78">
        <v>70000</v>
      </c>
    </row>
    <row r="2356" spans="1:8" x14ac:dyDescent="0.25">
      <c r="A2356" s="71">
        <v>2026</v>
      </c>
      <c r="B2356" s="72" t="s">
        <v>228</v>
      </c>
      <c r="C2356" s="73" t="s">
        <v>233</v>
      </c>
      <c r="D2356" s="73" t="s">
        <v>158</v>
      </c>
      <c r="E2356" s="73" t="str">
        <f>VLOOKUP(D2356,clientes!$C$3:$D$60,2,FALSE)</f>
        <v>IPIRANGA</v>
      </c>
      <c r="F2356" s="73" t="s">
        <v>120</v>
      </c>
      <c r="G2356" s="73" t="str">
        <f>VLOOKUP(F2356,'[2]Lista de Produtos CLASSIFICAÇÃO'!$E$103:$F$114,2,FALSE)</f>
        <v>Derivados</v>
      </c>
      <c r="H2356" s="74">
        <v>70000</v>
      </c>
    </row>
    <row r="2357" spans="1:8" x14ac:dyDescent="0.25">
      <c r="A2357" s="75">
        <v>2026</v>
      </c>
      <c r="B2357" s="76" t="s">
        <v>229</v>
      </c>
      <c r="C2357" s="77" t="s">
        <v>233</v>
      </c>
      <c r="D2357" s="77" t="s">
        <v>158</v>
      </c>
      <c r="E2357" s="73" t="str">
        <f>VLOOKUP(D2357,clientes!$C$3:$D$60,2,FALSE)</f>
        <v>IPIRANGA</v>
      </c>
      <c r="F2357" s="77" t="s">
        <v>120</v>
      </c>
      <c r="G2357" s="73" t="str">
        <f>VLOOKUP(F2357,'[2]Lista de Produtos CLASSIFICAÇÃO'!$E$103:$F$114,2,FALSE)</f>
        <v>Derivados</v>
      </c>
      <c r="H2357" s="78">
        <v>70000</v>
      </c>
    </row>
    <row r="2358" spans="1:8" x14ac:dyDescent="0.25">
      <c r="A2358" s="71">
        <v>2026</v>
      </c>
      <c r="B2358" s="72" t="s">
        <v>210</v>
      </c>
      <c r="C2358" s="73" t="s">
        <v>233</v>
      </c>
      <c r="D2358" s="73" t="s">
        <v>158</v>
      </c>
      <c r="E2358" s="73" t="str">
        <f>VLOOKUP(D2358,clientes!$C$3:$D$60,2,FALSE)</f>
        <v>IPIRANGA</v>
      </c>
      <c r="F2358" s="73" t="s">
        <v>120</v>
      </c>
      <c r="G2358" s="73" t="str">
        <f>VLOOKUP(F2358,'[2]Lista de Produtos CLASSIFICAÇÃO'!$E$103:$F$114,2,FALSE)</f>
        <v>Derivados</v>
      </c>
      <c r="H2358" s="74">
        <v>70000</v>
      </c>
    </row>
    <row r="2359" spans="1:8" x14ac:dyDescent="0.25">
      <c r="A2359" s="75">
        <v>2026</v>
      </c>
      <c r="B2359" s="76" t="s">
        <v>211</v>
      </c>
      <c r="C2359" s="77" t="s">
        <v>233</v>
      </c>
      <c r="D2359" s="77" t="s">
        <v>158</v>
      </c>
      <c r="E2359" s="73" t="str">
        <f>VLOOKUP(D2359,clientes!$C$3:$D$60,2,FALSE)</f>
        <v>IPIRANGA</v>
      </c>
      <c r="F2359" s="77" t="s">
        <v>120</v>
      </c>
      <c r="G2359" s="73" t="str">
        <f>VLOOKUP(F2359,'[2]Lista de Produtos CLASSIFICAÇÃO'!$E$103:$F$114,2,FALSE)</f>
        <v>Derivados</v>
      </c>
      <c r="H2359" s="78">
        <v>70000</v>
      </c>
    </row>
    <row r="2360" spans="1:8" x14ac:dyDescent="0.25">
      <c r="A2360" s="71">
        <v>2026</v>
      </c>
      <c r="B2360" s="72" t="s">
        <v>212</v>
      </c>
      <c r="C2360" s="73" t="s">
        <v>233</v>
      </c>
      <c r="D2360" s="73" t="s">
        <v>158</v>
      </c>
      <c r="E2360" s="73" t="str">
        <f>VLOOKUP(D2360,clientes!$C$3:$D$60,2,FALSE)</f>
        <v>IPIRANGA</v>
      </c>
      <c r="F2360" s="73" t="s">
        <v>120</v>
      </c>
      <c r="G2360" s="73" t="str">
        <f>VLOOKUP(F2360,'[2]Lista de Produtos CLASSIFICAÇÃO'!$E$103:$F$114,2,FALSE)</f>
        <v>Derivados</v>
      </c>
      <c r="H2360" s="74">
        <v>70000</v>
      </c>
    </row>
    <row r="2361" spans="1:8" x14ac:dyDescent="0.25">
      <c r="A2361" s="75">
        <v>2026</v>
      </c>
      <c r="B2361" s="76" t="s">
        <v>213</v>
      </c>
      <c r="C2361" s="77" t="s">
        <v>233</v>
      </c>
      <c r="D2361" s="77" t="s">
        <v>158</v>
      </c>
      <c r="E2361" s="73" t="str">
        <f>VLOOKUP(D2361,clientes!$C$3:$D$60,2,FALSE)</f>
        <v>IPIRANGA</v>
      </c>
      <c r="F2361" s="77" t="s">
        <v>120</v>
      </c>
      <c r="G2361" s="73" t="str">
        <f>VLOOKUP(F2361,'[2]Lista de Produtos CLASSIFICAÇÃO'!$E$103:$F$114,2,FALSE)</f>
        <v>Derivados</v>
      </c>
      <c r="H2361" s="78">
        <v>70000</v>
      </c>
    </row>
    <row r="2362" spans="1:8" x14ac:dyDescent="0.25">
      <c r="A2362" s="71">
        <v>2026</v>
      </c>
      <c r="B2362" s="72" t="s">
        <v>214</v>
      </c>
      <c r="C2362" s="73" t="s">
        <v>233</v>
      </c>
      <c r="D2362" s="73" t="s">
        <v>158</v>
      </c>
      <c r="E2362" s="73" t="str">
        <f>VLOOKUP(D2362,clientes!$C$3:$D$60,2,FALSE)</f>
        <v>IPIRANGA</v>
      </c>
      <c r="F2362" s="73" t="s">
        <v>120</v>
      </c>
      <c r="G2362" s="73" t="str">
        <f>VLOOKUP(F2362,'[2]Lista de Produtos CLASSIFICAÇÃO'!$E$103:$F$114,2,FALSE)</f>
        <v>Derivados</v>
      </c>
      <c r="H2362" s="74">
        <v>70000</v>
      </c>
    </row>
    <row r="2363" spans="1:8" x14ac:dyDescent="0.25">
      <c r="A2363" s="75">
        <v>2026</v>
      </c>
      <c r="B2363" s="76" t="s">
        <v>215</v>
      </c>
      <c r="C2363" s="77" t="s">
        <v>233</v>
      </c>
      <c r="D2363" s="77" t="s">
        <v>158</v>
      </c>
      <c r="E2363" s="73" t="str">
        <f>VLOOKUP(D2363,clientes!$C$3:$D$60,2,FALSE)</f>
        <v>IPIRANGA</v>
      </c>
      <c r="F2363" s="77" t="s">
        <v>120</v>
      </c>
      <c r="G2363" s="73" t="str">
        <f>VLOOKUP(F2363,'[2]Lista de Produtos CLASSIFICAÇÃO'!$E$103:$F$114,2,FALSE)</f>
        <v>Derivados</v>
      </c>
      <c r="H2363" s="78">
        <v>70000</v>
      </c>
    </row>
    <row r="2364" spans="1:8" x14ac:dyDescent="0.25">
      <c r="A2364" s="71">
        <v>2026</v>
      </c>
      <c r="B2364" s="72" t="s">
        <v>230</v>
      </c>
      <c r="C2364" s="73" t="s">
        <v>233</v>
      </c>
      <c r="D2364" s="73" t="s">
        <v>158</v>
      </c>
      <c r="E2364" s="73" t="str">
        <f>VLOOKUP(D2364,clientes!$C$3:$D$60,2,FALSE)</f>
        <v>IPIRANGA</v>
      </c>
      <c r="F2364" s="73" t="s">
        <v>120</v>
      </c>
      <c r="G2364" s="73" t="str">
        <f>VLOOKUP(F2364,'[2]Lista de Produtos CLASSIFICAÇÃO'!$E$103:$F$114,2,FALSE)</f>
        <v>Derivados</v>
      </c>
      <c r="H2364" s="74">
        <v>70000</v>
      </c>
    </row>
    <row r="2365" spans="1:8" x14ac:dyDescent="0.25">
      <c r="A2365" s="75">
        <v>2026</v>
      </c>
      <c r="B2365" s="76" t="s">
        <v>231</v>
      </c>
      <c r="C2365" s="77" t="s">
        <v>233</v>
      </c>
      <c r="D2365" s="77" t="s">
        <v>158</v>
      </c>
      <c r="E2365" s="73" t="str">
        <f>VLOOKUP(D2365,clientes!$C$3:$D$60,2,FALSE)</f>
        <v>IPIRANGA</v>
      </c>
      <c r="F2365" s="77" t="s">
        <v>120</v>
      </c>
      <c r="G2365" s="73" t="str">
        <f>VLOOKUP(F2365,'[2]Lista de Produtos CLASSIFICAÇÃO'!$E$103:$F$114,2,FALSE)</f>
        <v>Derivados</v>
      </c>
      <c r="H2365" s="78">
        <v>70000</v>
      </c>
    </row>
    <row r="2366" spans="1:8" x14ac:dyDescent="0.25">
      <c r="A2366" s="71">
        <v>2026</v>
      </c>
      <c r="B2366" s="72" t="s">
        <v>226</v>
      </c>
      <c r="C2366" s="73" t="s">
        <v>232</v>
      </c>
      <c r="D2366" s="73" t="s">
        <v>162</v>
      </c>
      <c r="E2366" s="73" t="str">
        <f>VLOOKUP(D2366,clientes!$C$3:$D$60,2,FALSE)</f>
        <v>JBS</v>
      </c>
      <c r="F2366" s="73" t="s">
        <v>123</v>
      </c>
      <c r="G2366" s="73" t="str">
        <f>VLOOKUP(F2366,'[2]Lista de Produtos CLASSIFICAÇÃO'!$E$103:$F$114,2,FALSE)</f>
        <v>Aquecidos</v>
      </c>
      <c r="H2366" s="74">
        <v>6000</v>
      </c>
    </row>
    <row r="2367" spans="1:8" x14ac:dyDescent="0.25">
      <c r="A2367" s="75">
        <v>2026</v>
      </c>
      <c r="B2367" s="76" t="s">
        <v>227</v>
      </c>
      <c r="C2367" s="77" t="s">
        <v>232</v>
      </c>
      <c r="D2367" s="77" t="s">
        <v>162</v>
      </c>
      <c r="E2367" s="73" t="str">
        <f>VLOOKUP(D2367,clientes!$C$3:$D$60,2,FALSE)</f>
        <v>JBS</v>
      </c>
      <c r="F2367" s="77" t="s">
        <v>123</v>
      </c>
      <c r="G2367" s="73" t="str">
        <f>VLOOKUP(F2367,'[2]Lista de Produtos CLASSIFICAÇÃO'!$E$103:$F$114,2,FALSE)</f>
        <v>Aquecidos</v>
      </c>
      <c r="H2367" s="78">
        <v>6000</v>
      </c>
    </row>
    <row r="2368" spans="1:8" x14ac:dyDescent="0.25">
      <c r="A2368" s="71">
        <v>2026</v>
      </c>
      <c r="B2368" s="72" t="s">
        <v>228</v>
      </c>
      <c r="C2368" s="73" t="s">
        <v>232</v>
      </c>
      <c r="D2368" s="73" t="s">
        <v>162</v>
      </c>
      <c r="E2368" s="73" t="str">
        <f>VLOOKUP(D2368,clientes!$C$3:$D$60,2,FALSE)</f>
        <v>JBS</v>
      </c>
      <c r="F2368" s="73" t="s">
        <v>123</v>
      </c>
      <c r="G2368" s="73" t="str">
        <f>VLOOKUP(F2368,'[2]Lista de Produtos CLASSIFICAÇÃO'!$E$103:$F$114,2,FALSE)</f>
        <v>Aquecidos</v>
      </c>
      <c r="H2368" s="74">
        <v>6000</v>
      </c>
    </row>
    <row r="2369" spans="1:8" x14ac:dyDescent="0.25">
      <c r="A2369" s="75">
        <v>2026</v>
      </c>
      <c r="B2369" s="76" t="s">
        <v>229</v>
      </c>
      <c r="C2369" s="77" t="s">
        <v>232</v>
      </c>
      <c r="D2369" s="77" t="s">
        <v>162</v>
      </c>
      <c r="E2369" s="73" t="str">
        <f>VLOOKUP(D2369,clientes!$C$3:$D$60,2,FALSE)</f>
        <v>JBS</v>
      </c>
      <c r="F2369" s="77" t="s">
        <v>123</v>
      </c>
      <c r="G2369" s="73" t="str">
        <f>VLOOKUP(F2369,'[2]Lista de Produtos CLASSIFICAÇÃO'!$E$103:$F$114,2,FALSE)</f>
        <v>Aquecidos</v>
      </c>
      <c r="H2369" s="78">
        <v>6000</v>
      </c>
    </row>
    <row r="2370" spans="1:8" x14ac:dyDescent="0.25">
      <c r="A2370" s="71">
        <v>2026</v>
      </c>
      <c r="B2370" s="72" t="s">
        <v>210</v>
      </c>
      <c r="C2370" s="73" t="s">
        <v>232</v>
      </c>
      <c r="D2370" s="73" t="s">
        <v>162</v>
      </c>
      <c r="E2370" s="73" t="str">
        <f>VLOOKUP(D2370,clientes!$C$3:$D$60,2,FALSE)</f>
        <v>JBS</v>
      </c>
      <c r="F2370" s="73" t="s">
        <v>123</v>
      </c>
      <c r="G2370" s="73" t="str">
        <f>VLOOKUP(F2370,'[2]Lista de Produtos CLASSIFICAÇÃO'!$E$103:$F$114,2,FALSE)</f>
        <v>Aquecidos</v>
      </c>
      <c r="H2370" s="74">
        <v>6000</v>
      </c>
    </row>
    <row r="2371" spans="1:8" x14ac:dyDescent="0.25">
      <c r="A2371" s="75">
        <v>2026</v>
      </c>
      <c r="B2371" s="76" t="s">
        <v>211</v>
      </c>
      <c r="C2371" s="77" t="s">
        <v>232</v>
      </c>
      <c r="D2371" s="77" t="s">
        <v>162</v>
      </c>
      <c r="E2371" s="73" t="str">
        <f>VLOOKUP(D2371,clientes!$C$3:$D$60,2,FALSE)</f>
        <v>JBS</v>
      </c>
      <c r="F2371" s="77" t="s">
        <v>123</v>
      </c>
      <c r="G2371" s="73" t="str">
        <f>VLOOKUP(F2371,'[2]Lista de Produtos CLASSIFICAÇÃO'!$E$103:$F$114,2,FALSE)</f>
        <v>Aquecidos</v>
      </c>
      <c r="H2371" s="78">
        <v>6000</v>
      </c>
    </row>
    <row r="2372" spans="1:8" x14ac:dyDescent="0.25">
      <c r="A2372" s="71">
        <v>2026</v>
      </c>
      <c r="B2372" s="72" t="s">
        <v>212</v>
      </c>
      <c r="C2372" s="73" t="s">
        <v>232</v>
      </c>
      <c r="D2372" s="73" t="s">
        <v>162</v>
      </c>
      <c r="E2372" s="73" t="str">
        <f>VLOOKUP(D2372,clientes!$C$3:$D$60,2,FALSE)</f>
        <v>JBS</v>
      </c>
      <c r="F2372" s="73" t="s">
        <v>123</v>
      </c>
      <c r="G2372" s="73" t="str">
        <f>VLOOKUP(F2372,'[2]Lista de Produtos CLASSIFICAÇÃO'!$E$103:$F$114,2,FALSE)</f>
        <v>Aquecidos</v>
      </c>
      <c r="H2372" s="74">
        <v>6000</v>
      </c>
    </row>
    <row r="2373" spans="1:8" x14ac:dyDescent="0.25">
      <c r="A2373" s="75">
        <v>2026</v>
      </c>
      <c r="B2373" s="76" t="s">
        <v>213</v>
      </c>
      <c r="C2373" s="77" t="s">
        <v>232</v>
      </c>
      <c r="D2373" s="77" t="s">
        <v>162</v>
      </c>
      <c r="E2373" s="73" t="str">
        <f>VLOOKUP(D2373,clientes!$C$3:$D$60,2,FALSE)</f>
        <v>JBS</v>
      </c>
      <c r="F2373" s="77" t="s">
        <v>123</v>
      </c>
      <c r="G2373" s="73" t="str">
        <f>VLOOKUP(F2373,'[2]Lista de Produtos CLASSIFICAÇÃO'!$E$103:$F$114,2,FALSE)</f>
        <v>Aquecidos</v>
      </c>
      <c r="H2373" s="78">
        <v>6000</v>
      </c>
    </row>
    <row r="2374" spans="1:8" x14ac:dyDescent="0.25">
      <c r="A2374" s="71">
        <v>2026</v>
      </c>
      <c r="B2374" s="72" t="s">
        <v>214</v>
      </c>
      <c r="C2374" s="73" t="s">
        <v>232</v>
      </c>
      <c r="D2374" s="73" t="s">
        <v>162</v>
      </c>
      <c r="E2374" s="73" t="str">
        <f>VLOOKUP(D2374,clientes!$C$3:$D$60,2,FALSE)</f>
        <v>JBS</v>
      </c>
      <c r="F2374" s="73" t="s">
        <v>123</v>
      </c>
      <c r="G2374" s="73" t="str">
        <f>VLOOKUP(F2374,'[2]Lista de Produtos CLASSIFICAÇÃO'!$E$103:$F$114,2,FALSE)</f>
        <v>Aquecidos</v>
      </c>
      <c r="H2374" s="74">
        <v>6000</v>
      </c>
    </row>
    <row r="2375" spans="1:8" x14ac:dyDescent="0.25">
      <c r="A2375" s="75">
        <v>2026</v>
      </c>
      <c r="B2375" s="76" t="s">
        <v>215</v>
      </c>
      <c r="C2375" s="77" t="s">
        <v>232</v>
      </c>
      <c r="D2375" s="77" t="s">
        <v>162</v>
      </c>
      <c r="E2375" s="73" t="str">
        <f>VLOOKUP(D2375,clientes!$C$3:$D$60,2,FALSE)</f>
        <v>JBS</v>
      </c>
      <c r="F2375" s="77" t="s">
        <v>123</v>
      </c>
      <c r="G2375" s="73" t="str">
        <f>VLOOKUP(F2375,'[2]Lista de Produtos CLASSIFICAÇÃO'!$E$103:$F$114,2,FALSE)</f>
        <v>Aquecidos</v>
      </c>
      <c r="H2375" s="78">
        <v>6000</v>
      </c>
    </row>
    <row r="2376" spans="1:8" x14ac:dyDescent="0.25">
      <c r="A2376" s="71">
        <v>2026</v>
      </c>
      <c r="B2376" s="72" t="s">
        <v>230</v>
      </c>
      <c r="C2376" s="73" t="s">
        <v>232</v>
      </c>
      <c r="D2376" s="73" t="s">
        <v>162</v>
      </c>
      <c r="E2376" s="73" t="str">
        <f>VLOOKUP(D2376,clientes!$C$3:$D$60,2,FALSE)</f>
        <v>JBS</v>
      </c>
      <c r="F2376" s="73" t="s">
        <v>123</v>
      </c>
      <c r="G2376" s="73" t="str">
        <f>VLOOKUP(F2376,'[2]Lista de Produtos CLASSIFICAÇÃO'!$E$103:$F$114,2,FALSE)</f>
        <v>Aquecidos</v>
      </c>
      <c r="H2376" s="74">
        <v>6000</v>
      </c>
    </row>
    <row r="2377" spans="1:8" x14ac:dyDescent="0.25">
      <c r="A2377" s="75">
        <v>2026</v>
      </c>
      <c r="B2377" s="76" t="s">
        <v>231</v>
      </c>
      <c r="C2377" s="77" t="s">
        <v>232</v>
      </c>
      <c r="D2377" s="77" t="s">
        <v>162</v>
      </c>
      <c r="E2377" s="73" t="str">
        <f>VLOOKUP(D2377,clientes!$C$3:$D$60,2,FALSE)</f>
        <v>JBS</v>
      </c>
      <c r="F2377" s="77" t="s">
        <v>123</v>
      </c>
      <c r="G2377" s="73" t="str">
        <f>VLOOKUP(F2377,'[2]Lista de Produtos CLASSIFICAÇÃO'!$E$103:$F$114,2,FALSE)</f>
        <v>Aquecidos</v>
      </c>
      <c r="H2377" s="78">
        <v>6000</v>
      </c>
    </row>
    <row r="2378" spans="1:8" x14ac:dyDescent="0.25">
      <c r="A2378" s="71">
        <v>2026</v>
      </c>
      <c r="B2378" s="72" t="s">
        <v>226</v>
      </c>
      <c r="C2378" s="73" t="s">
        <v>225</v>
      </c>
      <c r="D2378" s="73" t="s">
        <v>162</v>
      </c>
      <c r="E2378" s="73" t="str">
        <f>VLOOKUP(D2378,clientes!$C$3:$D$60,2,FALSE)</f>
        <v>JBS</v>
      </c>
      <c r="F2378" s="73" t="s">
        <v>115</v>
      </c>
      <c r="G2378" s="73" t="str">
        <f>VLOOKUP(F2378,'[2]Lista de Produtos CLASSIFICAÇÃO'!$E$103:$F$114,2,FALSE)</f>
        <v>Soda Caustica</v>
      </c>
      <c r="H2378" s="74">
        <v>2533</v>
      </c>
    </row>
    <row r="2379" spans="1:8" x14ac:dyDescent="0.25">
      <c r="A2379" s="75">
        <v>2026</v>
      </c>
      <c r="B2379" s="76" t="s">
        <v>227</v>
      </c>
      <c r="C2379" s="77" t="s">
        <v>225</v>
      </c>
      <c r="D2379" s="77" t="s">
        <v>162</v>
      </c>
      <c r="E2379" s="73" t="str">
        <f>VLOOKUP(D2379,clientes!$C$3:$D$60,2,FALSE)</f>
        <v>JBS</v>
      </c>
      <c r="F2379" s="77" t="s">
        <v>115</v>
      </c>
      <c r="G2379" s="73" t="str">
        <f>VLOOKUP(F2379,'[2]Lista de Produtos CLASSIFICAÇÃO'!$E$103:$F$114,2,FALSE)</f>
        <v>Soda Caustica</v>
      </c>
      <c r="H2379" s="78">
        <v>2533</v>
      </c>
    </row>
    <row r="2380" spans="1:8" x14ac:dyDescent="0.25">
      <c r="A2380" s="71">
        <v>2026</v>
      </c>
      <c r="B2380" s="72" t="s">
        <v>228</v>
      </c>
      <c r="C2380" s="73" t="s">
        <v>225</v>
      </c>
      <c r="D2380" s="73" t="s">
        <v>162</v>
      </c>
      <c r="E2380" s="73" t="str">
        <f>VLOOKUP(D2380,clientes!$C$3:$D$60,2,FALSE)</f>
        <v>JBS</v>
      </c>
      <c r="F2380" s="73" t="s">
        <v>115</v>
      </c>
      <c r="G2380" s="73" t="str">
        <f>VLOOKUP(F2380,'[2]Lista de Produtos CLASSIFICAÇÃO'!$E$103:$F$114,2,FALSE)</f>
        <v>Soda Caustica</v>
      </c>
      <c r="H2380" s="74">
        <v>2533</v>
      </c>
    </row>
    <row r="2381" spans="1:8" x14ac:dyDescent="0.25">
      <c r="A2381" s="75">
        <v>2026</v>
      </c>
      <c r="B2381" s="76" t="s">
        <v>229</v>
      </c>
      <c r="C2381" s="77" t="s">
        <v>225</v>
      </c>
      <c r="D2381" s="77" t="s">
        <v>162</v>
      </c>
      <c r="E2381" s="73" t="str">
        <f>VLOOKUP(D2381,clientes!$C$3:$D$60,2,FALSE)</f>
        <v>JBS</v>
      </c>
      <c r="F2381" s="77" t="s">
        <v>115</v>
      </c>
      <c r="G2381" s="73" t="str">
        <f>VLOOKUP(F2381,'[2]Lista de Produtos CLASSIFICAÇÃO'!$E$103:$F$114,2,FALSE)</f>
        <v>Soda Caustica</v>
      </c>
      <c r="H2381" s="78">
        <v>2533</v>
      </c>
    </row>
    <row r="2382" spans="1:8" x14ac:dyDescent="0.25">
      <c r="A2382" s="71">
        <v>2026</v>
      </c>
      <c r="B2382" s="72" t="s">
        <v>210</v>
      </c>
      <c r="C2382" s="73" t="s">
        <v>225</v>
      </c>
      <c r="D2382" s="73" t="s">
        <v>162</v>
      </c>
      <c r="E2382" s="73" t="str">
        <f>VLOOKUP(D2382,clientes!$C$3:$D$60,2,FALSE)</f>
        <v>JBS</v>
      </c>
      <c r="F2382" s="73" t="s">
        <v>115</v>
      </c>
      <c r="G2382" s="73" t="str">
        <f>VLOOKUP(F2382,'[2]Lista de Produtos CLASSIFICAÇÃO'!$E$103:$F$114,2,FALSE)</f>
        <v>Soda Caustica</v>
      </c>
      <c r="H2382" s="74">
        <v>2533</v>
      </c>
    </row>
    <row r="2383" spans="1:8" x14ac:dyDescent="0.25">
      <c r="A2383" s="75">
        <v>2026</v>
      </c>
      <c r="B2383" s="76" t="s">
        <v>211</v>
      </c>
      <c r="C2383" s="77" t="s">
        <v>225</v>
      </c>
      <c r="D2383" s="77" t="s">
        <v>162</v>
      </c>
      <c r="E2383" s="73" t="str">
        <f>VLOOKUP(D2383,clientes!$C$3:$D$60,2,FALSE)</f>
        <v>JBS</v>
      </c>
      <c r="F2383" s="77" t="s">
        <v>115</v>
      </c>
      <c r="G2383" s="73" t="str">
        <f>VLOOKUP(F2383,'[2]Lista de Produtos CLASSIFICAÇÃO'!$E$103:$F$114,2,FALSE)</f>
        <v>Soda Caustica</v>
      </c>
      <c r="H2383" s="78">
        <v>2533</v>
      </c>
    </row>
    <row r="2384" spans="1:8" x14ac:dyDescent="0.25">
      <c r="A2384" s="71">
        <v>2026</v>
      </c>
      <c r="B2384" s="72" t="s">
        <v>212</v>
      </c>
      <c r="C2384" s="73" t="s">
        <v>225</v>
      </c>
      <c r="D2384" s="73" t="s">
        <v>162</v>
      </c>
      <c r="E2384" s="73" t="str">
        <f>VLOOKUP(D2384,clientes!$C$3:$D$60,2,FALSE)</f>
        <v>JBS</v>
      </c>
      <c r="F2384" s="73" t="s">
        <v>115</v>
      </c>
      <c r="G2384" s="73" t="str">
        <f>VLOOKUP(F2384,'[2]Lista de Produtos CLASSIFICAÇÃO'!$E$103:$F$114,2,FALSE)</f>
        <v>Soda Caustica</v>
      </c>
      <c r="H2384" s="74">
        <v>2533</v>
      </c>
    </row>
    <row r="2385" spans="1:13" x14ac:dyDescent="0.25">
      <c r="A2385" s="75">
        <v>2026</v>
      </c>
      <c r="B2385" s="76" t="s">
        <v>213</v>
      </c>
      <c r="C2385" s="77" t="s">
        <v>225</v>
      </c>
      <c r="D2385" s="77" t="s">
        <v>162</v>
      </c>
      <c r="E2385" s="73" t="str">
        <f>VLOOKUP(D2385,clientes!$C$3:$D$60,2,FALSE)</f>
        <v>JBS</v>
      </c>
      <c r="F2385" s="77" t="s">
        <v>115</v>
      </c>
      <c r="G2385" s="73" t="str">
        <f>VLOOKUP(F2385,'[2]Lista de Produtos CLASSIFICAÇÃO'!$E$103:$F$114,2,FALSE)</f>
        <v>Soda Caustica</v>
      </c>
      <c r="H2385" s="78">
        <v>2533</v>
      </c>
    </row>
    <row r="2386" spans="1:13" x14ac:dyDescent="0.25">
      <c r="A2386" s="71">
        <v>2026</v>
      </c>
      <c r="B2386" s="72" t="s">
        <v>214</v>
      </c>
      <c r="C2386" s="73" t="s">
        <v>225</v>
      </c>
      <c r="D2386" s="73" t="s">
        <v>162</v>
      </c>
      <c r="E2386" s="73" t="str">
        <f>VLOOKUP(D2386,clientes!$C$3:$D$60,2,FALSE)</f>
        <v>JBS</v>
      </c>
      <c r="F2386" s="73" t="s">
        <v>115</v>
      </c>
      <c r="G2386" s="73" t="str">
        <f>VLOOKUP(F2386,'[2]Lista de Produtos CLASSIFICAÇÃO'!$E$103:$F$114,2,FALSE)</f>
        <v>Soda Caustica</v>
      </c>
      <c r="H2386" s="74">
        <v>2533</v>
      </c>
    </row>
    <row r="2387" spans="1:13" x14ac:dyDescent="0.25">
      <c r="A2387" s="75">
        <v>2026</v>
      </c>
      <c r="B2387" s="76" t="s">
        <v>215</v>
      </c>
      <c r="C2387" s="77" t="s">
        <v>225</v>
      </c>
      <c r="D2387" s="77" t="s">
        <v>162</v>
      </c>
      <c r="E2387" s="73" t="str">
        <f>VLOOKUP(D2387,clientes!$C$3:$D$60,2,FALSE)</f>
        <v>JBS</v>
      </c>
      <c r="F2387" s="77" t="s">
        <v>115</v>
      </c>
      <c r="G2387" s="73" t="str">
        <f>VLOOKUP(F2387,'[2]Lista de Produtos CLASSIFICAÇÃO'!$E$103:$F$114,2,FALSE)</f>
        <v>Soda Caustica</v>
      </c>
      <c r="H2387" s="78">
        <v>2533</v>
      </c>
    </row>
    <row r="2388" spans="1:13" x14ac:dyDescent="0.25">
      <c r="A2388" s="71">
        <v>2026</v>
      </c>
      <c r="B2388" s="72" t="s">
        <v>230</v>
      </c>
      <c r="C2388" s="73" t="s">
        <v>225</v>
      </c>
      <c r="D2388" s="73" t="s">
        <v>162</v>
      </c>
      <c r="E2388" s="73" t="str">
        <f>VLOOKUP(D2388,clientes!$C$3:$D$60,2,FALSE)</f>
        <v>JBS</v>
      </c>
      <c r="F2388" s="73" t="s">
        <v>115</v>
      </c>
      <c r="G2388" s="73" t="str">
        <f>VLOOKUP(F2388,'[2]Lista de Produtos CLASSIFICAÇÃO'!$E$103:$F$114,2,FALSE)</f>
        <v>Soda Caustica</v>
      </c>
      <c r="H2388" s="74">
        <v>2533</v>
      </c>
    </row>
    <row r="2389" spans="1:13" x14ac:dyDescent="0.25">
      <c r="A2389" s="75">
        <v>2026</v>
      </c>
      <c r="B2389" s="76" t="s">
        <v>231</v>
      </c>
      <c r="C2389" s="77" t="s">
        <v>225</v>
      </c>
      <c r="D2389" s="77" t="s">
        <v>162</v>
      </c>
      <c r="E2389" s="73" t="str">
        <f>VLOOKUP(D2389,clientes!$C$3:$D$60,2,FALSE)</f>
        <v>JBS</v>
      </c>
      <c r="F2389" s="77" t="s">
        <v>115</v>
      </c>
      <c r="G2389" s="73" t="str">
        <f>VLOOKUP(F2389,'[2]Lista de Produtos CLASSIFICAÇÃO'!$E$103:$F$114,2,FALSE)</f>
        <v>Soda Caustica</v>
      </c>
      <c r="H2389" s="78">
        <v>2533</v>
      </c>
    </row>
    <row r="2390" spans="1:13" x14ac:dyDescent="0.25">
      <c r="A2390" s="71">
        <v>2026</v>
      </c>
      <c r="B2390" s="72" t="s">
        <v>226</v>
      </c>
      <c r="C2390" s="73" t="s">
        <v>234</v>
      </c>
      <c r="D2390" s="73" t="s">
        <v>169</v>
      </c>
      <c r="E2390" s="73" t="str">
        <f>VLOOKUP(D2390,clientes!$C$3:$D$60,2,FALSE)</f>
        <v>METHANEX</v>
      </c>
      <c r="F2390" s="73" t="s">
        <v>22</v>
      </c>
      <c r="G2390" s="73" t="str">
        <f>VLOOKUP(F2390,'[2]Lista de Produtos CLASSIFICAÇÃO'!$E$103:$F$114,2,FALSE)</f>
        <v>Metanol</v>
      </c>
      <c r="H2390" s="74">
        <v>119500</v>
      </c>
    </row>
    <row r="2391" spans="1:13" x14ac:dyDescent="0.25">
      <c r="A2391" s="75">
        <v>2026</v>
      </c>
      <c r="B2391" s="76" t="s">
        <v>226</v>
      </c>
      <c r="C2391" s="77" t="s">
        <v>296</v>
      </c>
      <c r="D2391" s="77" t="s">
        <v>169</v>
      </c>
      <c r="E2391" s="73" t="str">
        <f>VLOOKUP(D2391,clientes!$C$3:$D$60,2,FALSE)</f>
        <v>METHANEX</v>
      </c>
      <c r="F2391" s="77" t="s">
        <v>22</v>
      </c>
      <c r="G2391" s="73" t="str">
        <f>VLOOKUP(F2391,'[2]Lista de Produtos CLASSIFICAÇÃO'!$E$103:$F$114,2,FALSE)</f>
        <v>Metanol</v>
      </c>
      <c r="H2391" s="78">
        <v>0</v>
      </c>
    </row>
    <row r="2392" spans="1:13" x14ac:dyDescent="0.25">
      <c r="A2392" s="71">
        <v>2026</v>
      </c>
      <c r="B2392" s="72" t="s">
        <v>227</v>
      </c>
      <c r="C2392" s="73" t="s">
        <v>234</v>
      </c>
      <c r="D2392" s="73" t="s">
        <v>169</v>
      </c>
      <c r="E2392" s="73" t="str">
        <f>VLOOKUP(D2392,clientes!$C$3:$D$60,2,FALSE)</f>
        <v>METHANEX</v>
      </c>
      <c r="F2392" s="73" t="s">
        <v>22</v>
      </c>
      <c r="G2392" s="73" t="str">
        <f>VLOOKUP(F2392,'[2]Lista de Produtos CLASSIFICAÇÃO'!$E$103:$F$114,2,FALSE)</f>
        <v>Metanol</v>
      </c>
      <c r="H2392" s="74">
        <v>119500</v>
      </c>
      <c r="J2392" t="s">
        <v>301</v>
      </c>
      <c r="K2392" s="69">
        <v>478000</v>
      </c>
      <c r="M2392">
        <f>K2392/K2393</f>
        <v>1.4230693897863571</v>
      </c>
    </row>
    <row r="2393" spans="1:13" x14ac:dyDescent="0.25">
      <c r="A2393" s="75">
        <v>2026</v>
      </c>
      <c r="B2393" s="76" t="s">
        <v>227</v>
      </c>
      <c r="C2393" s="77" t="s">
        <v>296</v>
      </c>
      <c r="D2393" s="77" t="s">
        <v>169</v>
      </c>
      <c r="E2393" s="73" t="str">
        <f>VLOOKUP(D2393,clientes!$C$3:$D$60,2,FALSE)</f>
        <v>METHANEX</v>
      </c>
      <c r="F2393" s="77" t="s">
        <v>22</v>
      </c>
      <c r="G2393" s="73" t="str">
        <f>VLOOKUP(F2393,'[2]Lista de Produtos CLASSIFICAÇÃO'!$E$103:$F$114,2,FALSE)</f>
        <v>Metanol</v>
      </c>
      <c r="H2393" s="78">
        <v>0</v>
      </c>
      <c r="J2393" t="s">
        <v>300</v>
      </c>
      <c r="K2393" s="86">
        <v>335893.67</v>
      </c>
      <c r="M2393">
        <f>M2392/4</f>
        <v>0.35576734744658928</v>
      </c>
    </row>
    <row r="2394" spans="1:13" x14ac:dyDescent="0.25">
      <c r="A2394" s="71">
        <v>2026</v>
      </c>
      <c r="B2394" s="72" t="s">
        <v>228</v>
      </c>
      <c r="C2394" s="73" t="s">
        <v>234</v>
      </c>
      <c r="D2394" s="73" t="s">
        <v>169</v>
      </c>
      <c r="E2394" s="73" t="str">
        <f>VLOOKUP(D2394,clientes!$C$3:$D$60,2,FALSE)</f>
        <v>METHANEX</v>
      </c>
      <c r="F2394" s="73" t="s">
        <v>22</v>
      </c>
      <c r="G2394" s="73" t="str">
        <f>VLOOKUP(F2394,'[2]Lista de Produtos CLASSIFICAÇÃO'!$E$103:$F$114,2,FALSE)</f>
        <v>Metanol</v>
      </c>
      <c r="H2394" s="74">
        <v>119500</v>
      </c>
    </row>
    <row r="2395" spans="1:13" x14ac:dyDescent="0.25">
      <c r="A2395" s="75">
        <v>2026</v>
      </c>
      <c r="B2395" s="76" t="s">
        <v>228</v>
      </c>
      <c r="C2395" s="77" t="s">
        <v>296</v>
      </c>
      <c r="D2395" s="77" t="s">
        <v>169</v>
      </c>
      <c r="E2395" s="73" t="str">
        <f>VLOOKUP(D2395,clientes!$C$3:$D$60,2,FALSE)</f>
        <v>METHANEX</v>
      </c>
      <c r="F2395" s="77" t="s">
        <v>22</v>
      </c>
      <c r="G2395" s="73" t="str">
        <f>VLOOKUP(F2395,'[2]Lista de Produtos CLASSIFICAÇÃO'!$E$103:$F$114,2,FALSE)</f>
        <v>Metanol</v>
      </c>
      <c r="H2395" s="78">
        <v>0</v>
      </c>
    </row>
    <row r="2396" spans="1:13" x14ac:dyDescent="0.25">
      <c r="A2396" s="71">
        <v>2026</v>
      </c>
      <c r="B2396" s="72" t="s">
        <v>229</v>
      </c>
      <c r="C2396" s="73" t="s">
        <v>234</v>
      </c>
      <c r="D2396" s="73" t="s">
        <v>169</v>
      </c>
      <c r="E2396" s="73" t="str">
        <f>VLOOKUP(D2396,clientes!$C$3:$D$60,2,FALSE)</f>
        <v>METHANEX</v>
      </c>
      <c r="F2396" s="73" t="s">
        <v>22</v>
      </c>
      <c r="G2396" s="73" t="str">
        <f>VLOOKUP(F2396,'[2]Lista de Produtos CLASSIFICAÇÃO'!$E$103:$F$114,2,FALSE)</f>
        <v>Metanol</v>
      </c>
      <c r="H2396" s="74">
        <v>119500</v>
      </c>
    </row>
    <row r="2397" spans="1:13" x14ac:dyDescent="0.25">
      <c r="A2397" s="75">
        <v>2026</v>
      </c>
      <c r="B2397" s="76" t="s">
        <v>229</v>
      </c>
      <c r="C2397" s="77" t="s">
        <v>296</v>
      </c>
      <c r="D2397" s="77" t="s">
        <v>169</v>
      </c>
      <c r="E2397" s="73" t="str">
        <f>VLOOKUP(D2397,clientes!$C$3:$D$60,2,FALSE)</f>
        <v>METHANEX</v>
      </c>
      <c r="F2397" s="77" t="s">
        <v>22</v>
      </c>
      <c r="G2397" s="73" t="str">
        <f>VLOOKUP(F2397,'[2]Lista de Produtos CLASSIFICAÇÃO'!$E$103:$F$114,2,FALSE)</f>
        <v>Metanol</v>
      </c>
      <c r="H2397" s="78">
        <v>0</v>
      </c>
    </row>
    <row r="2398" spans="1:13" x14ac:dyDescent="0.25">
      <c r="A2398" s="71">
        <v>2026</v>
      </c>
      <c r="B2398" s="72" t="s">
        <v>210</v>
      </c>
      <c r="C2398" s="73" t="s">
        <v>234</v>
      </c>
      <c r="D2398" s="73" t="s">
        <v>169</v>
      </c>
      <c r="E2398" s="73" t="str">
        <f>VLOOKUP(D2398,clientes!$C$3:$D$60,2,FALSE)</f>
        <v>METHANEX</v>
      </c>
      <c r="F2398" s="73" t="s">
        <v>22</v>
      </c>
      <c r="G2398" s="73" t="str">
        <f>VLOOKUP(F2398,'[2]Lista de Produtos CLASSIFICAÇÃO'!$E$103:$F$114,2,FALSE)</f>
        <v>Metanol</v>
      </c>
      <c r="H2398" s="74">
        <v>109500</v>
      </c>
    </row>
    <row r="2399" spans="1:13" x14ac:dyDescent="0.25">
      <c r="A2399" s="75">
        <v>2026</v>
      </c>
      <c r="B2399" s="76" t="s">
        <v>210</v>
      </c>
      <c r="C2399" s="77" t="s">
        <v>296</v>
      </c>
      <c r="D2399" s="77" t="s">
        <v>169</v>
      </c>
      <c r="E2399" s="73" t="str">
        <f>VLOOKUP(D2399,clientes!$C$3:$D$60,2,FALSE)</f>
        <v>METHANEX</v>
      </c>
      <c r="F2399" s="77" t="s">
        <v>22</v>
      </c>
      <c r="G2399" s="73" t="str">
        <f>VLOOKUP(F2399,'[2]Lista de Produtos CLASSIFICAÇÃO'!$E$103:$F$114,2,FALSE)</f>
        <v>Metanol</v>
      </c>
      <c r="H2399" s="78">
        <v>35000</v>
      </c>
    </row>
    <row r="2400" spans="1:13" x14ac:dyDescent="0.25">
      <c r="A2400" s="71">
        <v>2026</v>
      </c>
      <c r="B2400" s="72" t="s">
        <v>211</v>
      </c>
      <c r="C2400" s="73" t="s">
        <v>234</v>
      </c>
      <c r="D2400" s="73" t="s">
        <v>169</v>
      </c>
      <c r="E2400" s="73" t="str">
        <f>VLOOKUP(D2400,clientes!$C$3:$D$60,2,FALSE)</f>
        <v>METHANEX</v>
      </c>
      <c r="F2400" s="73" t="s">
        <v>22</v>
      </c>
      <c r="G2400" s="73" t="str">
        <f>VLOOKUP(F2400,'[2]Lista de Produtos CLASSIFICAÇÃO'!$E$103:$F$114,2,FALSE)</f>
        <v>Metanol</v>
      </c>
      <c r="H2400" s="74">
        <v>109500</v>
      </c>
    </row>
    <row r="2401" spans="1:12" x14ac:dyDescent="0.25">
      <c r="A2401" s="75">
        <v>2026</v>
      </c>
      <c r="B2401" s="76" t="s">
        <v>211</v>
      </c>
      <c r="C2401" s="77" t="s">
        <v>296</v>
      </c>
      <c r="D2401" s="77" t="s">
        <v>169</v>
      </c>
      <c r="E2401" s="73" t="str">
        <f>VLOOKUP(D2401,clientes!$C$3:$D$60,2,FALSE)</f>
        <v>METHANEX</v>
      </c>
      <c r="F2401" s="77" t="s">
        <v>22</v>
      </c>
      <c r="G2401" s="73" t="str">
        <f>VLOOKUP(F2401,'[2]Lista de Produtos CLASSIFICAÇÃO'!$E$103:$F$114,2,FALSE)</f>
        <v>Metanol</v>
      </c>
      <c r="H2401" s="78">
        <v>35000</v>
      </c>
    </row>
    <row r="2402" spans="1:12" x14ac:dyDescent="0.25">
      <c r="A2402" s="71">
        <v>2026</v>
      </c>
      <c r="B2402" s="72" t="s">
        <v>212</v>
      </c>
      <c r="C2402" s="73" t="s">
        <v>234</v>
      </c>
      <c r="D2402" s="73" t="s">
        <v>169</v>
      </c>
      <c r="E2402" s="73" t="str">
        <f>VLOOKUP(D2402,clientes!$C$3:$D$60,2,FALSE)</f>
        <v>METHANEX</v>
      </c>
      <c r="F2402" s="73" t="s">
        <v>22</v>
      </c>
      <c r="G2402" s="73" t="str">
        <f>VLOOKUP(F2402,'[2]Lista de Produtos CLASSIFICAÇÃO'!$E$103:$F$114,2,FALSE)</f>
        <v>Metanol</v>
      </c>
      <c r="H2402" s="74">
        <v>109500</v>
      </c>
    </row>
    <row r="2403" spans="1:12" x14ac:dyDescent="0.25">
      <c r="A2403" s="75">
        <v>2026</v>
      </c>
      <c r="B2403" s="76" t="s">
        <v>212</v>
      </c>
      <c r="C2403" s="77" t="s">
        <v>296</v>
      </c>
      <c r="D2403" s="77" t="s">
        <v>169</v>
      </c>
      <c r="E2403" s="73" t="str">
        <f>VLOOKUP(D2403,clientes!$C$3:$D$60,2,FALSE)</f>
        <v>METHANEX</v>
      </c>
      <c r="F2403" s="77" t="s">
        <v>22</v>
      </c>
      <c r="G2403" s="73" t="str">
        <f>VLOOKUP(F2403,'[2]Lista de Produtos CLASSIFICAÇÃO'!$E$103:$F$114,2,FALSE)</f>
        <v>Metanol</v>
      </c>
      <c r="H2403" s="78">
        <v>35000</v>
      </c>
      <c r="L2403" s="69"/>
    </row>
    <row r="2404" spans="1:12" x14ac:dyDescent="0.25">
      <c r="A2404" s="71">
        <v>2026</v>
      </c>
      <c r="B2404" s="72" t="s">
        <v>213</v>
      </c>
      <c r="C2404" s="73" t="s">
        <v>234</v>
      </c>
      <c r="D2404" s="73" t="s">
        <v>169</v>
      </c>
      <c r="E2404" s="73" t="str">
        <f>VLOOKUP(D2404,clientes!$C$3:$D$60,2,FALSE)</f>
        <v>METHANEX</v>
      </c>
      <c r="F2404" s="73" t="s">
        <v>22</v>
      </c>
      <c r="G2404" s="73" t="str">
        <f>VLOOKUP(F2404,'[2]Lista de Produtos CLASSIFICAÇÃO'!$E$103:$F$114,2,FALSE)</f>
        <v>Metanol</v>
      </c>
      <c r="H2404" s="74">
        <v>109500</v>
      </c>
      <c r="L2404" s="86"/>
    </row>
    <row r="2405" spans="1:12" x14ac:dyDescent="0.25">
      <c r="A2405" s="75">
        <v>2026</v>
      </c>
      <c r="B2405" s="76" t="s">
        <v>213</v>
      </c>
      <c r="C2405" s="77" t="s">
        <v>296</v>
      </c>
      <c r="D2405" s="77" t="s">
        <v>169</v>
      </c>
      <c r="E2405" s="73" t="str">
        <f>VLOOKUP(D2405,clientes!$C$3:$D$60,2,FALSE)</f>
        <v>METHANEX</v>
      </c>
      <c r="F2405" s="77" t="s">
        <v>22</v>
      </c>
      <c r="G2405" s="73" t="str">
        <f>VLOOKUP(F2405,'[2]Lista de Produtos CLASSIFICAÇÃO'!$E$103:$F$114,2,FALSE)</f>
        <v>Metanol</v>
      </c>
      <c r="H2405" s="78">
        <v>35000</v>
      </c>
      <c r="K2405" s="69">
        <v>1634000</v>
      </c>
    </row>
    <row r="2406" spans="1:12" x14ac:dyDescent="0.25">
      <c r="A2406" s="71">
        <v>2026</v>
      </c>
      <c r="B2406" s="72" t="s">
        <v>214</v>
      </c>
      <c r="C2406" s="73" t="s">
        <v>234</v>
      </c>
      <c r="D2406" s="73" t="s">
        <v>169</v>
      </c>
      <c r="E2406" s="73" t="str">
        <f>VLOOKUP(D2406,clientes!$C$3:$D$60,2,FALSE)</f>
        <v>METHANEX</v>
      </c>
      <c r="F2406" s="73" t="s">
        <v>22</v>
      </c>
      <c r="G2406" s="73" t="str">
        <f>VLOOKUP(F2406,'[2]Lista de Produtos CLASSIFICAÇÃO'!$E$103:$F$114,2,FALSE)</f>
        <v>Metanol</v>
      </c>
      <c r="H2406" s="74">
        <v>109500</v>
      </c>
    </row>
    <row r="2407" spans="1:12" x14ac:dyDescent="0.25">
      <c r="A2407" s="75">
        <v>2026</v>
      </c>
      <c r="B2407" s="76" t="s">
        <v>214</v>
      </c>
      <c r="C2407" s="77" t="s">
        <v>296</v>
      </c>
      <c r="D2407" s="77" t="s">
        <v>169</v>
      </c>
      <c r="E2407" s="73" t="str">
        <f>VLOOKUP(D2407,clientes!$C$3:$D$60,2,FALSE)</f>
        <v>METHANEX</v>
      </c>
      <c r="F2407" s="77" t="s">
        <v>22</v>
      </c>
      <c r="G2407" s="73" t="str">
        <f>VLOOKUP(F2407,'[2]Lista de Produtos CLASSIFICAÇÃO'!$E$103:$F$114,2,FALSE)</f>
        <v>Metanol</v>
      </c>
      <c r="H2407" s="78">
        <v>35000</v>
      </c>
    </row>
    <row r="2408" spans="1:12" x14ac:dyDescent="0.25">
      <c r="A2408" s="71">
        <v>2026</v>
      </c>
      <c r="B2408" s="72" t="s">
        <v>215</v>
      </c>
      <c r="C2408" s="73" t="s">
        <v>234</v>
      </c>
      <c r="D2408" s="73" t="s">
        <v>169</v>
      </c>
      <c r="E2408" s="73" t="str">
        <f>VLOOKUP(D2408,clientes!$C$3:$D$60,2,FALSE)</f>
        <v>METHANEX</v>
      </c>
      <c r="F2408" s="73" t="s">
        <v>22</v>
      </c>
      <c r="G2408" s="73" t="str">
        <f>VLOOKUP(F2408,'[2]Lista de Produtos CLASSIFICAÇÃO'!$E$103:$F$114,2,FALSE)</f>
        <v>Metanol</v>
      </c>
      <c r="H2408" s="74">
        <v>109500</v>
      </c>
    </row>
    <row r="2409" spans="1:12" x14ac:dyDescent="0.25">
      <c r="A2409" s="75">
        <v>2026</v>
      </c>
      <c r="B2409" s="76" t="s">
        <v>215</v>
      </c>
      <c r="C2409" s="77" t="s">
        <v>296</v>
      </c>
      <c r="D2409" s="77" t="s">
        <v>169</v>
      </c>
      <c r="E2409" s="73" t="str">
        <f>VLOOKUP(D2409,clientes!$C$3:$D$60,2,FALSE)</f>
        <v>METHANEX</v>
      </c>
      <c r="F2409" s="77" t="s">
        <v>22</v>
      </c>
      <c r="G2409" s="73" t="str">
        <f>VLOOKUP(F2409,'[2]Lista de Produtos CLASSIFICAÇÃO'!$E$103:$F$114,2,FALSE)</f>
        <v>Metanol</v>
      </c>
      <c r="H2409" s="78">
        <v>35000</v>
      </c>
    </row>
    <row r="2410" spans="1:12" x14ac:dyDescent="0.25">
      <c r="A2410" s="71">
        <v>2026</v>
      </c>
      <c r="B2410" s="72" t="s">
        <v>230</v>
      </c>
      <c r="C2410" s="73" t="s">
        <v>234</v>
      </c>
      <c r="D2410" s="73" t="s">
        <v>169</v>
      </c>
      <c r="E2410" s="73" t="str">
        <f>VLOOKUP(D2410,clientes!$C$3:$D$60,2,FALSE)</f>
        <v>METHANEX</v>
      </c>
      <c r="F2410" s="73" t="s">
        <v>22</v>
      </c>
      <c r="G2410" s="73" t="str">
        <f>VLOOKUP(F2410,'[2]Lista de Produtos CLASSIFICAÇÃO'!$E$103:$F$114,2,FALSE)</f>
        <v>Metanol</v>
      </c>
      <c r="H2410" s="74">
        <v>109500</v>
      </c>
    </row>
    <row r="2411" spans="1:12" x14ac:dyDescent="0.25">
      <c r="A2411" s="75">
        <v>2026</v>
      </c>
      <c r="B2411" s="76" t="s">
        <v>230</v>
      </c>
      <c r="C2411" s="77" t="s">
        <v>296</v>
      </c>
      <c r="D2411" s="77" t="s">
        <v>169</v>
      </c>
      <c r="E2411" s="73" t="str">
        <f>VLOOKUP(D2411,clientes!$C$3:$D$60,2,FALSE)</f>
        <v>METHANEX</v>
      </c>
      <c r="F2411" s="77" t="s">
        <v>22</v>
      </c>
      <c r="G2411" s="73" t="str">
        <f>VLOOKUP(F2411,'[2]Lista de Produtos CLASSIFICAÇÃO'!$E$103:$F$114,2,FALSE)</f>
        <v>Metanol</v>
      </c>
      <c r="H2411" s="78">
        <v>35000</v>
      </c>
    </row>
    <row r="2412" spans="1:12" x14ac:dyDescent="0.25">
      <c r="A2412" s="71">
        <v>2026</v>
      </c>
      <c r="B2412" s="72" t="s">
        <v>231</v>
      </c>
      <c r="C2412" s="73" t="s">
        <v>234</v>
      </c>
      <c r="D2412" s="73" t="s">
        <v>169</v>
      </c>
      <c r="E2412" s="73" t="str">
        <f>VLOOKUP(D2412,clientes!$C$3:$D$60,2,FALSE)</f>
        <v>METHANEX</v>
      </c>
      <c r="F2412" s="73" t="s">
        <v>22</v>
      </c>
      <c r="G2412" s="73" t="str">
        <f>VLOOKUP(F2412,'[2]Lista de Produtos CLASSIFICAÇÃO'!$E$103:$F$114,2,FALSE)</f>
        <v>Metanol</v>
      </c>
      <c r="H2412" s="74">
        <v>109500</v>
      </c>
    </row>
    <row r="2413" spans="1:12" x14ac:dyDescent="0.25">
      <c r="A2413" s="75">
        <v>2026</v>
      </c>
      <c r="B2413" s="76" t="s">
        <v>231</v>
      </c>
      <c r="C2413" s="77" t="s">
        <v>296</v>
      </c>
      <c r="D2413" s="77" t="s">
        <v>169</v>
      </c>
      <c r="E2413" s="73" t="str">
        <f>VLOOKUP(D2413,clientes!$C$3:$D$60,2,FALSE)</f>
        <v>METHANEX</v>
      </c>
      <c r="F2413" s="77" t="s">
        <v>22</v>
      </c>
      <c r="G2413" s="73" t="str">
        <f>VLOOKUP(F2413,'[2]Lista de Produtos CLASSIFICAÇÃO'!$E$103:$F$114,2,FALSE)</f>
        <v>Metanol</v>
      </c>
      <c r="H2413" s="78">
        <v>35000</v>
      </c>
    </row>
    <row r="2414" spans="1:12" x14ac:dyDescent="0.25">
      <c r="A2414" s="71">
        <v>2026</v>
      </c>
      <c r="B2414" s="72" t="s">
        <v>226</v>
      </c>
      <c r="C2414" s="73" t="s">
        <v>234</v>
      </c>
      <c r="D2414" s="73" t="s">
        <v>170</v>
      </c>
      <c r="E2414" s="73" t="str">
        <f>VLOOKUP(D2414,clientes!$C$3:$D$60,2,FALSE)</f>
        <v>MITSUBISHI</v>
      </c>
      <c r="F2414" s="73" t="s">
        <v>22</v>
      </c>
      <c r="G2414" s="73" t="str">
        <f>VLOOKUP(F2414,'[2]Lista de Produtos CLASSIFICAÇÃO'!$E$103:$F$114,2,FALSE)</f>
        <v>Metanol</v>
      </c>
      <c r="H2414" s="74">
        <v>60000</v>
      </c>
    </row>
    <row r="2415" spans="1:12" x14ac:dyDescent="0.25">
      <c r="A2415" s="75">
        <v>2026</v>
      </c>
      <c r="B2415" s="76" t="s">
        <v>227</v>
      </c>
      <c r="C2415" s="77" t="s">
        <v>234</v>
      </c>
      <c r="D2415" s="77" t="s">
        <v>170</v>
      </c>
      <c r="E2415" s="73" t="str">
        <f>VLOOKUP(D2415,clientes!$C$3:$D$60,2,FALSE)</f>
        <v>MITSUBISHI</v>
      </c>
      <c r="F2415" s="77" t="s">
        <v>22</v>
      </c>
      <c r="G2415" s="73" t="str">
        <f>VLOOKUP(F2415,'[2]Lista de Produtos CLASSIFICAÇÃO'!$E$103:$F$114,2,FALSE)</f>
        <v>Metanol</v>
      </c>
      <c r="H2415" s="78">
        <v>60000</v>
      </c>
    </row>
    <row r="2416" spans="1:12" x14ac:dyDescent="0.25">
      <c r="A2416" s="71">
        <v>2026</v>
      </c>
      <c r="B2416" s="72" t="s">
        <v>228</v>
      </c>
      <c r="C2416" s="73" t="s">
        <v>234</v>
      </c>
      <c r="D2416" s="73" t="s">
        <v>170</v>
      </c>
      <c r="E2416" s="73" t="str">
        <f>VLOOKUP(D2416,clientes!$C$3:$D$60,2,FALSE)</f>
        <v>MITSUBISHI</v>
      </c>
      <c r="F2416" s="73" t="s">
        <v>22</v>
      </c>
      <c r="G2416" s="73" t="str">
        <f>VLOOKUP(F2416,'[2]Lista de Produtos CLASSIFICAÇÃO'!$E$103:$F$114,2,FALSE)</f>
        <v>Metanol</v>
      </c>
      <c r="H2416" s="74">
        <v>60000</v>
      </c>
    </row>
    <row r="2417" spans="1:11" x14ac:dyDescent="0.25">
      <c r="A2417" s="75">
        <v>2026</v>
      </c>
      <c r="B2417" s="76" t="s">
        <v>229</v>
      </c>
      <c r="C2417" s="77" t="s">
        <v>234</v>
      </c>
      <c r="D2417" s="77" t="s">
        <v>170</v>
      </c>
      <c r="E2417" s="73" t="str">
        <f>VLOOKUP(D2417,clientes!$C$3:$D$60,2,FALSE)</f>
        <v>MITSUBISHI</v>
      </c>
      <c r="F2417" s="77" t="s">
        <v>22</v>
      </c>
      <c r="G2417" s="73" t="str">
        <f>VLOOKUP(F2417,'[2]Lista de Produtos CLASSIFICAÇÃO'!$E$103:$F$114,2,FALSE)</f>
        <v>Metanol</v>
      </c>
      <c r="H2417" s="78">
        <v>60000</v>
      </c>
    </row>
    <row r="2418" spans="1:11" x14ac:dyDescent="0.25">
      <c r="A2418" s="71">
        <v>2026</v>
      </c>
      <c r="B2418" s="72" t="s">
        <v>210</v>
      </c>
      <c r="C2418" s="73" t="s">
        <v>234</v>
      </c>
      <c r="D2418" s="73" t="s">
        <v>170</v>
      </c>
      <c r="E2418" s="73" t="str">
        <f>VLOOKUP(D2418,clientes!$C$3:$D$60,2,FALSE)</f>
        <v>MITSUBISHI</v>
      </c>
      <c r="F2418" s="73" t="s">
        <v>22</v>
      </c>
      <c r="G2418" s="73" t="str">
        <f>VLOOKUP(F2418,'[2]Lista de Produtos CLASSIFICAÇÃO'!$E$103:$F$114,2,FALSE)</f>
        <v>Metanol</v>
      </c>
      <c r="H2418" s="74">
        <v>60000</v>
      </c>
    </row>
    <row r="2419" spans="1:11" x14ac:dyDescent="0.25">
      <c r="A2419" s="75">
        <v>2026</v>
      </c>
      <c r="B2419" s="76" t="s">
        <v>211</v>
      </c>
      <c r="C2419" s="77" t="s">
        <v>234</v>
      </c>
      <c r="D2419" s="77" t="s">
        <v>170</v>
      </c>
      <c r="E2419" s="73" t="str">
        <f>VLOOKUP(D2419,clientes!$C$3:$D$60,2,FALSE)</f>
        <v>MITSUBISHI</v>
      </c>
      <c r="F2419" s="77" t="s">
        <v>22</v>
      </c>
      <c r="G2419" s="73" t="str">
        <f>VLOOKUP(F2419,'[2]Lista de Produtos CLASSIFICAÇÃO'!$E$103:$F$114,2,FALSE)</f>
        <v>Metanol</v>
      </c>
      <c r="H2419" s="78">
        <v>60000</v>
      </c>
    </row>
    <row r="2420" spans="1:11" x14ac:dyDescent="0.25">
      <c r="A2420" s="71">
        <v>2026</v>
      </c>
      <c r="B2420" s="72" t="s">
        <v>212</v>
      </c>
      <c r="C2420" s="73" t="s">
        <v>234</v>
      </c>
      <c r="D2420" s="73" t="s">
        <v>170</v>
      </c>
      <c r="E2420" s="73" t="str">
        <f>VLOOKUP(D2420,clientes!$C$3:$D$60,2,FALSE)</f>
        <v>MITSUBISHI</v>
      </c>
      <c r="F2420" s="73" t="s">
        <v>22</v>
      </c>
      <c r="G2420" s="73" t="str">
        <f>VLOOKUP(F2420,'[2]Lista de Produtos CLASSIFICAÇÃO'!$E$103:$F$114,2,FALSE)</f>
        <v>Metanol</v>
      </c>
      <c r="H2420" s="74">
        <v>60000</v>
      </c>
    </row>
    <row r="2421" spans="1:11" x14ac:dyDescent="0.25">
      <c r="A2421" s="75">
        <v>2026</v>
      </c>
      <c r="B2421" s="76" t="s">
        <v>213</v>
      </c>
      <c r="C2421" s="77" t="s">
        <v>234</v>
      </c>
      <c r="D2421" s="77" t="s">
        <v>170</v>
      </c>
      <c r="E2421" s="73" t="str">
        <f>VLOOKUP(D2421,clientes!$C$3:$D$60,2,FALSE)</f>
        <v>MITSUBISHI</v>
      </c>
      <c r="F2421" s="77" t="s">
        <v>22</v>
      </c>
      <c r="G2421" s="73" t="str">
        <f>VLOOKUP(F2421,'[2]Lista de Produtos CLASSIFICAÇÃO'!$E$103:$F$114,2,FALSE)</f>
        <v>Metanol</v>
      </c>
      <c r="H2421" s="78">
        <v>60000</v>
      </c>
    </row>
    <row r="2422" spans="1:11" x14ac:dyDescent="0.25">
      <c r="A2422" s="71">
        <v>2026</v>
      </c>
      <c r="B2422" s="72" t="s">
        <v>214</v>
      </c>
      <c r="C2422" s="73" t="s">
        <v>234</v>
      </c>
      <c r="D2422" s="73" t="s">
        <v>170</v>
      </c>
      <c r="E2422" s="73" t="str">
        <f>VLOOKUP(D2422,clientes!$C$3:$D$60,2,FALSE)</f>
        <v>MITSUBISHI</v>
      </c>
      <c r="F2422" s="73" t="s">
        <v>22</v>
      </c>
      <c r="G2422" s="73" t="str">
        <f>VLOOKUP(F2422,'[2]Lista de Produtos CLASSIFICAÇÃO'!$E$103:$F$114,2,FALSE)</f>
        <v>Metanol</v>
      </c>
      <c r="H2422" s="74">
        <v>60000</v>
      </c>
    </row>
    <row r="2423" spans="1:11" x14ac:dyDescent="0.25">
      <c r="A2423" s="75">
        <v>2026</v>
      </c>
      <c r="B2423" s="76" t="s">
        <v>215</v>
      </c>
      <c r="C2423" s="77" t="s">
        <v>234</v>
      </c>
      <c r="D2423" s="77" t="s">
        <v>170</v>
      </c>
      <c r="E2423" s="73" t="str">
        <f>VLOOKUP(D2423,clientes!$C$3:$D$60,2,FALSE)</f>
        <v>MITSUBISHI</v>
      </c>
      <c r="F2423" s="77" t="s">
        <v>22</v>
      </c>
      <c r="G2423" s="73" t="str">
        <f>VLOOKUP(F2423,'[2]Lista de Produtos CLASSIFICAÇÃO'!$E$103:$F$114,2,FALSE)</f>
        <v>Metanol</v>
      </c>
      <c r="H2423" s="78">
        <v>60000</v>
      </c>
    </row>
    <row r="2424" spans="1:11" x14ac:dyDescent="0.25">
      <c r="A2424" s="71">
        <v>2026</v>
      </c>
      <c r="B2424" s="72" t="s">
        <v>230</v>
      </c>
      <c r="C2424" s="73" t="s">
        <v>234</v>
      </c>
      <c r="D2424" s="73" t="s">
        <v>170</v>
      </c>
      <c r="E2424" s="73" t="str">
        <f>VLOOKUP(D2424,clientes!$C$3:$D$60,2,FALSE)</f>
        <v>MITSUBISHI</v>
      </c>
      <c r="F2424" s="73" t="s">
        <v>22</v>
      </c>
      <c r="G2424" s="73" t="str">
        <f>VLOOKUP(F2424,'[2]Lista de Produtos CLASSIFICAÇÃO'!$E$103:$F$114,2,FALSE)</f>
        <v>Metanol</v>
      </c>
      <c r="H2424" s="74">
        <v>60000</v>
      </c>
    </row>
    <row r="2425" spans="1:11" x14ac:dyDescent="0.25">
      <c r="A2425" s="75">
        <v>2026</v>
      </c>
      <c r="B2425" s="76" t="s">
        <v>231</v>
      </c>
      <c r="C2425" s="77" t="s">
        <v>234</v>
      </c>
      <c r="D2425" s="77" t="s">
        <v>170</v>
      </c>
      <c r="E2425" s="73" t="str">
        <f>VLOOKUP(D2425,clientes!$C$3:$D$60,2,FALSE)</f>
        <v>MITSUBISHI</v>
      </c>
      <c r="F2425" s="77" t="s">
        <v>22</v>
      </c>
      <c r="G2425" s="73" t="str">
        <f>VLOOKUP(F2425,'[2]Lista de Produtos CLASSIFICAÇÃO'!$E$103:$F$114,2,FALSE)</f>
        <v>Metanol</v>
      </c>
      <c r="H2425" s="78">
        <v>60000</v>
      </c>
    </row>
    <row r="2426" spans="1:11" x14ac:dyDescent="0.25">
      <c r="A2426" s="71">
        <v>2026</v>
      </c>
      <c r="B2426" s="72" t="s">
        <v>226</v>
      </c>
      <c r="C2426" s="73" t="s">
        <v>235</v>
      </c>
      <c r="D2426" s="73" t="s">
        <v>186</v>
      </c>
      <c r="E2426" s="73" t="str">
        <f>VLOOKUP(D2426,clientes!$C$3:$D$60,2,FALSE)</f>
        <v>OQ TRADING</v>
      </c>
      <c r="F2426" s="73" t="s">
        <v>22</v>
      </c>
      <c r="G2426" s="73" t="str">
        <f>VLOOKUP(F2426,'[2]Lista de Produtos CLASSIFICAÇÃO'!$E$103:$F$114,2,FALSE)</f>
        <v>Metanol</v>
      </c>
      <c r="H2426" s="74">
        <v>20000</v>
      </c>
    </row>
    <row r="2427" spans="1:11" x14ac:dyDescent="0.25">
      <c r="A2427" s="75">
        <v>2026</v>
      </c>
      <c r="B2427" s="76" t="s">
        <v>226</v>
      </c>
      <c r="C2427" s="77" t="s">
        <v>296</v>
      </c>
      <c r="D2427" s="77" t="s">
        <v>186</v>
      </c>
      <c r="E2427" s="73" t="str">
        <f>VLOOKUP(D2427,clientes!$C$3:$D$60,2,FALSE)</f>
        <v>OQ TRADING</v>
      </c>
      <c r="F2427" s="77" t="s">
        <v>22</v>
      </c>
      <c r="G2427" s="73" t="str">
        <f>VLOOKUP(F2427,'[2]Lista de Produtos CLASSIFICAÇÃO'!$E$103:$F$114,2,FALSE)</f>
        <v>Metanol</v>
      </c>
      <c r="H2427" s="78">
        <v>0</v>
      </c>
      <c r="K2427" s="69">
        <v>1166000</v>
      </c>
    </row>
    <row r="2428" spans="1:11" x14ac:dyDescent="0.25">
      <c r="A2428" s="71">
        <v>2026</v>
      </c>
      <c r="B2428" s="72" t="s">
        <v>227</v>
      </c>
      <c r="C2428" s="73" t="s">
        <v>235</v>
      </c>
      <c r="D2428" s="73" t="s">
        <v>186</v>
      </c>
      <c r="E2428" s="73" t="str">
        <f>VLOOKUP(D2428,clientes!$C$3:$D$60,2,FALSE)</f>
        <v>OQ TRADING</v>
      </c>
      <c r="F2428" s="73" t="s">
        <v>22</v>
      </c>
      <c r="G2428" s="73" t="str">
        <f>VLOOKUP(F2428,'[2]Lista de Produtos CLASSIFICAÇÃO'!$E$103:$F$114,2,FALSE)</f>
        <v>Metanol</v>
      </c>
      <c r="H2428" s="74">
        <v>20000</v>
      </c>
      <c r="K2428" s="69">
        <v>1272727</v>
      </c>
    </row>
    <row r="2429" spans="1:11" x14ac:dyDescent="0.25">
      <c r="A2429" s="75">
        <v>2026</v>
      </c>
      <c r="B2429" s="76" t="s">
        <v>227</v>
      </c>
      <c r="C2429" s="77" t="s">
        <v>296</v>
      </c>
      <c r="D2429" s="77" t="s">
        <v>186</v>
      </c>
      <c r="E2429" s="73" t="str">
        <f>VLOOKUP(D2429,clientes!$C$3:$D$60,2,FALSE)</f>
        <v>OQ TRADING</v>
      </c>
      <c r="F2429" s="77" t="s">
        <v>22</v>
      </c>
      <c r="G2429" s="73" t="str">
        <f>VLOOKUP(F2429,'[2]Lista de Produtos CLASSIFICAÇÃO'!$E$103:$F$114,2,FALSE)</f>
        <v>Metanol</v>
      </c>
      <c r="H2429" s="78">
        <v>0</v>
      </c>
    </row>
    <row r="2430" spans="1:11" x14ac:dyDescent="0.25">
      <c r="A2430" s="71">
        <v>2026</v>
      </c>
      <c r="B2430" s="72" t="s">
        <v>228</v>
      </c>
      <c r="C2430" s="73" t="s">
        <v>235</v>
      </c>
      <c r="D2430" s="73" t="s">
        <v>186</v>
      </c>
      <c r="E2430" s="73" t="str">
        <f>VLOOKUP(D2430,clientes!$C$3:$D$60,2,FALSE)</f>
        <v>OQ TRADING</v>
      </c>
      <c r="F2430" s="73" t="s">
        <v>22</v>
      </c>
      <c r="G2430" s="73" t="str">
        <f>VLOOKUP(F2430,'[2]Lista de Produtos CLASSIFICAÇÃO'!$E$103:$F$114,2,FALSE)</f>
        <v>Metanol</v>
      </c>
      <c r="H2430" s="74">
        <v>20000</v>
      </c>
    </row>
    <row r="2431" spans="1:11" x14ac:dyDescent="0.25">
      <c r="A2431" s="75">
        <v>2026</v>
      </c>
      <c r="B2431" s="76" t="s">
        <v>228</v>
      </c>
      <c r="C2431" s="77" t="s">
        <v>296</v>
      </c>
      <c r="D2431" s="77" t="s">
        <v>186</v>
      </c>
      <c r="E2431" s="73" t="str">
        <f>VLOOKUP(D2431,clientes!$C$3:$D$60,2,FALSE)</f>
        <v>OQ TRADING</v>
      </c>
      <c r="F2431" s="77" t="s">
        <v>22</v>
      </c>
      <c r="G2431" s="73" t="str">
        <f>VLOOKUP(F2431,'[2]Lista de Produtos CLASSIFICAÇÃO'!$E$103:$F$114,2,FALSE)</f>
        <v>Metanol</v>
      </c>
      <c r="H2431" s="78">
        <v>0</v>
      </c>
    </row>
    <row r="2432" spans="1:11" x14ac:dyDescent="0.25">
      <c r="A2432" s="71">
        <v>2026</v>
      </c>
      <c r="B2432" s="72" t="s">
        <v>229</v>
      </c>
      <c r="C2432" s="73" t="s">
        <v>235</v>
      </c>
      <c r="D2432" s="73" t="s">
        <v>186</v>
      </c>
      <c r="E2432" s="73" t="str">
        <f>VLOOKUP(D2432,clientes!$C$3:$D$60,2,FALSE)</f>
        <v>OQ TRADING</v>
      </c>
      <c r="F2432" s="73" t="s">
        <v>22</v>
      </c>
      <c r="G2432" s="73" t="str">
        <f>VLOOKUP(F2432,'[2]Lista de Produtos CLASSIFICAÇÃO'!$E$103:$F$114,2,FALSE)</f>
        <v>Metanol</v>
      </c>
      <c r="H2432" s="74">
        <v>20000</v>
      </c>
    </row>
    <row r="2433" spans="1:8" x14ac:dyDescent="0.25">
      <c r="A2433" s="75">
        <v>2026</v>
      </c>
      <c r="B2433" s="76" t="s">
        <v>229</v>
      </c>
      <c r="C2433" s="77" t="s">
        <v>296</v>
      </c>
      <c r="D2433" s="77" t="s">
        <v>186</v>
      </c>
      <c r="E2433" s="73" t="str">
        <f>VLOOKUP(D2433,clientes!$C$3:$D$60,2,FALSE)</f>
        <v>OQ TRADING</v>
      </c>
      <c r="F2433" s="77" t="s">
        <v>22</v>
      </c>
      <c r="G2433" s="73" t="str">
        <f>VLOOKUP(F2433,'[2]Lista de Produtos CLASSIFICAÇÃO'!$E$103:$F$114,2,FALSE)</f>
        <v>Metanol</v>
      </c>
      <c r="H2433" s="78">
        <v>0</v>
      </c>
    </row>
    <row r="2434" spans="1:8" x14ac:dyDescent="0.25">
      <c r="A2434" s="71">
        <v>2026</v>
      </c>
      <c r="B2434" s="72" t="s">
        <v>210</v>
      </c>
      <c r="C2434" s="73" t="s">
        <v>235</v>
      </c>
      <c r="D2434" s="73" t="s">
        <v>186</v>
      </c>
      <c r="E2434" s="73" t="str">
        <f>VLOOKUP(D2434,clientes!$C$3:$D$60,2,FALSE)</f>
        <v>OQ TRADING</v>
      </c>
      <c r="F2434" s="73" t="s">
        <v>22</v>
      </c>
      <c r="G2434" s="73" t="str">
        <f>VLOOKUP(F2434,'[2]Lista de Produtos CLASSIFICAÇÃO'!$E$103:$F$114,2,FALSE)</f>
        <v>Metanol</v>
      </c>
      <c r="H2434" s="74">
        <v>13670</v>
      </c>
    </row>
    <row r="2435" spans="1:8" x14ac:dyDescent="0.25">
      <c r="A2435" s="75">
        <v>2026</v>
      </c>
      <c r="B2435" s="76" t="s">
        <v>210</v>
      </c>
      <c r="C2435" s="77" t="s">
        <v>296</v>
      </c>
      <c r="D2435" s="77" t="s">
        <v>186</v>
      </c>
      <c r="E2435" s="73" t="str">
        <f>VLOOKUP(D2435,clientes!$C$3:$D$60,2,FALSE)</f>
        <v>OQ TRADING</v>
      </c>
      <c r="F2435" s="77" t="s">
        <v>22</v>
      </c>
      <c r="G2435" s="73" t="str">
        <f>VLOOKUP(F2435,'[2]Lista de Produtos CLASSIFICAÇÃO'!$E$103:$F$114,2,FALSE)</f>
        <v>Metanol</v>
      </c>
      <c r="H2435" s="78">
        <v>6330</v>
      </c>
    </row>
    <row r="2436" spans="1:8" x14ac:dyDescent="0.25">
      <c r="A2436" s="71">
        <v>2026</v>
      </c>
      <c r="B2436" s="72" t="s">
        <v>211</v>
      </c>
      <c r="C2436" s="73" t="s">
        <v>235</v>
      </c>
      <c r="D2436" s="73" t="s">
        <v>186</v>
      </c>
      <c r="E2436" s="73" t="str">
        <f>VLOOKUP(D2436,clientes!$C$3:$D$60,2,FALSE)</f>
        <v>OQ TRADING</v>
      </c>
      <c r="F2436" s="73" t="s">
        <v>22</v>
      </c>
      <c r="G2436" s="73" t="str">
        <f>VLOOKUP(F2436,'[2]Lista de Produtos CLASSIFICAÇÃO'!$E$103:$F$114,2,FALSE)</f>
        <v>Metanol</v>
      </c>
      <c r="H2436" s="74">
        <v>13670</v>
      </c>
    </row>
    <row r="2437" spans="1:8" x14ac:dyDescent="0.25">
      <c r="A2437" s="75">
        <v>2026</v>
      </c>
      <c r="B2437" s="76" t="s">
        <v>211</v>
      </c>
      <c r="C2437" s="77" t="s">
        <v>296</v>
      </c>
      <c r="D2437" s="77" t="s">
        <v>186</v>
      </c>
      <c r="E2437" s="73" t="str">
        <f>VLOOKUP(D2437,clientes!$C$3:$D$60,2,FALSE)</f>
        <v>OQ TRADING</v>
      </c>
      <c r="F2437" s="77" t="s">
        <v>22</v>
      </c>
      <c r="G2437" s="73" t="str">
        <f>VLOOKUP(F2437,'[2]Lista de Produtos CLASSIFICAÇÃO'!$E$103:$F$114,2,FALSE)</f>
        <v>Metanol</v>
      </c>
      <c r="H2437" s="78">
        <v>6330</v>
      </c>
    </row>
    <row r="2438" spans="1:8" x14ac:dyDescent="0.25">
      <c r="A2438" s="71">
        <v>2026</v>
      </c>
      <c r="B2438" s="72" t="s">
        <v>212</v>
      </c>
      <c r="C2438" s="73" t="s">
        <v>235</v>
      </c>
      <c r="D2438" s="73" t="s">
        <v>186</v>
      </c>
      <c r="E2438" s="73" t="str">
        <f>VLOOKUP(D2438,clientes!$C$3:$D$60,2,FALSE)</f>
        <v>OQ TRADING</v>
      </c>
      <c r="F2438" s="73" t="s">
        <v>22</v>
      </c>
      <c r="G2438" s="73" t="str">
        <f>VLOOKUP(F2438,'[2]Lista de Produtos CLASSIFICAÇÃO'!$E$103:$F$114,2,FALSE)</f>
        <v>Metanol</v>
      </c>
      <c r="H2438" s="74">
        <v>13670</v>
      </c>
    </row>
    <row r="2439" spans="1:8" x14ac:dyDescent="0.25">
      <c r="A2439" s="75">
        <v>2026</v>
      </c>
      <c r="B2439" s="76" t="s">
        <v>212</v>
      </c>
      <c r="C2439" s="77" t="s">
        <v>296</v>
      </c>
      <c r="D2439" s="77" t="s">
        <v>186</v>
      </c>
      <c r="E2439" s="73" t="str">
        <f>VLOOKUP(D2439,clientes!$C$3:$D$60,2,FALSE)</f>
        <v>OQ TRADING</v>
      </c>
      <c r="F2439" s="77" t="s">
        <v>22</v>
      </c>
      <c r="G2439" s="73" t="str">
        <f>VLOOKUP(F2439,'[2]Lista de Produtos CLASSIFICAÇÃO'!$E$103:$F$114,2,FALSE)</f>
        <v>Metanol</v>
      </c>
      <c r="H2439" s="78">
        <v>6330</v>
      </c>
    </row>
    <row r="2440" spans="1:8" x14ac:dyDescent="0.25">
      <c r="A2440" s="71">
        <v>2026</v>
      </c>
      <c r="B2440" s="72" t="s">
        <v>213</v>
      </c>
      <c r="C2440" s="73" t="s">
        <v>235</v>
      </c>
      <c r="D2440" s="73" t="s">
        <v>186</v>
      </c>
      <c r="E2440" s="73" t="str">
        <f>VLOOKUP(D2440,clientes!$C$3:$D$60,2,FALSE)</f>
        <v>OQ TRADING</v>
      </c>
      <c r="F2440" s="73" t="s">
        <v>22</v>
      </c>
      <c r="G2440" s="73" t="str">
        <f>VLOOKUP(F2440,'[2]Lista de Produtos CLASSIFICAÇÃO'!$E$103:$F$114,2,FALSE)</f>
        <v>Metanol</v>
      </c>
      <c r="H2440" s="74">
        <v>13670</v>
      </c>
    </row>
    <row r="2441" spans="1:8" x14ac:dyDescent="0.25">
      <c r="A2441" s="75">
        <v>2026</v>
      </c>
      <c r="B2441" s="76" t="s">
        <v>213</v>
      </c>
      <c r="C2441" s="77" t="s">
        <v>296</v>
      </c>
      <c r="D2441" s="77" t="s">
        <v>186</v>
      </c>
      <c r="E2441" s="73" t="str">
        <f>VLOOKUP(D2441,clientes!$C$3:$D$60,2,FALSE)</f>
        <v>OQ TRADING</v>
      </c>
      <c r="F2441" s="77" t="s">
        <v>22</v>
      </c>
      <c r="G2441" s="73" t="str">
        <f>VLOOKUP(F2441,'[2]Lista de Produtos CLASSIFICAÇÃO'!$E$103:$F$114,2,FALSE)</f>
        <v>Metanol</v>
      </c>
      <c r="H2441" s="78">
        <v>6330</v>
      </c>
    </row>
    <row r="2442" spans="1:8" x14ac:dyDescent="0.25">
      <c r="A2442" s="71">
        <v>2026</v>
      </c>
      <c r="B2442" s="72" t="s">
        <v>214</v>
      </c>
      <c r="C2442" s="73" t="s">
        <v>235</v>
      </c>
      <c r="D2442" s="73" t="s">
        <v>186</v>
      </c>
      <c r="E2442" s="73" t="str">
        <f>VLOOKUP(D2442,clientes!$C$3:$D$60,2,FALSE)</f>
        <v>OQ TRADING</v>
      </c>
      <c r="F2442" s="73" t="s">
        <v>22</v>
      </c>
      <c r="G2442" s="73" t="str">
        <f>VLOOKUP(F2442,'[2]Lista de Produtos CLASSIFICAÇÃO'!$E$103:$F$114,2,FALSE)</f>
        <v>Metanol</v>
      </c>
      <c r="H2442" s="74">
        <v>13670</v>
      </c>
    </row>
    <row r="2443" spans="1:8" x14ac:dyDescent="0.25">
      <c r="A2443" s="75">
        <v>2026</v>
      </c>
      <c r="B2443" s="76" t="s">
        <v>214</v>
      </c>
      <c r="C2443" s="77" t="s">
        <v>296</v>
      </c>
      <c r="D2443" s="77" t="s">
        <v>186</v>
      </c>
      <c r="E2443" s="73" t="str">
        <f>VLOOKUP(D2443,clientes!$C$3:$D$60,2,FALSE)</f>
        <v>OQ TRADING</v>
      </c>
      <c r="F2443" s="77" t="s">
        <v>22</v>
      </c>
      <c r="G2443" s="73" t="str">
        <f>VLOOKUP(F2443,'[2]Lista de Produtos CLASSIFICAÇÃO'!$E$103:$F$114,2,FALSE)</f>
        <v>Metanol</v>
      </c>
      <c r="H2443" s="78">
        <v>6330</v>
      </c>
    </row>
    <row r="2444" spans="1:8" x14ac:dyDescent="0.25">
      <c r="A2444" s="71">
        <v>2026</v>
      </c>
      <c r="B2444" s="72" t="s">
        <v>215</v>
      </c>
      <c r="C2444" s="73" t="s">
        <v>235</v>
      </c>
      <c r="D2444" s="73" t="s">
        <v>186</v>
      </c>
      <c r="E2444" s="73" t="str">
        <f>VLOOKUP(D2444,clientes!$C$3:$D$60,2,FALSE)</f>
        <v>OQ TRADING</v>
      </c>
      <c r="F2444" s="73" t="s">
        <v>22</v>
      </c>
      <c r="G2444" s="73" t="str">
        <f>VLOOKUP(F2444,'[2]Lista de Produtos CLASSIFICAÇÃO'!$E$103:$F$114,2,FALSE)</f>
        <v>Metanol</v>
      </c>
      <c r="H2444" s="74">
        <v>13670</v>
      </c>
    </row>
    <row r="2445" spans="1:8" x14ac:dyDescent="0.25">
      <c r="A2445" s="75">
        <v>2026</v>
      </c>
      <c r="B2445" s="76" t="s">
        <v>215</v>
      </c>
      <c r="C2445" s="77" t="s">
        <v>296</v>
      </c>
      <c r="D2445" s="77" t="s">
        <v>186</v>
      </c>
      <c r="E2445" s="73" t="str">
        <f>VLOOKUP(D2445,clientes!$C$3:$D$60,2,FALSE)</f>
        <v>OQ TRADING</v>
      </c>
      <c r="F2445" s="77" t="s">
        <v>22</v>
      </c>
      <c r="G2445" s="73" t="str">
        <f>VLOOKUP(F2445,'[2]Lista de Produtos CLASSIFICAÇÃO'!$E$103:$F$114,2,FALSE)</f>
        <v>Metanol</v>
      </c>
      <c r="H2445" s="78">
        <v>6330</v>
      </c>
    </row>
    <row r="2446" spans="1:8" x14ac:dyDescent="0.25">
      <c r="A2446" s="71">
        <v>2026</v>
      </c>
      <c r="B2446" s="72" t="s">
        <v>230</v>
      </c>
      <c r="C2446" s="73" t="s">
        <v>235</v>
      </c>
      <c r="D2446" s="73" t="s">
        <v>186</v>
      </c>
      <c r="E2446" s="73" t="str">
        <f>VLOOKUP(D2446,clientes!$C$3:$D$60,2,FALSE)</f>
        <v>OQ TRADING</v>
      </c>
      <c r="F2446" s="73" t="s">
        <v>22</v>
      </c>
      <c r="G2446" s="73" t="str">
        <f>VLOOKUP(F2446,'[2]Lista de Produtos CLASSIFICAÇÃO'!$E$103:$F$114,2,FALSE)</f>
        <v>Metanol</v>
      </c>
      <c r="H2446" s="74">
        <v>13670</v>
      </c>
    </row>
    <row r="2447" spans="1:8" x14ac:dyDescent="0.25">
      <c r="A2447" s="75">
        <v>2026</v>
      </c>
      <c r="B2447" s="76" t="s">
        <v>230</v>
      </c>
      <c r="C2447" s="77" t="s">
        <v>296</v>
      </c>
      <c r="D2447" s="77" t="s">
        <v>186</v>
      </c>
      <c r="E2447" s="73" t="str">
        <f>VLOOKUP(D2447,clientes!$C$3:$D$60,2,FALSE)</f>
        <v>OQ TRADING</v>
      </c>
      <c r="F2447" s="77" t="s">
        <v>22</v>
      </c>
      <c r="G2447" s="73" t="str">
        <f>VLOOKUP(F2447,'[2]Lista de Produtos CLASSIFICAÇÃO'!$E$103:$F$114,2,FALSE)</f>
        <v>Metanol</v>
      </c>
      <c r="H2447" s="78">
        <v>6330</v>
      </c>
    </row>
    <row r="2448" spans="1:8" x14ac:dyDescent="0.25">
      <c r="A2448" s="71">
        <v>2026</v>
      </c>
      <c r="B2448" s="72" t="s">
        <v>231</v>
      </c>
      <c r="C2448" s="73" t="s">
        <v>235</v>
      </c>
      <c r="D2448" s="73" t="s">
        <v>186</v>
      </c>
      <c r="E2448" s="73" t="str">
        <f>VLOOKUP(D2448,clientes!$C$3:$D$60,2,FALSE)</f>
        <v>OQ TRADING</v>
      </c>
      <c r="F2448" s="73" t="s">
        <v>22</v>
      </c>
      <c r="G2448" s="73" t="str">
        <f>VLOOKUP(F2448,'[2]Lista de Produtos CLASSIFICAÇÃO'!$E$103:$F$114,2,FALSE)</f>
        <v>Metanol</v>
      </c>
      <c r="H2448" s="74">
        <v>13670</v>
      </c>
    </row>
    <row r="2449" spans="1:8" x14ac:dyDescent="0.25">
      <c r="A2449" s="75">
        <v>2026</v>
      </c>
      <c r="B2449" s="76" t="s">
        <v>231</v>
      </c>
      <c r="C2449" s="77" t="s">
        <v>296</v>
      </c>
      <c r="D2449" s="77" t="s">
        <v>186</v>
      </c>
      <c r="E2449" s="73" t="str">
        <f>VLOOKUP(D2449,clientes!$C$3:$D$60,2,FALSE)</f>
        <v>OQ TRADING</v>
      </c>
      <c r="F2449" s="77" t="s">
        <v>22</v>
      </c>
      <c r="G2449" s="73" t="str">
        <f>VLOOKUP(F2449,'[2]Lista de Produtos CLASSIFICAÇÃO'!$E$103:$F$114,2,FALSE)</f>
        <v>Metanol</v>
      </c>
      <c r="H2449" s="78">
        <v>6330</v>
      </c>
    </row>
    <row r="2450" spans="1:8" x14ac:dyDescent="0.25">
      <c r="A2450" s="71">
        <v>2026</v>
      </c>
      <c r="B2450" s="72" t="s">
        <v>226</v>
      </c>
      <c r="C2450" s="73" t="s">
        <v>225</v>
      </c>
      <c r="D2450" s="73" t="s">
        <v>178</v>
      </c>
      <c r="E2450" s="73" t="str">
        <f>VLOOKUP(D2450,clientes!$C$3:$D$60,2,FALSE)</f>
        <v>OLIN BLUE CUBE</v>
      </c>
      <c r="F2450" s="73" t="s">
        <v>115</v>
      </c>
      <c r="G2450" s="73" t="str">
        <f>VLOOKUP(F2450,'[2]Lista de Produtos CLASSIFICAÇÃO'!$E$103:$F$114,2,FALSE)</f>
        <v>Soda Caustica</v>
      </c>
      <c r="H2450" s="74">
        <v>23905</v>
      </c>
    </row>
    <row r="2451" spans="1:8" x14ac:dyDescent="0.25">
      <c r="A2451" s="75">
        <v>2026</v>
      </c>
      <c r="B2451" s="76" t="s">
        <v>227</v>
      </c>
      <c r="C2451" s="77" t="s">
        <v>225</v>
      </c>
      <c r="D2451" s="77" t="s">
        <v>178</v>
      </c>
      <c r="E2451" s="73" t="str">
        <f>VLOOKUP(D2451,clientes!$C$3:$D$60,2,FALSE)</f>
        <v>OLIN BLUE CUBE</v>
      </c>
      <c r="F2451" s="77" t="s">
        <v>115</v>
      </c>
      <c r="G2451" s="73" t="str">
        <f>VLOOKUP(F2451,'[2]Lista de Produtos CLASSIFICAÇÃO'!$E$103:$F$114,2,FALSE)</f>
        <v>Soda Caustica</v>
      </c>
      <c r="H2451" s="78">
        <v>23905</v>
      </c>
    </row>
    <row r="2452" spans="1:8" x14ac:dyDescent="0.25">
      <c r="A2452" s="71">
        <v>2026</v>
      </c>
      <c r="B2452" s="72" t="s">
        <v>228</v>
      </c>
      <c r="C2452" s="73" t="s">
        <v>225</v>
      </c>
      <c r="D2452" s="73" t="s">
        <v>178</v>
      </c>
      <c r="E2452" s="73" t="str">
        <f>VLOOKUP(D2452,clientes!$C$3:$D$60,2,FALSE)</f>
        <v>OLIN BLUE CUBE</v>
      </c>
      <c r="F2452" s="73" t="s">
        <v>115</v>
      </c>
      <c r="G2452" s="73" t="str">
        <f>VLOOKUP(F2452,'[2]Lista de Produtos CLASSIFICAÇÃO'!$E$103:$F$114,2,FALSE)</f>
        <v>Soda Caustica</v>
      </c>
      <c r="H2452" s="74">
        <v>23905</v>
      </c>
    </row>
    <row r="2453" spans="1:8" x14ac:dyDescent="0.25">
      <c r="A2453" s="75">
        <v>2026</v>
      </c>
      <c r="B2453" s="76" t="s">
        <v>229</v>
      </c>
      <c r="C2453" s="77" t="s">
        <v>225</v>
      </c>
      <c r="D2453" s="77" t="s">
        <v>178</v>
      </c>
      <c r="E2453" s="73" t="str">
        <f>VLOOKUP(D2453,clientes!$C$3:$D$60,2,FALSE)</f>
        <v>OLIN BLUE CUBE</v>
      </c>
      <c r="F2453" s="77" t="s">
        <v>115</v>
      </c>
      <c r="G2453" s="73" t="str">
        <f>VLOOKUP(F2453,'[2]Lista de Produtos CLASSIFICAÇÃO'!$E$103:$F$114,2,FALSE)</f>
        <v>Soda Caustica</v>
      </c>
      <c r="H2453" s="78">
        <v>23905</v>
      </c>
    </row>
    <row r="2454" spans="1:8" x14ac:dyDescent="0.25">
      <c r="A2454" s="71">
        <v>2026</v>
      </c>
      <c r="B2454" s="72" t="s">
        <v>210</v>
      </c>
      <c r="C2454" s="73" t="s">
        <v>225</v>
      </c>
      <c r="D2454" s="73" t="s">
        <v>178</v>
      </c>
      <c r="E2454" s="73" t="str">
        <f>VLOOKUP(D2454,clientes!$C$3:$D$60,2,FALSE)</f>
        <v>OLIN BLUE CUBE</v>
      </c>
      <c r="F2454" s="73" t="s">
        <v>115</v>
      </c>
      <c r="G2454" s="73" t="str">
        <f>VLOOKUP(F2454,'[2]Lista de Produtos CLASSIFICAÇÃO'!$E$103:$F$114,2,FALSE)</f>
        <v>Soda Caustica</v>
      </c>
      <c r="H2454" s="74">
        <v>23905</v>
      </c>
    </row>
    <row r="2455" spans="1:8" x14ac:dyDescent="0.25">
      <c r="A2455" s="75">
        <v>2026</v>
      </c>
      <c r="B2455" s="76" t="s">
        <v>211</v>
      </c>
      <c r="C2455" s="77" t="s">
        <v>225</v>
      </c>
      <c r="D2455" s="77" t="s">
        <v>178</v>
      </c>
      <c r="E2455" s="73" t="str">
        <f>VLOOKUP(D2455,clientes!$C$3:$D$60,2,FALSE)</f>
        <v>OLIN BLUE CUBE</v>
      </c>
      <c r="F2455" s="77" t="s">
        <v>115</v>
      </c>
      <c r="G2455" s="73" t="str">
        <f>VLOOKUP(F2455,'[2]Lista de Produtos CLASSIFICAÇÃO'!$E$103:$F$114,2,FALSE)</f>
        <v>Soda Caustica</v>
      </c>
      <c r="H2455" s="78">
        <v>23905</v>
      </c>
    </row>
    <row r="2456" spans="1:8" x14ac:dyDescent="0.25">
      <c r="A2456" s="71">
        <v>2026</v>
      </c>
      <c r="B2456" s="72" t="s">
        <v>212</v>
      </c>
      <c r="C2456" s="73" t="s">
        <v>225</v>
      </c>
      <c r="D2456" s="73" t="s">
        <v>178</v>
      </c>
      <c r="E2456" s="73" t="str">
        <f>VLOOKUP(D2456,clientes!$C$3:$D$60,2,FALSE)</f>
        <v>OLIN BLUE CUBE</v>
      </c>
      <c r="F2456" s="73" t="s">
        <v>115</v>
      </c>
      <c r="G2456" s="73" t="str">
        <f>VLOOKUP(F2456,'[2]Lista de Produtos CLASSIFICAÇÃO'!$E$103:$F$114,2,FALSE)</f>
        <v>Soda Caustica</v>
      </c>
      <c r="H2456" s="74">
        <v>23905</v>
      </c>
    </row>
    <row r="2457" spans="1:8" x14ac:dyDescent="0.25">
      <c r="A2457" s="75">
        <v>2026</v>
      </c>
      <c r="B2457" s="76" t="s">
        <v>213</v>
      </c>
      <c r="C2457" s="77" t="s">
        <v>225</v>
      </c>
      <c r="D2457" s="77" t="s">
        <v>178</v>
      </c>
      <c r="E2457" s="73" t="str">
        <f>VLOOKUP(D2457,clientes!$C$3:$D$60,2,FALSE)</f>
        <v>OLIN BLUE CUBE</v>
      </c>
      <c r="F2457" s="77" t="s">
        <v>115</v>
      </c>
      <c r="G2457" s="73" t="str">
        <f>VLOOKUP(F2457,'[2]Lista de Produtos CLASSIFICAÇÃO'!$E$103:$F$114,2,FALSE)</f>
        <v>Soda Caustica</v>
      </c>
      <c r="H2457" s="78">
        <v>23905</v>
      </c>
    </row>
    <row r="2458" spans="1:8" x14ac:dyDescent="0.25">
      <c r="A2458" s="71">
        <v>2026</v>
      </c>
      <c r="B2458" s="72" t="s">
        <v>214</v>
      </c>
      <c r="C2458" s="73" t="s">
        <v>225</v>
      </c>
      <c r="D2458" s="73" t="s">
        <v>178</v>
      </c>
      <c r="E2458" s="73" t="str">
        <f>VLOOKUP(D2458,clientes!$C$3:$D$60,2,FALSE)</f>
        <v>OLIN BLUE CUBE</v>
      </c>
      <c r="F2458" s="73" t="s">
        <v>115</v>
      </c>
      <c r="G2458" s="73" t="str">
        <f>VLOOKUP(F2458,'[2]Lista de Produtos CLASSIFICAÇÃO'!$E$103:$F$114,2,FALSE)</f>
        <v>Soda Caustica</v>
      </c>
      <c r="H2458" s="74">
        <v>23905</v>
      </c>
    </row>
    <row r="2459" spans="1:8" x14ac:dyDescent="0.25">
      <c r="A2459" s="75">
        <v>2026</v>
      </c>
      <c r="B2459" s="76" t="s">
        <v>215</v>
      </c>
      <c r="C2459" s="77" t="s">
        <v>225</v>
      </c>
      <c r="D2459" s="77" t="s">
        <v>178</v>
      </c>
      <c r="E2459" s="73" t="str">
        <f>VLOOKUP(D2459,clientes!$C$3:$D$60,2,FALSE)</f>
        <v>OLIN BLUE CUBE</v>
      </c>
      <c r="F2459" s="77" t="s">
        <v>115</v>
      </c>
      <c r="G2459" s="73" t="str">
        <f>VLOOKUP(F2459,'[2]Lista de Produtos CLASSIFICAÇÃO'!$E$103:$F$114,2,FALSE)</f>
        <v>Soda Caustica</v>
      </c>
      <c r="H2459" s="78">
        <v>23905</v>
      </c>
    </row>
    <row r="2460" spans="1:8" x14ac:dyDescent="0.25">
      <c r="A2460" s="71">
        <v>2026</v>
      </c>
      <c r="B2460" s="72" t="s">
        <v>230</v>
      </c>
      <c r="C2460" s="73" t="s">
        <v>225</v>
      </c>
      <c r="D2460" s="73" t="s">
        <v>178</v>
      </c>
      <c r="E2460" s="73" t="str">
        <f>VLOOKUP(D2460,clientes!$C$3:$D$60,2,FALSE)</f>
        <v>OLIN BLUE CUBE</v>
      </c>
      <c r="F2460" s="73" t="s">
        <v>115</v>
      </c>
      <c r="G2460" s="73" t="str">
        <f>VLOOKUP(F2460,'[2]Lista de Produtos CLASSIFICAÇÃO'!$E$103:$F$114,2,FALSE)</f>
        <v>Soda Caustica</v>
      </c>
      <c r="H2460" s="74">
        <v>23905</v>
      </c>
    </row>
    <row r="2461" spans="1:8" x14ac:dyDescent="0.25">
      <c r="A2461" s="75">
        <v>2026</v>
      </c>
      <c r="B2461" s="76" t="s">
        <v>231</v>
      </c>
      <c r="C2461" s="77" t="s">
        <v>225</v>
      </c>
      <c r="D2461" s="77" t="s">
        <v>178</v>
      </c>
      <c r="E2461" s="73" t="str">
        <f>VLOOKUP(D2461,clientes!$C$3:$D$60,2,FALSE)</f>
        <v>OLIN BLUE CUBE</v>
      </c>
      <c r="F2461" s="77" t="s">
        <v>115</v>
      </c>
      <c r="G2461" s="73" t="str">
        <f>VLOOKUP(F2461,'[2]Lista de Produtos CLASSIFICAÇÃO'!$E$103:$F$114,2,FALSE)</f>
        <v>Soda Caustica</v>
      </c>
      <c r="H2461" s="78">
        <v>23905</v>
      </c>
    </row>
    <row r="2462" spans="1:8" x14ac:dyDescent="0.25">
      <c r="A2462" s="71">
        <v>2026</v>
      </c>
      <c r="B2462" s="72" t="s">
        <v>226</v>
      </c>
      <c r="C2462" s="73" t="s">
        <v>232</v>
      </c>
      <c r="D2462" s="73" t="s">
        <v>167</v>
      </c>
      <c r="E2462" s="73" t="str">
        <f>VLOOKUP(D2462,clientes!$C$3:$D$60,2,FALSE)</f>
        <v>POOL</v>
      </c>
      <c r="F2462" s="73" t="s">
        <v>122</v>
      </c>
      <c r="G2462" s="73" t="str">
        <f>VLOOKUP(F2462,'[2]Lista de Produtos CLASSIFICAÇÃO'!$E$103:$F$114,2,FALSE)</f>
        <v>Óleo Vegetal</v>
      </c>
      <c r="H2462" s="74">
        <v>38096</v>
      </c>
    </row>
    <row r="2463" spans="1:8" x14ac:dyDescent="0.25">
      <c r="A2463" s="75">
        <v>2026</v>
      </c>
      <c r="B2463" s="76" t="s">
        <v>227</v>
      </c>
      <c r="C2463" s="77" t="s">
        <v>232</v>
      </c>
      <c r="D2463" s="77" t="s">
        <v>167</v>
      </c>
      <c r="E2463" s="73" t="str">
        <f>VLOOKUP(D2463,clientes!$C$3:$D$60,2,FALSE)</f>
        <v>POOL</v>
      </c>
      <c r="F2463" s="77" t="s">
        <v>122</v>
      </c>
      <c r="G2463" s="73" t="str">
        <f>VLOOKUP(F2463,'[2]Lista de Produtos CLASSIFICAÇÃO'!$E$103:$F$114,2,FALSE)</f>
        <v>Óleo Vegetal</v>
      </c>
      <c r="H2463" s="78">
        <v>35932</v>
      </c>
    </row>
    <row r="2464" spans="1:8" x14ac:dyDescent="0.25">
      <c r="A2464" s="71">
        <v>2026</v>
      </c>
      <c r="B2464" s="72" t="s">
        <v>228</v>
      </c>
      <c r="C2464" s="73" t="s">
        <v>232</v>
      </c>
      <c r="D2464" s="73" t="s">
        <v>167</v>
      </c>
      <c r="E2464" s="73" t="str">
        <f>VLOOKUP(D2464,clientes!$C$3:$D$60,2,FALSE)</f>
        <v>POOL</v>
      </c>
      <c r="F2464" s="73" t="s">
        <v>122</v>
      </c>
      <c r="G2464" s="73" t="str">
        <f>VLOOKUP(F2464,'[2]Lista de Produtos CLASSIFICAÇÃO'!$E$103:$F$114,2,FALSE)</f>
        <v>Óleo Vegetal</v>
      </c>
      <c r="H2464" s="74">
        <v>63152</v>
      </c>
    </row>
    <row r="2465" spans="1:8" x14ac:dyDescent="0.25">
      <c r="A2465" s="75">
        <v>2026</v>
      </c>
      <c r="B2465" s="76" t="s">
        <v>229</v>
      </c>
      <c r="C2465" s="77" t="s">
        <v>232</v>
      </c>
      <c r="D2465" s="77" t="s">
        <v>167</v>
      </c>
      <c r="E2465" s="73" t="str">
        <f>VLOOKUP(D2465,clientes!$C$3:$D$60,2,FALSE)</f>
        <v>POOL</v>
      </c>
      <c r="F2465" s="77" t="s">
        <v>122</v>
      </c>
      <c r="G2465" s="73" t="str">
        <f>VLOOKUP(F2465,'[2]Lista de Produtos CLASSIFICAÇÃO'!$E$103:$F$114,2,FALSE)</f>
        <v>Óleo Vegetal</v>
      </c>
      <c r="H2465" s="78">
        <v>43004</v>
      </c>
    </row>
    <row r="2466" spans="1:8" x14ac:dyDescent="0.25">
      <c r="A2466" s="71">
        <v>2026</v>
      </c>
      <c r="B2466" s="72" t="s">
        <v>210</v>
      </c>
      <c r="C2466" s="73" t="s">
        <v>232</v>
      </c>
      <c r="D2466" s="73" t="s">
        <v>167</v>
      </c>
      <c r="E2466" s="73" t="str">
        <f>VLOOKUP(D2466,clientes!$C$3:$D$60,2,FALSE)</f>
        <v>POOL</v>
      </c>
      <c r="F2466" s="73" t="s">
        <v>122</v>
      </c>
      <c r="G2466" s="73" t="str">
        <f>VLOOKUP(F2466,'[2]Lista de Produtos CLASSIFICAÇÃO'!$E$103:$F$114,2,FALSE)</f>
        <v>Óleo Vegetal</v>
      </c>
      <c r="H2466" s="74">
        <v>40663</v>
      </c>
    </row>
    <row r="2467" spans="1:8" x14ac:dyDescent="0.25">
      <c r="A2467" s="75">
        <v>2026</v>
      </c>
      <c r="B2467" s="76" t="s">
        <v>211</v>
      </c>
      <c r="C2467" s="77" t="s">
        <v>232</v>
      </c>
      <c r="D2467" s="77" t="s">
        <v>167</v>
      </c>
      <c r="E2467" s="73" t="str">
        <f>VLOOKUP(D2467,clientes!$C$3:$D$60,2,FALSE)</f>
        <v>POOL</v>
      </c>
      <c r="F2467" s="77" t="s">
        <v>122</v>
      </c>
      <c r="G2467" s="73" t="str">
        <f>VLOOKUP(F2467,'[2]Lista de Produtos CLASSIFICAÇÃO'!$E$103:$F$114,2,FALSE)</f>
        <v>Óleo Vegetal</v>
      </c>
      <c r="H2467" s="78">
        <v>47943</v>
      </c>
    </row>
    <row r="2468" spans="1:8" x14ac:dyDescent="0.25">
      <c r="A2468" s="71">
        <v>2026</v>
      </c>
      <c r="B2468" s="72" t="s">
        <v>212</v>
      </c>
      <c r="C2468" s="73" t="s">
        <v>232</v>
      </c>
      <c r="D2468" s="73" t="s">
        <v>167</v>
      </c>
      <c r="E2468" s="73" t="str">
        <f>VLOOKUP(D2468,clientes!$C$3:$D$60,2,FALSE)</f>
        <v>POOL</v>
      </c>
      <c r="F2468" s="73" t="s">
        <v>122</v>
      </c>
      <c r="G2468" s="73" t="str">
        <f>VLOOKUP(F2468,'[2]Lista de Produtos CLASSIFICAÇÃO'!$E$103:$F$114,2,FALSE)</f>
        <v>Óleo Vegetal</v>
      </c>
      <c r="H2468" s="74">
        <v>51740</v>
      </c>
    </row>
    <row r="2469" spans="1:8" x14ac:dyDescent="0.25">
      <c r="A2469" s="75">
        <v>2026</v>
      </c>
      <c r="B2469" s="76" t="s">
        <v>213</v>
      </c>
      <c r="C2469" s="77" t="s">
        <v>232</v>
      </c>
      <c r="D2469" s="77" t="s">
        <v>167</v>
      </c>
      <c r="E2469" s="73" t="str">
        <f>VLOOKUP(D2469,clientes!$C$3:$D$60,2,FALSE)</f>
        <v>POOL</v>
      </c>
      <c r="F2469" s="77" t="s">
        <v>122</v>
      </c>
      <c r="G2469" s="73" t="str">
        <f>VLOOKUP(F2469,'[2]Lista de Produtos CLASSIFICAÇÃO'!$E$103:$F$114,2,FALSE)</f>
        <v>Óleo Vegetal</v>
      </c>
      <c r="H2469" s="78">
        <v>42221</v>
      </c>
    </row>
    <row r="2470" spans="1:8" x14ac:dyDescent="0.25">
      <c r="A2470" s="71">
        <v>2026</v>
      </c>
      <c r="B2470" s="72" t="s">
        <v>214</v>
      </c>
      <c r="C2470" s="73" t="s">
        <v>232</v>
      </c>
      <c r="D2470" s="73" t="s">
        <v>167</v>
      </c>
      <c r="E2470" s="73" t="str">
        <f>VLOOKUP(D2470,clientes!$C$3:$D$60,2,FALSE)</f>
        <v>POOL</v>
      </c>
      <c r="F2470" s="73" t="s">
        <v>122</v>
      </c>
      <c r="G2470" s="73" t="str">
        <f>VLOOKUP(F2470,'[2]Lista de Produtos CLASSIFICAÇÃO'!$E$103:$F$114,2,FALSE)</f>
        <v>Óleo Vegetal</v>
      </c>
      <c r="H2470" s="74">
        <v>27308</v>
      </c>
    </row>
    <row r="2471" spans="1:8" x14ac:dyDescent="0.25">
      <c r="A2471" s="75">
        <v>2026</v>
      </c>
      <c r="B2471" s="76" t="s">
        <v>215</v>
      </c>
      <c r="C2471" s="77" t="s">
        <v>232</v>
      </c>
      <c r="D2471" s="77" t="s">
        <v>167</v>
      </c>
      <c r="E2471" s="73" t="str">
        <f>VLOOKUP(D2471,clientes!$C$3:$D$60,2,FALSE)</f>
        <v>POOL</v>
      </c>
      <c r="F2471" s="77" t="s">
        <v>122</v>
      </c>
      <c r="G2471" s="73" t="str">
        <f>VLOOKUP(F2471,'[2]Lista de Produtos CLASSIFICAÇÃO'!$E$103:$F$114,2,FALSE)</f>
        <v>Óleo Vegetal</v>
      </c>
      <c r="H2471" s="78">
        <v>18695</v>
      </c>
    </row>
    <row r="2472" spans="1:8" x14ac:dyDescent="0.25">
      <c r="A2472" s="71">
        <v>2026</v>
      </c>
      <c r="B2472" s="72" t="s">
        <v>230</v>
      </c>
      <c r="C2472" s="73" t="s">
        <v>232</v>
      </c>
      <c r="D2472" s="73" t="s">
        <v>167</v>
      </c>
      <c r="E2472" s="73" t="str">
        <f>VLOOKUP(D2472,clientes!$C$3:$D$60,2,FALSE)</f>
        <v>POOL</v>
      </c>
      <c r="F2472" s="73" t="s">
        <v>122</v>
      </c>
      <c r="G2472" s="73" t="str">
        <f>VLOOKUP(F2472,'[2]Lista de Produtos CLASSIFICAÇÃO'!$E$103:$F$114,2,FALSE)</f>
        <v>Óleo Vegetal</v>
      </c>
      <c r="H2472" s="74">
        <v>11301</v>
      </c>
    </row>
    <row r="2473" spans="1:8" x14ac:dyDescent="0.25">
      <c r="A2473" s="75">
        <v>2026</v>
      </c>
      <c r="B2473" s="76" t="s">
        <v>231</v>
      </c>
      <c r="C2473" s="77" t="s">
        <v>232</v>
      </c>
      <c r="D2473" s="77" t="s">
        <v>167</v>
      </c>
      <c r="E2473" s="73" t="str">
        <f>VLOOKUP(D2473,clientes!$C$3:$D$60,2,FALSE)</f>
        <v>POOL</v>
      </c>
      <c r="F2473" s="77" t="s">
        <v>122</v>
      </c>
      <c r="G2473" s="73" t="str">
        <f>VLOOKUP(F2473,'[2]Lista de Produtos CLASSIFICAÇÃO'!$E$103:$F$114,2,FALSE)</f>
        <v>Óleo Vegetal</v>
      </c>
      <c r="H2473" s="78">
        <v>8693</v>
      </c>
    </row>
    <row r="2474" spans="1:8" x14ac:dyDescent="0.25">
      <c r="A2474" s="71">
        <v>2026</v>
      </c>
      <c r="B2474" s="72" t="s">
        <v>226</v>
      </c>
      <c r="C2474" s="73" t="s">
        <v>232</v>
      </c>
      <c r="D2474" s="73" t="s">
        <v>168</v>
      </c>
      <c r="E2474" s="73" t="str">
        <f>VLOOKUP(D2474,clientes!$C$3:$D$60,2,FALSE)</f>
        <v>POOL EXCEDENTE</v>
      </c>
      <c r="F2474" s="73" t="s">
        <v>122</v>
      </c>
      <c r="G2474" s="73" t="str">
        <f>VLOOKUP(F2474,'[2]Lista de Produtos CLASSIFICAÇÃO'!$E$103:$F$114,2,FALSE)</f>
        <v>Óleo Vegetal</v>
      </c>
      <c r="H2474" s="74">
        <v>652</v>
      </c>
    </row>
    <row r="2475" spans="1:8" x14ac:dyDescent="0.25">
      <c r="A2475" s="75">
        <v>2026</v>
      </c>
      <c r="B2475" s="76" t="s">
        <v>227</v>
      </c>
      <c r="C2475" s="77" t="s">
        <v>232</v>
      </c>
      <c r="D2475" s="77" t="s">
        <v>168</v>
      </c>
      <c r="E2475" s="73" t="str">
        <f>VLOOKUP(D2475,clientes!$C$3:$D$60,2,FALSE)</f>
        <v>POOL EXCEDENTE</v>
      </c>
      <c r="F2475" s="77" t="s">
        <v>122</v>
      </c>
      <c r="G2475" s="73" t="str">
        <f>VLOOKUP(F2475,'[2]Lista de Produtos CLASSIFICAÇÃO'!$E$103:$F$114,2,FALSE)</f>
        <v>Óleo Vegetal</v>
      </c>
      <c r="H2475" s="78">
        <v>652</v>
      </c>
    </row>
    <row r="2476" spans="1:8" x14ac:dyDescent="0.25">
      <c r="A2476" s="71">
        <v>2026</v>
      </c>
      <c r="B2476" s="72" t="s">
        <v>228</v>
      </c>
      <c r="C2476" s="73" t="s">
        <v>232</v>
      </c>
      <c r="D2476" s="73" t="s">
        <v>168</v>
      </c>
      <c r="E2476" s="73" t="str">
        <f>VLOOKUP(D2476,clientes!$C$3:$D$60,2,FALSE)</f>
        <v>POOL EXCEDENTE</v>
      </c>
      <c r="F2476" s="73" t="s">
        <v>122</v>
      </c>
      <c r="G2476" s="73" t="str">
        <f>VLOOKUP(F2476,'[2]Lista de Produtos CLASSIFICAÇÃO'!$E$103:$F$114,2,FALSE)</f>
        <v>Óleo Vegetal</v>
      </c>
      <c r="H2476" s="74">
        <v>652</v>
      </c>
    </row>
    <row r="2477" spans="1:8" x14ac:dyDescent="0.25">
      <c r="A2477" s="75">
        <v>2026</v>
      </c>
      <c r="B2477" s="76" t="s">
        <v>229</v>
      </c>
      <c r="C2477" s="77" t="s">
        <v>232</v>
      </c>
      <c r="D2477" s="77" t="s">
        <v>168</v>
      </c>
      <c r="E2477" s="73" t="str">
        <f>VLOOKUP(D2477,clientes!$C$3:$D$60,2,FALSE)</f>
        <v>POOL EXCEDENTE</v>
      </c>
      <c r="F2477" s="77" t="s">
        <v>122</v>
      </c>
      <c r="G2477" s="73" t="str">
        <f>VLOOKUP(F2477,'[2]Lista de Produtos CLASSIFICAÇÃO'!$E$103:$F$114,2,FALSE)</f>
        <v>Óleo Vegetal</v>
      </c>
      <c r="H2477" s="78">
        <v>652</v>
      </c>
    </row>
    <row r="2478" spans="1:8" x14ac:dyDescent="0.25">
      <c r="A2478" s="71">
        <v>2026</v>
      </c>
      <c r="B2478" s="72" t="s">
        <v>210</v>
      </c>
      <c r="C2478" s="73" t="s">
        <v>232</v>
      </c>
      <c r="D2478" s="73" t="s">
        <v>168</v>
      </c>
      <c r="E2478" s="73" t="str">
        <f>VLOOKUP(D2478,clientes!$C$3:$D$60,2,FALSE)</f>
        <v>POOL EXCEDENTE</v>
      </c>
      <c r="F2478" s="73" t="s">
        <v>122</v>
      </c>
      <c r="G2478" s="73" t="str">
        <f>VLOOKUP(F2478,'[2]Lista de Produtos CLASSIFICAÇÃO'!$E$103:$F$114,2,FALSE)</f>
        <v>Óleo Vegetal</v>
      </c>
      <c r="H2478" s="74">
        <v>652</v>
      </c>
    </row>
    <row r="2479" spans="1:8" x14ac:dyDescent="0.25">
      <c r="A2479" s="75">
        <v>2026</v>
      </c>
      <c r="B2479" s="76" t="s">
        <v>211</v>
      </c>
      <c r="C2479" s="77" t="s">
        <v>232</v>
      </c>
      <c r="D2479" s="77" t="s">
        <v>168</v>
      </c>
      <c r="E2479" s="73" t="str">
        <f>VLOOKUP(D2479,clientes!$C$3:$D$60,2,FALSE)</f>
        <v>POOL EXCEDENTE</v>
      </c>
      <c r="F2479" s="77" t="s">
        <v>122</v>
      </c>
      <c r="G2479" s="73" t="str">
        <f>VLOOKUP(F2479,'[2]Lista de Produtos CLASSIFICAÇÃO'!$E$103:$F$114,2,FALSE)</f>
        <v>Óleo Vegetal</v>
      </c>
      <c r="H2479" s="78">
        <v>652</v>
      </c>
    </row>
    <row r="2480" spans="1:8" x14ac:dyDescent="0.25">
      <c r="A2480" s="71">
        <v>2026</v>
      </c>
      <c r="B2480" s="72" t="s">
        <v>212</v>
      </c>
      <c r="C2480" s="73" t="s">
        <v>232</v>
      </c>
      <c r="D2480" s="73" t="s">
        <v>168</v>
      </c>
      <c r="E2480" s="73" t="str">
        <f>VLOOKUP(D2480,clientes!$C$3:$D$60,2,FALSE)</f>
        <v>POOL EXCEDENTE</v>
      </c>
      <c r="F2480" s="73" t="s">
        <v>122</v>
      </c>
      <c r="G2480" s="73" t="str">
        <f>VLOOKUP(F2480,'[2]Lista de Produtos CLASSIFICAÇÃO'!$E$103:$F$114,2,FALSE)</f>
        <v>Óleo Vegetal</v>
      </c>
      <c r="H2480" s="74">
        <v>652</v>
      </c>
    </row>
    <row r="2481" spans="1:8" x14ac:dyDescent="0.25">
      <c r="A2481" s="75">
        <v>2026</v>
      </c>
      <c r="B2481" s="76" t="s">
        <v>213</v>
      </c>
      <c r="C2481" s="77" t="s">
        <v>232</v>
      </c>
      <c r="D2481" s="77" t="s">
        <v>168</v>
      </c>
      <c r="E2481" s="73" t="str">
        <f>VLOOKUP(D2481,clientes!$C$3:$D$60,2,FALSE)</f>
        <v>POOL EXCEDENTE</v>
      </c>
      <c r="F2481" s="77" t="s">
        <v>122</v>
      </c>
      <c r="G2481" s="73" t="str">
        <f>VLOOKUP(F2481,'[2]Lista de Produtos CLASSIFICAÇÃO'!$E$103:$F$114,2,FALSE)</f>
        <v>Óleo Vegetal</v>
      </c>
      <c r="H2481" s="78">
        <v>652</v>
      </c>
    </row>
    <row r="2482" spans="1:8" x14ac:dyDescent="0.25">
      <c r="A2482" s="71">
        <v>2026</v>
      </c>
      <c r="B2482" s="72" t="s">
        <v>214</v>
      </c>
      <c r="C2482" s="73" t="s">
        <v>232</v>
      </c>
      <c r="D2482" s="73" t="s">
        <v>168</v>
      </c>
      <c r="E2482" s="73" t="str">
        <f>VLOOKUP(D2482,clientes!$C$3:$D$60,2,FALSE)</f>
        <v>POOL EXCEDENTE</v>
      </c>
      <c r="F2482" s="73" t="s">
        <v>122</v>
      </c>
      <c r="G2482" s="73" t="str">
        <f>VLOOKUP(F2482,'[2]Lista de Produtos CLASSIFICAÇÃO'!$E$103:$F$114,2,FALSE)</f>
        <v>Óleo Vegetal</v>
      </c>
      <c r="H2482" s="74">
        <v>652</v>
      </c>
    </row>
    <row r="2483" spans="1:8" x14ac:dyDescent="0.25">
      <c r="A2483" s="75">
        <v>2026</v>
      </c>
      <c r="B2483" s="76" t="s">
        <v>215</v>
      </c>
      <c r="C2483" s="77" t="s">
        <v>232</v>
      </c>
      <c r="D2483" s="77" t="s">
        <v>168</v>
      </c>
      <c r="E2483" s="73" t="str">
        <f>VLOOKUP(D2483,clientes!$C$3:$D$60,2,FALSE)</f>
        <v>POOL EXCEDENTE</v>
      </c>
      <c r="F2483" s="77" t="s">
        <v>122</v>
      </c>
      <c r="G2483" s="73" t="str">
        <f>VLOOKUP(F2483,'[2]Lista de Produtos CLASSIFICAÇÃO'!$E$103:$F$114,2,FALSE)</f>
        <v>Óleo Vegetal</v>
      </c>
      <c r="H2483" s="78">
        <v>652</v>
      </c>
    </row>
    <row r="2484" spans="1:8" x14ac:dyDescent="0.25">
      <c r="A2484" s="71">
        <v>2026</v>
      </c>
      <c r="B2484" s="72" t="s">
        <v>230</v>
      </c>
      <c r="C2484" s="73" t="s">
        <v>232</v>
      </c>
      <c r="D2484" s="73" t="s">
        <v>168</v>
      </c>
      <c r="E2484" s="73" t="str">
        <f>VLOOKUP(D2484,clientes!$C$3:$D$60,2,FALSE)</f>
        <v>POOL EXCEDENTE</v>
      </c>
      <c r="F2484" s="73" t="s">
        <v>122</v>
      </c>
      <c r="G2484" s="73" t="str">
        <f>VLOOKUP(F2484,'[2]Lista de Produtos CLASSIFICAÇÃO'!$E$103:$F$114,2,FALSE)</f>
        <v>Óleo Vegetal</v>
      </c>
      <c r="H2484" s="74">
        <v>652</v>
      </c>
    </row>
    <row r="2485" spans="1:8" x14ac:dyDescent="0.25">
      <c r="A2485" s="75">
        <v>2026</v>
      </c>
      <c r="B2485" s="76" t="s">
        <v>231</v>
      </c>
      <c r="C2485" s="77" t="s">
        <v>232</v>
      </c>
      <c r="D2485" s="77" t="s">
        <v>168</v>
      </c>
      <c r="E2485" s="73" t="str">
        <f>VLOOKUP(D2485,clientes!$C$3:$D$60,2,FALSE)</f>
        <v>POOL EXCEDENTE</v>
      </c>
      <c r="F2485" s="77" t="s">
        <v>122</v>
      </c>
      <c r="G2485" s="73" t="str">
        <f>VLOOKUP(F2485,'[2]Lista de Produtos CLASSIFICAÇÃO'!$E$103:$F$114,2,FALSE)</f>
        <v>Óleo Vegetal</v>
      </c>
      <c r="H2485" s="78">
        <v>652</v>
      </c>
    </row>
    <row r="2486" spans="1:8" x14ac:dyDescent="0.25">
      <c r="A2486" s="71">
        <v>2026</v>
      </c>
      <c r="B2486" s="72" t="s">
        <v>226</v>
      </c>
      <c r="C2486" s="73" t="s">
        <v>233</v>
      </c>
      <c r="D2486" s="73" t="s">
        <v>238</v>
      </c>
      <c r="E2486" s="73" t="str">
        <f>VLOOKUP(D2486,clientes!$C$3:$D$60,2,FALSE)</f>
        <v>PRISMA</v>
      </c>
      <c r="F2486" s="73" t="s">
        <v>26</v>
      </c>
      <c r="G2486" s="73" t="str">
        <f>VLOOKUP(F2486,'[2]Lista de Produtos CLASSIFICAÇÃO'!$E$103:$F$114,2,FALSE)</f>
        <v>Biocombustíveis</v>
      </c>
      <c r="H2486" s="74">
        <v>4600</v>
      </c>
    </row>
    <row r="2487" spans="1:8" x14ac:dyDescent="0.25">
      <c r="A2487" s="75">
        <v>2026</v>
      </c>
      <c r="B2487" s="76" t="s">
        <v>227</v>
      </c>
      <c r="C2487" s="77" t="s">
        <v>233</v>
      </c>
      <c r="D2487" s="77" t="s">
        <v>238</v>
      </c>
      <c r="E2487" s="73" t="str">
        <f>VLOOKUP(D2487,clientes!$C$3:$D$60,2,FALSE)</f>
        <v>PRISMA</v>
      </c>
      <c r="F2487" s="77" t="s">
        <v>26</v>
      </c>
      <c r="G2487" s="73" t="str">
        <f>VLOOKUP(F2487,'[2]Lista de Produtos CLASSIFICAÇÃO'!$E$103:$F$114,2,FALSE)</f>
        <v>Biocombustíveis</v>
      </c>
      <c r="H2487" s="78">
        <v>4600</v>
      </c>
    </row>
    <row r="2488" spans="1:8" x14ac:dyDescent="0.25">
      <c r="A2488" s="71">
        <v>2026</v>
      </c>
      <c r="B2488" s="72" t="s">
        <v>228</v>
      </c>
      <c r="C2488" s="73" t="s">
        <v>233</v>
      </c>
      <c r="D2488" s="73" t="s">
        <v>238</v>
      </c>
      <c r="E2488" s="73" t="str">
        <f>VLOOKUP(D2488,clientes!$C$3:$D$60,2,FALSE)</f>
        <v>PRISMA</v>
      </c>
      <c r="F2488" s="73" t="s">
        <v>26</v>
      </c>
      <c r="G2488" s="73" t="str">
        <f>VLOOKUP(F2488,'[2]Lista de Produtos CLASSIFICAÇÃO'!$E$103:$F$114,2,FALSE)</f>
        <v>Biocombustíveis</v>
      </c>
      <c r="H2488" s="74">
        <v>4600</v>
      </c>
    </row>
    <row r="2489" spans="1:8" x14ac:dyDescent="0.25">
      <c r="A2489" s="75">
        <v>2026</v>
      </c>
      <c r="B2489" s="76" t="s">
        <v>229</v>
      </c>
      <c r="C2489" s="77" t="s">
        <v>233</v>
      </c>
      <c r="D2489" s="77" t="s">
        <v>238</v>
      </c>
      <c r="E2489" s="73" t="str">
        <f>VLOOKUP(D2489,clientes!$C$3:$D$60,2,FALSE)</f>
        <v>PRISMA</v>
      </c>
      <c r="F2489" s="77" t="s">
        <v>26</v>
      </c>
      <c r="G2489" s="73" t="str">
        <f>VLOOKUP(F2489,'[2]Lista de Produtos CLASSIFICAÇÃO'!$E$103:$F$114,2,FALSE)</f>
        <v>Biocombustíveis</v>
      </c>
      <c r="H2489" s="78">
        <v>4600</v>
      </c>
    </row>
    <row r="2490" spans="1:8" x14ac:dyDescent="0.25">
      <c r="A2490" s="71">
        <v>2026</v>
      </c>
      <c r="B2490" s="72" t="s">
        <v>210</v>
      </c>
      <c r="C2490" s="73" t="s">
        <v>233</v>
      </c>
      <c r="D2490" s="73" t="s">
        <v>238</v>
      </c>
      <c r="E2490" s="73" t="str">
        <f>VLOOKUP(D2490,clientes!$C$3:$D$60,2,FALSE)</f>
        <v>PRISMA</v>
      </c>
      <c r="F2490" s="73" t="s">
        <v>26</v>
      </c>
      <c r="G2490" s="73" t="str">
        <f>VLOOKUP(F2490,'[2]Lista de Produtos CLASSIFICAÇÃO'!$E$103:$F$114,2,FALSE)</f>
        <v>Biocombustíveis</v>
      </c>
      <c r="H2490" s="74">
        <v>4600</v>
      </c>
    </row>
    <row r="2491" spans="1:8" x14ac:dyDescent="0.25">
      <c r="A2491" s="75">
        <v>2026</v>
      </c>
      <c r="B2491" s="76" t="s">
        <v>211</v>
      </c>
      <c r="C2491" s="77" t="s">
        <v>233</v>
      </c>
      <c r="D2491" s="77" t="s">
        <v>238</v>
      </c>
      <c r="E2491" s="73" t="str">
        <f>VLOOKUP(D2491,clientes!$C$3:$D$60,2,FALSE)</f>
        <v>PRISMA</v>
      </c>
      <c r="F2491" s="77" t="s">
        <v>26</v>
      </c>
      <c r="G2491" s="73" t="str">
        <f>VLOOKUP(F2491,'[2]Lista de Produtos CLASSIFICAÇÃO'!$E$103:$F$114,2,FALSE)</f>
        <v>Biocombustíveis</v>
      </c>
      <c r="H2491" s="78">
        <v>4600</v>
      </c>
    </row>
    <row r="2492" spans="1:8" x14ac:dyDescent="0.25">
      <c r="A2492" s="71">
        <v>2026</v>
      </c>
      <c r="B2492" s="72" t="s">
        <v>212</v>
      </c>
      <c r="C2492" s="73" t="s">
        <v>233</v>
      </c>
      <c r="D2492" s="73" t="s">
        <v>238</v>
      </c>
      <c r="E2492" s="73" t="str">
        <f>VLOOKUP(D2492,clientes!$C$3:$D$60,2,FALSE)</f>
        <v>PRISMA</v>
      </c>
      <c r="F2492" s="73" t="s">
        <v>26</v>
      </c>
      <c r="G2492" s="73" t="str">
        <f>VLOOKUP(F2492,'[2]Lista de Produtos CLASSIFICAÇÃO'!$E$103:$F$114,2,FALSE)</f>
        <v>Biocombustíveis</v>
      </c>
      <c r="H2492" s="74">
        <v>4600</v>
      </c>
    </row>
    <row r="2493" spans="1:8" x14ac:dyDescent="0.25">
      <c r="A2493" s="75">
        <v>2026</v>
      </c>
      <c r="B2493" s="76" t="s">
        <v>213</v>
      </c>
      <c r="C2493" s="77" t="s">
        <v>233</v>
      </c>
      <c r="D2493" s="77" t="s">
        <v>238</v>
      </c>
      <c r="E2493" s="73" t="str">
        <f>VLOOKUP(D2493,clientes!$C$3:$D$60,2,FALSE)</f>
        <v>PRISMA</v>
      </c>
      <c r="F2493" s="77" t="s">
        <v>26</v>
      </c>
      <c r="G2493" s="73" t="str">
        <f>VLOOKUP(F2493,'[2]Lista de Produtos CLASSIFICAÇÃO'!$E$103:$F$114,2,FALSE)</f>
        <v>Biocombustíveis</v>
      </c>
      <c r="H2493" s="78">
        <v>4600</v>
      </c>
    </row>
    <row r="2494" spans="1:8" x14ac:dyDescent="0.25">
      <c r="A2494" s="71">
        <v>2026</v>
      </c>
      <c r="B2494" s="72" t="s">
        <v>214</v>
      </c>
      <c r="C2494" s="73" t="s">
        <v>233</v>
      </c>
      <c r="D2494" s="73" t="s">
        <v>238</v>
      </c>
      <c r="E2494" s="73" t="str">
        <f>VLOOKUP(D2494,clientes!$C$3:$D$60,2,FALSE)</f>
        <v>PRISMA</v>
      </c>
      <c r="F2494" s="73" t="s">
        <v>26</v>
      </c>
      <c r="G2494" s="73" t="str">
        <f>VLOOKUP(F2494,'[2]Lista de Produtos CLASSIFICAÇÃO'!$E$103:$F$114,2,FALSE)</f>
        <v>Biocombustíveis</v>
      </c>
      <c r="H2494" s="74">
        <v>4600</v>
      </c>
    </row>
    <row r="2495" spans="1:8" x14ac:dyDescent="0.25">
      <c r="A2495" s="75">
        <v>2026</v>
      </c>
      <c r="B2495" s="76" t="s">
        <v>215</v>
      </c>
      <c r="C2495" s="77" t="s">
        <v>233</v>
      </c>
      <c r="D2495" s="77" t="s">
        <v>238</v>
      </c>
      <c r="E2495" s="73" t="str">
        <f>VLOOKUP(D2495,clientes!$C$3:$D$60,2,FALSE)</f>
        <v>PRISMA</v>
      </c>
      <c r="F2495" s="77" t="s">
        <v>26</v>
      </c>
      <c r="G2495" s="73" t="str">
        <f>VLOOKUP(F2495,'[2]Lista de Produtos CLASSIFICAÇÃO'!$E$103:$F$114,2,FALSE)</f>
        <v>Biocombustíveis</v>
      </c>
      <c r="H2495" s="78">
        <v>4600</v>
      </c>
    </row>
    <row r="2496" spans="1:8" x14ac:dyDescent="0.25">
      <c r="A2496" s="71">
        <v>2026</v>
      </c>
      <c r="B2496" s="72" t="s">
        <v>230</v>
      </c>
      <c r="C2496" s="73" t="s">
        <v>233</v>
      </c>
      <c r="D2496" s="73" t="s">
        <v>238</v>
      </c>
      <c r="E2496" s="73" t="str">
        <f>VLOOKUP(D2496,clientes!$C$3:$D$60,2,FALSE)</f>
        <v>PRISMA</v>
      </c>
      <c r="F2496" s="73" t="s">
        <v>26</v>
      </c>
      <c r="G2496" s="73" t="str">
        <f>VLOOKUP(F2496,'[2]Lista de Produtos CLASSIFICAÇÃO'!$E$103:$F$114,2,FALSE)</f>
        <v>Biocombustíveis</v>
      </c>
      <c r="H2496" s="74">
        <v>4600</v>
      </c>
    </row>
    <row r="2497" spans="1:8" x14ac:dyDescent="0.25">
      <c r="A2497" s="75">
        <v>2026</v>
      </c>
      <c r="B2497" s="76" t="s">
        <v>231</v>
      </c>
      <c r="C2497" s="77" t="s">
        <v>233</v>
      </c>
      <c r="D2497" s="77" t="s">
        <v>238</v>
      </c>
      <c r="E2497" s="73" t="str">
        <f>VLOOKUP(D2497,clientes!$C$3:$D$60,2,FALSE)</f>
        <v>PRISMA</v>
      </c>
      <c r="F2497" s="77" t="s">
        <v>26</v>
      </c>
      <c r="G2497" s="73" t="str">
        <f>VLOOKUP(F2497,'[2]Lista de Produtos CLASSIFICAÇÃO'!$E$103:$F$114,2,FALSE)</f>
        <v>Biocombustíveis</v>
      </c>
      <c r="H2497" s="78">
        <v>4600</v>
      </c>
    </row>
    <row r="2498" spans="1:8" x14ac:dyDescent="0.25">
      <c r="A2498" s="71">
        <v>2026</v>
      </c>
      <c r="B2498" s="72" t="s">
        <v>226</v>
      </c>
      <c r="C2498" s="73" t="s">
        <v>233</v>
      </c>
      <c r="D2498" s="73" t="s">
        <v>159</v>
      </c>
      <c r="E2498" s="73" t="str">
        <f>VLOOKUP(D2498,clientes!$C$3:$D$60,2,FALSE)</f>
        <v>RAIZEN</v>
      </c>
      <c r="F2498" s="73" t="s">
        <v>120</v>
      </c>
      <c r="G2498" s="73" t="str">
        <f>VLOOKUP(F2498,'[2]Lista de Produtos CLASSIFICAÇÃO'!$E$103:$F$114,2,FALSE)</f>
        <v>Derivados</v>
      </c>
      <c r="H2498" s="74">
        <v>50000</v>
      </c>
    </row>
    <row r="2499" spans="1:8" x14ac:dyDescent="0.25">
      <c r="A2499" s="75">
        <v>2026</v>
      </c>
      <c r="B2499" s="76" t="s">
        <v>227</v>
      </c>
      <c r="C2499" s="77" t="s">
        <v>233</v>
      </c>
      <c r="D2499" s="77" t="s">
        <v>159</v>
      </c>
      <c r="E2499" s="73" t="str">
        <f>VLOOKUP(D2499,clientes!$C$3:$D$60,2,FALSE)</f>
        <v>RAIZEN</v>
      </c>
      <c r="F2499" s="77" t="s">
        <v>120</v>
      </c>
      <c r="G2499" s="73" t="str">
        <f>VLOOKUP(F2499,'[2]Lista de Produtos CLASSIFICAÇÃO'!$E$103:$F$114,2,FALSE)</f>
        <v>Derivados</v>
      </c>
      <c r="H2499" s="78">
        <v>50000</v>
      </c>
    </row>
    <row r="2500" spans="1:8" x14ac:dyDescent="0.25">
      <c r="A2500" s="71">
        <v>2026</v>
      </c>
      <c r="B2500" s="72" t="s">
        <v>228</v>
      </c>
      <c r="C2500" s="73" t="s">
        <v>233</v>
      </c>
      <c r="D2500" s="73" t="s">
        <v>159</v>
      </c>
      <c r="E2500" s="73" t="str">
        <f>VLOOKUP(D2500,clientes!$C$3:$D$60,2,FALSE)</f>
        <v>RAIZEN</v>
      </c>
      <c r="F2500" s="73" t="s">
        <v>120</v>
      </c>
      <c r="G2500" s="73" t="str">
        <f>VLOOKUP(F2500,'[2]Lista de Produtos CLASSIFICAÇÃO'!$E$103:$F$114,2,FALSE)</f>
        <v>Derivados</v>
      </c>
      <c r="H2500" s="74">
        <v>50000</v>
      </c>
    </row>
    <row r="2501" spans="1:8" x14ac:dyDescent="0.25">
      <c r="A2501" s="75">
        <v>2026</v>
      </c>
      <c r="B2501" s="76" t="s">
        <v>229</v>
      </c>
      <c r="C2501" s="77" t="s">
        <v>233</v>
      </c>
      <c r="D2501" s="77" t="s">
        <v>159</v>
      </c>
      <c r="E2501" s="73" t="str">
        <f>VLOOKUP(D2501,clientes!$C$3:$D$60,2,FALSE)</f>
        <v>RAIZEN</v>
      </c>
      <c r="F2501" s="77" t="s">
        <v>120</v>
      </c>
      <c r="G2501" s="73" t="str">
        <f>VLOOKUP(F2501,'[2]Lista de Produtos CLASSIFICAÇÃO'!$E$103:$F$114,2,FALSE)</f>
        <v>Derivados</v>
      </c>
      <c r="H2501" s="78">
        <v>50000</v>
      </c>
    </row>
    <row r="2502" spans="1:8" x14ac:dyDescent="0.25">
      <c r="A2502" s="71">
        <v>2026</v>
      </c>
      <c r="B2502" s="72" t="s">
        <v>210</v>
      </c>
      <c r="C2502" s="73" t="s">
        <v>233</v>
      </c>
      <c r="D2502" s="73" t="s">
        <v>159</v>
      </c>
      <c r="E2502" s="73" t="str">
        <f>VLOOKUP(D2502,clientes!$C$3:$D$60,2,FALSE)</f>
        <v>RAIZEN</v>
      </c>
      <c r="F2502" s="73" t="s">
        <v>120</v>
      </c>
      <c r="G2502" s="73" t="str">
        <f>VLOOKUP(F2502,'[2]Lista de Produtos CLASSIFICAÇÃO'!$E$103:$F$114,2,FALSE)</f>
        <v>Derivados</v>
      </c>
      <c r="H2502" s="74">
        <v>50000</v>
      </c>
    </row>
    <row r="2503" spans="1:8" x14ac:dyDescent="0.25">
      <c r="A2503" s="75">
        <v>2026</v>
      </c>
      <c r="B2503" s="76" t="s">
        <v>211</v>
      </c>
      <c r="C2503" s="77" t="s">
        <v>233</v>
      </c>
      <c r="D2503" s="77" t="s">
        <v>159</v>
      </c>
      <c r="E2503" s="73" t="str">
        <f>VLOOKUP(D2503,clientes!$C$3:$D$60,2,FALSE)</f>
        <v>RAIZEN</v>
      </c>
      <c r="F2503" s="77" t="s">
        <v>120</v>
      </c>
      <c r="G2503" s="73" t="str">
        <f>VLOOKUP(F2503,'[2]Lista de Produtos CLASSIFICAÇÃO'!$E$103:$F$114,2,FALSE)</f>
        <v>Derivados</v>
      </c>
      <c r="H2503" s="78">
        <v>50000</v>
      </c>
    </row>
    <row r="2504" spans="1:8" x14ac:dyDescent="0.25">
      <c r="A2504" s="71">
        <v>2026</v>
      </c>
      <c r="B2504" s="72" t="s">
        <v>212</v>
      </c>
      <c r="C2504" s="73" t="s">
        <v>233</v>
      </c>
      <c r="D2504" s="73" t="s">
        <v>159</v>
      </c>
      <c r="E2504" s="73" t="str">
        <f>VLOOKUP(D2504,clientes!$C$3:$D$60,2,FALSE)</f>
        <v>RAIZEN</v>
      </c>
      <c r="F2504" s="73" t="s">
        <v>120</v>
      </c>
      <c r="G2504" s="73" t="str">
        <f>VLOOKUP(F2504,'[2]Lista de Produtos CLASSIFICAÇÃO'!$E$103:$F$114,2,FALSE)</f>
        <v>Derivados</v>
      </c>
      <c r="H2504" s="74">
        <v>50000</v>
      </c>
    </row>
    <row r="2505" spans="1:8" x14ac:dyDescent="0.25">
      <c r="A2505" s="75">
        <v>2026</v>
      </c>
      <c r="B2505" s="76" t="s">
        <v>213</v>
      </c>
      <c r="C2505" s="77" t="s">
        <v>233</v>
      </c>
      <c r="D2505" s="77" t="s">
        <v>159</v>
      </c>
      <c r="E2505" s="73" t="str">
        <f>VLOOKUP(D2505,clientes!$C$3:$D$60,2,FALSE)</f>
        <v>RAIZEN</v>
      </c>
      <c r="F2505" s="77" t="s">
        <v>120</v>
      </c>
      <c r="G2505" s="73" t="str">
        <f>VLOOKUP(F2505,'[2]Lista de Produtos CLASSIFICAÇÃO'!$E$103:$F$114,2,FALSE)</f>
        <v>Derivados</v>
      </c>
      <c r="H2505" s="78">
        <v>50000</v>
      </c>
    </row>
    <row r="2506" spans="1:8" x14ac:dyDescent="0.25">
      <c r="A2506" s="71">
        <v>2026</v>
      </c>
      <c r="B2506" s="72" t="s">
        <v>214</v>
      </c>
      <c r="C2506" s="73" t="s">
        <v>233</v>
      </c>
      <c r="D2506" s="73" t="s">
        <v>159</v>
      </c>
      <c r="E2506" s="73" t="str">
        <f>VLOOKUP(D2506,clientes!$C$3:$D$60,2,FALSE)</f>
        <v>RAIZEN</v>
      </c>
      <c r="F2506" s="73" t="s">
        <v>120</v>
      </c>
      <c r="G2506" s="73" t="str">
        <f>VLOOKUP(F2506,'[2]Lista de Produtos CLASSIFICAÇÃO'!$E$103:$F$114,2,FALSE)</f>
        <v>Derivados</v>
      </c>
      <c r="H2506" s="74">
        <v>50000</v>
      </c>
    </row>
    <row r="2507" spans="1:8" x14ac:dyDescent="0.25">
      <c r="A2507" s="75">
        <v>2026</v>
      </c>
      <c r="B2507" s="76" t="s">
        <v>215</v>
      </c>
      <c r="C2507" s="77" t="s">
        <v>233</v>
      </c>
      <c r="D2507" s="77" t="s">
        <v>159</v>
      </c>
      <c r="E2507" s="73" t="str">
        <f>VLOOKUP(D2507,clientes!$C$3:$D$60,2,FALSE)</f>
        <v>RAIZEN</v>
      </c>
      <c r="F2507" s="77" t="s">
        <v>120</v>
      </c>
      <c r="G2507" s="73" t="str">
        <f>VLOOKUP(F2507,'[2]Lista de Produtos CLASSIFICAÇÃO'!$E$103:$F$114,2,FALSE)</f>
        <v>Derivados</v>
      </c>
      <c r="H2507" s="78">
        <v>50000</v>
      </c>
    </row>
    <row r="2508" spans="1:8" x14ac:dyDescent="0.25">
      <c r="A2508" s="71">
        <v>2026</v>
      </c>
      <c r="B2508" s="72" t="s">
        <v>230</v>
      </c>
      <c r="C2508" s="73" t="s">
        <v>233</v>
      </c>
      <c r="D2508" s="73" t="s">
        <v>159</v>
      </c>
      <c r="E2508" s="73" t="str">
        <f>VLOOKUP(D2508,clientes!$C$3:$D$60,2,FALSE)</f>
        <v>RAIZEN</v>
      </c>
      <c r="F2508" s="73" t="s">
        <v>120</v>
      </c>
      <c r="G2508" s="73" t="str">
        <f>VLOOKUP(F2508,'[2]Lista de Produtos CLASSIFICAÇÃO'!$E$103:$F$114,2,FALSE)</f>
        <v>Derivados</v>
      </c>
      <c r="H2508" s="74">
        <v>50000</v>
      </c>
    </row>
    <row r="2509" spans="1:8" x14ac:dyDescent="0.25">
      <c r="A2509" s="75">
        <v>2026</v>
      </c>
      <c r="B2509" s="76" t="s">
        <v>231</v>
      </c>
      <c r="C2509" s="77" t="s">
        <v>233</v>
      </c>
      <c r="D2509" s="77" t="s">
        <v>159</v>
      </c>
      <c r="E2509" s="73" t="str">
        <f>VLOOKUP(D2509,clientes!$C$3:$D$60,2,FALSE)</f>
        <v>RAIZEN</v>
      </c>
      <c r="F2509" s="77" t="s">
        <v>120</v>
      </c>
      <c r="G2509" s="73" t="str">
        <f>VLOOKUP(F2509,'[2]Lista de Produtos CLASSIFICAÇÃO'!$E$103:$F$114,2,FALSE)</f>
        <v>Derivados</v>
      </c>
      <c r="H2509" s="78">
        <v>50000</v>
      </c>
    </row>
    <row r="2510" spans="1:8" x14ac:dyDescent="0.25">
      <c r="A2510" s="71">
        <v>2026</v>
      </c>
      <c r="B2510" s="72" t="s">
        <v>226</v>
      </c>
      <c r="C2510" s="73" t="s">
        <v>296</v>
      </c>
      <c r="D2510" s="73" t="s">
        <v>242</v>
      </c>
      <c r="E2510" s="73" t="str">
        <f>VLOOKUP(D2510,clientes!$C$3:$D$60,2,FALSE)</f>
        <v>RODOOIL DISTRIBUIDORA</v>
      </c>
      <c r="F2510" s="73" t="s">
        <v>120</v>
      </c>
      <c r="G2510" s="73" t="str">
        <f>VLOOKUP(F2510,'[2]Lista de Produtos CLASSIFICAÇÃO'!$E$103:$F$114,2,FALSE)</f>
        <v>Derivados</v>
      </c>
      <c r="H2510" s="74">
        <v>0</v>
      </c>
    </row>
    <row r="2511" spans="1:8" x14ac:dyDescent="0.25">
      <c r="A2511" s="75">
        <v>2026</v>
      </c>
      <c r="B2511" s="76" t="s">
        <v>227</v>
      </c>
      <c r="C2511" s="77" t="s">
        <v>296</v>
      </c>
      <c r="D2511" s="77" t="s">
        <v>242</v>
      </c>
      <c r="E2511" s="73" t="str">
        <f>VLOOKUP(D2511,clientes!$C$3:$D$60,2,FALSE)</f>
        <v>RODOOIL DISTRIBUIDORA</v>
      </c>
      <c r="F2511" s="77" t="s">
        <v>120</v>
      </c>
      <c r="G2511" s="73" t="str">
        <f>VLOOKUP(F2511,'[2]Lista de Produtos CLASSIFICAÇÃO'!$E$103:$F$114,2,FALSE)</f>
        <v>Derivados</v>
      </c>
      <c r="H2511" s="78">
        <v>0</v>
      </c>
    </row>
    <row r="2512" spans="1:8" x14ac:dyDescent="0.25">
      <c r="A2512" s="71">
        <v>2026</v>
      </c>
      <c r="B2512" s="72" t="s">
        <v>228</v>
      </c>
      <c r="C2512" s="73" t="s">
        <v>296</v>
      </c>
      <c r="D2512" s="73" t="s">
        <v>242</v>
      </c>
      <c r="E2512" s="73" t="str">
        <f>VLOOKUP(D2512,clientes!$C$3:$D$60,2,FALSE)</f>
        <v>RODOOIL DISTRIBUIDORA</v>
      </c>
      <c r="F2512" s="73" t="s">
        <v>120</v>
      </c>
      <c r="G2512" s="73" t="str">
        <f>VLOOKUP(F2512,'[2]Lista de Produtos CLASSIFICAÇÃO'!$E$103:$F$114,2,FALSE)</f>
        <v>Derivados</v>
      </c>
      <c r="H2512" s="74">
        <v>0</v>
      </c>
    </row>
    <row r="2513" spans="1:8" x14ac:dyDescent="0.25">
      <c r="A2513" s="75">
        <v>2026</v>
      </c>
      <c r="B2513" s="76" t="s">
        <v>229</v>
      </c>
      <c r="C2513" s="77" t="s">
        <v>296</v>
      </c>
      <c r="D2513" s="77" t="s">
        <v>242</v>
      </c>
      <c r="E2513" s="73" t="str">
        <f>VLOOKUP(D2513,clientes!$C$3:$D$60,2,FALSE)</f>
        <v>RODOOIL DISTRIBUIDORA</v>
      </c>
      <c r="F2513" s="77" t="s">
        <v>120</v>
      </c>
      <c r="G2513" s="73" t="str">
        <f>VLOOKUP(F2513,'[2]Lista de Produtos CLASSIFICAÇÃO'!$E$103:$F$114,2,FALSE)</f>
        <v>Derivados</v>
      </c>
      <c r="H2513" s="78">
        <v>0</v>
      </c>
    </row>
    <row r="2514" spans="1:8" x14ac:dyDescent="0.25">
      <c r="A2514" s="71">
        <v>2026</v>
      </c>
      <c r="B2514" s="72" t="s">
        <v>210</v>
      </c>
      <c r="C2514" s="73" t="s">
        <v>296</v>
      </c>
      <c r="D2514" s="73" t="s">
        <v>242</v>
      </c>
      <c r="E2514" s="73" t="str">
        <f>VLOOKUP(D2514,clientes!$C$3:$D$60,2,FALSE)</f>
        <v>RODOOIL DISTRIBUIDORA</v>
      </c>
      <c r="F2514" s="73" t="s">
        <v>120</v>
      </c>
      <c r="G2514" s="73" t="str">
        <f>VLOOKUP(F2514,'[2]Lista de Produtos CLASSIFICAÇÃO'!$E$103:$F$114,2,FALSE)</f>
        <v>Derivados</v>
      </c>
      <c r="H2514" s="74">
        <v>20000</v>
      </c>
    </row>
    <row r="2515" spans="1:8" x14ac:dyDescent="0.25">
      <c r="A2515" s="75">
        <v>2026</v>
      </c>
      <c r="B2515" s="76" t="s">
        <v>211</v>
      </c>
      <c r="C2515" s="77" t="s">
        <v>296</v>
      </c>
      <c r="D2515" s="77" t="s">
        <v>242</v>
      </c>
      <c r="E2515" s="73" t="str">
        <f>VLOOKUP(D2515,clientes!$C$3:$D$60,2,FALSE)</f>
        <v>RODOOIL DISTRIBUIDORA</v>
      </c>
      <c r="F2515" s="77" t="s">
        <v>120</v>
      </c>
      <c r="G2515" s="73" t="str">
        <f>VLOOKUP(F2515,'[2]Lista de Produtos CLASSIFICAÇÃO'!$E$103:$F$114,2,FALSE)</f>
        <v>Derivados</v>
      </c>
      <c r="H2515" s="78">
        <v>20000</v>
      </c>
    </row>
    <row r="2516" spans="1:8" x14ac:dyDescent="0.25">
      <c r="A2516" s="71">
        <v>2026</v>
      </c>
      <c r="B2516" s="72" t="s">
        <v>212</v>
      </c>
      <c r="C2516" s="73" t="s">
        <v>296</v>
      </c>
      <c r="D2516" s="73" t="s">
        <v>242</v>
      </c>
      <c r="E2516" s="73" t="str">
        <f>VLOOKUP(D2516,clientes!$C$3:$D$60,2,FALSE)</f>
        <v>RODOOIL DISTRIBUIDORA</v>
      </c>
      <c r="F2516" s="73" t="s">
        <v>120</v>
      </c>
      <c r="G2516" s="73" t="str">
        <f>VLOOKUP(F2516,'[2]Lista de Produtos CLASSIFICAÇÃO'!$E$103:$F$114,2,FALSE)</f>
        <v>Derivados</v>
      </c>
      <c r="H2516" s="74">
        <v>20000</v>
      </c>
    </row>
    <row r="2517" spans="1:8" x14ac:dyDescent="0.25">
      <c r="A2517" s="75">
        <v>2026</v>
      </c>
      <c r="B2517" s="76" t="s">
        <v>213</v>
      </c>
      <c r="C2517" s="77" t="s">
        <v>296</v>
      </c>
      <c r="D2517" s="77" t="s">
        <v>242</v>
      </c>
      <c r="E2517" s="73" t="str">
        <f>VLOOKUP(D2517,clientes!$C$3:$D$60,2,FALSE)</f>
        <v>RODOOIL DISTRIBUIDORA</v>
      </c>
      <c r="F2517" s="77" t="s">
        <v>120</v>
      </c>
      <c r="G2517" s="73" t="str">
        <f>VLOOKUP(F2517,'[2]Lista de Produtos CLASSIFICAÇÃO'!$E$103:$F$114,2,FALSE)</f>
        <v>Derivados</v>
      </c>
      <c r="H2517" s="78">
        <v>20000</v>
      </c>
    </row>
    <row r="2518" spans="1:8" x14ac:dyDescent="0.25">
      <c r="A2518" s="71">
        <v>2026</v>
      </c>
      <c r="B2518" s="72" t="s">
        <v>214</v>
      </c>
      <c r="C2518" s="73" t="s">
        <v>296</v>
      </c>
      <c r="D2518" s="73" t="s">
        <v>242</v>
      </c>
      <c r="E2518" s="73" t="str">
        <f>VLOOKUP(D2518,clientes!$C$3:$D$60,2,FALSE)</f>
        <v>RODOOIL DISTRIBUIDORA</v>
      </c>
      <c r="F2518" s="73" t="s">
        <v>120</v>
      </c>
      <c r="G2518" s="73" t="str">
        <f>VLOOKUP(F2518,'[2]Lista de Produtos CLASSIFICAÇÃO'!$E$103:$F$114,2,FALSE)</f>
        <v>Derivados</v>
      </c>
      <c r="H2518" s="74">
        <v>20000</v>
      </c>
    </row>
    <row r="2519" spans="1:8" x14ac:dyDescent="0.25">
      <c r="A2519" s="75">
        <v>2026</v>
      </c>
      <c r="B2519" s="76" t="s">
        <v>215</v>
      </c>
      <c r="C2519" s="77" t="s">
        <v>296</v>
      </c>
      <c r="D2519" s="77" t="s">
        <v>242</v>
      </c>
      <c r="E2519" s="73" t="str">
        <f>VLOOKUP(D2519,clientes!$C$3:$D$60,2,FALSE)</f>
        <v>RODOOIL DISTRIBUIDORA</v>
      </c>
      <c r="F2519" s="77" t="s">
        <v>120</v>
      </c>
      <c r="G2519" s="73" t="str">
        <f>VLOOKUP(F2519,'[2]Lista de Produtos CLASSIFICAÇÃO'!$E$103:$F$114,2,FALSE)</f>
        <v>Derivados</v>
      </c>
      <c r="H2519" s="78">
        <v>20000</v>
      </c>
    </row>
    <row r="2520" spans="1:8" x14ac:dyDescent="0.25">
      <c r="A2520" s="71">
        <v>2026</v>
      </c>
      <c r="B2520" s="72" t="s">
        <v>230</v>
      </c>
      <c r="C2520" s="73" t="s">
        <v>296</v>
      </c>
      <c r="D2520" s="73" t="s">
        <v>242</v>
      </c>
      <c r="E2520" s="73" t="str">
        <f>VLOOKUP(D2520,clientes!$C$3:$D$60,2,FALSE)</f>
        <v>RODOOIL DISTRIBUIDORA</v>
      </c>
      <c r="F2520" s="73" t="s">
        <v>120</v>
      </c>
      <c r="G2520" s="73" t="str">
        <f>VLOOKUP(F2520,'[2]Lista de Produtos CLASSIFICAÇÃO'!$E$103:$F$114,2,FALSE)</f>
        <v>Derivados</v>
      </c>
      <c r="H2520" s="74">
        <v>20000</v>
      </c>
    </row>
    <row r="2521" spans="1:8" x14ac:dyDescent="0.25">
      <c r="A2521" s="75">
        <v>2026</v>
      </c>
      <c r="B2521" s="76" t="s">
        <v>231</v>
      </c>
      <c r="C2521" s="77" t="s">
        <v>296</v>
      </c>
      <c r="D2521" s="77" t="s">
        <v>242</v>
      </c>
      <c r="E2521" s="73" t="str">
        <f>VLOOKUP(D2521,clientes!$C$3:$D$60,2,FALSE)</f>
        <v>RODOOIL DISTRIBUIDORA</v>
      </c>
      <c r="F2521" s="77" t="s">
        <v>120</v>
      </c>
      <c r="G2521" s="73" t="str">
        <f>VLOOKUP(F2521,'[2]Lista de Produtos CLASSIFICAÇÃO'!$E$103:$F$114,2,FALSE)</f>
        <v>Derivados</v>
      </c>
      <c r="H2521" s="78">
        <v>20000</v>
      </c>
    </row>
    <row r="2522" spans="1:8" x14ac:dyDescent="0.25">
      <c r="A2522" s="71">
        <v>2026</v>
      </c>
      <c r="B2522" s="72" t="s">
        <v>226</v>
      </c>
      <c r="C2522" s="73" t="s">
        <v>296</v>
      </c>
      <c r="D2522" s="73" t="s">
        <v>241</v>
      </c>
      <c r="E2522" s="73" t="str">
        <f>VLOOKUP(D2522,clientes!$C$3:$D$60,2,FALSE)</f>
        <v>ROYAL FIC</v>
      </c>
      <c r="F2522" s="73" t="s">
        <v>120</v>
      </c>
      <c r="G2522" s="73" t="str">
        <f>VLOOKUP(F2522,'[2]Lista de Produtos CLASSIFICAÇÃO'!$E$103:$F$114,2,FALSE)</f>
        <v>Derivados</v>
      </c>
      <c r="H2522" s="74">
        <v>0</v>
      </c>
    </row>
    <row r="2523" spans="1:8" x14ac:dyDescent="0.25">
      <c r="A2523" s="75">
        <v>2026</v>
      </c>
      <c r="B2523" s="76" t="s">
        <v>227</v>
      </c>
      <c r="C2523" s="77" t="s">
        <v>296</v>
      </c>
      <c r="D2523" s="77" t="s">
        <v>241</v>
      </c>
      <c r="E2523" s="73" t="str">
        <f>VLOOKUP(D2523,clientes!$C$3:$D$60,2,FALSE)</f>
        <v>ROYAL FIC</v>
      </c>
      <c r="F2523" s="77" t="s">
        <v>120</v>
      </c>
      <c r="G2523" s="73" t="str">
        <f>VLOOKUP(F2523,'[2]Lista de Produtos CLASSIFICAÇÃO'!$E$103:$F$114,2,FALSE)</f>
        <v>Derivados</v>
      </c>
      <c r="H2523" s="78">
        <v>0</v>
      </c>
    </row>
    <row r="2524" spans="1:8" x14ac:dyDescent="0.25">
      <c r="A2524" s="71">
        <v>2026</v>
      </c>
      <c r="B2524" s="72" t="s">
        <v>228</v>
      </c>
      <c r="C2524" s="73" t="s">
        <v>296</v>
      </c>
      <c r="D2524" s="73" t="s">
        <v>241</v>
      </c>
      <c r="E2524" s="73" t="str">
        <f>VLOOKUP(D2524,clientes!$C$3:$D$60,2,FALSE)</f>
        <v>ROYAL FIC</v>
      </c>
      <c r="F2524" s="73" t="s">
        <v>120</v>
      </c>
      <c r="G2524" s="73" t="str">
        <f>VLOOKUP(F2524,'[2]Lista de Produtos CLASSIFICAÇÃO'!$E$103:$F$114,2,FALSE)</f>
        <v>Derivados</v>
      </c>
      <c r="H2524" s="74">
        <v>0</v>
      </c>
    </row>
    <row r="2525" spans="1:8" x14ac:dyDescent="0.25">
      <c r="A2525" s="75">
        <v>2026</v>
      </c>
      <c r="B2525" s="76" t="s">
        <v>229</v>
      </c>
      <c r="C2525" s="77" t="s">
        <v>296</v>
      </c>
      <c r="D2525" s="77" t="s">
        <v>241</v>
      </c>
      <c r="E2525" s="73" t="str">
        <f>VLOOKUP(D2525,clientes!$C$3:$D$60,2,FALSE)</f>
        <v>ROYAL FIC</v>
      </c>
      <c r="F2525" s="77" t="s">
        <v>120</v>
      </c>
      <c r="G2525" s="73" t="str">
        <f>VLOOKUP(F2525,'[2]Lista de Produtos CLASSIFICAÇÃO'!$E$103:$F$114,2,FALSE)</f>
        <v>Derivados</v>
      </c>
      <c r="H2525" s="78">
        <v>0</v>
      </c>
    </row>
    <row r="2526" spans="1:8" x14ac:dyDescent="0.25">
      <c r="A2526" s="71">
        <v>2026</v>
      </c>
      <c r="B2526" s="72" t="s">
        <v>210</v>
      </c>
      <c r="C2526" s="73" t="s">
        <v>296</v>
      </c>
      <c r="D2526" s="73" t="s">
        <v>241</v>
      </c>
      <c r="E2526" s="73" t="str">
        <f>VLOOKUP(D2526,clientes!$C$3:$D$60,2,FALSE)</f>
        <v>ROYAL FIC</v>
      </c>
      <c r="F2526" s="73" t="s">
        <v>120</v>
      </c>
      <c r="G2526" s="73" t="str">
        <f>VLOOKUP(F2526,'[2]Lista de Produtos CLASSIFICAÇÃO'!$E$103:$F$114,2,FALSE)</f>
        <v>Derivados</v>
      </c>
      <c r="H2526" s="74">
        <v>20000</v>
      </c>
    </row>
    <row r="2527" spans="1:8" x14ac:dyDescent="0.25">
      <c r="A2527" s="75">
        <v>2026</v>
      </c>
      <c r="B2527" s="76" t="s">
        <v>211</v>
      </c>
      <c r="C2527" s="77" t="s">
        <v>296</v>
      </c>
      <c r="D2527" s="77" t="s">
        <v>241</v>
      </c>
      <c r="E2527" s="73" t="str">
        <f>VLOOKUP(D2527,clientes!$C$3:$D$60,2,FALSE)</f>
        <v>ROYAL FIC</v>
      </c>
      <c r="F2527" s="77" t="s">
        <v>120</v>
      </c>
      <c r="G2527" s="73" t="str">
        <f>VLOOKUP(F2527,'[2]Lista de Produtos CLASSIFICAÇÃO'!$E$103:$F$114,2,FALSE)</f>
        <v>Derivados</v>
      </c>
      <c r="H2527" s="78">
        <v>20000</v>
      </c>
    </row>
    <row r="2528" spans="1:8" x14ac:dyDescent="0.25">
      <c r="A2528" s="71">
        <v>2026</v>
      </c>
      <c r="B2528" s="72" t="s">
        <v>212</v>
      </c>
      <c r="C2528" s="73" t="s">
        <v>296</v>
      </c>
      <c r="D2528" s="73" t="s">
        <v>241</v>
      </c>
      <c r="E2528" s="73" t="str">
        <f>VLOOKUP(D2528,clientes!$C$3:$D$60,2,FALSE)</f>
        <v>ROYAL FIC</v>
      </c>
      <c r="F2528" s="73" t="s">
        <v>120</v>
      </c>
      <c r="G2528" s="73" t="str">
        <f>VLOOKUP(F2528,'[2]Lista de Produtos CLASSIFICAÇÃO'!$E$103:$F$114,2,FALSE)</f>
        <v>Derivados</v>
      </c>
      <c r="H2528" s="74">
        <v>20000</v>
      </c>
    </row>
    <row r="2529" spans="1:8" x14ac:dyDescent="0.25">
      <c r="A2529" s="75">
        <v>2026</v>
      </c>
      <c r="B2529" s="76" t="s">
        <v>213</v>
      </c>
      <c r="C2529" s="77" t="s">
        <v>296</v>
      </c>
      <c r="D2529" s="77" t="s">
        <v>241</v>
      </c>
      <c r="E2529" s="73" t="str">
        <f>VLOOKUP(D2529,clientes!$C$3:$D$60,2,FALSE)</f>
        <v>ROYAL FIC</v>
      </c>
      <c r="F2529" s="77" t="s">
        <v>120</v>
      </c>
      <c r="G2529" s="73" t="str">
        <f>VLOOKUP(F2529,'[2]Lista de Produtos CLASSIFICAÇÃO'!$E$103:$F$114,2,FALSE)</f>
        <v>Derivados</v>
      </c>
      <c r="H2529" s="78">
        <v>20000</v>
      </c>
    </row>
    <row r="2530" spans="1:8" x14ac:dyDescent="0.25">
      <c r="A2530" s="71">
        <v>2026</v>
      </c>
      <c r="B2530" s="72" t="s">
        <v>214</v>
      </c>
      <c r="C2530" s="73" t="s">
        <v>296</v>
      </c>
      <c r="D2530" s="73" t="s">
        <v>241</v>
      </c>
      <c r="E2530" s="73" t="str">
        <f>VLOOKUP(D2530,clientes!$C$3:$D$60,2,FALSE)</f>
        <v>ROYAL FIC</v>
      </c>
      <c r="F2530" s="73" t="s">
        <v>120</v>
      </c>
      <c r="G2530" s="73" t="str">
        <f>VLOOKUP(F2530,'[2]Lista de Produtos CLASSIFICAÇÃO'!$E$103:$F$114,2,FALSE)</f>
        <v>Derivados</v>
      </c>
      <c r="H2530" s="74">
        <v>20000</v>
      </c>
    </row>
    <row r="2531" spans="1:8" x14ac:dyDescent="0.25">
      <c r="A2531" s="75">
        <v>2026</v>
      </c>
      <c r="B2531" s="76" t="s">
        <v>215</v>
      </c>
      <c r="C2531" s="77" t="s">
        <v>296</v>
      </c>
      <c r="D2531" s="77" t="s">
        <v>241</v>
      </c>
      <c r="E2531" s="73" t="str">
        <f>VLOOKUP(D2531,clientes!$C$3:$D$60,2,FALSE)</f>
        <v>ROYAL FIC</v>
      </c>
      <c r="F2531" s="77" t="s">
        <v>120</v>
      </c>
      <c r="G2531" s="73" t="str">
        <f>VLOOKUP(F2531,'[2]Lista de Produtos CLASSIFICAÇÃO'!$E$103:$F$114,2,FALSE)</f>
        <v>Derivados</v>
      </c>
      <c r="H2531" s="78">
        <v>20000</v>
      </c>
    </row>
    <row r="2532" spans="1:8" x14ac:dyDescent="0.25">
      <c r="A2532" s="71">
        <v>2026</v>
      </c>
      <c r="B2532" s="72" t="s">
        <v>230</v>
      </c>
      <c r="C2532" s="73" t="s">
        <v>296</v>
      </c>
      <c r="D2532" s="73" t="s">
        <v>241</v>
      </c>
      <c r="E2532" s="73" t="str">
        <f>VLOOKUP(D2532,clientes!$C$3:$D$60,2,FALSE)</f>
        <v>ROYAL FIC</v>
      </c>
      <c r="F2532" s="73" t="s">
        <v>120</v>
      </c>
      <c r="G2532" s="73" t="str">
        <f>VLOOKUP(F2532,'[2]Lista de Produtos CLASSIFICAÇÃO'!$E$103:$F$114,2,FALSE)</f>
        <v>Derivados</v>
      </c>
      <c r="H2532" s="74">
        <v>20000</v>
      </c>
    </row>
    <row r="2533" spans="1:8" x14ac:dyDescent="0.25">
      <c r="A2533" s="75">
        <v>2026</v>
      </c>
      <c r="B2533" s="76" t="s">
        <v>231</v>
      </c>
      <c r="C2533" s="77" t="s">
        <v>296</v>
      </c>
      <c r="D2533" s="77" t="s">
        <v>241</v>
      </c>
      <c r="E2533" s="73" t="str">
        <f>VLOOKUP(D2533,clientes!$C$3:$D$60,2,FALSE)</f>
        <v>ROYAL FIC</v>
      </c>
      <c r="F2533" s="77" t="s">
        <v>120</v>
      </c>
      <c r="G2533" s="73" t="str">
        <f>VLOOKUP(F2533,'[2]Lista de Produtos CLASSIFICAÇÃO'!$E$103:$F$114,2,FALSE)</f>
        <v>Derivados</v>
      </c>
      <c r="H2533" s="78">
        <v>20000</v>
      </c>
    </row>
    <row r="2534" spans="1:8" x14ac:dyDescent="0.25">
      <c r="A2534" s="71">
        <v>2026</v>
      </c>
      <c r="B2534" s="72" t="s">
        <v>226</v>
      </c>
      <c r="C2534" s="73" t="s">
        <v>233</v>
      </c>
      <c r="D2534" s="73" t="s">
        <v>161</v>
      </c>
      <c r="E2534" s="73" t="str">
        <f>VLOOKUP(D2534,clientes!$C$3:$D$60,2,FALSE)</f>
        <v>SUL PLATA</v>
      </c>
      <c r="F2534" s="73" t="s">
        <v>120</v>
      </c>
      <c r="G2534" s="73" t="str">
        <f>VLOOKUP(F2534,'[2]Lista de Produtos CLASSIFICAÇÃO'!$E$103:$F$114,2,FALSE)</f>
        <v>Derivados</v>
      </c>
      <c r="H2534" s="74">
        <v>40000</v>
      </c>
    </row>
    <row r="2535" spans="1:8" x14ac:dyDescent="0.25">
      <c r="A2535" s="75">
        <v>2026</v>
      </c>
      <c r="B2535" s="76" t="s">
        <v>227</v>
      </c>
      <c r="C2535" s="77" t="s">
        <v>233</v>
      </c>
      <c r="D2535" s="77" t="s">
        <v>161</v>
      </c>
      <c r="E2535" s="73" t="str">
        <f>VLOOKUP(D2535,clientes!$C$3:$D$60,2,FALSE)</f>
        <v>SUL PLATA</v>
      </c>
      <c r="F2535" s="77" t="s">
        <v>120</v>
      </c>
      <c r="G2535" s="73" t="str">
        <f>VLOOKUP(F2535,'[2]Lista de Produtos CLASSIFICAÇÃO'!$E$103:$F$114,2,FALSE)</f>
        <v>Derivados</v>
      </c>
      <c r="H2535" s="78">
        <v>40000</v>
      </c>
    </row>
    <row r="2536" spans="1:8" x14ac:dyDescent="0.25">
      <c r="A2536" s="71">
        <v>2026</v>
      </c>
      <c r="B2536" s="72" t="s">
        <v>228</v>
      </c>
      <c r="C2536" s="73" t="s">
        <v>233</v>
      </c>
      <c r="D2536" s="73" t="s">
        <v>161</v>
      </c>
      <c r="E2536" s="73" t="str">
        <f>VLOOKUP(D2536,clientes!$C$3:$D$60,2,FALSE)</f>
        <v>SUL PLATA</v>
      </c>
      <c r="F2536" s="73" t="s">
        <v>120</v>
      </c>
      <c r="G2536" s="73" t="str">
        <f>VLOOKUP(F2536,'[2]Lista de Produtos CLASSIFICAÇÃO'!$E$103:$F$114,2,FALSE)</f>
        <v>Derivados</v>
      </c>
      <c r="H2536" s="74">
        <v>40000</v>
      </c>
    </row>
    <row r="2537" spans="1:8" x14ac:dyDescent="0.25">
      <c r="A2537" s="75">
        <v>2026</v>
      </c>
      <c r="B2537" s="76" t="s">
        <v>229</v>
      </c>
      <c r="C2537" s="77" t="s">
        <v>233</v>
      </c>
      <c r="D2537" s="77" t="s">
        <v>161</v>
      </c>
      <c r="E2537" s="73" t="str">
        <f>VLOOKUP(D2537,clientes!$C$3:$D$60,2,FALSE)</f>
        <v>SUL PLATA</v>
      </c>
      <c r="F2537" s="77" t="s">
        <v>120</v>
      </c>
      <c r="G2537" s="73" t="str">
        <f>VLOOKUP(F2537,'[2]Lista de Produtos CLASSIFICAÇÃO'!$E$103:$F$114,2,FALSE)</f>
        <v>Derivados</v>
      </c>
      <c r="H2537" s="78">
        <v>40000</v>
      </c>
    </row>
    <row r="2538" spans="1:8" x14ac:dyDescent="0.25">
      <c r="A2538" s="71">
        <v>2026</v>
      </c>
      <c r="B2538" s="72" t="s">
        <v>210</v>
      </c>
      <c r="C2538" s="73" t="s">
        <v>233</v>
      </c>
      <c r="D2538" s="73" t="s">
        <v>161</v>
      </c>
      <c r="E2538" s="73" t="str">
        <f>VLOOKUP(D2538,clientes!$C$3:$D$60,2,FALSE)</f>
        <v>SUL PLATA</v>
      </c>
      <c r="F2538" s="73" t="s">
        <v>120</v>
      </c>
      <c r="G2538" s="73" t="str">
        <f>VLOOKUP(F2538,'[2]Lista de Produtos CLASSIFICAÇÃO'!$E$103:$F$114,2,FALSE)</f>
        <v>Derivados</v>
      </c>
      <c r="H2538" s="74">
        <v>40000</v>
      </c>
    </row>
    <row r="2539" spans="1:8" x14ac:dyDescent="0.25">
      <c r="A2539" s="75">
        <v>2026</v>
      </c>
      <c r="B2539" s="76" t="s">
        <v>211</v>
      </c>
      <c r="C2539" s="77" t="s">
        <v>233</v>
      </c>
      <c r="D2539" s="77" t="s">
        <v>161</v>
      </c>
      <c r="E2539" s="73" t="str">
        <f>VLOOKUP(D2539,clientes!$C$3:$D$60,2,FALSE)</f>
        <v>SUL PLATA</v>
      </c>
      <c r="F2539" s="77" t="s">
        <v>120</v>
      </c>
      <c r="G2539" s="73" t="str">
        <f>VLOOKUP(F2539,'[2]Lista de Produtos CLASSIFICAÇÃO'!$E$103:$F$114,2,FALSE)</f>
        <v>Derivados</v>
      </c>
      <c r="H2539" s="78">
        <v>40000</v>
      </c>
    </row>
    <row r="2540" spans="1:8" x14ac:dyDescent="0.25">
      <c r="A2540" s="71">
        <v>2026</v>
      </c>
      <c r="B2540" s="72" t="s">
        <v>212</v>
      </c>
      <c r="C2540" s="73" t="s">
        <v>233</v>
      </c>
      <c r="D2540" s="73" t="s">
        <v>161</v>
      </c>
      <c r="E2540" s="73" t="str">
        <f>VLOOKUP(D2540,clientes!$C$3:$D$60,2,FALSE)</f>
        <v>SUL PLATA</v>
      </c>
      <c r="F2540" s="73" t="s">
        <v>120</v>
      </c>
      <c r="G2540" s="73" t="str">
        <f>VLOOKUP(F2540,'[2]Lista de Produtos CLASSIFICAÇÃO'!$E$103:$F$114,2,FALSE)</f>
        <v>Derivados</v>
      </c>
      <c r="H2540" s="74">
        <v>40000</v>
      </c>
    </row>
    <row r="2541" spans="1:8" x14ac:dyDescent="0.25">
      <c r="A2541" s="75">
        <v>2026</v>
      </c>
      <c r="B2541" s="76" t="s">
        <v>213</v>
      </c>
      <c r="C2541" s="77" t="s">
        <v>233</v>
      </c>
      <c r="D2541" s="77" t="s">
        <v>161</v>
      </c>
      <c r="E2541" s="73" t="str">
        <f>VLOOKUP(D2541,clientes!$C$3:$D$60,2,FALSE)</f>
        <v>SUL PLATA</v>
      </c>
      <c r="F2541" s="77" t="s">
        <v>120</v>
      </c>
      <c r="G2541" s="73" t="str">
        <f>VLOOKUP(F2541,'[2]Lista de Produtos CLASSIFICAÇÃO'!$E$103:$F$114,2,FALSE)</f>
        <v>Derivados</v>
      </c>
      <c r="H2541" s="78">
        <v>40000</v>
      </c>
    </row>
    <row r="2542" spans="1:8" x14ac:dyDescent="0.25">
      <c r="A2542" s="71">
        <v>2026</v>
      </c>
      <c r="B2542" s="72" t="s">
        <v>214</v>
      </c>
      <c r="C2542" s="73" t="s">
        <v>233</v>
      </c>
      <c r="D2542" s="73" t="s">
        <v>161</v>
      </c>
      <c r="E2542" s="73" t="str">
        <f>VLOOKUP(D2542,clientes!$C$3:$D$60,2,FALSE)</f>
        <v>SUL PLATA</v>
      </c>
      <c r="F2542" s="73" t="s">
        <v>120</v>
      </c>
      <c r="G2542" s="73" t="str">
        <f>VLOOKUP(F2542,'[2]Lista de Produtos CLASSIFICAÇÃO'!$E$103:$F$114,2,FALSE)</f>
        <v>Derivados</v>
      </c>
      <c r="H2542" s="74">
        <v>40000</v>
      </c>
    </row>
    <row r="2543" spans="1:8" x14ac:dyDescent="0.25">
      <c r="A2543" s="75">
        <v>2026</v>
      </c>
      <c r="B2543" s="76" t="s">
        <v>215</v>
      </c>
      <c r="C2543" s="77" t="s">
        <v>233</v>
      </c>
      <c r="D2543" s="77" t="s">
        <v>161</v>
      </c>
      <c r="E2543" s="73" t="str">
        <f>VLOOKUP(D2543,clientes!$C$3:$D$60,2,FALSE)</f>
        <v>SUL PLATA</v>
      </c>
      <c r="F2543" s="77" t="s">
        <v>120</v>
      </c>
      <c r="G2543" s="73" t="str">
        <f>VLOOKUP(F2543,'[2]Lista de Produtos CLASSIFICAÇÃO'!$E$103:$F$114,2,FALSE)</f>
        <v>Derivados</v>
      </c>
      <c r="H2543" s="78">
        <v>40000</v>
      </c>
    </row>
    <row r="2544" spans="1:8" x14ac:dyDescent="0.25">
      <c r="A2544" s="71">
        <v>2026</v>
      </c>
      <c r="B2544" s="72" t="s">
        <v>230</v>
      </c>
      <c r="C2544" s="73" t="s">
        <v>233</v>
      </c>
      <c r="D2544" s="73" t="s">
        <v>161</v>
      </c>
      <c r="E2544" s="73" t="str">
        <f>VLOOKUP(D2544,clientes!$C$3:$D$60,2,FALSE)</f>
        <v>SUL PLATA</v>
      </c>
      <c r="F2544" s="73" t="s">
        <v>120</v>
      </c>
      <c r="G2544" s="73" t="str">
        <f>VLOOKUP(F2544,'[2]Lista de Produtos CLASSIFICAÇÃO'!$E$103:$F$114,2,FALSE)</f>
        <v>Derivados</v>
      </c>
      <c r="H2544" s="74">
        <v>40000</v>
      </c>
    </row>
    <row r="2545" spans="1:8" x14ac:dyDescent="0.25">
      <c r="A2545" s="75">
        <v>2026</v>
      </c>
      <c r="B2545" s="76" t="s">
        <v>231</v>
      </c>
      <c r="C2545" s="77" t="s">
        <v>233</v>
      </c>
      <c r="D2545" s="77" t="s">
        <v>161</v>
      </c>
      <c r="E2545" s="73" t="str">
        <f>VLOOKUP(D2545,clientes!$C$3:$D$60,2,FALSE)</f>
        <v>SUL PLATA</v>
      </c>
      <c r="F2545" s="77" t="s">
        <v>120</v>
      </c>
      <c r="G2545" s="73" t="str">
        <f>VLOOKUP(F2545,'[2]Lista de Produtos CLASSIFICAÇÃO'!$E$103:$F$114,2,FALSE)</f>
        <v>Derivados</v>
      </c>
      <c r="H2545" s="78">
        <v>40000</v>
      </c>
    </row>
    <row r="2546" spans="1:8" x14ac:dyDescent="0.25">
      <c r="A2546" s="71">
        <v>2026</v>
      </c>
      <c r="B2546" s="72" t="s">
        <v>226</v>
      </c>
      <c r="C2546" s="73" t="s">
        <v>296</v>
      </c>
      <c r="D2546" s="73" t="s">
        <v>244</v>
      </c>
      <c r="E2546" s="73" t="str">
        <f>VLOOKUP(D2546,clientes!$C$3:$D$60,2,FALSE)</f>
        <v>TAURUS</v>
      </c>
      <c r="F2546" s="73" t="s">
        <v>120</v>
      </c>
      <c r="G2546" s="73" t="str">
        <f>VLOOKUP(F2546,'[2]Lista de Produtos CLASSIFICAÇÃO'!$E$103:$F$114,2,FALSE)</f>
        <v>Derivados</v>
      </c>
      <c r="H2546" s="74">
        <v>0</v>
      </c>
    </row>
    <row r="2547" spans="1:8" x14ac:dyDescent="0.25">
      <c r="A2547" s="75">
        <v>2026</v>
      </c>
      <c r="B2547" s="76" t="s">
        <v>227</v>
      </c>
      <c r="C2547" s="77" t="s">
        <v>296</v>
      </c>
      <c r="D2547" s="77" t="s">
        <v>244</v>
      </c>
      <c r="E2547" s="73" t="str">
        <f>VLOOKUP(D2547,clientes!$C$3:$D$60,2,FALSE)</f>
        <v>TAURUS</v>
      </c>
      <c r="F2547" s="77" t="s">
        <v>120</v>
      </c>
      <c r="G2547" s="73" t="str">
        <f>VLOOKUP(F2547,'[2]Lista de Produtos CLASSIFICAÇÃO'!$E$103:$F$114,2,FALSE)</f>
        <v>Derivados</v>
      </c>
      <c r="H2547" s="78">
        <v>0</v>
      </c>
    </row>
    <row r="2548" spans="1:8" x14ac:dyDescent="0.25">
      <c r="A2548" s="71">
        <v>2026</v>
      </c>
      <c r="B2548" s="72" t="s">
        <v>228</v>
      </c>
      <c r="C2548" s="73" t="s">
        <v>296</v>
      </c>
      <c r="D2548" s="73" t="s">
        <v>244</v>
      </c>
      <c r="E2548" s="73" t="str">
        <f>VLOOKUP(D2548,clientes!$C$3:$D$60,2,FALSE)</f>
        <v>TAURUS</v>
      </c>
      <c r="F2548" s="73" t="s">
        <v>120</v>
      </c>
      <c r="G2548" s="73" t="str">
        <f>VLOOKUP(F2548,'[2]Lista de Produtos CLASSIFICAÇÃO'!$E$103:$F$114,2,FALSE)</f>
        <v>Derivados</v>
      </c>
      <c r="H2548" s="74">
        <v>0</v>
      </c>
    </row>
    <row r="2549" spans="1:8" x14ac:dyDescent="0.25">
      <c r="A2549" s="75">
        <v>2026</v>
      </c>
      <c r="B2549" s="76" t="s">
        <v>229</v>
      </c>
      <c r="C2549" s="77" t="s">
        <v>296</v>
      </c>
      <c r="D2549" s="77" t="s">
        <v>244</v>
      </c>
      <c r="E2549" s="73" t="str">
        <f>VLOOKUP(D2549,clientes!$C$3:$D$60,2,FALSE)</f>
        <v>TAURUS</v>
      </c>
      <c r="F2549" s="77" t="s">
        <v>120</v>
      </c>
      <c r="G2549" s="73" t="str">
        <f>VLOOKUP(F2549,'[2]Lista de Produtos CLASSIFICAÇÃO'!$E$103:$F$114,2,FALSE)</f>
        <v>Derivados</v>
      </c>
      <c r="H2549" s="78">
        <v>0</v>
      </c>
    </row>
    <row r="2550" spans="1:8" x14ac:dyDescent="0.25">
      <c r="A2550" s="71">
        <v>2026</v>
      </c>
      <c r="B2550" s="72" t="s">
        <v>210</v>
      </c>
      <c r="C2550" s="73" t="s">
        <v>296</v>
      </c>
      <c r="D2550" s="73" t="s">
        <v>244</v>
      </c>
      <c r="E2550" s="73" t="str">
        <f>VLOOKUP(D2550,clientes!$C$3:$D$60,2,FALSE)</f>
        <v>TAURUS</v>
      </c>
      <c r="F2550" s="73" t="s">
        <v>120</v>
      </c>
      <c r="G2550" s="73" t="str">
        <f>VLOOKUP(F2550,'[2]Lista de Produtos CLASSIFICAÇÃO'!$E$103:$F$114,2,FALSE)</f>
        <v>Derivados</v>
      </c>
      <c r="H2550" s="74">
        <v>10000</v>
      </c>
    </row>
    <row r="2551" spans="1:8" x14ac:dyDescent="0.25">
      <c r="A2551" s="75">
        <v>2026</v>
      </c>
      <c r="B2551" s="76" t="s">
        <v>211</v>
      </c>
      <c r="C2551" s="77" t="s">
        <v>296</v>
      </c>
      <c r="D2551" s="77" t="s">
        <v>244</v>
      </c>
      <c r="E2551" s="73" t="str">
        <f>VLOOKUP(D2551,clientes!$C$3:$D$60,2,FALSE)</f>
        <v>TAURUS</v>
      </c>
      <c r="F2551" s="77" t="s">
        <v>120</v>
      </c>
      <c r="G2551" s="73" t="str">
        <f>VLOOKUP(F2551,'[2]Lista de Produtos CLASSIFICAÇÃO'!$E$103:$F$114,2,FALSE)</f>
        <v>Derivados</v>
      </c>
      <c r="H2551" s="78">
        <v>10000</v>
      </c>
    </row>
    <row r="2552" spans="1:8" x14ac:dyDescent="0.25">
      <c r="A2552" s="71">
        <v>2026</v>
      </c>
      <c r="B2552" s="72" t="s">
        <v>212</v>
      </c>
      <c r="C2552" s="73" t="s">
        <v>296</v>
      </c>
      <c r="D2552" s="73" t="s">
        <v>244</v>
      </c>
      <c r="E2552" s="73" t="str">
        <f>VLOOKUP(D2552,clientes!$C$3:$D$60,2,FALSE)</f>
        <v>TAURUS</v>
      </c>
      <c r="F2552" s="73" t="s">
        <v>120</v>
      </c>
      <c r="G2552" s="73" t="str">
        <f>VLOOKUP(F2552,'[2]Lista de Produtos CLASSIFICAÇÃO'!$E$103:$F$114,2,FALSE)</f>
        <v>Derivados</v>
      </c>
      <c r="H2552" s="74">
        <v>10000</v>
      </c>
    </row>
    <row r="2553" spans="1:8" x14ac:dyDescent="0.25">
      <c r="A2553" s="75">
        <v>2026</v>
      </c>
      <c r="B2553" s="76" t="s">
        <v>213</v>
      </c>
      <c r="C2553" s="77" t="s">
        <v>296</v>
      </c>
      <c r="D2553" s="77" t="s">
        <v>244</v>
      </c>
      <c r="E2553" s="73" t="str">
        <f>VLOOKUP(D2553,clientes!$C$3:$D$60,2,FALSE)</f>
        <v>TAURUS</v>
      </c>
      <c r="F2553" s="77" t="s">
        <v>120</v>
      </c>
      <c r="G2553" s="73" t="str">
        <f>VLOOKUP(F2553,'[2]Lista de Produtos CLASSIFICAÇÃO'!$E$103:$F$114,2,FALSE)</f>
        <v>Derivados</v>
      </c>
      <c r="H2553" s="78">
        <v>10000</v>
      </c>
    </row>
    <row r="2554" spans="1:8" x14ac:dyDescent="0.25">
      <c r="A2554" s="71">
        <v>2026</v>
      </c>
      <c r="B2554" s="72" t="s">
        <v>214</v>
      </c>
      <c r="C2554" s="73" t="s">
        <v>296</v>
      </c>
      <c r="D2554" s="73" t="s">
        <v>244</v>
      </c>
      <c r="E2554" s="73" t="str">
        <f>VLOOKUP(D2554,clientes!$C$3:$D$60,2,FALSE)</f>
        <v>TAURUS</v>
      </c>
      <c r="F2554" s="73" t="s">
        <v>120</v>
      </c>
      <c r="G2554" s="73" t="str">
        <f>VLOOKUP(F2554,'[2]Lista de Produtos CLASSIFICAÇÃO'!$E$103:$F$114,2,FALSE)</f>
        <v>Derivados</v>
      </c>
      <c r="H2554" s="74">
        <v>10000</v>
      </c>
    </row>
    <row r="2555" spans="1:8" x14ac:dyDescent="0.25">
      <c r="A2555" s="75">
        <v>2026</v>
      </c>
      <c r="B2555" s="76" t="s">
        <v>215</v>
      </c>
      <c r="C2555" s="77" t="s">
        <v>296</v>
      </c>
      <c r="D2555" s="77" t="s">
        <v>244</v>
      </c>
      <c r="E2555" s="73" t="str">
        <f>VLOOKUP(D2555,clientes!$C$3:$D$60,2,FALSE)</f>
        <v>TAURUS</v>
      </c>
      <c r="F2555" s="77" t="s">
        <v>120</v>
      </c>
      <c r="G2555" s="73" t="str">
        <f>VLOOKUP(F2555,'[2]Lista de Produtos CLASSIFICAÇÃO'!$E$103:$F$114,2,FALSE)</f>
        <v>Derivados</v>
      </c>
      <c r="H2555" s="78">
        <v>10000</v>
      </c>
    </row>
    <row r="2556" spans="1:8" x14ac:dyDescent="0.25">
      <c r="A2556" s="71">
        <v>2026</v>
      </c>
      <c r="B2556" s="72" t="s">
        <v>230</v>
      </c>
      <c r="C2556" s="73" t="s">
        <v>296</v>
      </c>
      <c r="D2556" s="73" t="s">
        <v>244</v>
      </c>
      <c r="E2556" s="73" t="str">
        <f>VLOOKUP(D2556,clientes!$C$3:$D$60,2,FALSE)</f>
        <v>TAURUS</v>
      </c>
      <c r="F2556" s="73" t="s">
        <v>120</v>
      </c>
      <c r="G2556" s="73" t="str">
        <f>VLOOKUP(F2556,'[2]Lista de Produtos CLASSIFICAÇÃO'!$E$103:$F$114,2,FALSE)</f>
        <v>Derivados</v>
      </c>
      <c r="H2556" s="74">
        <v>10000</v>
      </c>
    </row>
    <row r="2557" spans="1:8" x14ac:dyDescent="0.25">
      <c r="A2557" s="75">
        <v>2026</v>
      </c>
      <c r="B2557" s="76" t="s">
        <v>231</v>
      </c>
      <c r="C2557" s="77" t="s">
        <v>296</v>
      </c>
      <c r="D2557" s="77" t="s">
        <v>244</v>
      </c>
      <c r="E2557" s="73" t="str">
        <f>VLOOKUP(D2557,clientes!$C$3:$D$60,2,FALSE)</f>
        <v>TAURUS</v>
      </c>
      <c r="F2557" s="77" t="s">
        <v>120</v>
      </c>
      <c r="G2557" s="73" t="str">
        <f>VLOOKUP(F2557,'[2]Lista de Produtos CLASSIFICAÇÃO'!$E$103:$F$114,2,FALSE)</f>
        <v>Derivados</v>
      </c>
      <c r="H2557" s="78">
        <v>10000</v>
      </c>
    </row>
    <row r="2558" spans="1:8" x14ac:dyDescent="0.25">
      <c r="A2558" s="71">
        <v>2026</v>
      </c>
      <c r="B2558" s="72" t="s">
        <v>226</v>
      </c>
      <c r="C2558" s="73" t="s">
        <v>225</v>
      </c>
      <c r="D2558" s="73" t="s">
        <v>163</v>
      </c>
      <c r="E2558" s="73" t="str">
        <f>VLOOKUP(D2558,clientes!$C$3:$D$60,2,FALSE)</f>
        <v>TRICON ENERGY</v>
      </c>
      <c r="F2558" s="73" t="s">
        <v>115</v>
      </c>
      <c r="G2558" s="73" t="str">
        <f>VLOOKUP(F2558,'[2]Lista de Produtos CLASSIFICAÇÃO'!$E$103:$F$114,2,FALSE)</f>
        <v>Soda Caustica</v>
      </c>
      <c r="H2558" s="74">
        <v>5333</v>
      </c>
    </row>
    <row r="2559" spans="1:8" x14ac:dyDescent="0.25">
      <c r="A2559" s="75">
        <v>2026</v>
      </c>
      <c r="B2559" s="76" t="s">
        <v>227</v>
      </c>
      <c r="C2559" s="77" t="s">
        <v>225</v>
      </c>
      <c r="D2559" s="77" t="s">
        <v>163</v>
      </c>
      <c r="E2559" s="73" t="str">
        <f>VLOOKUP(D2559,clientes!$C$3:$D$60,2,FALSE)</f>
        <v>TRICON ENERGY</v>
      </c>
      <c r="F2559" s="77" t="s">
        <v>115</v>
      </c>
      <c r="G2559" s="73" t="str">
        <f>VLOOKUP(F2559,'[2]Lista de Produtos CLASSIFICAÇÃO'!$E$103:$F$114,2,FALSE)</f>
        <v>Soda Caustica</v>
      </c>
      <c r="H2559" s="78">
        <v>5333</v>
      </c>
    </row>
    <row r="2560" spans="1:8" x14ac:dyDescent="0.25">
      <c r="A2560" s="71">
        <v>2026</v>
      </c>
      <c r="B2560" s="72" t="s">
        <v>228</v>
      </c>
      <c r="C2560" s="73" t="s">
        <v>225</v>
      </c>
      <c r="D2560" s="73" t="s">
        <v>163</v>
      </c>
      <c r="E2560" s="73" t="str">
        <f>VLOOKUP(D2560,clientes!$C$3:$D$60,2,FALSE)</f>
        <v>TRICON ENERGY</v>
      </c>
      <c r="F2560" s="73" t="s">
        <v>115</v>
      </c>
      <c r="G2560" s="73" t="str">
        <f>VLOOKUP(F2560,'[2]Lista de Produtos CLASSIFICAÇÃO'!$E$103:$F$114,2,FALSE)</f>
        <v>Soda Caustica</v>
      </c>
      <c r="H2560" s="74">
        <v>5333</v>
      </c>
    </row>
    <row r="2561" spans="1:8" x14ac:dyDescent="0.25">
      <c r="A2561" s="75">
        <v>2026</v>
      </c>
      <c r="B2561" s="76" t="s">
        <v>229</v>
      </c>
      <c r="C2561" s="77" t="s">
        <v>225</v>
      </c>
      <c r="D2561" s="77" t="s">
        <v>163</v>
      </c>
      <c r="E2561" s="73" t="str">
        <f>VLOOKUP(D2561,clientes!$C$3:$D$60,2,FALSE)</f>
        <v>TRICON ENERGY</v>
      </c>
      <c r="F2561" s="77" t="s">
        <v>115</v>
      </c>
      <c r="G2561" s="73" t="str">
        <f>VLOOKUP(F2561,'[2]Lista de Produtos CLASSIFICAÇÃO'!$E$103:$F$114,2,FALSE)</f>
        <v>Soda Caustica</v>
      </c>
      <c r="H2561" s="78">
        <v>5333</v>
      </c>
    </row>
    <row r="2562" spans="1:8" x14ac:dyDescent="0.25">
      <c r="A2562" s="71">
        <v>2026</v>
      </c>
      <c r="B2562" s="72" t="s">
        <v>210</v>
      </c>
      <c r="C2562" s="73" t="s">
        <v>225</v>
      </c>
      <c r="D2562" s="73" t="s">
        <v>163</v>
      </c>
      <c r="E2562" s="73" t="str">
        <f>VLOOKUP(D2562,clientes!$C$3:$D$60,2,FALSE)</f>
        <v>TRICON ENERGY</v>
      </c>
      <c r="F2562" s="73" t="s">
        <v>115</v>
      </c>
      <c r="G2562" s="73" t="str">
        <f>VLOOKUP(F2562,'[2]Lista de Produtos CLASSIFICAÇÃO'!$E$103:$F$114,2,FALSE)</f>
        <v>Soda Caustica</v>
      </c>
      <c r="H2562" s="74">
        <v>5333</v>
      </c>
    </row>
    <row r="2563" spans="1:8" x14ac:dyDescent="0.25">
      <c r="A2563" s="75">
        <v>2026</v>
      </c>
      <c r="B2563" s="76" t="s">
        <v>211</v>
      </c>
      <c r="C2563" s="77" t="s">
        <v>225</v>
      </c>
      <c r="D2563" s="77" t="s">
        <v>163</v>
      </c>
      <c r="E2563" s="73" t="str">
        <f>VLOOKUP(D2563,clientes!$C$3:$D$60,2,FALSE)</f>
        <v>TRICON ENERGY</v>
      </c>
      <c r="F2563" s="77" t="s">
        <v>115</v>
      </c>
      <c r="G2563" s="73" t="str">
        <f>VLOOKUP(F2563,'[2]Lista de Produtos CLASSIFICAÇÃO'!$E$103:$F$114,2,FALSE)</f>
        <v>Soda Caustica</v>
      </c>
      <c r="H2563" s="78">
        <v>5333</v>
      </c>
    </row>
    <row r="2564" spans="1:8" x14ac:dyDescent="0.25">
      <c r="A2564" s="71">
        <v>2026</v>
      </c>
      <c r="B2564" s="72" t="s">
        <v>212</v>
      </c>
      <c r="C2564" s="73" t="s">
        <v>225</v>
      </c>
      <c r="D2564" s="73" t="s">
        <v>163</v>
      </c>
      <c r="E2564" s="73" t="str">
        <f>VLOOKUP(D2564,clientes!$C$3:$D$60,2,FALSE)</f>
        <v>TRICON ENERGY</v>
      </c>
      <c r="F2564" s="73" t="s">
        <v>115</v>
      </c>
      <c r="G2564" s="73" t="str">
        <f>VLOOKUP(F2564,'[2]Lista de Produtos CLASSIFICAÇÃO'!$E$103:$F$114,2,FALSE)</f>
        <v>Soda Caustica</v>
      </c>
      <c r="H2564" s="74">
        <v>5333</v>
      </c>
    </row>
    <row r="2565" spans="1:8" x14ac:dyDescent="0.25">
      <c r="A2565" s="75">
        <v>2026</v>
      </c>
      <c r="B2565" s="76" t="s">
        <v>213</v>
      </c>
      <c r="C2565" s="77" t="s">
        <v>225</v>
      </c>
      <c r="D2565" s="77" t="s">
        <v>163</v>
      </c>
      <c r="E2565" s="73" t="str">
        <f>VLOOKUP(D2565,clientes!$C$3:$D$60,2,FALSE)</f>
        <v>TRICON ENERGY</v>
      </c>
      <c r="F2565" s="77" t="s">
        <v>115</v>
      </c>
      <c r="G2565" s="73" t="str">
        <f>VLOOKUP(F2565,'[2]Lista de Produtos CLASSIFICAÇÃO'!$E$103:$F$114,2,FALSE)</f>
        <v>Soda Caustica</v>
      </c>
      <c r="H2565" s="78">
        <v>5333</v>
      </c>
    </row>
    <row r="2566" spans="1:8" x14ac:dyDescent="0.25">
      <c r="A2566" s="71">
        <v>2026</v>
      </c>
      <c r="B2566" s="72" t="s">
        <v>214</v>
      </c>
      <c r="C2566" s="73" t="s">
        <v>225</v>
      </c>
      <c r="D2566" s="73" t="s">
        <v>163</v>
      </c>
      <c r="E2566" s="73" t="str">
        <f>VLOOKUP(D2566,clientes!$C$3:$D$60,2,FALSE)</f>
        <v>TRICON ENERGY</v>
      </c>
      <c r="F2566" s="73" t="s">
        <v>115</v>
      </c>
      <c r="G2566" s="73" t="str">
        <f>VLOOKUP(F2566,'[2]Lista de Produtos CLASSIFICAÇÃO'!$E$103:$F$114,2,FALSE)</f>
        <v>Soda Caustica</v>
      </c>
      <c r="H2566" s="74">
        <v>5333</v>
      </c>
    </row>
    <row r="2567" spans="1:8" x14ac:dyDescent="0.25">
      <c r="A2567" s="75">
        <v>2026</v>
      </c>
      <c r="B2567" s="76" t="s">
        <v>215</v>
      </c>
      <c r="C2567" s="77" t="s">
        <v>225</v>
      </c>
      <c r="D2567" s="77" t="s">
        <v>163</v>
      </c>
      <c r="E2567" s="73" t="str">
        <f>VLOOKUP(D2567,clientes!$C$3:$D$60,2,FALSE)</f>
        <v>TRICON ENERGY</v>
      </c>
      <c r="F2567" s="77" t="s">
        <v>115</v>
      </c>
      <c r="G2567" s="73" t="str">
        <f>VLOOKUP(F2567,'[2]Lista de Produtos CLASSIFICAÇÃO'!$E$103:$F$114,2,FALSE)</f>
        <v>Soda Caustica</v>
      </c>
      <c r="H2567" s="78">
        <v>5333</v>
      </c>
    </row>
    <row r="2568" spans="1:8" x14ac:dyDescent="0.25">
      <c r="A2568" s="71">
        <v>2026</v>
      </c>
      <c r="B2568" s="72" t="s">
        <v>230</v>
      </c>
      <c r="C2568" s="73" t="s">
        <v>225</v>
      </c>
      <c r="D2568" s="73" t="s">
        <v>163</v>
      </c>
      <c r="E2568" s="73" t="str">
        <f>VLOOKUP(D2568,clientes!$C$3:$D$60,2,FALSE)</f>
        <v>TRICON ENERGY</v>
      </c>
      <c r="F2568" s="73" t="s">
        <v>115</v>
      </c>
      <c r="G2568" s="73" t="str">
        <f>VLOOKUP(F2568,'[2]Lista de Produtos CLASSIFICAÇÃO'!$E$103:$F$114,2,FALSE)</f>
        <v>Soda Caustica</v>
      </c>
      <c r="H2568" s="74">
        <v>5333</v>
      </c>
    </row>
    <row r="2569" spans="1:8" x14ac:dyDescent="0.25">
      <c r="A2569" s="75">
        <v>2026</v>
      </c>
      <c r="B2569" s="76" t="s">
        <v>231</v>
      </c>
      <c r="C2569" s="77" t="s">
        <v>225</v>
      </c>
      <c r="D2569" s="77" t="s">
        <v>163</v>
      </c>
      <c r="E2569" s="73" t="str">
        <f>VLOOKUP(D2569,clientes!$C$3:$D$60,2,FALSE)</f>
        <v>TRICON ENERGY</v>
      </c>
      <c r="F2569" s="77" t="s">
        <v>115</v>
      </c>
      <c r="G2569" s="73" t="str">
        <f>VLOOKUP(F2569,'[2]Lista de Produtos CLASSIFICAÇÃO'!$E$103:$F$114,2,FALSE)</f>
        <v>Soda Caustica</v>
      </c>
      <c r="H2569" s="78">
        <v>5333</v>
      </c>
    </row>
    <row r="2570" spans="1:8" x14ac:dyDescent="0.25">
      <c r="A2570" s="71">
        <v>2026</v>
      </c>
      <c r="B2570" s="72" t="s">
        <v>226</v>
      </c>
      <c r="C2570" s="73" t="s">
        <v>235</v>
      </c>
      <c r="D2570" s="73" t="s">
        <v>171</v>
      </c>
      <c r="E2570" s="73" t="str">
        <f>VLOOKUP(D2570,clientes!$C$3:$D$60,2,FALSE)</f>
        <v>VALENZ</v>
      </c>
      <c r="F2570" s="73" t="s">
        <v>22</v>
      </c>
      <c r="G2570" s="73" t="str">
        <f>VLOOKUP(F2570,'[2]Lista de Produtos CLASSIFICAÇÃO'!$E$103:$F$114,2,FALSE)</f>
        <v>Metanol</v>
      </c>
      <c r="H2570" s="74">
        <v>92000</v>
      </c>
    </row>
    <row r="2571" spans="1:8" x14ac:dyDescent="0.25">
      <c r="A2571" s="75">
        <v>2026</v>
      </c>
      <c r="B2571" s="76" t="s">
        <v>227</v>
      </c>
      <c r="C2571" s="77" t="s">
        <v>235</v>
      </c>
      <c r="D2571" s="77" t="s">
        <v>171</v>
      </c>
      <c r="E2571" s="73" t="str">
        <f>VLOOKUP(D2571,clientes!$C$3:$D$60,2,FALSE)</f>
        <v>VALENZ</v>
      </c>
      <c r="F2571" s="77" t="s">
        <v>22</v>
      </c>
      <c r="G2571" s="73" t="str">
        <f>VLOOKUP(F2571,'[2]Lista de Produtos CLASSIFICAÇÃO'!$E$103:$F$114,2,FALSE)</f>
        <v>Metanol</v>
      </c>
      <c r="H2571" s="78">
        <v>92000</v>
      </c>
    </row>
    <row r="2572" spans="1:8" x14ac:dyDescent="0.25">
      <c r="A2572" s="71">
        <v>2026</v>
      </c>
      <c r="B2572" s="72" t="s">
        <v>228</v>
      </c>
      <c r="C2572" s="73" t="s">
        <v>235</v>
      </c>
      <c r="D2572" s="73" t="s">
        <v>171</v>
      </c>
      <c r="E2572" s="73" t="str">
        <f>VLOOKUP(D2572,clientes!$C$3:$D$60,2,FALSE)</f>
        <v>VALENZ</v>
      </c>
      <c r="F2572" s="73" t="s">
        <v>22</v>
      </c>
      <c r="G2572" s="73" t="str">
        <f>VLOOKUP(F2572,'[2]Lista de Produtos CLASSIFICAÇÃO'!$E$103:$F$114,2,FALSE)</f>
        <v>Metanol</v>
      </c>
      <c r="H2572" s="74">
        <v>92000</v>
      </c>
    </row>
    <row r="2573" spans="1:8" x14ac:dyDescent="0.25">
      <c r="A2573" s="75">
        <v>2026</v>
      </c>
      <c r="B2573" s="76" t="s">
        <v>229</v>
      </c>
      <c r="C2573" s="77" t="s">
        <v>235</v>
      </c>
      <c r="D2573" s="77" t="s">
        <v>171</v>
      </c>
      <c r="E2573" s="73" t="str">
        <f>VLOOKUP(D2573,clientes!$C$3:$D$60,2,FALSE)</f>
        <v>VALENZ</v>
      </c>
      <c r="F2573" s="77" t="s">
        <v>22</v>
      </c>
      <c r="G2573" s="73" t="str">
        <f>VLOOKUP(F2573,'[2]Lista de Produtos CLASSIFICAÇÃO'!$E$103:$F$114,2,FALSE)</f>
        <v>Metanol</v>
      </c>
      <c r="H2573" s="78">
        <v>92000</v>
      </c>
    </row>
    <row r="2574" spans="1:8" x14ac:dyDescent="0.25">
      <c r="A2574" s="71">
        <v>2026</v>
      </c>
      <c r="B2574" s="72" t="s">
        <v>210</v>
      </c>
      <c r="C2574" s="73" t="s">
        <v>235</v>
      </c>
      <c r="D2574" s="73" t="s">
        <v>171</v>
      </c>
      <c r="E2574" s="73" t="str">
        <f>VLOOKUP(D2574,clientes!$C$3:$D$60,2,FALSE)</f>
        <v>VALENZ</v>
      </c>
      <c r="F2574" s="73" t="s">
        <v>22</v>
      </c>
      <c r="G2574" s="73" t="str">
        <f>VLOOKUP(F2574,'[2]Lista de Produtos CLASSIFICAÇÃO'!$E$103:$F$114,2,FALSE)</f>
        <v>Metanol</v>
      </c>
      <c r="H2574" s="74">
        <v>92000</v>
      </c>
    </row>
    <row r="2575" spans="1:8" x14ac:dyDescent="0.25">
      <c r="A2575" s="75">
        <v>2026</v>
      </c>
      <c r="B2575" s="76" t="s">
        <v>211</v>
      </c>
      <c r="C2575" s="77" t="s">
        <v>235</v>
      </c>
      <c r="D2575" s="77" t="s">
        <v>171</v>
      </c>
      <c r="E2575" s="73" t="str">
        <f>VLOOKUP(D2575,clientes!$C$3:$D$60,2,FALSE)</f>
        <v>VALENZ</v>
      </c>
      <c r="F2575" s="77" t="s">
        <v>22</v>
      </c>
      <c r="G2575" s="73" t="str">
        <f>VLOOKUP(F2575,'[2]Lista de Produtos CLASSIFICAÇÃO'!$E$103:$F$114,2,FALSE)</f>
        <v>Metanol</v>
      </c>
      <c r="H2575" s="78">
        <v>92000</v>
      </c>
    </row>
    <row r="2576" spans="1:8" x14ac:dyDescent="0.25">
      <c r="A2576" s="71">
        <v>2026</v>
      </c>
      <c r="B2576" s="72" t="s">
        <v>212</v>
      </c>
      <c r="C2576" s="73" t="s">
        <v>235</v>
      </c>
      <c r="D2576" s="73" t="s">
        <v>171</v>
      </c>
      <c r="E2576" s="73" t="str">
        <f>VLOOKUP(D2576,clientes!$C$3:$D$60,2,FALSE)</f>
        <v>VALENZ</v>
      </c>
      <c r="F2576" s="73" t="s">
        <v>22</v>
      </c>
      <c r="G2576" s="73" t="str">
        <f>VLOOKUP(F2576,'[2]Lista de Produtos CLASSIFICAÇÃO'!$E$103:$F$114,2,FALSE)</f>
        <v>Metanol</v>
      </c>
      <c r="H2576" s="74">
        <v>92000</v>
      </c>
    </row>
    <row r="2577" spans="1:8" x14ac:dyDescent="0.25">
      <c r="A2577" s="75">
        <v>2026</v>
      </c>
      <c r="B2577" s="76" t="s">
        <v>213</v>
      </c>
      <c r="C2577" s="77" t="s">
        <v>235</v>
      </c>
      <c r="D2577" s="77" t="s">
        <v>171</v>
      </c>
      <c r="E2577" s="73" t="str">
        <f>VLOOKUP(D2577,clientes!$C$3:$D$60,2,FALSE)</f>
        <v>VALENZ</v>
      </c>
      <c r="F2577" s="77" t="s">
        <v>22</v>
      </c>
      <c r="G2577" s="73" t="str">
        <f>VLOOKUP(F2577,'[2]Lista de Produtos CLASSIFICAÇÃO'!$E$103:$F$114,2,FALSE)</f>
        <v>Metanol</v>
      </c>
      <c r="H2577" s="78">
        <v>92000</v>
      </c>
    </row>
    <row r="2578" spans="1:8" x14ac:dyDescent="0.25">
      <c r="A2578" s="71">
        <v>2026</v>
      </c>
      <c r="B2578" s="72" t="s">
        <v>214</v>
      </c>
      <c r="C2578" s="73" t="s">
        <v>235</v>
      </c>
      <c r="D2578" s="73" t="s">
        <v>171</v>
      </c>
      <c r="E2578" s="73" t="str">
        <f>VLOOKUP(D2578,clientes!$C$3:$D$60,2,FALSE)</f>
        <v>VALENZ</v>
      </c>
      <c r="F2578" s="73" t="s">
        <v>22</v>
      </c>
      <c r="G2578" s="73" t="str">
        <f>VLOOKUP(F2578,'[2]Lista de Produtos CLASSIFICAÇÃO'!$E$103:$F$114,2,FALSE)</f>
        <v>Metanol</v>
      </c>
      <c r="H2578" s="74">
        <v>92000</v>
      </c>
    </row>
    <row r="2579" spans="1:8" x14ac:dyDescent="0.25">
      <c r="A2579" s="75">
        <v>2026</v>
      </c>
      <c r="B2579" s="76" t="s">
        <v>215</v>
      </c>
      <c r="C2579" s="77" t="s">
        <v>235</v>
      </c>
      <c r="D2579" s="77" t="s">
        <v>171</v>
      </c>
      <c r="E2579" s="73" t="str">
        <f>VLOOKUP(D2579,clientes!$C$3:$D$60,2,FALSE)</f>
        <v>VALENZ</v>
      </c>
      <c r="F2579" s="77" t="s">
        <v>22</v>
      </c>
      <c r="G2579" s="73" t="str">
        <f>VLOOKUP(F2579,'[2]Lista de Produtos CLASSIFICAÇÃO'!$E$103:$F$114,2,FALSE)</f>
        <v>Metanol</v>
      </c>
      <c r="H2579" s="78">
        <v>92000</v>
      </c>
    </row>
    <row r="2580" spans="1:8" x14ac:dyDescent="0.25">
      <c r="A2580" s="71">
        <v>2026</v>
      </c>
      <c r="B2580" s="72" t="s">
        <v>230</v>
      </c>
      <c r="C2580" s="73" t="s">
        <v>235</v>
      </c>
      <c r="D2580" s="73" t="s">
        <v>171</v>
      </c>
      <c r="E2580" s="73" t="str">
        <f>VLOOKUP(D2580,clientes!$C$3:$D$60,2,FALSE)</f>
        <v>VALENZ</v>
      </c>
      <c r="F2580" s="73" t="s">
        <v>22</v>
      </c>
      <c r="G2580" s="73" t="str">
        <f>VLOOKUP(F2580,'[2]Lista de Produtos CLASSIFICAÇÃO'!$E$103:$F$114,2,FALSE)</f>
        <v>Metanol</v>
      </c>
      <c r="H2580" s="74">
        <v>92000</v>
      </c>
    </row>
    <row r="2581" spans="1:8" x14ac:dyDescent="0.25">
      <c r="A2581" s="75">
        <v>2026</v>
      </c>
      <c r="B2581" s="76" t="s">
        <v>231</v>
      </c>
      <c r="C2581" s="77" t="s">
        <v>235</v>
      </c>
      <c r="D2581" s="77" t="s">
        <v>171</v>
      </c>
      <c r="E2581" s="73" t="str">
        <f>VLOOKUP(D2581,clientes!$C$3:$D$60,2,FALSE)</f>
        <v>VALENZ</v>
      </c>
      <c r="F2581" s="77" t="s">
        <v>22</v>
      </c>
      <c r="G2581" s="73" t="str">
        <f>VLOOKUP(F2581,'[2]Lista de Produtos CLASSIFICAÇÃO'!$E$103:$F$114,2,FALSE)</f>
        <v>Metanol</v>
      </c>
      <c r="H2581" s="78">
        <v>92000</v>
      </c>
    </row>
    <row r="2582" spans="1:8" x14ac:dyDescent="0.25">
      <c r="A2582" s="71">
        <v>2026</v>
      </c>
      <c r="B2582" s="72" t="s">
        <v>226</v>
      </c>
      <c r="C2582" s="73" t="s">
        <v>225</v>
      </c>
      <c r="D2582" s="73" t="s">
        <v>160</v>
      </c>
      <c r="E2582" s="73" t="str">
        <f>VLOOKUP(D2582,clientes!$C$3:$D$60,2,FALSE)</f>
        <v>VIBRA</v>
      </c>
      <c r="F2582" s="73" t="s">
        <v>120</v>
      </c>
      <c r="G2582" s="73" t="str">
        <f>VLOOKUP(F2582,'[2]Lista de Produtos CLASSIFICAÇÃO'!$E$103:$F$114,2,FALSE)</f>
        <v>Derivados</v>
      </c>
      <c r="H2582" s="74">
        <v>20000</v>
      </c>
    </row>
    <row r="2583" spans="1:8" x14ac:dyDescent="0.25">
      <c r="A2583" s="75">
        <v>2026</v>
      </c>
      <c r="B2583" s="76" t="s">
        <v>226</v>
      </c>
      <c r="C2583" s="77" t="s">
        <v>296</v>
      </c>
      <c r="D2583" s="77" t="s">
        <v>160</v>
      </c>
      <c r="E2583" s="73" t="str">
        <f>VLOOKUP(D2583,clientes!$C$3:$D$60,2,FALSE)</f>
        <v>VIBRA</v>
      </c>
      <c r="F2583" s="77" t="s">
        <v>120</v>
      </c>
      <c r="G2583" s="73" t="str">
        <f>VLOOKUP(F2583,'[2]Lista de Produtos CLASSIFICAÇÃO'!$E$103:$F$114,2,FALSE)</f>
        <v>Derivados</v>
      </c>
      <c r="H2583" s="78">
        <v>0</v>
      </c>
    </row>
    <row r="2584" spans="1:8" x14ac:dyDescent="0.25">
      <c r="A2584" s="71">
        <v>2026</v>
      </c>
      <c r="B2584" s="72" t="s">
        <v>227</v>
      </c>
      <c r="C2584" s="73" t="s">
        <v>225</v>
      </c>
      <c r="D2584" s="73" t="s">
        <v>160</v>
      </c>
      <c r="E2584" s="73" t="str">
        <f>VLOOKUP(D2584,clientes!$C$3:$D$60,2,FALSE)</f>
        <v>VIBRA</v>
      </c>
      <c r="F2584" s="73" t="s">
        <v>120</v>
      </c>
      <c r="G2584" s="73" t="str">
        <f>VLOOKUP(F2584,'[2]Lista de Produtos CLASSIFICAÇÃO'!$E$103:$F$114,2,FALSE)</f>
        <v>Derivados</v>
      </c>
      <c r="H2584" s="74">
        <v>20000</v>
      </c>
    </row>
    <row r="2585" spans="1:8" x14ac:dyDescent="0.25">
      <c r="A2585" s="75">
        <v>2026</v>
      </c>
      <c r="B2585" s="76" t="s">
        <v>227</v>
      </c>
      <c r="C2585" s="77" t="s">
        <v>296</v>
      </c>
      <c r="D2585" s="77" t="s">
        <v>160</v>
      </c>
      <c r="E2585" s="73" t="str">
        <f>VLOOKUP(D2585,clientes!$C$3:$D$60,2,FALSE)</f>
        <v>VIBRA</v>
      </c>
      <c r="F2585" s="77" t="s">
        <v>120</v>
      </c>
      <c r="G2585" s="73" t="str">
        <f>VLOOKUP(F2585,'[2]Lista de Produtos CLASSIFICAÇÃO'!$E$103:$F$114,2,FALSE)</f>
        <v>Derivados</v>
      </c>
      <c r="H2585" s="78">
        <v>0</v>
      </c>
    </row>
    <row r="2586" spans="1:8" x14ac:dyDescent="0.25">
      <c r="A2586" s="71">
        <v>2026</v>
      </c>
      <c r="B2586" s="72" t="s">
        <v>228</v>
      </c>
      <c r="C2586" s="73" t="s">
        <v>225</v>
      </c>
      <c r="D2586" s="73" t="s">
        <v>160</v>
      </c>
      <c r="E2586" s="73" t="str">
        <f>VLOOKUP(D2586,clientes!$C$3:$D$60,2,FALSE)</f>
        <v>VIBRA</v>
      </c>
      <c r="F2586" s="73" t="s">
        <v>120</v>
      </c>
      <c r="G2586" s="73" t="str">
        <f>VLOOKUP(F2586,'[2]Lista de Produtos CLASSIFICAÇÃO'!$E$103:$F$114,2,FALSE)</f>
        <v>Derivados</v>
      </c>
      <c r="H2586" s="74">
        <v>20000</v>
      </c>
    </row>
    <row r="2587" spans="1:8" x14ac:dyDescent="0.25">
      <c r="A2587" s="75">
        <v>2026</v>
      </c>
      <c r="B2587" s="76" t="s">
        <v>228</v>
      </c>
      <c r="C2587" s="77" t="s">
        <v>296</v>
      </c>
      <c r="D2587" s="77" t="s">
        <v>160</v>
      </c>
      <c r="E2587" s="73" t="str">
        <f>VLOOKUP(D2587,clientes!$C$3:$D$60,2,FALSE)</f>
        <v>VIBRA</v>
      </c>
      <c r="F2587" s="77" t="s">
        <v>120</v>
      </c>
      <c r="G2587" s="73" t="str">
        <f>VLOOKUP(F2587,'[2]Lista de Produtos CLASSIFICAÇÃO'!$E$103:$F$114,2,FALSE)</f>
        <v>Derivados</v>
      </c>
      <c r="H2587" s="78">
        <v>0</v>
      </c>
    </row>
    <row r="2588" spans="1:8" x14ac:dyDescent="0.25">
      <c r="A2588" s="71">
        <v>2026</v>
      </c>
      <c r="B2588" s="72" t="s">
        <v>229</v>
      </c>
      <c r="C2588" s="73" t="s">
        <v>225</v>
      </c>
      <c r="D2588" s="73" t="s">
        <v>160</v>
      </c>
      <c r="E2588" s="73" t="str">
        <f>VLOOKUP(D2588,clientes!$C$3:$D$60,2,FALSE)</f>
        <v>VIBRA</v>
      </c>
      <c r="F2588" s="73" t="s">
        <v>120</v>
      </c>
      <c r="G2588" s="73" t="str">
        <f>VLOOKUP(F2588,'[2]Lista de Produtos CLASSIFICAÇÃO'!$E$103:$F$114,2,FALSE)</f>
        <v>Derivados</v>
      </c>
      <c r="H2588" s="74">
        <v>20000</v>
      </c>
    </row>
    <row r="2589" spans="1:8" x14ac:dyDescent="0.25">
      <c r="A2589" s="75">
        <v>2026</v>
      </c>
      <c r="B2589" s="76" t="s">
        <v>229</v>
      </c>
      <c r="C2589" s="77" t="s">
        <v>296</v>
      </c>
      <c r="D2589" s="77" t="s">
        <v>160</v>
      </c>
      <c r="E2589" s="73" t="str">
        <f>VLOOKUP(D2589,clientes!$C$3:$D$60,2,FALSE)</f>
        <v>VIBRA</v>
      </c>
      <c r="F2589" s="77" t="s">
        <v>120</v>
      </c>
      <c r="G2589" s="73" t="str">
        <f>VLOOKUP(F2589,'[2]Lista de Produtos CLASSIFICAÇÃO'!$E$103:$F$114,2,FALSE)</f>
        <v>Derivados</v>
      </c>
      <c r="H2589" s="78">
        <v>0</v>
      </c>
    </row>
    <row r="2590" spans="1:8" x14ac:dyDescent="0.25">
      <c r="A2590" s="71">
        <v>2026</v>
      </c>
      <c r="B2590" s="72" t="s">
        <v>210</v>
      </c>
      <c r="C2590" s="73" t="s">
        <v>225</v>
      </c>
      <c r="D2590" s="73" t="s">
        <v>160</v>
      </c>
      <c r="E2590" s="73" t="str">
        <f>VLOOKUP(D2590,clientes!$C$3:$D$60,2,FALSE)</f>
        <v>VIBRA</v>
      </c>
      <c r="F2590" s="73" t="s">
        <v>120</v>
      </c>
      <c r="G2590" s="73" t="str">
        <f>VLOOKUP(F2590,'[2]Lista de Produtos CLASSIFICAÇÃO'!$E$103:$F$114,2,FALSE)</f>
        <v>Derivados</v>
      </c>
      <c r="H2590" s="74">
        <v>20000</v>
      </c>
    </row>
    <row r="2591" spans="1:8" x14ac:dyDescent="0.25">
      <c r="A2591" s="75">
        <v>2026</v>
      </c>
      <c r="B2591" s="76" t="s">
        <v>210</v>
      </c>
      <c r="C2591" s="77" t="s">
        <v>296</v>
      </c>
      <c r="D2591" s="77" t="s">
        <v>160</v>
      </c>
      <c r="E2591" s="73" t="str">
        <f>VLOOKUP(D2591,clientes!$C$3:$D$60,2,FALSE)</f>
        <v>VIBRA</v>
      </c>
      <c r="F2591" s="77" t="s">
        <v>120</v>
      </c>
      <c r="G2591" s="73" t="str">
        <f>VLOOKUP(F2591,'[2]Lista de Produtos CLASSIFICAÇÃO'!$E$103:$F$114,2,FALSE)</f>
        <v>Derivados</v>
      </c>
      <c r="H2591" s="78">
        <v>0</v>
      </c>
    </row>
    <row r="2592" spans="1:8" x14ac:dyDescent="0.25">
      <c r="A2592" s="71">
        <v>2026</v>
      </c>
      <c r="B2592" s="72" t="s">
        <v>211</v>
      </c>
      <c r="C2592" s="73" t="s">
        <v>225</v>
      </c>
      <c r="D2592" s="73" t="s">
        <v>160</v>
      </c>
      <c r="E2592" s="73" t="str">
        <f>VLOOKUP(D2592,clientes!$C$3:$D$60,2,FALSE)</f>
        <v>VIBRA</v>
      </c>
      <c r="F2592" s="73" t="s">
        <v>120</v>
      </c>
      <c r="G2592" s="73" t="str">
        <f>VLOOKUP(F2592,'[2]Lista de Produtos CLASSIFICAÇÃO'!$E$103:$F$114,2,FALSE)</f>
        <v>Derivados</v>
      </c>
      <c r="H2592" s="74">
        <v>20000</v>
      </c>
    </row>
    <row r="2593" spans="1:8" x14ac:dyDescent="0.25">
      <c r="A2593" s="75">
        <v>2026</v>
      </c>
      <c r="B2593" s="76" t="s">
        <v>211</v>
      </c>
      <c r="C2593" s="77" t="s">
        <v>296</v>
      </c>
      <c r="D2593" s="77" t="s">
        <v>160</v>
      </c>
      <c r="E2593" s="73" t="str">
        <f>VLOOKUP(D2593,clientes!$C$3:$D$60,2,FALSE)</f>
        <v>VIBRA</v>
      </c>
      <c r="F2593" s="77" t="s">
        <v>120</v>
      </c>
      <c r="G2593" s="73" t="str">
        <f>VLOOKUP(F2593,'[2]Lista de Produtos CLASSIFICAÇÃO'!$E$103:$F$114,2,FALSE)</f>
        <v>Derivados</v>
      </c>
      <c r="H2593" s="78">
        <v>0</v>
      </c>
    </row>
    <row r="2594" spans="1:8" x14ac:dyDescent="0.25">
      <c r="A2594" s="71">
        <v>2026</v>
      </c>
      <c r="B2594" s="72" t="s">
        <v>212</v>
      </c>
      <c r="C2594" s="73" t="s">
        <v>225</v>
      </c>
      <c r="D2594" s="73" t="s">
        <v>160</v>
      </c>
      <c r="E2594" s="73" t="str">
        <f>VLOOKUP(D2594,clientes!$C$3:$D$60,2,FALSE)</f>
        <v>VIBRA</v>
      </c>
      <c r="F2594" s="73" t="s">
        <v>120</v>
      </c>
      <c r="G2594" s="73" t="str">
        <f>VLOOKUP(F2594,'[2]Lista de Produtos CLASSIFICAÇÃO'!$E$103:$F$114,2,FALSE)</f>
        <v>Derivados</v>
      </c>
      <c r="H2594" s="74">
        <v>20000</v>
      </c>
    </row>
    <row r="2595" spans="1:8" x14ac:dyDescent="0.25">
      <c r="A2595" s="75">
        <v>2026</v>
      </c>
      <c r="B2595" s="76" t="s">
        <v>212</v>
      </c>
      <c r="C2595" s="77" t="s">
        <v>296</v>
      </c>
      <c r="D2595" s="77" t="s">
        <v>160</v>
      </c>
      <c r="E2595" s="73" t="str">
        <f>VLOOKUP(D2595,clientes!$C$3:$D$60,2,FALSE)</f>
        <v>VIBRA</v>
      </c>
      <c r="F2595" s="77" t="s">
        <v>120</v>
      </c>
      <c r="G2595" s="73" t="str">
        <f>VLOOKUP(F2595,'[2]Lista de Produtos CLASSIFICAÇÃO'!$E$103:$F$114,2,FALSE)</f>
        <v>Derivados</v>
      </c>
      <c r="H2595" s="78">
        <v>0</v>
      </c>
    </row>
    <row r="2596" spans="1:8" x14ac:dyDescent="0.25">
      <c r="A2596" s="71">
        <v>2026</v>
      </c>
      <c r="B2596" s="72" t="s">
        <v>213</v>
      </c>
      <c r="C2596" s="73" t="s">
        <v>225</v>
      </c>
      <c r="D2596" s="73" t="s">
        <v>160</v>
      </c>
      <c r="E2596" s="73" t="str">
        <f>VLOOKUP(D2596,clientes!$C$3:$D$60,2,FALSE)</f>
        <v>VIBRA</v>
      </c>
      <c r="F2596" s="73" t="s">
        <v>120</v>
      </c>
      <c r="G2596" s="73" t="str">
        <f>VLOOKUP(F2596,'[2]Lista de Produtos CLASSIFICAÇÃO'!$E$103:$F$114,2,FALSE)</f>
        <v>Derivados</v>
      </c>
      <c r="H2596" s="74">
        <v>20000</v>
      </c>
    </row>
    <row r="2597" spans="1:8" x14ac:dyDescent="0.25">
      <c r="A2597" s="75">
        <v>2026</v>
      </c>
      <c r="B2597" s="76" t="s">
        <v>213</v>
      </c>
      <c r="C2597" s="77" t="s">
        <v>296</v>
      </c>
      <c r="D2597" s="77" t="s">
        <v>160</v>
      </c>
      <c r="E2597" s="73" t="str">
        <f>VLOOKUP(D2597,clientes!$C$3:$D$60,2,FALSE)</f>
        <v>VIBRA</v>
      </c>
      <c r="F2597" s="77" t="s">
        <v>120</v>
      </c>
      <c r="G2597" s="73" t="str">
        <f>VLOOKUP(F2597,'[2]Lista de Produtos CLASSIFICAÇÃO'!$E$103:$F$114,2,FALSE)</f>
        <v>Derivados</v>
      </c>
      <c r="H2597" s="78">
        <v>0</v>
      </c>
    </row>
    <row r="2598" spans="1:8" x14ac:dyDescent="0.25">
      <c r="A2598" s="71">
        <v>2026</v>
      </c>
      <c r="B2598" s="72" t="s">
        <v>214</v>
      </c>
      <c r="C2598" s="73" t="s">
        <v>225</v>
      </c>
      <c r="D2598" s="73" t="s">
        <v>160</v>
      </c>
      <c r="E2598" s="73" t="str">
        <f>VLOOKUP(D2598,clientes!$C$3:$D$60,2,FALSE)</f>
        <v>VIBRA</v>
      </c>
      <c r="F2598" s="73" t="s">
        <v>120</v>
      </c>
      <c r="G2598" s="73" t="str">
        <f>VLOOKUP(F2598,'[2]Lista de Produtos CLASSIFICAÇÃO'!$E$103:$F$114,2,FALSE)</f>
        <v>Derivados</v>
      </c>
      <c r="H2598" s="74">
        <v>0</v>
      </c>
    </row>
    <row r="2599" spans="1:8" x14ac:dyDescent="0.25">
      <c r="A2599" s="75">
        <v>2026</v>
      </c>
      <c r="B2599" s="76" t="s">
        <v>214</v>
      </c>
      <c r="C2599" s="77" t="s">
        <v>296</v>
      </c>
      <c r="D2599" s="77" t="s">
        <v>160</v>
      </c>
      <c r="E2599" s="73" t="str">
        <f>VLOOKUP(D2599,clientes!$C$3:$D$60,2,FALSE)</f>
        <v>VIBRA</v>
      </c>
      <c r="F2599" s="77" t="s">
        <v>120</v>
      </c>
      <c r="G2599" s="73" t="str">
        <f>VLOOKUP(F2599,'[2]Lista de Produtos CLASSIFICAÇÃO'!$E$103:$F$114,2,FALSE)</f>
        <v>Derivados</v>
      </c>
      <c r="H2599" s="78">
        <v>20000</v>
      </c>
    </row>
    <row r="2600" spans="1:8" x14ac:dyDescent="0.25">
      <c r="A2600" s="71">
        <v>2026</v>
      </c>
      <c r="B2600" s="72" t="s">
        <v>215</v>
      </c>
      <c r="C2600" s="73" t="s">
        <v>225</v>
      </c>
      <c r="D2600" s="73" t="s">
        <v>160</v>
      </c>
      <c r="E2600" s="73" t="str">
        <f>VLOOKUP(D2600,clientes!$C$3:$D$60,2,FALSE)</f>
        <v>VIBRA</v>
      </c>
      <c r="F2600" s="73" t="s">
        <v>120</v>
      </c>
      <c r="G2600" s="73" t="str">
        <f>VLOOKUP(F2600,'[2]Lista de Produtos CLASSIFICAÇÃO'!$E$103:$F$114,2,FALSE)</f>
        <v>Derivados</v>
      </c>
      <c r="H2600" s="74">
        <v>0</v>
      </c>
    </row>
    <row r="2601" spans="1:8" x14ac:dyDescent="0.25">
      <c r="A2601" s="75">
        <v>2026</v>
      </c>
      <c r="B2601" s="76" t="s">
        <v>215</v>
      </c>
      <c r="C2601" s="77" t="s">
        <v>296</v>
      </c>
      <c r="D2601" s="77" t="s">
        <v>160</v>
      </c>
      <c r="E2601" s="73" t="str">
        <f>VLOOKUP(D2601,clientes!$C$3:$D$60,2,FALSE)</f>
        <v>VIBRA</v>
      </c>
      <c r="F2601" s="77" t="s">
        <v>120</v>
      </c>
      <c r="G2601" s="73" t="str">
        <f>VLOOKUP(F2601,'[2]Lista de Produtos CLASSIFICAÇÃO'!$E$103:$F$114,2,FALSE)</f>
        <v>Derivados</v>
      </c>
      <c r="H2601" s="78">
        <v>20000</v>
      </c>
    </row>
    <row r="2602" spans="1:8" x14ac:dyDescent="0.25">
      <c r="A2602" s="71">
        <v>2026</v>
      </c>
      <c r="B2602" s="72" t="s">
        <v>230</v>
      </c>
      <c r="C2602" s="73" t="s">
        <v>225</v>
      </c>
      <c r="D2602" s="73" t="s">
        <v>160</v>
      </c>
      <c r="E2602" s="73" t="str">
        <f>VLOOKUP(D2602,clientes!$C$3:$D$60,2,FALSE)</f>
        <v>VIBRA</v>
      </c>
      <c r="F2602" s="73" t="s">
        <v>120</v>
      </c>
      <c r="G2602" s="73" t="str">
        <f>VLOOKUP(F2602,'[2]Lista de Produtos CLASSIFICAÇÃO'!$E$103:$F$114,2,FALSE)</f>
        <v>Derivados</v>
      </c>
      <c r="H2602" s="74">
        <v>0</v>
      </c>
    </row>
    <row r="2603" spans="1:8" x14ac:dyDescent="0.25">
      <c r="A2603" s="75">
        <v>2026</v>
      </c>
      <c r="B2603" s="76" t="s">
        <v>230</v>
      </c>
      <c r="C2603" s="77" t="s">
        <v>296</v>
      </c>
      <c r="D2603" s="77" t="s">
        <v>160</v>
      </c>
      <c r="E2603" s="73" t="str">
        <f>VLOOKUP(D2603,clientes!$C$3:$D$60,2,FALSE)</f>
        <v>VIBRA</v>
      </c>
      <c r="F2603" s="77" t="s">
        <v>120</v>
      </c>
      <c r="G2603" s="73" t="str">
        <f>VLOOKUP(F2603,'[2]Lista de Produtos CLASSIFICAÇÃO'!$E$103:$F$114,2,FALSE)</f>
        <v>Derivados</v>
      </c>
      <c r="H2603" s="78">
        <v>20000</v>
      </c>
    </row>
    <row r="2604" spans="1:8" x14ac:dyDescent="0.25">
      <c r="A2604" s="71">
        <v>2026</v>
      </c>
      <c r="B2604" s="72" t="s">
        <v>231</v>
      </c>
      <c r="C2604" s="73" t="s">
        <v>225</v>
      </c>
      <c r="D2604" s="73" t="s">
        <v>160</v>
      </c>
      <c r="E2604" s="73" t="str">
        <f>VLOOKUP(D2604,clientes!$C$3:$D$60,2,FALSE)</f>
        <v>VIBRA</v>
      </c>
      <c r="F2604" s="73" t="s">
        <v>120</v>
      </c>
      <c r="G2604" s="73" t="str">
        <f>VLOOKUP(F2604,'[2]Lista de Produtos CLASSIFICAÇÃO'!$E$103:$F$114,2,FALSE)</f>
        <v>Derivados</v>
      </c>
      <c r="H2604" s="74">
        <v>0</v>
      </c>
    </row>
    <row r="2605" spans="1:8" x14ac:dyDescent="0.25">
      <c r="A2605" s="75">
        <v>2026</v>
      </c>
      <c r="B2605" s="76" t="s">
        <v>231</v>
      </c>
      <c r="C2605" s="77" t="s">
        <v>296</v>
      </c>
      <c r="D2605" s="77" t="s">
        <v>160</v>
      </c>
      <c r="E2605" s="73" t="str">
        <f>VLOOKUP(D2605,clientes!$C$3:$D$60,2,FALSE)</f>
        <v>VIBRA</v>
      </c>
      <c r="F2605" s="77" t="s">
        <v>120</v>
      </c>
      <c r="G2605" s="73" t="str">
        <f>VLOOKUP(F2605,'[2]Lista de Produtos CLASSIFICAÇÃO'!$E$103:$F$114,2,FALSE)</f>
        <v>Derivados</v>
      </c>
      <c r="H2605" s="78">
        <v>20000</v>
      </c>
    </row>
  </sheetData>
  <autoFilter ref="A1:H2605" xr:uid="{5C9D7590-45AA-4D5D-94CA-932B69DD94B3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19F2-6382-4CD1-B004-893D1E648F1A}">
  <dimension ref="A1:L565"/>
  <sheetViews>
    <sheetView workbookViewId="0">
      <selection activeCell="E18" sqref="E18"/>
    </sheetView>
  </sheetViews>
  <sheetFormatPr defaultRowHeight="15" x14ac:dyDescent="0.25"/>
  <cols>
    <col min="2" max="2" width="10.42578125" bestFit="1" customWidth="1"/>
    <col min="3" max="3" width="14.5703125" bestFit="1" customWidth="1"/>
    <col min="4" max="5" width="17.42578125" bestFit="1" customWidth="1"/>
    <col min="6" max="6" width="17.85546875" customWidth="1"/>
    <col min="7" max="7" width="10.140625" bestFit="1" customWidth="1"/>
    <col min="12" max="12" width="11.7109375" bestFit="1" customWidth="1"/>
  </cols>
  <sheetData>
    <row r="1" spans="1:7" ht="45" x14ac:dyDescent="0.25">
      <c r="A1" s="79" t="s">
        <v>125</v>
      </c>
      <c r="B1" s="79" t="s">
        <v>126</v>
      </c>
      <c r="C1" s="79" t="s">
        <v>154</v>
      </c>
      <c r="D1" s="79" t="s">
        <v>104</v>
      </c>
      <c r="E1" s="79" t="s">
        <v>127</v>
      </c>
      <c r="F1" s="79" t="s">
        <v>246</v>
      </c>
      <c r="G1" s="79" t="s">
        <v>299</v>
      </c>
    </row>
    <row r="2" spans="1:7" x14ac:dyDescent="0.25">
      <c r="A2" s="80">
        <v>2026</v>
      </c>
      <c r="B2" s="81" t="s">
        <v>143</v>
      </c>
      <c r="C2" s="81" t="s">
        <v>175</v>
      </c>
      <c r="D2" s="81" t="s">
        <v>123</v>
      </c>
      <c r="E2" s="81" t="str">
        <f>VLOOKUP(D2,'[2]Lista de Produtos CLASSIFICAÇÃO'!$E$103:$F$114,2,FALSE)</f>
        <v>Aquecidos</v>
      </c>
      <c r="F2" s="81" t="str">
        <f>VLOOKUP(C2,clientes!$C$3:$D$60,2,FALSE)</f>
        <v>AAK DO BRASIL</v>
      </c>
      <c r="G2" s="82">
        <v>4372.2222222222217</v>
      </c>
    </row>
    <row r="3" spans="1:7" x14ac:dyDescent="0.25">
      <c r="A3" s="83">
        <v>2026</v>
      </c>
      <c r="B3" s="84" t="s">
        <v>143</v>
      </c>
      <c r="C3" s="84" t="s">
        <v>157</v>
      </c>
      <c r="D3" s="84" t="s">
        <v>122</v>
      </c>
      <c r="E3" s="81" t="str">
        <f>VLOOKUP(D3,'[2]Lista de Produtos CLASSIFICAÇÃO'!$E$103:$F$114,2,FALSE)</f>
        <v>Óleo Vegetal</v>
      </c>
      <c r="F3" s="81" t="str">
        <f>VLOOKUP(C3,clientes!$C$3:$D$60,2,FALSE)</f>
        <v>ADM</v>
      </c>
      <c r="G3" s="85">
        <v>2826.086956521739</v>
      </c>
    </row>
    <row r="4" spans="1:7" x14ac:dyDescent="0.25">
      <c r="A4" s="80">
        <v>2026</v>
      </c>
      <c r="B4" s="81" t="s">
        <v>143</v>
      </c>
      <c r="C4" s="81" t="s">
        <v>18</v>
      </c>
      <c r="D4" s="81" t="s">
        <v>17</v>
      </c>
      <c r="E4" s="81" t="str">
        <f>VLOOKUP(D4,'[2]Lista de Produtos CLASSIFICAÇÃO'!$E$103:$F$114,2,FALSE)</f>
        <v>Acostagem</v>
      </c>
      <c r="F4" s="81" t="str">
        <f>VLOOKUP(C4,clientes!$C$3:$D$60,2,FALSE)</f>
        <v>ACOSTAGEM</v>
      </c>
      <c r="G4" s="82">
        <v>0</v>
      </c>
    </row>
    <row r="5" spans="1:7" x14ac:dyDescent="0.25">
      <c r="A5" s="83">
        <v>2026</v>
      </c>
      <c r="B5" s="84" t="s">
        <v>143</v>
      </c>
      <c r="C5" s="84" t="s">
        <v>155</v>
      </c>
      <c r="D5" s="84" t="s">
        <v>16</v>
      </c>
      <c r="E5" s="81" t="str">
        <f>VLOOKUP(D5,'[2]Lista de Produtos CLASSIFICAÇÃO'!$E$103:$F$114,2,FALSE)</f>
        <v>Outros</v>
      </c>
      <c r="F5" s="81" t="str">
        <f>VLOOKUP(C5,clientes!$C$3:$D$60,2,FALSE)</f>
        <v>ADISSEO</v>
      </c>
      <c r="G5" s="85">
        <v>3461.538461538461</v>
      </c>
    </row>
    <row r="6" spans="1:7" x14ac:dyDescent="0.25">
      <c r="A6" s="80">
        <v>2026</v>
      </c>
      <c r="B6" s="81" t="s">
        <v>143</v>
      </c>
      <c r="C6" s="81" t="s">
        <v>188</v>
      </c>
      <c r="D6" s="81" t="s">
        <v>123</v>
      </c>
      <c r="E6" s="81" t="str">
        <f>VLOOKUP(D6,'[2]Lista de Produtos CLASSIFICAÇÃO'!$E$103:$F$114,2,FALSE)</f>
        <v>Aquecidos</v>
      </c>
      <c r="F6" s="81" t="str">
        <f>VLOOKUP(C6,clientes!$C$3:$D$60,2,FALSE)</f>
        <v>ARES MERCHANTS PTE LIMITE</v>
      </c>
      <c r="G6" s="82">
        <v>3476.666666666667</v>
      </c>
    </row>
    <row r="7" spans="1:7" x14ac:dyDescent="0.25">
      <c r="A7" s="83">
        <v>2026</v>
      </c>
      <c r="B7" s="84" t="s">
        <v>143</v>
      </c>
      <c r="C7" s="84" t="s">
        <v>243</v>
      </c>
      <c r="D7" s="84" t="s">
        <v>120</v>
      </c>
      <c r="E7" s="81" t="str">
        <f>VLOOKUP(D7,'[2]Lista de Produtos CLASSIFICAÇÃO'!$E$103:$F$114,2,FALSE)</f>
        <v>Derivados</v>
      </c>
      <c r="F7" s="81" t="str">
        <f>VLOOKUP(C7,clientes!$C$3:$D$60,2,FALSE)</f>
        <v>ART PETRO</v>
      </c>
      <c r="G7" s="85">
        <v>0</v>
      </c>
    </row>
    <row r="8" spans="1:7" x14ac:dyDescent="0.25">
      <c r="A8" s="80">
        <v>2026</v>
      </c>
      <c r="B8" s="81" t="s">
        <v>143</v>
      </c>
      <c r="C8" s="81" t="s">
        <v>165</v>
      </c>
      <c r="D8" s="81" t="s">
        <v>123</v>
      </c>
      <c r="E8" s="81" t="str">
        <f>VLOOKUP(D8,'[2]Lista de Produtos CLASSIFICAÇÃO'!$E$103:$F$114,2,FALSE)</f>
        <v>Aquecidos</v>
      </c>
      <c r="F8" s="81" t="str">
        <f>VLOOKUP(C8,clientes!$C$3:$D$60,2,FALSE)</f>
        <v>BRF</v>
      </c>
      <c r="G8" s="82">
        <v>3526.666666666667</v>
      </c>
    </row>
    <row r="9" spans="1:7" x14ac:dyDescent="0.25">
      <c r="A9" s="83">
        <v>2026</v>
      </c>
      <c r="B9" s="84" t="s">
        <v>143</v>
      </c>
      <c r="C9" s="84" t="s">
        <v>179</v>
      </c>
      <c r="D9" s="84" t="s">
        <v>26</v>
      </c>
      <c r="E9" s="81" t="str">
        <f>VLOOKUP(D9,'[2]Lista de Produtos CLASSIFICAÇÃO'!$E$103:$F$114,2,FALSE)</f>
        <v>Biocombustíveis</v>
      </c>
      <c r="F9" s="81" t="str">
        <f>VLOOKUP(C9,clientes!$C$3:$D$60,2,FALSE)</f>
        <v>BSBIOS</v>
      </c>
      <c r="G9" s="85">
        <v>6356.9767441860467</v>
      </c>
    </row>
    <row r="10" spans="1:7" x14ac:dyDescent="0.25">
      <c r="A10" s="80">
        <v>2026</v>
      </c>
      <c r="B10" s="81" t="s">
        <v>143</v>
      </c>
      <c r="C10" s="81" t="s">
        <v>239</v>
      </c>
      <c r="D10" s="81" t="s">
        <v>115</v>
      </c>
      <c r="E10" s="81" t="str">
        <f>VLOOKUP(D10,'[2]Lista de Produtos CLASSIFICAÇÃO'!$E$103:$F$114,2,FALSE)</f>
        <v>Soda Caustica</v>
      </c>
      <c r="F10" s="81" t="str">
        <f>VLOOKUP(C10,clientes!$C$3:$D$60,2,FALSE)</f>
        <v>BSC QUIMICA</v>
      </c>
      <c r="G10" s="82">
        <v>1786.666666666667</v>
      </c>
    </row>
    <row r="11" spans="1:7" x14ac:dyDescent="0.25">
      <c r="A11" s="83">
        <v>2026</v>
      </c>
      <c r="B11" s="84" t="s">
        <v>143</v>
      </c>
      <c r="C11" s="84" t="s">
        <v>177</v>
      </c>
      <c r="D11" s="84" t="s">
        <v>115</v>
      </c>
      <c r="E11" s="81" t="str">
        <f>VLOOKUP(D11,'[2]Lista de Produtos CLASSIFICAÇÃO'!$E$103:$F$114,2,FALSE)</f>
        <v>Soda Caustica</v>
      </c>
      <c r="F11" s="81" t="str">
        <f>VLOOKUP(C11,clientes!$C$3:$D$60,2,FALSE)</f>
        <v>BRENNTAG</v>
      </c>
      <c r="G11" s="85">
        <v>1020</v>
      </c>
    </row>
    <row r="12" spans="1:7" x14ac:dyDescent="0.25">
      <c r="A12" s="80">
        <v>2026</v>
      </c>
      <c r="B12" s="81" t="s">
        <v>143</v>
      </c>
      <c r="C12" s="81" t="s">
        <v>156</v>
      </c>
      <c r="D12" s="81" t="s">
        <v>123</v>
      </c>
      <c r="E12" s="81" t="str">
        <f>VLOOKUP(D12,'[2]Lista de Produtos CLASSIFICAÇÃO'!$E$103:$F$114,2,FALSE)</f>
        <v>Aquecidos</v>
      </c>
      <c r="F12" s="81" t="str">
        <f>VLOOKUP(C12,clientes!$C$3:$D$60,2,FALSE)</f>
        <v>BUNGE</v>
      </c>
      <c r="G12" s="82">
        <v>2111.1111111111109</v>
      </c>
    </row>
    <row r="13" spans="1:7" x14ac:dyDescent="0.25">
      <c r="A13" s="83">
        <v>2026</v>
      </c>
      <c r="B13" s="84" t="s">
        <v>143</v>
      </c>
      <c r="C13" s="84" t="s">
        <v>166</v>
      </c>
      <c r="D13" s="84" t="s">
        <v>123</v>
      </c>
      <c r="E13" s="81" t="str">
        <f>VLOOKUP(D13,'[2]Lista de Produtos CLASSIFICAÇÃO'!$E$103:$F$114,2,FALSE)</f>
        <v>Aquecidos</v>
      </c>
      <c r="F13" s="81" t="str">
        <f>VLOOKUP(C13,clientes!$C$3:$D$60,2,FALSE)</f>
        <v>CARGILL</v>
      </c>
      <c r="G13" s="85">
        <v>1035.555555555555</v>
      </c>
    </row>
    <row r="14" spans="1:7" x14ac:dyDescent="0.25">
      <c r="A14" s="80">
        <v>2026</v>
      </c>
      <c r="B14" s="81" t="s">
        <v>143</v>
      </c>
      <c r="C14" s="81" t="s">
        <v>166</v>
      </c>
      <c r="D14" s="81" t="s">
        <v>122</v>
      </c>
      <c r="E14" s="81" t="str">
        <f>VLOOKUP(D14,'[2]Lista de Produtos CLASSIFICAÇÃO'!$E$103:$F$114,2,FALSE)</f>
        <v>Óleo Vegetal</v>
      </c>
      <c r="F14" s="81" t="str">
        <f>VLOOKUP(C14,clientes!$C$3:$D$60,2,FALSE)</f>
        <v>CARGILL</v>
      </c>
      <c r="G14" s="82">
        <v>483.695652173913</v>
      </c>
    </row>
    <row r="15" spans="1:7" x14ac:dyDescent="0.25">
      <c r="A15" s="83">
        <v>2026</v>
      </c>
      <c r="B15" s="84" t="s">
        <v>143</v>
      </c>
      <c r="C15" s="84" t="s">
        <v>174</v>
      </c>
      <c r="D15" s="84" t="s">
        <v>123</v>
      </c>
      <c r="E15" s="81" t="str">
        <f>VLOOKUP(D15,'[2]Lista de Produtos CLASSIFICAÇÃO'!$E$103:$F$114,2,FALSE)</f>
        <v>Aquecidos</v>
      </c>
      <c r="F15" s="81" t="str">
        <f>VLOOKUP(C15,clientes!$C$3:$D$60,2,FALSE)</f>
        <v>CELENA</v>
      </c>
      <c r="G15" s="85">
        <v>13401.111111111109</v>
      </c>
    </row>
    <row r="16" spans="1:7" x14ac:dyDescent="0.25">
      <c r="A16" s="80">
        <v>2026</v>
      </c>
      <c r="B16" s="81" t="s">
        <v>143</v>
      </c>
      <c r="C16" s="81" t="s">
        <v>185</v>
      </c>
      <c r="D16" s="81" t="s">
        <v>120</v>
      </c>
      <c r="E16" s="81" t="str">
        <f>VLOOKUP(D16,'[2]Lista de Produtos CLASSIFICAÇÃO'!$E$103:$F$114,2,FALSE)</f>
        <v>Derivados</v>
      </c>
      <c r="F16" s="81" t="str">
        <f>VLOOKUP(C16,clientes!$C$3:$D$60,2,FALSE)</f>
        <v>CIAPETRO</v>
      </c>
      <c r="G16" s="82">
        <v>13493.975903614461</v>
      </c>
    </row>
    <row r="17" spans="1:7" x14ac:dyDescent="0.25">
      <c r="A17" s="83">
        <v>2026</v>
      </c>
      <c r="B17" s="84" t="s">
        <v>143</v>
      </c>
      <c r="C17" s="84" t="s">
        <v>181</v>
      </c>
      <c r="D17" s="84" t="s">
        <v>123</v>
      </c>
      <c r="E17" s="81" t="str">
        <f>VLOOKUP(D17,'[2]Lista de Produtos CLASSIFICAÇÃO'!$E$103:$F$114,2,FALSE)</f>
        <v>Aquecidos</v>
      </c>
      <c r="F17" s="81" t="str">
        <f>VLOOKUP(C17,clientes!$C$3:$D$60,2,FALSE)</f>
        <v>COAMO</v>
      </c>
      <c r="G17" s="85">
        <v>1786.666666666667</v>
      </c>
    </row>
    <row r="18" spans="1:7" x14ac:dyDescent="0.25">
      <c r="A18" s="80">
        <v>2026</v>
      </c>
      <c r="B18" s="81" t="s">
        <v>143</v>
      </c>
      <c r="C18" s="81" t="s">
        <v>236</v>
      </c>
      <c r="D18" s="81" t="s">
        <v>121</v>
      </c>
      <c r="E18" s="81" t="str">
        <f>VLOOKUP(D18,'[2]Lista de Produtos CLASSIFICAÇÃO'!$E$103:$F$114,2,FALSE)</f>
        <v>Biocombustíveis</v>
      </c>
      <c r="F18" s="81" t="str">
        <f>VLOOKUP(C18,clientes!$C$3:$D$60,2,FALSE)</f>
        <v>ETANOL OUTROS</v>
      </c>
      <c r="G18" s="82">
        <v>0</v>
      </c>
    </row>
    <row r="19" spans="1:7" x14ac:dyDescent="0.25">
      <c r="A19" s="83">
        <v>2026</v>
      </c>
      <c r="B19" s="84" t="s">
        <v>143</v>
      </c>
      <c r="C19" s="84" t="s">
        <v>172</v>
      </c>
      <c r="D19" s="84" t="s">
        <v>124</v>
      </c>
      <c r="E19" s="81" t="str">
        <f>VLOOKUP(D19,'[2]Lista de Produtos CLASSIFICAÇÃO'!$E$103:$F$114,2,FALSE)</f>
        <v>Outros</v>
      </c>
      <c r="F19" s="81" t="str">
        <f>VLOOKUP(C19,clientes!$C$3:$D$60,2,FALSE)</f>
        <v>EVONIK</v>
      </c>
      <c r="G19" s="85">
        <v>1927.8481012658231</v>
      </c>
    </row>
    <row r="20" spans="1:7" x14ac:dyDescent="0.25">
      <c r="A20" s="80">
        <v>2026</v>
      </c>
      <c r="B20" s="81" t="s">
        <v>143</v>
      </c>
      <c r="C20" s="81" t="s">
        <v>240</v>
      </c>
      <c r="D20" s="81" t="s">
        <v>121</v>
      </c>
      <c r="E20" s="81" t="str">
        <f>VLOOKUP(D20,'[2]Lista de Produtos CLASSIFICAÇÃO'!$E$103:$F$114,2,FALSE)</f>
        <v>Biocombustíveis</v>
      </c>
      <c r="F20" s="81" t="str">
        <f>VLOOKUP(C20,clientes!$C$3:$D$60,2,FALSE)</f>
        <v>FS</v>
      </c>
      <c r="G20" s="82">
        <v>9200</v>
      </c>
    </row>
    <row r="21" spans="1:7" x14ac:dyDescent="0.25">
      <c r="A21" s="83">
        <v>2026</v>
      </c>
      <c r="B21" s="84" t="s">
        <v>143</v>
      </c>
      <c r="C21" s="84" t="s">
        <v>240</v>
      </c>
      <c r="D21" s="84" t="s">
        <v>121</v>
      </c>
      <c r="E21" s="81" t="str">
        <f>VLOOKUP(D21,'[2]Lista de Produtos CLASSIFICAÇÃO'!$E$103:$F$114,2,FALSE)</f>
        <v>Biocombustíveis</v>
      </c>
      <c r="F21" s="81" t="str">
        <f>VLOOKUP(C21,clientes!$C$3:$D$60,2,FALSE)</f>
        <v>FS</v>
      </c>
      <c r="G21" s="85">
        <v>0</v>
      </c>
    </row>
    <row r="22" spans="1:7" x14ac:dyDescent="0.25">
      <c r="A22" s="80">
        <v>2026</v>
      </c>
      <c r="B22" s="81" t="s">
        <v>143</v>
      </c>
      <c r="C22" s="81" t="s">
        <v>237</v>
      </c>
      <c r="D22" s="81" t="s">
        <v>120</v>
      </c>
      <c r="E22" s="81" t="str">
        <f>VLOOKUP(D22,'[2]Lista de Produtos CLASSIFICAÇÃO'!$E$103:$F$114,2,FALSE)</f>
        <v>Derivados</v>
      </c>
      <c r="F22" s="81" t="str">
        <f>VLOOKUP(C22,clientes!$C$3:$D$60,2,FALSE)</f>
        <v>FORTEZA TRADING DMCC</v>
      </c>
      <c r="G22" s="82">
        <v>3660.2409638554218</v>
      </c>
    </row>
    <row r="23" spans="1:7" x14ac:dyDescent="0.25">
      <c r="A23" s="83">
        <v>2026</v>
      </c>
      <c r="B23" s="84" t="s">
        <v>143</v>
      </c>
      <c r="C23" s="84" t="s">
        <v>191</v>
      </c>
      <c r="D23" s="84" t="s">
        <v>115</v>
      </c>
      <c r="E23" s="81" t="str">
        <f>VLOOKUP(D23,'[2]Lista de Produtos CLASSIFICAÇÃO'!$E$103:$F$114,2,FALSE)</f>
        <v>Soda Caustica</v>
      </c>
      <c r="F23" s="81" t="str">
        <f>VLOOKUP(C23,clientes!$C$3:$D$60,2,FALSE)</f>
        <v>GPC</v>
      </c>
      <c r="G23" s="85">
        <v>2466.666666666667</v>
      </c>
    </row>
    <row r="24" spans="1:7" x14ac:dyDescent="0.25">
      <c r="A24" s="80">
        <v>2026</v>
      </c>
      <c r="B24" s="81" t="s">
        <v>143</v>
      </c>
      <c r="C24" s="81" t="s">
        <v>189</v>
      </c>
      <c r="D24" s="81" t="s">
        <v>123</v>
      </c>
      <c r="E24" s="81" t="str">
        <f>VLOOKUP(D24,'[2]Lista de Produtos CLASSIFICAÇÃO'!$E$103:$F$114,2,FALSE)</f>
        <v>Aquecidos</v>
      </c>
      <c r="F24" s="81" t="str">
        <f>VLOOKUP(C24,clientes!$C$3:$D$60,2,FALSE)</f>
        <v>ICOF</v>
      </c>
      <c r="G24" s="82">
        <v>4983.333333333333</v>
      </c>
    </row>
    <row r="25" spans="1:7" x14ac:dyDescent="0.25">
      <c r="A25" s="83">
        <v>2026</v>
      </c>
      <c r="B25" s="84" t="s">
        <v>143</v>
      </c>
      <c r="C25" s="84" t="s">
        <v>184</v>
      </c>
      <c r="D25" s="84" t="s">
        <v>122</v>
      </c>
      <c r="E25" s="81" t="str">
        <f>VLOOKUP(D25,'[2]Lista de Produtos CLASSIFICAÇÃO'!$E$103:$F$114,2,FALSE)</f>
        <v>Óleo Vegetal</v>
      </c>
      <c r="F25" s="81" t="str">
        <f>VLOOKUP(C25,clientes!$C$3:$D$60,2,FALSE)</f>
        <v>INGREDION</v>
      </c>
      <c r="G25" s="85">
        <v>295.65217391304338</v>
      </c>
    </row>
    <row r="26" spans="1:7" x14ac:dyDescent="0.25">
      <c r="A26" s="80">
        <v>2026</v>
      </c>
      <c r="B26" s="81" t="s">
        <v>143</v>
      </c>
      <c r="C26" s="81" t="s">
        <v>192</v>
      </c>
      <c r="D26" s="81" t="s">
        <v>121</v>
      </c>
      <c r="E26" s="81" t="str">
        <f>VLOOKUP(D26,'[2]Lista de Produtos CLASSIFICAÇÃO'!$E$103:$F$114,2,FALSE)</f>
        <v>Biocombustíveis</v>
      </c>
      <c r="F26" s="81" t="str">
        <f>VLOOKUP(C26,clientes!$C$3:$D$60,2,FALSE)</f>
        <v>INPASA</v>
      </c>
      <c r="G26" s="82">
        <v>12146.25</v>
      </c>
    </row>
    <row r="27" spans="1:7" x14ac:dyDescent="0.25">
      <c r="A27" s="83">
        <v>2026</v>
      </c>
      <c r="B27" s="84" t="s">
        <v>143</v>
      </c>
      <c r="C27" s="84" t="s">
        <v>192</v>
      </c>
      <c r="D27" s="84" t="s">
        <v>121</v>
      </c>
      <c r="E27" s="81" t="str">
        <f>VLOOKUP(D27,'[2]Lista de Produtos CLASSIFICAÇÃO'!$E$103:$F$114,2,FALSE)</f>
        <v>Biocombustíveis</v>
      </c>
      <c r="F27" s="81" t="str">
        <f>VLOOKUP(C27,clientes!$C$3:$D$60,2,FALSE)</f>
        <v>INPASA</v>
      </c>
      <c r="G27" s="85">
        <v>0</v>
      </c>
    </row>
    <row r="28" spans="1:7" x14ac:dyDescent="0.25">
      <c r="A28" s="80">
        <v>2026</v>
      </c>
      <c r="B28" s="81" t="s">
        <v>143</v>
      </c>
      <c r="C28" s="81" t="s">
        <v>158</v>
      </c>
      <c r="D28" s="81" t="s">
        <v>120</v>
      </c>
      <c r="E28" s="81" t="str">
        <f>VLOOKUP(D28,'[2]Lista de Produtos CLASSIFICAÇÃO'!$E$103:$F$114,2,FALSE)</f>
        <v>Derivados</v>
      </c>
      <c r="F28" s="81" t="str">
        <f>VLOOKUP(C28,clientes!$C$3:$D$60,2,FALSE)</f>
        <v>IPIRANGA</v>
      </c>
      <c r="G28" s="82">
        <v>63000</v>
      </c>
    </row>
    <row r="29" spans="1:7" x14ac:dyDescent="0.25">
      <c r="A29" s="83">
        <v>2026</v>
      </c>
      <c r="B29" s="84" t="s">
        <v>143</v>
      </c>
      <c r="C29" s="84" t="s">
        <v>162</v>
      </c>
      <c r="D29" s="84" t="s">
        <v>123</v>
      </c>
      <c r="E29" s="81" t="str">
        <f>VLOOKUP(D29,'[2]Lista de Produtos CLASSIFICAÇÃO'!$E$103:$F$114,2,FALSE)</f>
        <v>Aquecidos</v>
      </c>
      <c r="F29" s="81" t="str">
        <f>VLOOKUP(C29,clientes!$C$3:$D$60,2,FALSE)</f>
        <v>JBS</v>
      </c>
      <c r="G29" s="85">
        <v>3444.4444444444439</v>
      </c>
    </row>
    <row r="30" spans="1:7" x14ac:dyDescent="0.25">
      <c r="A30" s="80">
        <v>2026</v>
      </c>
      <c r="B30" s="81" t="s">
        <v>143</v>
      </c>
      <c r="C30" s="81" t="s">
        <v>162</v>
      </c>
      <c r="D30" s="81" t="s">
        <v>115</v>
      </c>
      <c r="E30" s="81" t="str">
        <f>VLOOKUP(D30,'[2]Lista de Produtos CLASSIFICAÇÃO'!$E$103:$F$114,2,FALSE)</f>
        <v>Soda Caustica</v>
      </c>
      <c r="F30" s="81" t="str">
        <f>VLOOKUP(C30,clientes!$C$3:$D$60,2,FALSE)</f>
        <v>JBS</v>
      </c>
      <c r="G30" s="82">
        <v>1200</v>
      </c>
    </row>
    <row r="31" spans="1:7" x14ac:dyDescent="0.25">
      <c r="A31" s="83">
        <v>2026</v>
      </c>
      <c r="B31" s="84" t="s">
        <v>143</v>
      </c>
      <c r="C31" s="84" t="s">
        <v>169</v>
      </c>
      <c r="D31" s="84" t="s">
        <v>22</v>
      </c>
      <c r="E31" s="81" t="str">
        <f>VLOOKUP(D31,'[2]Lista de Produtos CLASSIFICAÇÃO'!$E$103:$F$114,2,FALSE)</f>
        <v>Metanol</v>
      </c>
      <c r="F31" s="81" t="str">
        <f>VLOOKUP(C31,clientes!$C$3:$D$60,2,FALSE)</f>
        <v>METHANEX</v>
      </c>
      <c r="G31" s="85">
        <v>83973.417721518985</v>
      </c>
    </row>
    <row r="32" spans="1:7" x14ac:dyDescent="0.25">
      <c r="A32" s="80">
        <v>2026</v>
      </c>
      <c r="B32" s="81" t="s">
        <v>143</v>
      </c>
      <c r="C32" s="81" t="s">
        <v>169</v>
      </c>
      <c r="D32" s="81" t="s">
        <v>22</v>
      </c>
      <c r="E32" s="81" t="str">
        <f>VLOOKUP(D32,'[2]Lista de Produtos CLASSIFICAÇÃO'!$E$103:$F$114,2,FALSE)</f>
        <v>Metanol</v>
      </c>
      <c r="F32" s="81" t="str">
        <f>VLOOKUP(C32,clientes!$C$3:$D$60,2,FALSE)</f>
        <v>METHANEX</v>
      </c>
      <c r="G32" s="82">
        <v>0</v>
      </c>
    </row>
    <row r="33" spans="1:7" x14ac:dyDescent="0.25">
      <c r="A33" s="83">
        <v>2026</v>
      </c>
      <c r="B33" s="84" t="s">
        <v>143</v>
      </c>
      <c r="C33" s="84" t="s">
        <v>170</v>
      </c>
      <c r="D33" s="84" t="s">
        <v>22</v>
      </c>
      <c r="E33" s="81" t="str">
        <f>VLOOKUP(D33,'[2]Lista de Produtos CLASSIFICAÇÃO'!$E$103:$F$114,2,FALSE)</f>
        <v>Metanol</v>
      </c>
      <c r="F33" s="81" t="str">
        <f>VLOOKUP(C33,clientes!$C$3:$D$60,2,FALSE)</f>
        <v>MITSUBISHI</v>
      </c>
      <c r="G33" s="85">
        <v>12239.24050632911</v>
      </c>
    </row>
    <row r="34" spans="1:7" x14ac:dyDescent="0.25">
      <c r="A34" s="80">
        <v>2026</v>
      </c>
      <c r="B34" s="81" t="s">
        <v>143</v>
      </c>
      <c r="C34" s="81" t="s">
        <v>186</v>
      </c>
      <c r="D34" s="81" t="s">
        <v>22</v>
      </c>
      <c r="E34" s="81" t="str">
        <f>VLOOKUP(D34,'[2]Lista de Produtos CLASSIFICAÇÃO'!$E$103:$F$114,2,FALSE)</f>
        <v>Metanol</v>
      </c>
      <c r="F34" s="81" t="str">
        <f>VLOOKUP(C34,clientes!$C$3:$D$60,2,FALSE)</f>
        <v>OQ TRADING</v>
      </c>
      <c r="G34" s="82">
        <v>21518.98734177215</v>
      </c>
    </row>
    <row r="35" spans="1:7" x14ac:dyDescent="0.25">
      <c r="A35" s="83">
        <v>2026</v>
      </c>
      <c r="B35" s="84" t="s">
        <v>143</v>
      </c>
      <c r="C35" s="84" t="s">
        <v>186</v>
      </c>
      <c r="D35" s="84" t="s">
        <v>22</v>
      </c>
      <c r="E35" s="81" t="str">
        <f>VLOOKUP(D35,'[2]Lista de Produtos CLASSIFICAÇÃO'!$E$103:$F$114,2,FALSE)</f>
        <v>Metanol</v>
      </c>
      <c r="F35" s="81" t="str">
        <f>VLOOKUP(C35,clientes!$C$3:$D$60,2,FALSE)</f>
        <v>OQ TRADING</v>
      </c>
      <c r="G35" s="85">
        <v>0</v>
      </c>
    </row>
    <row r="36" spans="1:7" x14ac:dyDescent="0.25">
      <c r="A36" s="80">
        <v>2026</v>
      </c>
      <c r="B36" s="81" t="s">
        <v>143</v>
      </c>
      <c r="C36" s="81" t="s">
        <v>178</v>
      </c>
      <c r="D36" s="81" t="s">
        <v>115</v>
      </c>
      <c r="E36" s="81" t="str">
        <f>VLOOKUP(D36,'[2]Lista de Produtos CLASSIFICAÇÃO'!$E$103:$F$114,2,FALSE)</f>
        <v>Soda Caustica</v>
      </c>
      <c r="F36" s="81" t="str">
        <f>VLOOKUP(C36,clientes!$C$3:$D$60,2,FALSE)</f>
        <v>OLIN BLUE CUBE</v>
      </c>
      <c r="G36" s="82">
        <v>15088.66666666667</v>
      </c>
    </row>
    <row r="37" spans="1:7" x14ac:dyDescent="0.25">
      <c r="A37" s="83">
        <v>2026</v>
      </c>
      <c r="B37" s="84" t="s">
        <v>143</v>
      </c>
      <c r="C37" s="84" t="s">
        <v>167</v>
      </c>
      <c r="D37" s="84" t="s">
        <v>122</v>
      </c>
      <c r="E37" s="81" t="str">
        <f>VLOOKUP(D37,'[2]Lista de Produtos CLASSIFICAÇÃO'!$E$103:$F$114,2,FALSE)</f>
        <v>Óleo Vegetal</v>
      </c>
      <c r="F37" s="81" t="str">
        <f>VLOOKUP(C37,clientes!$C$3:$D$60,2,FALSE)</f>
        <v>POOL</v>
      </c>
      <c r="G37" s="85">
        <v>76193.195652173919</v>
      </c>
    </row>
    <row r="38" spans="1:7" x14ac:dyDescent="0.25">
      <c r="A38" s="80">
        <v>2026</v>
      </c>
      <c r="B38" s="81" t="s">
        <v>143</v>
      </c>
      <c r="C38" s="81" t="s">
        <v>168</v>
      </c>
      <c r="D38" s="81" t="s">
        <v>122</v>
      </c>
      <c r="E38" s="81" t="str">
        <f>VLOOKUP(D38,'[2]Lista de Produtos CLASSIFICAÇÃO'!$E$103:$F$114,2,FALSE)</f>
        <v>Óleo Vegetal</v>
      </c>
      <c r="F38" s="81" t="str">
        <f>VLOOKUP(C38,clientes!$C$3:$D$60,2,FALSE)</f>
        <v>POOL EXCEDENTE</v>
      </c>
      <c r="G38" s="82">
        <v>652.17391304347825</v>
      </c>
    </row>
    <row r="39" spans="1:7" x14ac:dyDescent="0.25">
      <c r="A39" s="83">
        <v>2026</v>
      </c>
      <c r="B39" s="84" t="s">
        <v>143</v>
      </c>
      <c r="C39" s="84" t="s">
        <v>238</v>
      </c>
      <c r="D39" s="84" t="s">
        <v>26</v>
      </c>
      <c r="E39" s="81" t="str">
        <f>VLOOKUP(D39,'[2]Lista de Produtos CLASSIFICAÇÃO'!$E$103:$F$114,2,FALSE)</f>
        <v>Biocombustíveis</v>
      </c>
      <c r="F39" s="81" t="str">
        <f>VLOOKUP(C39,clientes!$C$3:$D$60,2,FALSE)</f>
        <v>PRISMA</v>
      </c>
      <c r="G39" s="85">
        <v>5137.2093023255811</v>
      </c>
    </row>
    <row r="40" spans="1:7" x14ac:dyDescent="0.25">
      <c r="A40" s="80">
        <v>2026</v>
      </c>
      <c r="B40" s="81" t="s">
        <v>143</v>
      </c>
      <c r="C40" s="81" t="s">
        <v>159</v>
      </c>
      <c r="D40" s="81" t="s">
        <v>120</v>
      </c>
      <c r="E40" s="81" t="str">
        <f>VLOOKUP(D40,'[2]Lista de Produtos CLASSIFICAÇÃO'!$E$103:$F$114,2,FALSE)</f>
        <v>Derivados</v>
      </c>
      <c r="F40" s="81" t="str">
        <f>VLOOKUP(C40,clientes!$C$3:$D$60,2,FALSE)</f>
        <v>RAIZEN</v>
      </c>
      <c r="G40" s="82">
        <v>45000</v>
      </c>
    </row>
    <row r="41" spans="1:7" x14ac:dyDescent="0.25">
      <c r="A41" s="83">
        <v>2026</v>
      </c>
      <c r="B41" s="84" t="s">
        <v>143</v>
      </c>
      <c r="C41" s="84" t="s">
        <v>242</v>
      </c>
      <c r="D41" s="84" t="s">
        <v>120</v>
      </c>
      <c r="E41" s="81" t="str">
        <f>VLOOKUP(D41,'[2]Lista de Produtos CLASSIFICAÇÃO'!$E$103:$F$114,2,FALSE)</f>
        <v>Derivados</v>
      </c>
      <c r="F41" s="81" t="str">
        <f>VLOOKUP(C41,clientes!$C$3:$D$60,2,FALSE)</f>
        <v>RODOOIL DISTRIBUIDORA</v>
      </c>
      <c r="G41" s="85">
        <v>0</v>
      </c>
    </row>
    <row r="42" spans="1:7" x14ac:dyDescent="0.25">
      <c r="A42" s="80">
        <v>2026</v>
      </c>
      <c r="B42" s="81" t="s">
        <v>143</v>
      </c>
      <c r="C42" s="81" t="s">
        <v>241</v>
      </c>
      <c r="D42" s="81" t="s">
        <v>120</v>
      </c>
      <c r="E42" s="81" t="str">
        <f>VLOOKUP(D42,'[2]Lista de Produtos CLASSIFICAÇÃO'!$E$103:$F$114,2,FALSE)</f>
        <v>Derivados</v>
      </c>
      <c r="F42" s="81" t="str">
        <f>VLOOKUP(C42,clientes!$C$3:$D$60,2,FALSE)</f>
        <v>ROYAL FIC</v>
      </c>
      <c r="G42" s="82">
        <v>0</v>
      </c>
    </row>
    <row r="43" spans="1:7" x14ac:dyDescent="0.25">
      <c r="A43" s="83">
        <v>2026</v>
      </c>
      <c r="B43" s="84" t="s">
        <v>143</v>
      </c>
      <c r="C43" s="84" t="s">
        <v>161</v>
      </c>
      <c r="D43" s="84" t="s">
        <v>120</v>
      </c>
      <c r="E43" s="81" t="str">
        <f>VLOOKUP(D43,'[2]Lista de Produtos CLASSIFICAÇÃO'!$E$103:$F$114,2,FALSE)</f>
        <v>Derivados</v>
      </c>
      <c r="F43" s="81" t="str">
        <f>VLOOKUP(C43,clientes!$C$3:$D$60,2,FALSE)</f>
        <v>SUL PLATA</v>
      </c>
      <c r="G43" s="85">
        <v>36000</v>
      </c>
    </row>
    <row r="44" spans="1:7" x14ac:dyDescent="0.25">
      <c r="A44" s="80">
        <v>2026</v>
      </c>
      <c r="B44" s="81" t="s">
        <v>143</v>
      </c>
      <c r="C44" s="81" t="s">
        <v>244</v>
      </c>
      <c r="D44" s="81" t="s">
        <v>120</v>
      </c>
      <c r="E44" s="81" t="str">
        <f>VLOOKUP(D44,'[2]Lista de Produtos CLASSIFICAÇÃO'!$E$103:$F$114,2,FALSE)</f>
        <v>Derivados</v>
      </c>
      <c r="F44" s="81" t="str">
        <f>VLOOKUP(C44,clientes!$C$3:$D$60,2,FALSE)</f>
        <v>TAURUS</v>
      </c>
      <c r="G44" s="82">
        <v>0</v>
      </c>
    </row>
    <row r="45" spans="1:7" x14ac:dyDescent="0.25">
      <c r="A45" s="83">
        <v>2026</v>
      </c>
      <c r="B45" s="84" t="s">
        <v>143</v>
      </c>
      <c r="C45" s="84" t="s">
        <v>163</v>
      </c>
      <c r="D45" s="84" t="s">
        <v>115</v>
      </c>
      <c r="E45" s="81" t="str">
        <f>VLOOKUP(D45,'[2]Lista de Produtos CLASSIFICAÇÃO'!$E$103:$F$114,2,FALSE)</f>
        <v>Soda Caustica</v>
      </c>
      <c r="F45" s="81" t="str">
        <f>VLOOKUP(C45,clientes!$C$3:$D$60,2,FALSE)</f>
        <v>TRICON ENERGY</v>
      </c>
      <c r="G45" s="85">
        <v>3866.666666666667</v>
      </c>
    </row>
    <row r="46" spans="1:7" x14ac:dyDescent="0.25">
      <c r="A46" s="80">
        <v>2026</v>
      </c>
      <c r="B46" s="81" t="s">
        <v>143</v>
      </c>
      <c r="C46" s="81" t="s">
        <v>171</v>
      </c>
      <c r="D46" s="81" t="s">
        <v>22</v>
      </c>
      <c r="E46" s="81" t="str">
        <f>VLOOKUP(D46,'[2]Lista de Produtos CLASSIFICAÇÃO'!$E$103:$F$114,2,FALSE)</f>
        <v>Metanol</v>
      </c>
      <c r="F46" s="81" t="str">
        <f>VLOOKUP(C46,clientes!$C$3:$D$60,2,FALSE)</f>
        <v>VALENZ</v>
      </c>
      <c r="G46" s="82">
        <v>35727.848101265823</v>
      </c>
    </row>
    <row r="47" spans="1:7" x14ac:dyDescent="0.25">
      <c r="A47" s="83">
        <v>2026</v>
      </c>
      <c r="B47" s="84" t="s">
        <v>143</v>
      </c>
      <c r="C47" s="84" t="s">
        <v>160</v>
      </c>
      <c r="D47" s="84" t="s">
        <v>120</v>
      </c>
      <c r="E47" s="81" t="str">
        <f>VLOOKUP(D47,'[2]Lista de Produtos CLASSIFICAÇÃO'!$E$103:$F$114,2,FALSE)</f>
        <v>Derivados</v>
      </c>
      <c r="F47" s="81" t="str">
        <f>VLOOKUP(C47,clientes!$C$3:$D$60,2,FALSE)</f>
        <v>VIBRA</v>
      </c>
      <c r="G47" s="85">
        <v>18000</v>
      </c>
    </row>
    <row r="48" spans="1:7" x14ac:dyDescent="0.25">
      <c r="A48" s="80">
        <v>2026</v>
      </c>
      <c r="B48" s="81" t="s">
        <v>143</v>
      </c>
      <c r="C48" s="81" t="s">
        <v>160</v>
      </c>
      <c r="D48" s="81" t="s">
        <v>120</v>
      </c>
      <c r="E48" s="81" t="str">
        <f>VLOOKUP(D48,'[2]Lista de Produtos CLASSIFICAÇÃO'!$E$103:$F$114,2,FALSE)</f>
        <v>Derivados</v>
      </c>
      <c r="F48" s="81" t="str">
        <f>VLOOKUP(C48,clientes!$C$3:$D$60,2,FALSE)</f>
        <v>VIBRA</v>
      </c>
      <c r="G48" s="82">
        <v>0</v>
      </c>
    </row>
    <row r="49" spans="1:7" x14ac:dyDescent="0.25">
      <c r="A49" s="83">
        <v>2026</v>
      </c>
      <c r="B49" s="84" t="s">
        <v>132</v>
      </c>
      <c r="C49" s="84" t="s">
        <v>175</v>
      </c>
      <c r="D49" s="84" t="s">
        <v>123</v>
      </c>
      <c r="E49" s="81" t="str">
        <f>VLOOKUP(D49,'[2]Lista de Produtos CLASSIFICAÇÃO'!$E$103:$F$114,2,FALSE)</f>
        <v>Aquecidos</v>
      </c>
      <c r="F49" s="81" t="str">
        <f>VLOOKUP(C49,clientes!$C$3:$D$60,2,FALSE)</f>
        <v>AAK DO BRASIL</v>
      </c>
      <c r="G49" s="85">
        <v>4372.2222222222217</v>
      </c>
    </row>
    <row r="50" spans="1:7" x14ac:dyDescent="0.25">
      <c r="A50" s="80">
        <v>2026</v>
      </c>
      <c r="B50" s="81" t="s">
        <v>132</v>
      </c>
      <c r="C50" s="81" t="s">
        <v>157</v>
      </c>
      <c r="D50" s="81" t="s">
        <v>122</v>
      </c>
      <c r="E50" s="81" t="str">
        <f>VLOOKUP(D50,'[2]Lista de Produtos CLASSIFICAÇÃO'!$E$103:$F$114,2,FALSE)</f>
        <v>Óleo Vegetal</v>
      </c>
      <c r="F50" s="81" t="str">
        <f>VLOOKUP(C50,clientes!$C$3:$D$60,2,FALSE)</f>
        <v>ADM</v>
      </c>
      <c r="G50" s="82">
        <v>2826.086956521739</v>
      </c>
    </row>
    <row r="51" spans="1:7" x14ac:dyDescent="0.25">
      <c r="A51" s="83">
        <v>2026</v>
      </c>
      <c r="B51" s="84" t="s">
        <v>132</v>
      </c>
      <c r="C51" s="84" t="s">
        <v>18</v>
      </c>
      <c r="D51" s="84" t="s">
        <v>17</v>
      </c>
      <c r="E51" s="81" t="str">
        <f>VLOOKUP(D51,'[2]Lista de Produtos CLASSIFICAÇÃO'!$E$103:$F$114,2,FALSE)</f>
        <v>Acostagem</v>
      </c>
      <c r="F51" s="81" t="str">
        <f>VLOOKUP(C51,clientes!$C$3:$D$60,2,FALSE)</f>
        <v>ACOSTAGEM</v>
      </c>
      <c r="G51" s="85">
        <v>0</v>
      </c>
    </row>
    <row r="52" spans="1:7" x14ac:dyDescent="0.25">
      <c r="A52" s="80">
        <v>2026</v>
      </c>
      <c r="B52" s="81" t="s">
        <v>132</v>
      </c>
      <c r="C52" s="81" t="s">
        <v>155</v>
      </c>
      <c r="D52" s="81" t="s">
        <v>16</v>
      </c>
      <c r="E52" s="81" t="str">
        <f>VLOOKUP(D52,'[2]Lista de Produtos CLASSIFICAÇÃO'!$E$103:$F$114,2,FALSE)</f>
        <v>Outros</v>
      </c>
      <c r="F52" s="81" t="str">
        <f>VLOOKUP(C52,clientes!$C$3:$D$60,2,FALSE)</f>
        <v>ADISSEO</v>
      </c>
      <c r="G52" s="82">
        <v>3461.538461538461</v>
      </c>
    </row>
    <row r="53" spans="1:7" x14ac:dyDescent="0.25">
      <c r="A53" s="83">
        <v>2026</v>
      </c>
      <c r="B53" s="84" t="s">
        <v>132</v>
      </c>
      <c r="C53" s="84" t="s">
        <v>188</v>
      </c>
      <c r="D53" s="84" t="s">
        <v>123</v>
      </c>
      <c r="E53" s="81" t="str">
        <f>VLOOKUP(D53,'[2]Lista de Produtos CLASSIFICAÇÃO'!$E$103:$F$114,2,FALSE)</f>
        <v>Aquecidos</v>
      </c>
      <c r="F53" s="81" t="str">
        <f>VLOOKUP(C53,clientes!$C$3:$D$60,2,FALSE)</f>
        <v>ARES MERCHANTS PTE LIMITE</v>
      </c>
      <c r="G53" s="85">
        <v>3476.666666666667</v>
      </c>
    </row>
    <row r="54" spans="1:7" x14ac:dyDescent="0.25">
      <c r="A54" s="80">
        <v>2026</v>
      </c>
      <c r="B54" s="81" t="s">
        <v>132</v>
      </c>
      <c r="C54" s="81" t="s">
        <v>243</v>
      </c>
      <c r="D54" s="81" t="s">
        <v>120</v>
      </c>
      <c r="E54" s="81" t="str">
        <f>VLOOKUP(D54,'[2]Lista de Produtos CLASSIFICAÇÃO'!$E$103:$F$114,2,FALSE)</f>
        <v>Derivados</v>
      </c>
      <c r="F54" s="81" t="str">
        <f>VLOOKUP(C54,clientes!$C$3:$D$60,2,FALSE)</f>
        <v>ART PETRO</v>
      </c>
      <c r="G54" s="82">
        <v>0</v>
      </c>
    </row>
    <row r="55" spans="1:7" x14ac:dyDescent="0.25">
      <c r="A55" s="83">
        <v>2026</v>
      </c>
      <c r="B55" s="84" t="s">
        <v>132</v>
      </c>
      <c r="C55" s="84" t="s">
        <v>165</v>
      </c>
      <c r="D55" s="84" t="s">
        <v>123</v>
      </c>
      <c r="E55" s="81" t="str">
        <f>VLOOKUP(D55,'[2]Lista de Produtos CLASSIFICAÇÃO'!$E$103:$F$114,2,FALSE)</f>
        <v>Aquecidos</v>
      </c>
      <c r="F55" s="81" t="str">
        <f>VLOOKUP(C55,clientes!$C$3:$D$60,2,FALSE)</f>
        <v>BRF</v>
      </c>
      <c r="G55" s="85">
        <v>3526.666666666667</v>
      </c>
    </row>
    <row r="56" spans="1:7" x14ac:dyDescent="0.25">
      <c r="A56" s="80">
        <v>2026</v>
      </c>
      <c r="B56" s="81" t="s">
        <v>132</v>
      </c>
      <c r="C56" s="81" t="s">
        <v>179</v>
      </c>
      <c r="D56" s="81" t="s">
        <v>26</v>
      </c>
      <c r="E56" s="81" t="str">
        <f>VLOOKUP(D56,'[2]Lista de Produtos CLASSIFICAÇÃO'!$E$103:$F$114,2,FALSE)</f>
        <v>Biocombustíveis</v>
      </c>
      <c r="F56" s="81" t="str">
        <f>VLOOKUP(C56,clientes!$C$3:$D$60,2,FALSE)</f>
        <v>BSBIOS</v>
      </c>
      <c r="G56" s="82">
        <v>6356.9767441860467</v>
      </c>
    </row>
    <row r="57" spans="1:7" x14ac:dyDescent="0.25">
      <c r="A57" s="83">
        <v>2026</v>
      </c>
      <c r="B57" s="84" t="s">
        <v>132</v>
      </c>
      <c r="C57" s="84" t="s">
        <v>239</v>
      </c>
      <c r="D57" s="84" t="s">
        <v>115</v>
      </c>
      <c r="E57" s="81" t="str">
        <f>VLOOKUP(D57,'[2]Lista de Produtos CLASSIFICAÇÃO'!$E$103:$F$114,2,FALSE)</f>
        <v>Soda Caustica</v>
      </c>
      <c r="F57" s="81" t="str">
        <f>VLOOKUP(C57,clientes!$C$3:$D$60,2,FALSE)</f>
        <v>BSC QUIMICA</v>
      </c>
      <c r="G57" s="85">
        <v>1786.666666666667</v>
      </c>
    </row>
    <row r="58" spans="1:7" x14ac:dyDescent="0.25">
      <c r="A58" s="80">
        <v>2026</v>
      </c>
      <c r="B58" s="81" t="s">
        <v>132</v>
      </c>
      <c r="C58" s="81" t="s">
        <v>177</v>
      </c>
      <c r="D58" s="81" t="s">
        <v>115</v>
      </c>
      <c r="E58" s="81" t="str">
        <f>VLOOKUP(D58,'[2]Lista de Produtos CLASSIFICAÇÃO'!$E$103:$F$114,2,FALSE)</f>
        <v>Soda Caustica</v>
      </c>
      <c r="F58" s="81" t="str">
        <f>VLOOKUP(C58,clientes!$C$3:$D$60,2,FALSE)</f>
        <v>BRENNTAG</v>
      </c>
      <c r="G58" s="82">
        <v>1020</v>
      </c>
    </row>
    <row r="59" spans="1:7" x14ac:dyDescent="0.25">
      <c r="A59" s="83">
        <v>2026</v>
      </c>
      <c r="B59" s="84" t="s">
        <v>132</v>
      </c>
      <c r="C59" s="84" t="s">
        <v>156</v>
      </c>
      <c r="D59" s="84" t="s">
        <v>123</v>
      </c>
      <c r="E59" s="81" t="str">
        <f>VLOOKUP(D59,'[2]Lista de Produtos CLASSIFICAÇÃO'!$E$103:$F$114,2,FALSE)</f>
        <v>Aquecidos</v>
      </c>
      <c r="F59" s="81" t="str">
        <f>VLOOKUP(C59,clientes!$C$3:$D$60,2,FALSE)</f>
        <v>BUNGE</v>
      </c>
      <c r="G59" s="85">
        <v>2111.1111111111109</v>
      </c>
    </row>
    <row r="60" spans="1:7" x14ac:dyDescent="0.25">
      <c r="A60" s="80">
        <v>2026</v>
      </c>
      <c r="B60" s="81" t="s">
        <v>132</v>
      </c>
      <c r="C60" s="81" t="s">
        <v>166</v>
      </c>
      <c r="D60" s="81" t="s">
        <v>123</v>
      </c>
      <c r="E60" s="81" t="str">
        <f>VLOOKUP(D60,'[2]Lista de Produtos CLASSIFICAÇÃO'!$E$103:$F$114,2,FALSE)</f>
        <v>Aquecidos</v>
      </c>
      <c r="F60" s="81" t="str">
        <f>VLOOKUP(C60,clientes!$C$3:$D$60,2,FALSE)</f>
        <v>CARGILL</v>
      </c>
      <c r="G60" s="82">
        <v>1035.555555555555</v>
      </c>
    </row>
    <row r="61" spans="1:7" x14ac:dyDescent="0.25">
      <c r="A61" s="83">
        <v>2026</v>
      </c>
      <c r="B61" s="84" t="s">
        <v>132</v>
      </c>
      <c r="C61" s="84" t="s">
        <v>166</v>
      </c>
      <c r="D61" s="84" t="s">
        <v>122</v>
      </c>
      <c r="E61" s="81" t="str">
        <f>VLOOKUP(D61,'[2]Lista de Produtos CLASSIFICAÇÃO'!$E$103:$F$114,2,FALSE)</f>
        <v>Óleo Vegetal</v>
      </c>
      <c r="F61" s="81" t="str">
        <f>VLOOKUP(C61,clientes!$C$3:$D$60,2,FALSE)</f>
        <v>CARGILL</v>
      </c>
      <c r="G61" s="85">
        <v>483.695652173913</v>
      </c>
    </row>
    <row r="62" spans="1:7" x14ac:dyDescent="0.25">
      <c r="A62" s="80">
        <v>2026</v>
      </c>
      <c r="B62" s="81" t="s">
        <v>132</v>
      </c>
      <c r="C62" s="81" t="s">
        <v>174</v>
      </c>
      <c r="D62" s="81" t="s">
        <v>123</v>
      </c>
      <c r="E62" s="81" t="str">
        <f>VLOOKUP(D62,'[2]Lista de Produtos CLASSIFICAÇÃO'!$E$103:$F$114,2,FALSE)</f>
        <v>Aquecidos</v>
      </c>
      <c r="F62" s="81" t="str">
        <f>VLOOKUP(C62,clientes!$C$3:$D$60,2,FALSE)</f>
        <v>CELENA</v>
      </c>
      <c r="G62" s="82">
        <v>13401.111111111109</v>
      </c>
    </row>
    <row r="63" spans="1:7" x14ac:dyDescent="0.25">
      <c r="A63" s="83">
        <v>2026</v>
      </c>
      <c r="B63" s="84" t="s">
        <v>132</v>
      </c>
      <c r="C63" s="84" t="s">
        <v>185</v>
      </c>
      <c r="D63" s="84" t="s">
        <v>120</v>
      </c>
      <c r="E63" s="81" t="str">
        <f>VLOOKUP(D63,'[2]Lista de Produtos CLASSIFICAÇÃO'!$E$103:$F$114,2,FALSE)</f>
        <v>Derivados</v>
      </c>
      <c r="F63" s="81" t="str">
        <f>VLOOKUP(C63,clientes!$C$3:$D$60,2,FALSE)</f>
        <v>CIAPETRO</v>
      </c>
      <c r="G63" s="85">
        <v>13493.975903614461</v>
      </c>
    </row>
    <row r="64" spans="1:7" x14ac:dyDescent="0.25">
      <c r="A64" s="80">
        <v>2026</v>
      </c>
      <c r="B64" s="81" t="s">
        <v>132</v>
      </c>
      <c r="C64" s="81" t="s">
        <v>181</v>
      </c>
      <c r="D64" s="81" t="s">
        <v>123</v>
      </c>
      <c r="E64" s="81" t="str">
        <f>VLOOKUP(D64,'[2]Lista de Produtos CLASSIFICAÇÃO'!$E$103:$F$114,2,FALSE)</f>
        <v>Aquecidos</v>
      </c>
      <c r="F64" s="81" t="str">
        <f>VLOOKUP(C64,clientes!$C$3:$D$60,2,FALSE)</f>
        <v>COAMO</v>
      </c>
      <c r="G64" s="82">
        <v>1786.666666666667</v>
      </c>
    </row>
    <row r="65" spans="1:7" x14ac:dyDescent="0.25">
      <c r="A65" s="83">
        <v>2026</v>
      </c>
      <c r="B65" s="84" t="s">
        <v>132</v>
      </c>
      <c r="C65" s="84" t="s">
        <v>236</v>
      </c>
      <c r="D65" s="84" t="s">
        <v>121</v>
      </c>
      <c r="E65" s="81" t="str">
        <f>VLOOKUP(D65,'[2]Lista de Produtos CLASSIFICAÇÃO'!$E$103:$F$114,2,FALSE)</f>
        <v>Biocombustíveis</v>
      </c>
      <c r="F65" s="81" t="str">
        <f>VLOOKUP(C65,clientes!$C$3:$D$60,2,FALSE)</f>
        <v>ETANOL OUTROS</v>
      </c>
      <c r="G65" s="85">
        <v>0</v>
      </c>
    </row>
    <row r="66" spans="1:7" x14ac:dyDescent="0.25">
      <c r="A66" s="80">
        <v>2026</v>
      </c>
      <c r="B66" s="81" t="s">
        <v>132</v>
      </c>
      <c r="C66" s="81" t="s">
        <v>172</v>
      </c>
      <c r="D66" s="81" t="s">
        <v>124</v>
      </c>
      <c r="E66" s="81" t="str">
        <f>VLOOKUP(D66,'[2]Lista de Produtos CLASSIFICAÇÃO'!$E$103:$F$114,2,FALSE)</f>
        <v>Outros</v>
      </c>
      <c r="F66" s="81" t="str">
        <f>VLOOKUP(C66,clientes!$C$3:$D$60,2,FALSE)</f>
        <v>EVONIK</v>
      </c>
      <c r="G66" s="82">
        <v>1927.8481012658231</v>
      </c>
    </row>
    <row r="67" spans="1:7" x14ac:dyDescent="0.25">
      <c r="A67" s="83">
        <v>2026</v>
      </c>
      <c r="B67" s="84" t="s">
        <v>132</v>
      </c>
      <c r="C67" s="84" t="s">
        <v>240</v>
      </c>
      <c r="D67" s="84" t="s">
        <v>121</v>
      </c>
      <c r="E67" s="81" t="str">
        <f>VLOOKUP(D67,'[2]Lista de Produtos CLASSIFICAÇÃO'!$E$103:$F$114,2,FALSE)</f>
        <v>Biocombustíveis</v>
      </c>
      <c r="F67" s="81" t="str">
        <f>VLOOKUP(C67,clientes!$C$3:$D$60,2,FALSE)</f>
        <v>FS</v>
      </c>
      <c r="G67" s="85">
        <v>9200</v>
      </c>
    </row>
    <row r="68" spans="1:7" x14ac:dyDescent="0.25">
      <c r="A68" s="80">
        <v>2026</v>
      </c>
      <c r="B68" s="81" t="s">
        <v>132</v>
      </c>
      <c r="C68" s="81" t="s">
        <v>240</v>
      </c>
      <c r="D68" s="81" t="s">
        <v>121</v>
      </c>
      <c r="E68" s="81" t="str">
        <f>VLOOKUP(D68,'[2]Lista de Produtos CLASSIFICAÇÃO'!$E$103:$F$114,2,FALSE)</f>
        <v>Biocombustíveis</v>
      </c>
      <c r="F68" s="81" t="str">
        <f>VLOOKUP(C68,clientes!$C$3:$D$60,2,FALSE)</f>
        <v>FS</v>
      </c>
      <c r="G68" s="82">
        <v>0</v>
      </c>
    </row>
    <row r="69" spans="1:7" x14ac:dyDescent="0.25">
      <c r="A69" s="83">
        <v>2026</v>
      </c>
      <c r="B69" s="84" t="s">
        <v>132</v>
      </c>
      <c r="C69" s="84" t="s">
        <v>237</v>
      </c>
      <c r="D69" s="84" t="s">
        <v>120</v>
      </c>
      <c r="E69" s="81" t="str">
        <f>VLOOKUP(D69,'[2]Lista de Produtos CLASSIFICAÇÃO'!$E$103:$F$114,2,FALSE)</f>
        <v>Derivados</v>
      </c>
      <c r="F69" s="81" t="str">
        <f>VLOOKUP(C69,clientes!$C$3:$D$60,2,FALSE)</f>
        <v>FORTEZA TRADING DMCC</v>
      </c>
      <c r="G69" s="85">
        <v>3660.2409638554218</v>
      </c>
    </row>
    <row r="70" spans="1:7" x14ac:dyDescent="0.25">
      <c r="A70" s="80">
        <v>2026</v>
      </c>
      <c r="B70" s="81" t="s">
        <v>132</v>
      </c>
      <c r="C70" s="81" t="s">
        <v>191</v>
      </c>
      <c r="D70" s="81" t="s">
        <v>115</v>
      </c>
      <c r="E70" s="81" t="str">
        <f>VLOOKUP(D70,'[2]Lista de Produtos CLASSIFICAÇÃO'!$E$103:$F$114,2,FALSE)</f>
        <v>Soda Caustica</v>
      </c>
      <c r="F70" s="81" t="str">
        <f>VLOOKUP(C70,clientes!$C$3:$D$60,2,FALSE)</f>
        <v>GPC</v>
      </c>
      <c r="G70" s="82">
        <v>2466.666666666667</v>
      </c>
    </row>
    <row r="71" spans="1:7" x14ac:dyDescent="0.25">
      <c r="A71" s="83">
        <v>2026</v>
      </c>
      <c r="B71" s="84" t="s">
        <v>132</v>
      </c>
      <c r="C71" s="84" t="s">
        <v>189</v>
      </c>
      <c r="D71" s="84" t="s">
        <v>123</v>
      </c>
      <c r="E71" s="81" t="str">
        <f>VLOOKUP(D71,'[2]Lista de Produtos CLASSIFICAÇÃO'!$E$103:$F$114,2,FALSE)</f>
        <v>Aquecidos</v>
      </c>
      <c r="F71" s="81" t="str">
        <f>VLOOKUP(C71,clientes!$C$3:$D$60,2,FALSE)</f>
        <v>ICOF</v>
      </c>
      <c r="G71" s="85">
        <v>4983.333333333333</v>
      </c>
    </row>
    <row r="72" spans="1:7" x14ac:dyDescent="0.25">
      <c r="A72" s="80">
        <v>2026</v>
      </c>
      <c r="B72" s="81" t="s">
        <v>132</v>
      </c>
      <c r="C72" s="81" t="s">
        <v>184</v>
      </c>
      <c r="D72" s="81" t="s">
        <v>122</v>
      </c>
      <c r="E72" s="81" t="str">
        <f>VLOOKUP(D72,'[2]Lista de Produtos CLASSIFICAÇÃO'!$E$103:$F$114,2,FALSE)</f>
        <v>Óleo Vegetal</v>
      </c>
      <c r="F72" s="81" t="str">
        <f>VLOOKUP(C72,clientes!$C$3:$D$60,2,FALSE)</f>
        <v>INGREDION</v>
      </c>
      <c r="G72" s="82">
        <v>295.65217391304338</v>
      </c>
    </row>
    <row r="73" spans="1:7" x14ac:dyDescent="0.25">
      <c r="A73" s="83">
        <v>2026</v>
      </c>
      <c r="B73" s="84" t="s">
        <v>132</v>
      </c>
      <c r="C73" s="84" t="s">
        <v>192</v>
      </c>
      <c r="D73" s="84" t="s">
        <v>121</v>
      </c>
      <c r="E73" s="81" t="str">
        <f>VLOOKUP(D73,'[2]Lista de Produtos CLASSIFICAÇÃO'!$E$103:$F$114,2,FALSE)</f>
        <v>Biocombustíveis</v>
      </c>
      <c r="F73" s="81" t="str">
        <f>VLOOKUP(C73,clientes!$C$3:$D$60,2,FALSE)</f>
        <v>INPASA</v>
      </c>
      <c r="G73" s="85">
        <v>12146.25</v>
      </c>
    </row>
    <row r="74" spans="1:7" x14ac:dyDescent="0.25">
      <c r="A74" s="80">
        <v>2026</v>
      </c>
      <c r="B74" s="81" t="s">
        <v>132</v>
      </c>
      <c r="C74" s="81" t="s">
        <v>192</v>
      </c>
      <c r="D74" s="81" t="s">
        <v>121</v>
      </c>
      <c r="E74" s="81" t="str">
        <f>VLOOKUP(D74,'[2]Lista de Produtos CLASSIFICAÇÃO'!$E$103:$F$114,2,FALSE)</f>
        <v>Biocombustíveis</v>
      </c>
      <c r="F74" s="81" t="str">
        <f>VLOOKUP(C74,clientes!$C$3:$D$60,2,FALSE)</f>
        <v>INPASA</v>
      </c>
      <c r="G74" s="82">
        <v>0</v>
      </c>
    </row>
    <row r="75" spans="1:7" x14ac:dyDescent="0.25">
      <c r="A75" s="83">
        <v>2026</v>
      </c>
      <c r="B75" s="84" t="s">
        <v>132</v>
      </c>
      <c r="C75" s="84" t="s">
        <v>158</v>
      </c>
      <c r="D75" s="84" t="s">
        <v>120</v>
      </c>
      <c r="E75" s="81" t="str">
        <f>VLOOKUP(D75,'[2]Lista de Produtos CLASSIFICAÇÃO'!$E$103:$F$114,2,FALSE)</f>
        <v>Derivados</v>
      </c>
      <c r="F75" s="81" t="str">
        <f>VLOOKUP(C75,clientes!$C$3:$D$60,2,FALSE)</f>
        <v>IPIRANGA</v>
      </c>
      <c r="G75" s="85">
        <v>63000</v>
      </c>
    </row>
    <row r="76" spans="1:7" x14ac:dyDescent="0.25">
      <c r="A76" s="80">
        <v>2026</v>
      </c>
      <c r="B76" s="81" t="s">
        <v>132</v>
      </c>
      <c r="C76" s="81" t="s">
        <v>162</v>
      </c>
      <c r="D76" s="81" t="s">
        <v>123</v>
      </c>
      <c r="E76" s="81" t="str">
        <f>VLOOKUP(D76,'[2]Lista de Produtos CLASSIFICAÇÃO'!$E$103:$F$114,2,FALSE)</f>
        <v>Aquecidos</v>
      </c>
      <c r="F76" s="81" t="str">
        <f>VLOOKUP(C76,clientes!$C$3:$D$60,2,FALSE)</f>
        <v>JBS</v>
      </c>
      <c r="G76" s="82">
        <v>3444.4444444444439</v>
      </c>
    </row>
    <row r="77" spans="1:7" x14ac:dyDescent="0.25">
      <c r="A77" s="83">
        <v>2026</v>
      </c>
      <c r="B77" s="84" t="s">
        <v>132</v>
      </c>
      <c r="C77" s="84" t="s">
        <v>162</v>
      </c>
      <c r="D77" s="84" t="s">
        <v>115</v>
      </c>
      <c r="E77" s="81" t="str">
        <f>VLOOKUP(D77,'[2]Lista de Produtos CLASSIFICAÇÃO'!$E$103:$F$114,2,FALSE)</f>
        <v>Soda Caustica</v>
      </c>
      <c r="F77" s="81" t="str">
        <f>VLOOKUP(C77,clientes!$C$3:$D$60,2,FALSE)</f>
        <v>JBS</v>
      </c>
      <c r="G77" s="85">
        <v>1200</v>
      </c>
    </row>
    <row r="78" spans="1:7" x14ac:dyDescent="0.25">
      <c r="A78" s="80">
        <v>2026</v>
      </c>
      <c r="B78" s="81" t="s">
        <v>132</v>
      </c>
      <c r="C78" s="81" t="s">
        <v>169</v>
      </c>
      <c r="D78" s="81" t="s">
        <v>22</v>
      </c>
      <c r="E78" s="81" t="str">
        <f>VLOOKUP(D78,'[2]Lista de Produtos CLASSIFICAÇÃO'!$E$103:$F$114,2,FALSE)</f>
        <v>Metanol</v>
      </c>
      <c r="F78" s="81" t="str">
        <f>VLOOKUP(C78,clientes!$C$3:$D$60,2,FALSE)</f>
        <v>METHANEX</v>
      </c>
      <c r="G78" s="82">
        <v>83973.417721518985</v>
      </c>
    </row>
    <row r="79" spans="1:7" x14ac:dyDescent="0.25">
      <c r="A79" s="83">
        <v>2026</v>
      </c>
      <c r="B79" s="84" t="s">
        <v>132</v>
      </c>
      <c r="C79" s="84" t="s">
        <v>169</v>
      </c>
      <c r="D79" s="84" t="s">
        <v>22</v>
      </c>
      <c r="E79" s="81" t="str">
        <f>VLOOKUP(D79,'[2]Lista de Produtos CLASSIFICAÇÃO'!$E$103:$F$114,2,FALSE)</f>
        <v>Metanol</v>
      </c>
      <c r="F79" s="81" t="str">
        <f>VLOOKUP(C79,clientes!$C$3:$D$60,2,FALSE)</f>
        <v>METHANEX</v>
      </c>
      <c r="G79" s="85">
        <v>0</v>
      </c>
    </row>
    <row r="80" spans="1:7" x14ac:dyDescent="0.25">
      <c r="A80" s="80">
        <v>2026</v>
      </c>
      <c r="B80" s="81" t="s">
        <v>132</v>
      </c>
      <c r="C80" s="81" t="s">
        <v>170</v>
      </c>
      <c r="D80" s="81" t="s">
        <v>22</v>
      </c>
      <c r="E80" s="81" t="str">
        <f>VLOOKUP(D80,'[2]Lista de Produtos CLASSIFICAÇÃO'!$E$103:$F$114,2,FALSE)</f>
        <v>Metanol</v>
      </c>
      <c r="F80" s="81" t="str">
        <f>VLOOKUP(C80,clientes!$C$3:$D$60,2,FALSE)</f>
        <v>MITSUBISHI</v>
      </c>
      <c r="G80" s="82">
        <v>12239.24050632911</v>
      </c>
    </row>
    <row r="81" spans="1:7" x14ac:dyDescent="0.25">
      <c r="A81" s="83">
        <v>2026</v>
      </c>
      <c r="B81" s="84" t="s">
        <v>132</v>
      </c>
      <c r="C81" s="84" t="s">
        <v>186</v>
      </c>
      <c r="D81" s="84" t="s">
        <v>22</v>
      </c>
      <c r="E81" s="81" t="str">
        <f>VLOOKUP(D81,'[2]Lista de Produtos CLASSIFICAÇÃO'!$E$103:$F$114,2,FALSE)</f>
        <v>Metanol</v>
      </c>
      <c r="F81" s="81" t="str">
        <f>VLOOKUP(C81,clientes!$C$3:$D$60,2,FALSE)</f>
        <v>OQ TRADING</v>
      </c>
      <c r="G81" s="85">
        <v>0</v>
      </c>
    </row>
    <row r="82" spans="1:7" x14ac:dyDescent="0.25">
      <c r="A82" s="80">
        <v>2026</v>
      </c>
      <c r="B82" s="81" t="s">
        <v>132</v>
      </c>
      <c r="C82" s="81" t="s">
        <v>186</v>
      </c>
      <c r="D82" s="81" t="s">
        <v>22</v>
      </c>
      <c r="E82" s="81" t="str">
        <f>VLOOKUP(D82,'[2]Lista de Produtos CLASSIFICAÇÃO'!$E$103:$F$114,2,FALSE)</f>
        <v>Metanol</v>
      </c>
      <c r="F82" s="81" t="str">
        <f>VLOOKUP(C82,clientes!$C$3:$D$60,2,FALSE)</f>
        <v>OQ TRADING</v>
      </c>
      <c r="G82" s="82">
        <v>0</v>
      </c>
    </row>
    <row r="83" spans="1:7" x14ac:dyDescent="0.25">
      <c r="A83" s="83">
        <v>2026</v>
      </c>
      <c r="B83" s="84" t="s">
        <v>132</v>
      </c>
      <c r="C83" s="84" t="s">
        <v>178</v>
      </c>
      <c r="D83" s="84" t="s">
        <v>115</v>
      </c>
      <c r="E83" s="81" t="str">
        <f>VLOOKUP(D83,'[2]Lista de Produtos CLASSIFICAÇÃO'!$E$103:$F$114,2,FALSE)</f>
        <v>Soda Caustica</v>
      </c>
      <c r="F83" s="81" t="str">
        <f>VLOOKUP(C83,clientes!$C$3:$D$60,2,FALSE)</f>
        <v>OLIN BLUE CUBE</v>
      </c>
      <c r="G83" s="85">
        <v>15088.66666666667</v>
      </c>
    </row>
    <row r="84" spans="1:7" x14ac:dyDescent="0.25">
      <c r="A84" s="80">
        <v>2026</v>
      </c>
      <c r="B84" s="81" t="s">
        <v>132</v>
      </c>
      <c r="C84" s="81" t="s">
        <v>167</v>
      </c>
      <c r="D84" s="81" t="s">
        <v>122</v>
      </c>
      <c r="E84" s="81" t="str">
        <f>VLOOKUP(D84,'[2]Lista de Produtos CLASSIFICAÇÃO'!$E$103:$F$114,2,FALSE)</f>
        <v>Óleo Vegetal</v>
      </c>
      <c r="F84" s="81" t="str">
        <f>VLOOKUP(C84,clientes!$C$3:$D$60,2,FALSE)</f>
        <v>POOL</v>
      </c>
      <c r="G84" s="82">
        <v>71864.217391304337</v>
      </c>
    </row>
    <row r="85" spans="1:7" x14ac:dyDescent="0.25">
      <c r="A85" s="83">
        <v>2026</v>
      </c>
      <c r="B85" s="84" t="s">
        <v>132</v>
      </c>
      <c r="C85" s="84" t="s">
        <v>168</v>
      </c>
      <c r="D85" s="84" t="s">
        <v>122</v>
      </c>
      <c r="E85" s="81" t="str">
        <f>VLOOKUP(D85,'[2]Lista de Produtos CLASSIFICAÇÃO'!$E$103:$F$114,2,FALSE)</f>
        <v>Óleo Vegetal</v>
      </c>
      <c r="F85" s="81" t="str">
        <f>VLOOKUP(C85,clientes!$C$3:$D$60,2,FALSE)</f>
        <v>POOL EXCEDENTE</v>
      </c>
      <c r="G85" s="85">
        <v>652.17391304347825</v>
      </c>
    </row>
    <row r="86" spans="1:7" x14ac:dyDescent="0.25">
      <c r="A86" s="80">
        <v>2026</v>
      </c>
      <c r="B86" s="81" t="s">
        <v>132</v>
      </c>
      <c r="C86" s="81" t="s">
        <v>238</v>
      </c>
      <c r="D86" s="81" t="s">
        <v>26</v>
      </c>
      <c r="E86" s="81" t="str">
        <f>VLOOKUP(D86,'[2]Lista de Produtos CLASSIFICAÇÃO'!$E$103:$F$114,2,FALSE)</f>
        <v>Biocombustíveis</v>
      </c>
      <c r="F86" s="81" t="str">
        <f>VLOOKUP(C86,clientes!$C$3:$D$60,2,FALSE)</f>
        <v>PRISMA</v>
      </c>
      <c r="G86" s="82">
        <v>5137.2093023255811</v>
      </c>
    </row>
    <row r="87" spans="1:7" x14ac:dyDescent="0.25">
      <c r="A87" s="83">
        <v>2026</v>
      </c>
      <c r="B87" s="84" t="s">
        <v>132</v>
      </c>
      <c r="C87" s="84" t="s">
        <v>159</v>
      </c>
      <c r="D87" s="84" t="s">
        <v>120</v>
      </c>
      <c r="E87" s="81" t="str">
        <f>VLOOKUP(D87,'[2]Lista de Produtos CLASSIFICAÇÃO'!$E$103:$F$114,2,FALSE)</f>
        <v>Derivados</v>
      </c>
      <c r="F87" s="81" t="str">
        <f>VLOOKUP(C87,clientes!$C$3:$D$60,2,FALSE)</f>
        <v>RAIZEN</v>
      </c>
      <c r="G87" s="85">
        <v>45000</v>
      </c>
    </row>
    <row r="88" spans="1:7" x14ac:dyDescent="0.25">
      <c r="A88" s="80">
        <v>2026</v>
      </c>
      <c r="B88" s="81" t="s">
        <v>132</v>
      </c>
      <c r="C88" s="81" t="s">
        <v>242</v>
      </c>
      <c r="D88" s="81" t="s">
        <v>120</v>
      </c>
      <c r="E88" s="81" t="str">
        <f>VLOOKUP(D88,'[2]Lista de Produtos CLASSIFICAÇÃO'!$E$103:$F$114,2,FALSE)</f>
        <v>Derivados</v>
      </c>
      <c r="F88" s="81" t="str">
        <f>VLOOKUP(C88,clientes!$C$3:$D$60,2,FALSE)</f>
        <v>RODOOIL DISTRIBUIDORA</v>
      </c>
      <c r="G88" s="82">
        <v>0</v>
      </c>
    </row>
    <row r="89" spans="1:7" x14ac:dyDescent="0.25">
      <c r="A89" s="83">
        <v>2026</v>
      </c>
      <c r="B89" s="84" t="s">
        <v>132</v>
      </c>
      <c r="C89" s="84" t="s">
        <v>241</v>
      </c>
      <c r="D89" s="84" t="s">
        <v>120</v>
      </c>
      <c r="E89" s="81" t="str">
        <f>VLOOKUP(D89,'[2]Lista de Produtos CLASSIFICAÇÃO'!$E$103:$F$114,2,FALSE)</f>
        <v>Derivados</v>
      </c>
      <c r="F89" s="81" t="str">
        <f>VLOOKUP(C89,clientes!$C$3:$D$60,2,FALSE)</f>
        <v>ROYAL FIC</v>
      </c>
      <c r="G89" s="85">
        <v>0</v>
      </c>
    </row>
    <row r="90" spans="1:7" x14ac:dyDescent="0.25">
      <c r="A90" s="80">
        <v>2026</v>
      </c>
      <c r="B90" s="81" t="s">
        <v>132</v>
      </c>
      <c r="C90" s="81" t="s">
        <v>161</v>
      </c>
      <c r="D90" s="81" t="s">
        <v>120</v>
      </c>
      <c r="E90" s="81" t="str">
        <f>VLOOKUP(D90,'[2]Lista de Produtos CLASSIFICAÇÃO'!$E$103:$F$114,2,FALSE)</f>
        <v>Derivados</v>
      </c>
      <c r="F90" s="81" t="str">
        <f>VLOOKUP(C90,clientes!$C$3:$D$60,2,FALSE)</f>
        <v>SUL PLATA</v>
      </c>
      <c r="G90" s="82">
        <v>36000</v>
      </c>
    </row>
    <row r="91" spans="1:7" x14ac:dyDescent="0.25">
      <c r="A91" s="83">
        <v>2026</v>
      </c>
      <c r="B91" s="84" t="s">
        <v>132</v>
      </c>
      <c r="C91" s="84" t="s">
        <v>244</v>
      </c>
      <c r="D91" s="84" t="s">
        <v>120</v>
      </c>
      <c r="E91" s="81" t="str">
        <f>VLOOKUP(D91,'[2]Lista de Produtos CLASSIFICAÇÃO'!$E$103:$F$114,2,FALSE)</f>
        <v>Derivados</v>
      </c>
      <c r="F91" s="81" t="str">
        <f>VLOOKUP(C91,clientes!$C$3:$D$60,2,FALSE)</f>
        <v>TAURUS</v>
      </c>
      <c r="G91" s="85">
        <v>0</v>
      </c>
    </row>
    <row r="92" spans="1:7" x14ac:dyDescent="0.25">
      <c r="A92" s="80">
        <v>2026</v>
      </c>
      <c r="B92" s="81" t="s">
        <v>132</v>
      </c>
      <c r="C92" s="81" t="s">
        <v>163</v>
      </c>
      <c r="D92" s="81" t="s">
        <v>115</v>
      </c>
      <c r="E92" s="81" t="str">
        <f>VLOOKUP(D92,'[2]Lista de Produtos CLASSIFICAÇÃO'!$E$103:$F$114,2,FALSE)</f>
        <v>Soda Caustica</v>
      </c>
      <c r="F92" s="81" t="str">
        <f>VLOOKUP(C92,clientes!$C$3:$D$60,2,FALSE)</f>
        <v>TRICON ENERGY</v>
      </c>
      <c r="G92" s="82">
        <v>3866.666666666667</v>
      </c>
    </row>
    <row r="93" spans="1:7" x14ac:dyDescent="0.25">
      <c r="A93" s="83">
        <v>2026</v>
      </c>
      <c r="B93" s="84" t="s">
        <v>132</v>
      </c>
      <c r="C93" s="84" t="s">
        <v>171</v>
      </c>
      <c r="D93" s="84" t="s">
        <v>22</v>
      </c>
      <c r="E93" s="81" t="str">
        <f>VLOOKUP(D93,'[2]Lista de Produtos CLASSIFICAÇÃO'!$E$103:$F$114,2,FALSE)</f>
        <v>Metanol</v>
      </c>
      <c r="F93" s="81" t="str">
        <f>VLOOKUP(C93,clientes!$C$3:$D$60,2,FALSE)</f>
        <v>VALENZ</v>
      </c>
      <c r="G93" s="85">
        <v>35727.848101265823</v>
      </c>
    </row>
    <row r="94" spans="1:7" x14ac:dyDescent="0.25">
      <c r="A94" s="80">
        <v>2026</v>
      </c>
      <c r="B94" s="81" t="s">
        <v>132</v>
      </c>
      <c r="C94" s="81" t="s">
        <v>160</v>
      </c>
      <c r="D94" s="81" t="s">
        <v>120</v>
      </c>
      <c r="E94" s="81" t="str">
        <f>VLOOKUP(D94,'[2]Lista de Produtos CLASSIFICAÇÃO'!$E$103:$F$114,2,FALSE)</f>
        <v>Derivados</v>
      </c>
      <c r="F94" s="81" t="str">
        <f>VLOOKUP(C94,clientes!$C$3:$D$60,2,FALSE)</f>
        <v>VIBRA</v>
      </c>
      <c r="G94" s="82">
        <v>18000</v>
      </c>
    </row>
    <row r="95" spans="1:7" x14ac:dyDescent="0.25">
      <c r="A95" s="83">
        <v>2026</v>
      </c>
      <c r="B95" s="84" t="s">
        <v>132</v>
      </c>
      <c r="C95" s="84" t="s">
        <v>160</v>
      </c>
      <c r="D95" s="84" t="s">
        <v>120</v>
      </c>
      <c r="E95" s="81" t="str">
        <f>VLOOKUP(D95,'[2]Lista de Produtos CLASSIFICAÇÃO'!$E$103:$F$114,2,FALSE)</f>
        <v>Derivados</v>
      </c>
      <c r="F95" s="81" t="str">
        <f>VLOOKUP(C95,clientes!$C$3:$D$60,2,FALSE)</f>
        <v>VIBRA</v>
      </c>
      <c r="G95" s="85">
        <v>0</v>
      </c>
    </row>
    <row r="96" spans="1:7" x14ac:dyDescent="0.25">
      <c r="A96" s="80">
        <v>2026</v>
      </c>
      <c r="B96" s="81" t="s">
        <v>133</v>
      </c>
      <c r="C96" s="81" t="s">
        <v>175</v>
      </c>
      <c r="D96" s="81" t="s">
        <v>123</v>
      </c>
      <c r="E96" s="81" t="str">
        <f>VLOOKUP(D96,'[2]Lista de Produtos CLASSIFICAÇÃO'!$E$103:$F$114,2,FALSE)</f>
        <v>Aquecidos</v>
      </c>
      <c r="F96" s="81" t="str">
        <f>VLOOKUP(C96,clientes!$C$3:$D$60,2,FALSE)</f>
        <v>AAK DO BRASIL</v>
      </c>
      <c r="G96" s="82">
        <v>4372.2222222222217</v>
      </c>
    </row>
    <row r="97" spans="1:7" x14ac:dyDescent="0.25">
      <c r="A97" s="83">
        <v>2026</v>
      </c>
      <c r="B97" s="84" t="s">
        <v>133</v>
      </c>
      <c r="C97" s="84" t="s">
        <v>157</v>
      </c>
      <c r="D97" s="84" t="s">
        <v>122</v>
      </c>
      <c r="E97" s="81" t="str">
        <f>VLOOKUP(D97,'[2]Lista de Produtos CLASSIFICAÇÃO'!$E$103:$F$114,2,FALSE)</f>
        <v>Óleo Vegetal</v>
      </c>
      <c r="F97" s="81" t="str">
        <f>VLOOKUP(C97,clientes!$C$3:$D$60,2,FALSE)</f>
        <v>ADM</v>
      </c>
      <c r="G97" s="85">
        <v>2826.086956521739</v>
      </c>
    </row>
    <row r="98" spans="1:7" x14ac:dyDescent="0.25">
      <c r="A98" s="80">
        <v>2026</v>
      </c>
      <c r="B98" s="81" t="s">
        <v>133</v>
      </c>
      <c r="C98" s="81" t="s">
        <v>18</v>
      </c>
      <c r="D98" s="81" t="s">
        <v>17</v>
      </c>
      <c r="E98" s="81" t="str">
        <f>VLOOKUP(D98,'[2]Lista de Produtos CLASSIFICAÇÃO'!$E$103:$F$114,2,FALSE)</f>
        <v>Acostagem</v>
      </c>
      <c r="F98" s="81" t="str">
        <f>VLOOKUP(C98,clientes!$C$3:$D$60,2,FALSE)</f>
        <v>ACOSTAGEM</v>
      </c>
      <c r="G98" s="82">
        <v>0</v>
      </c>
    </row>
    <row r="99" spans="1:7" x14ac:dyDescent="0.25">
      <c r="A99" s="83">
        <v>2026</v>
      </c>
      <c r="B99" s="84" t="s">
        <v>133</v>
      </c>
      <c r="C99" s="84" t="s">
        <v>155</v>
      </c>
      <c r="D99" s="84" t="s">
        <v>16</v>
      </c>
      <c r="E99" s="81" t="str">
        <f>VLOOKUP(D99,'[2]Lista de Produtos CLASSIFICAÇÃO'!$E$103:$F$114,2,FALSE)</f>
        <v>Outros</v>
      </c>
      <c r="F99" s="81" t="str">
        <f>VLOOKUP(C99,clientes!$C$3:$D$60,2,FALSE)</f>
        <v>ADISSEO</v>
      </c>
      <c r="G99" s="85">
        <v>3461.538461538461</v>
      </c>
    </row>
    <row r="100" spans="1:7" x14ac:dyDescent="0.25">
      <c r="A100" s="80">
        <v>2026</v>
      </c>
      <c r="B100" s="81" t="s">
        <v>133</v>
      </c>
      <c r="C100" s="81" t="s">
        <v>188</v>
      </c>
      <c r="D100" s="81" t="s">
        <v>123</v>
      </c>
      <c r="E100" s="81" t="str">
        <f>VLOOKUP(D100,'[2]Lista de Produtos CLASSIFICAÇÃO'!$E$103:$F$114,2,FALSE)</f>
        <v>Aquecidos</v>
      </c>
      <c r="F100" s="81" t="str">
        <f>VLOOKUP(C100,clientes!$C$3:$D$60,2,FALSE)</f>
        <v>ARES MERCHANTS PTE LIMITE</v>
      </c>
      <c r="G100" s="82">
        <v>3476.666666666667</v>
      </c>
    </row>
    <row r="101" spans="1:7" x14ac:dyDescent="0.25">
      <c r="A101" s="83">
        <v>2026</v>
      </c>
      <c r="B101" s="84" t="s">
        <v>133</v>
      </c>
      <c r="C101" s="84" t="s">
        <v>243</v>
      </c>
      <c r="D101" s="84" t="s">
        <v>120</v>
      </c>
      <c r="E101" s="81" t="str">
        <f>VLOOKUP(D101,'[2]Lista de Produtos CLASSIFICAÇÃO'!$E$103:$F$114,2,FALSE)</f>
        <v>Derivados</v>
      </c>
      <c r="F101" s="81" t="str">
        <f>VLOOKUP(C101,clientes!$C$3:$D$60,2,FALSE)</f>
        <v>ART PETRO</v>
      </c>
      <c r="G101" s="85">
        <v>0</v>
      </c>
    </row>
    <row r="102" spans="1:7" x14ac:dyDescent="0.25">
      <c r="A102" s="80">
        <v>2026</v>
      </c>
      <c r="B102" s="81" t="s">
        <v>133</v>
      </c>
      <c r="C102" s="81" t="s">
        <v>165</v>
      </c>
      <c r="D102" s="81" t="s">
        <v>123</v>
      </c>
      <c r="E102" s="81" t="str">
        <f>VLOOKUP(D102,'[2]Lista de Produtos CLASSIFICAÇÃO'!$E$103:$F$114,2,FALSE)</f>
        <v>Aquecidos</v>
      </c>
      <c r="F102" s="81" t="str">
        <f>VLOOKUP(C102,clientes!$C$3:$D$60,2,FALSE)</f>
        <v>BRF</v>
      </c>
      <c r="G102" s="82">
        <v>3526.666666666667</v>
      </c>
    </row>
    <row r="103" spans="1:7" x14ac:dyDescent="0.25">
      <c r="A103" s="83">
        <v>2026</v>
      </c>
      <c r="B103" s="84" t="s">
        <v>133</v>
      </c>
      <c r="C103" s="84" t="s">
        <v>179</v>
      </c>
      <c r="D103" s="84" t="s">
        <v>26</v>
      </c>
      <c r="E103" s="81" t="str">
        <f>VLOOKUP(D103,'[2]Lista de Produtos CLASSIFICAÇÃO'!$E$103:$F$114,2,FALSE)</f>
        <v>Biocombustíveis</v>
      </c>
      <c r="F103" s="81" t="str">
        <f>VLOOKUP(C103,clientes!$C$3:$D$60,2,FALSE)</f>
        <v>BSBIOS</v>
      </c>
      <c r="G103" s="85">
        <v>6356.9767441860467</v>
      </c>
    </row>
    <row r="104" spans="1:7" x14ac:dyDescent="0.25">
      <c r="A104" s="80">
        <v>2026</v>
      </c>
      <c r="B104" s="81" t="s">
        <v>133</v>
      </c>
      <c r="C104" s="81" t="s">
        <v>239</v>
      </c>
      <c r="D104" s="81" t="s">
        <v>115</v>
      </c>
      <c r="E104" s="81" t="str">
        <f>VLOOKUP(D104,'[2]Lista de Produtos CLASSIFICAÇÃO'!$E$103:$F$114,2,FALSE)</f>
        <v>Soda Caustica</v>
      </c>
      <c r="F104" s="81" t="str">
        <f>VLOOKUP(C104,clientes!$C$3:$D$60,2,FALSE)</f>
        <v>BSC QUIMICA</v>
      </c>
      <c r="G104" s="82">
        <v>1786.666666666667</v>
      </c>
    </row>
    <row r="105" spans="1:7" x14ac:dyDescent="0.25">
      <c r="A105" s="83">
        <v>2026</v>
      </c>
      <c r="B105" s="84" t="s">
        <v>133</v>
      </c>
      <c r="C105" s="84" t="s">
        <v>177</v>
      </c>
      <c r="D105" s="84" t="s">
        <v>115</v>
      </c>
      <c r="E105" s="81" t="str">
        <f>VLOOKUP(D105,'[2]Lista de Produtos CLASSIFICAÇÃO'!$E$103:$F$114,2,FALSE)</f>
        <v>Soda Caustica</v>
      </c>
      <c r="F105" s="81" t="str">
        <f>VLOOKUP(C105,clientes!$C$3:$D$60,2,FALSE)</f>
        <v>BRENNTAG</v>
      </c>
      <c r="G105" s="85">
        <v>1020</v>
      </c>
    </row>
    <row r="106" spans="1:7" x14ac:dyDescent="0.25">
      <c r="A106" s="80">
        <v>2026</v>
      </c>
      <c r="B106" s="81" t="s">
        <v>133</v>
      </c>
      <c r="C106" s="81" t="s">
        <v>156</v>
      </c>
      <c r="D106" s="81" t="s">
        <v>123</v>
      </c>
      <c r="E106" s="81" t="str">
        <f>VLOOKUP(D106,'[2]Lista de Produtos CLASSIFICAÇÃO'!$E$103:$F$114,2,FALSE)</f>
        <v>Aquecidos</v>
      </c>
      <c r="F106" s="81" t="str">
        <f>VLOOKUP(C106,clientes!$C$3:$D$60,2,FALSE)</f>
        <v>BUNGE</v>
      </c>
      <c r="G106" s="82">
        <v>2111.1111111111109</v>
      </c>
    </row>
    <row r="107" spans="1:7" x14ac:dyDescent="0.25">
      <c r="A107" s="83">
        <v>2026</v>
      </c>
      <c r="B107" s="84" t="s">
        <v>133</v>
      </c>
      <c r="C107" s="84" t="s">
        <v>166</v>
      </c>
      <c r="D107" s="84" t="s">
        <v>123</v>
      </c>
      <c r="E107" s="81" t="str">
        <f>VLOOKUP(D107,'[2]Lista de Produtos CLASSIFICAÇÃO'!$E$103:$F$114,2,FALSE)</f>
        <v>Aquecidos</v>
      </c>
      <c r="F107" s="81" t="str">
        <f>VLOOKUP(C107,clientes!$C$3:$D$60,2,FALSE)</f>
        <v>CARGILL</v>
      </c>
      <c r="G107" s="85">
        <v>1035.555555555555</v>
      </c>
    </row>
    <row r="108" spans="1:7" x14ac:dyDescent="0.25">
      <c r="A108" s="80">
        <v>2026</v>
      </c>
      <c r="B108" s="81" t="s">
        <v>133</v>
      </c>
      <c r="C108" s="81" t="s">
        <v>166</v>
      </c>
      <c r="D108" s="81" t="s">
        <v>122</v>
      </c>
      <c r="E108" s="81" t="str">
        <f>VLOOKUP(D108,'[2]Lista de Produtos CLASSIFICAÇÃO'!$E$103:$F$114,2,FALSE)</f>
        <v>Óleo Vegetal</v>
      </c>
      <c r="F108" s="81" t="str">
        <f>VLOOKUP(C108,clientes!$C$3:$D$60,2,FALSE)</f>
        <v>CARGILL</v>
      </c>
      <c r="G108" s="82">
        <v>483.695652173913</v>
      </c>
    </row>
    <row r="109" spans="1:7" x14ac:dyDescent="0.25">
      <c r="A109" s="83">
        <v>2026</v>
      </c>
      <c r="B109" s="84" t="s">
        <v>133</v>
      </c>
      <c r="C109" s="84" t="s">
        <v>174</v>
      </c>
      <c r="D109" s="84" t="s">
        <v>123</v>
      </c>
      <c r="E109" s="81" t="str">
        <f>VLOOKUP(D109,'[2]Lista de Produtos CLASSIFICAÇÃO'!$E$103:$F$114,2,FALSE)</f>
        <v>Aquecidos</v>
      </c>
      <c r="F109" s="81" t="str">
        <f>VLOOKUP(C109,clientes!$C$3:$D$60,2,FALSE)</f>
        <v>CELENA</v>
      </c>
      <c r="G109" s="85">
        <v>13401.111111111109</v>
      </c>
    </row>
    <row r="110" spans="1:7" x14ac:dyDescent="0.25">
      <c r="A110" s="80">
        <v>2026</v>
      </c>
      <c r="B110" s="81" t="s">
        <v>133</v>
      </c>
      <c r="C110" s="81" t="s">
        <v>185</v>
      </c>
      <c r="D110" s="81" t="s">
        <v>120</v>
      </c>
      <c r="E110" s="81" t="str">
        <f>VLOOKUP(D110,'[2]Lista de Produtos CLASSIFICAÇÃO'!$E$103:$F$114,2,FALSE)</f>
        <v>Derivados</v>
      </c>
      <c r="F110" s="81" t="str">
        <f>VLOOKUP(C110,clientes!$C$3:$D$60,2,FALSE)</f>
        <v>CIAPETRO</v>
      </c>
      <c r="G110" s="82">
        <v>13493.975903614461</v>
      </c>
    </row>
    <row r="111" spans="1:7" x14ac:dyDescent="0.25">
      <c r="A111" s="83">
        <v>2026</v>
      </c>
      <c r="B111" s="84" t="s">
        <v>133</v>
      </c>
      <c r="C111" s="84" t="s">
        <v>181</v>
      </c>
      <c r="D111" s="84" t="s">
        <v>123</v>
      </c>
      <c r="E111" s="81" t="str">
        <f>VLOOKUP(D111,'[2]Lista de Produtos CLASSIFICAÇÃO'!$E$103:$F$114,2,FALSE)</f>
        <v>Aquecidos</v>
      </c>
      <c r="F111" s="81" t="str">
        <f>VLOOKUP(C111,clientes!$C$3:$D$60,2,FALSE)</f>
        <v>COAMO</v>
      </c>
      <c r="G111" s="85">
        <v>1786.666666666667</v>
      </c>
    </row>
    <row r="112" spans="1:7" x14ac:dyDescent="0.25">
      <c r="A112" s="80">
        <v>2026</v>
      </c>
      <c r="B112" s="81" t="s">
        <v>133</v>
      </c>
      <c r="C112" s="81" t="s">
        <v>236</v>
      </c>
      <c r="D112" s="81" t="s">
        <v>121</v>
      </c>
      <c r="E112" s="81" t="str">
        <f>VLOOKUP(D112,'[2]Lista de Produtos CLASSIFICAÇÃO'!$E$103:$F$114,2,FALSE)</f>
        <v>Biocombustíveis</v>
      </c>
      <c r="F112" s="81" t="str">
        <f>VLOOKUP(C112,clientes!$C$3:$D$60,2,FALSE)</f>
        <v>ETANOL OUTROS</v>
      </c>
      <c r="G112" s="82">
        <v>0</v>
      </c>
    </row>
    <row r="113" spans="1:12" x14ac:dyDescent="0.25">
      <c r="A113" s="83">
        <v>2026</v>
      </c>
      <c r="B113" s="84" t="s">
        <v>133</v>
      </c>
      <c r="C113" s="84" t="s">
        <v>172</v>
      </c>
      <c r="D113" s="84" t="s">
        <v>124</v>
      </c>
      <c r="E113" s="81" t="str">
        <f>VLOOKUP(D113,'[2]Lista de Produtos CLASSIFICAÇÃO'!$E$103:$F$114,2,FALSE)</f>
        <v>Outros</v>
      </c>
      <c r="F113" s="81" t="str">
        <f>VLOOKUP(C113,clientes!$C$3:$D$60,2,FALSE)</f>
        <v>EVONIK</v>
      </c>
      <c r="G113" s="85">
        <v>1927.8481012658231</v>
      </c>
    </row>
    <row r="114" spans="1:12" x14ac:dyDescent="0.25">
      <c r="A114" s="80">
        <v>2026</v>
      </c>
      <c r="B114" s="81" t="s">
        <v>133</v>
      </c>
      <c r="C114" s="81" t="s">
        <v>240</v>
      </c>
      <c r="D114" s="81" t="s">
        <v>121</v>
      </c>
      <c r="E114" s="81" t="str">
        <f>VLOOKUP(D114,'[2]Lista de Produtos CLASSIFICAÇÃO'!$E$103:$F$114,2,FALSE)</f>
        <v>Biocombustíveis</v>
      </c>
      <c r="F114" s="81" t="str">
        <f>VLOOKUP(C114,clientes!$C$3:$D$60,2,FALSE)</f>
        <v>FS</v>
      </c>
      <c r="G114" s="82">
        <v>9200</v>
      </c>
    </row>
    <row r="115" spans="1:12" x14ac:dyDescent="0.25">
      <c r="A115" s="83">
        <v>2026</v>
      </c>
      <c r="B115" s="84" t="s">
        <v>133</v>
      </c>
      <c r="C115" s="84" t="s">
        <v>240</v>
      </c>
      <c r="D115" s="84" t="s">
        <v>121</v>
      </c>
      <c r="E115" s="81" t="str">
        <f>VLOOKUP(D115,'[2]Lista de Produtos CLASSIFICAÇÃO'!$E$103:$F$114,2,FALSE)</f>
        <v>Biocombustíveis</v>
      </c>
      <c r="F115" s="81" t="str">
        <f>VLOOKUP(C115,clientes!$C$3:$D$60,2,FALSE)</f>
        <v>FS</v>
      </c>
      <c r="G115" s="85">
        <v>0</v>
      </c>
    </row>
    <row r="116" spans="1:12" x14ac:dyDescent="0.25">
      <c r="A116" s="80">
        <v>2026</v>
      </c>
      <c r="B116" s="81" t="s">
        <v>133</v>
      </c>
      <c r="C116" s="81" t="s">
        <v>237</v>
      </c>
      <c r="D116" s="81" t="s">
        <v>120</v>
      </c>
      <c r="E116" s="81" t="str">
        <f>VLOOKUP(D116,'[2]Lista de Produtos CLASSIFICAÇÃO'!$E$103:$F$114,2,FALSE)</f>
        <v>Derivados</v>
      </c>
      <c r="F116" s="81" t="str">
        <f>VLOOKUP(C116,clientes!$C$3:$D$60,2,FALSE)</f>
        <v>FORTEZA TRADING DMCC</v>
      </c>
      <c r="G116" s="82">
        <v>3660.2409638554218</v>
      </c>
    </row>
    <row r="117" spans="1:12" x14ac:dyDescent="0.25">
      <c r="A117" s="83">
        <v>2026</v>
      </c>
      <c r="B117" s="84" t="s">
        <v>133</v>
      </c>
      <c r="C117" s="84" t="s">
        <v>191</v>
      </c>
      <c r="D117" s="84" t="s">
        <v>115</v>
      </c>
      <c r="E117" s="81" t="str">
        <f>VLOOKUP(D117,'[2]Lista de Produtos CLASSIFICAÇÃO'!$E$103:$F$114,2,FALSE)</f>
        <v>Soda Caustica</v>
      </c>
      <c r="F117" s="81" t="str">
        <f>VLOOKUP(C117,clientes!$C$3:$D$60,2,FALSE)</f>
        <v>GPC</v>
      </c>
      <c r="G117" s="85">
        <v>873.33333333333337</v>
      </c>
    </row>
    <row r="118" spans="1:12" x14ac:dyDescent="0.25">
      <c r="A118" s="80">
        <v>2026</v>
      </c>
      <c r="B118" s="81" t="s">
        <v>133</v>
      </c>
      <c r="C118" s="81" t="s">
        <v>189</v>
      </c>
      <c r="D118" s="81" t="s">
        <v>123</v>
      </c>
      <c r="E118" s="81" t="str">
        <f>VLOOKUP(D118,'[2]Lista de Produtos CLASSIFICAÇÃO'!$E$103:$F$114,2,FALSE)</f>
        <v>Aquecidos</v>
      </c>
      <c r="F118" s="81" t="str">
        <f>VLOOKUP(C118,clientes!$C$3:$D$60,2,FALSE)</f>
        <v>ICOF</v>
      </c>
      <c r="G118" s="82">
        <v>4983.333333333333</v>
      </c>
    </row>
    <row r="119" spans="1:12" x14ac:dyDescent="0.25">
      <c r="A119" s="83">
        <v>2026</v>
      </c>
      <c r="B119" s="84" t="s">
        <v>133</v>
      </c>
      <c r="C119" s="84" t="s">
        <v>184</v>
      </c>
      <c r="D119" s="84" t="s">
        <v>122</v>
      </c>
      <c r="E119" s="81" t="str">
        <f>VLOOKUP(D119,'[2]Lista de Produtos CLASSIFICAÇÃO'!$E$103:$F$114,2,FALSE)</f>
        <v>Óleo Vegetal</v>
      </c>
      <c r="F119" s="81" t="str">
        <f>VLOOKUP(C119,clientes!$C$3:$D$60,2,FALSE)</f>
        <v>INGREDION</v>
      </c>
      <c r="G119" s="85">
        <v>295.65217391304338</v>
      </c>
    </row>
    <row r="120" spans="1:12" x14ac:dyDescent="0.25">
      <c r="A120" s="80">
        <v>2026</v>
      </c>
      <c r="B120" s="81" t="s">
        <v>133</v>
      </c>
      <c r="C120" s="81" t="s">
        <v>192</v>
      </c>
      <c r="D120" s="81" t="s">
        <v>121</v>
      </c>
      <c r="E120" s="81" t="str">
        <f>VLOOKUP(D120,'[2]Lista de Produtos CLASSIFICAÇÃO'!$E$103:$F$114,2,FALSE)</f>
        <v>Biocombustíveis</v>
      </c>
      <c r="F120" s="81" t="str">
        <f>VLOOKUP(C120,clientes!$C$3:$D$60,2,FALSE)</f>
        <v>INPASA</v>
      </c>
      <c r="G120" s="82">
        <v>12146.25</v>
      </c>
    </row>
    <row r="121" spans="1:12" x14ac:dyDescent="0.25">
      <c r="A121" s="83">
        <v>2026</v>
      </c>
      <c r="B121" s="84" t="s">
        <v>133</v>
      </c>
      <c r="C121" s="84" t="s">
        <v>192</v>
      </c>
      <c r="D121" s="84" t="s">
        <v>121</v>
      </c>
      <c r="E121" s="81" t="str">
        <f>VLOOKUP(D121,'[2]Lista de Produtos CLASSIFICAÇÃO'!$E$103:$F$114,2,FALSE)</f>
        <v>Biocombustíveis</v>
      </c>
      <c r="F121" s="81" t="str">
        <f>VLOOKUP(C121,clientes!$C$3:$D$60,2,FALSE)</f>
        <v>INPASA</v>
      </c>
      <c r="G121" s="85">
        <v>0</v>
      </c>
    </row>
    <row r="122" spans="1:12" x14ac:dyDescent="0.25">
      <c r="A122" s="80">
        <v>2026</v>
      </c>
      <c r="B122" s="81" t="s">
        <v>133</v>
      </c>
      <c r="C122" s="81" t="s">
        <v>158</v>
      </c>
      <c r="D122" s="81" t="s">
        <v>120</v>
      </c>
      <c r="E122" s="81" t="str">
        <f>VLOOKUP(D122,'[2]Lista de Produtos CLASSIFICAÇÃO'!$E$103:$F$114,2,FALSE)</f>
        <v>Derivados</v>
      </c>
      <c r="F122" s="81" t="str">
        <f>VLOOKUP(C122,clientes!$C$3:$D$60,2,FALSE)</f>
        <v>IPIRANGA</v>
      </c>
      <c r="G122" s="82">
        <v>63000</v>
      </c>
    </row>
    <row r="123" spans="1:12" x14ac:dyDescent="0.25">
      <c r="A123" s="83">
        <v>2026</v>
      </c>
      <c r="B123" s="84" t="s">
        <v>133</v>
      </c>
      <c r="C123" s="84" t="s">
        <v>162</v>
      </c>
      <c r="D123" s="84" t="s">
        <v>123</v>
      </c>
      <c r="E123" s="81" t="str">
        <f>VLOOKUP(D123,'[2]Lista de Produtos CLASSIFICAÇÃO'!$E$103:$F$114,2,FALSE)</f>
        <v>Aquecidos</v>
      </c>
      <c r="F123" s="81" t="str">
        <f>VLOOKUP(C123,clientes!$C$3:$D$60,2,FALSE)</f>
        <v>JBS</v>
      </c>
      <c r="G123" s="85">
        <v>3444.4444444444439</v>
      </c>
    </row>
    <row r="124" spans="1:12" x14ac:dyDescent="0.25">
      <c r="A124" s="80">
        <v>2026</v>
      </c>
      <c r="B124" s="81" t="s">
        <v>133</v>
      </c>
      <c r="C124" s="81" t="s">
        <v>162</v>
      </c>
      <c r="D124" s="81" t="s">
        <v>115</v>
      </c>
      <c r="E124" s="81" t="str">
        <f>VLOOKUP(D124,'[2]Lista de Produtos CLASSIFICAÇÃO'!$E$103:$F$114,2,FALSE)</f>
        <v>Soda Caustica</v>
      </c>
      <c r="F124" s="81" t="str">
        <f>VLOOKUP(C124,clientes!$C$3:$D$60,2,FALSE)</f>
        <v>JBS</v>
      </c>
      <c r="G124" s="82">
        <v>1200</v>
      </c>
    </row>
    <row r="125" spans="1:12" x14ac:dyDescent="0.25">
      <c r="A125" s="83">
        <v>2026</v>
      </c>
      <c r="B125" s="84" t="s">
        <v>133</v>
      </c>
      <c r="C125" s="84" t="s">
        <v>169</v>
      </c>
      <c r="D125" s="84" t="s">
        <v>22</v>
      </c>
      <c r="E125" s="81" t="str">
        <f>VLOOKUP(D125,'[2]Lista de Produtos CLASSIFICAÇÃO'!$E$103:$F$114,2,FALSE)</f>
        <v>Metanol</v>
      </c>
      <c r="F125" s="81" t="str">
        <f>VLOOKUP(C125,clientes!$C$3:$D$60,2,FALSE)</f>
        <v>METHANEX</v>
      </c>
      <c r="G125" s="85">
        <v>83973.417721518985</v>
      </c>
    </row>
    <row r="126" spans="1:12" x14ac:dyDescent="0.25">
      <c r="A126" s="80">
        <v>2026</v>
      </c>
      <c r="B126" s="81" t="s">
        <v>133</v>
      </c>
      <c r="C126" s="81" t="s">
        <v>169</v>
      </c>
      <c r="D126" s="81" t="s">
        <v>22</v>
      </c>
      <c r="E126" s="81" t="str">
        <f>VLOOKUP(D126,'[2]Lista de Produtos CLASSIFICAÇÃO'!$E$103:$F$114,2,FALSE)</f>
        <v>Metanol</v>
      </c>
      <c r="F126" s="81" t="str">
        <f>VLOOKUP(C126,clientes!$C$3:$D$60,2,FALSE)</f>
        <v>METHANEX</v>
      </c>
      <c r="G126" s="82">
        <v>0</v>
      </c>
      <c r="L126" s="86">
        <v>1139383.54</v>
      </c>
    </row>
    <row r="127" spans="1:12" x14ac:dyDescent="0.25">
      <c r="A127" s="83">
        <v>2026</v>
      </c>
      <c r="B127" s="84" t="s">
        <v>133</v>
      </c>
      <c r="C127" s="84" t="s">
        <v>170</v>
      </c>
      <c r="D127" s="84" t="s">
        <v>22</v>
      </c>
      <c r="E127" s="81" t="str">
        <f>VLOOKUP(D127,'[2]Lista de Produtos CLASSIFICAÇÃO'!$E$103:$F$114,2,FALSE)</f>
        <v>Metanol</v>
      </c>
      <c r="F127" s="81" t="str">
        <f>VLOOKUP(C127,clientes!$C$3:$D$60,2,FALSE)</f>
        <v>MITSUBISHI</v>
      </c>
      <c r="G127" s="85">
        <v>12239.24050632911</v>
      </c>
    </row>
    <row r="128" spans="1:12" x14ac:dyDescent="0.25">
      <c r="A128" s="80">
        <v>2026</v>
      </c>
      <c r="B128" s="81" t="s">
        <v>133</v>
      </c>
      <c r="C128" s="81" t="s">
        <v>186</v>
      </c>
      <c r="D128" s="81" t="s">
        <v>22</v>
      </c>
      <c r="E128" s="81" t="str">
        <f>VLOOKUP(D128,'[2]Lista de Produtos CLASSIFICAÇÃO'!$E$103:$F$114,2,FALSE)</f>
        <v>Metanol</v>
      </c>
      <c r="F128" s="81" t="str">
        <f>VLOOKUP(C128,clientes!$C$3:$D$60,2,FALSE)</f>
        <v>OQ TRADING</v>
      </c>
      <c r="G128" s="82">
        <v>21518.98734177215</v>
      </c>
    </row>
    <row r="129" spans="1:7" x14ac:dyDescent="0.25">
      <c r="A129" s="83">
        <v>2026</v>
      </c>
      <c r="B129" s="84" t="s">
        <v>133</v>
      </c>
      <c r="C129" s="84" t="s">
        <v>186</v>
      </c>
      <c r="D129" s="84" t="s">
        <v>22</v>
      </c>
      <c r="E129" s="81" t="str">
        <f>VLOOKUP(D129,'[2]Lista de Produtos CLASSIFICAÇÃO'!$E$103:$F$114,2,FALSE)</f>
        <v>Metanol</v>
      </c>
      <c r="F129" s="81" t="str">
        <f>VLOOKUP(C129,clientes!$C$3:$D$60,2,FALSE)</f>
        <v>OQ TRADING</v>
      </c>
      <c r="G129" s="85">
        <v>0</v>
      </c>
    </row>
    <row r="130" spans="1:7" x14ac:dyDescent="0.25">
      <c r="A130" s="80">
        <v>2026</v>
      </c>
      <c r="B130" s="81" t="s">
        <v>133</v>
      </c>
      <c r="C130" s="81" t="s">
        <v>178</v>
      </c>
      <c r="D130" s="81" t="s">
        <v>115</v>
      </c>
      <c r="E130" s="81" t="str">
        <f>VLOOKUP(D130,'[2]Lista de Produtos CLASSIFICAÇÃO'!$E$103:$F$114,2,FALSE)</f>
        <v>Soda Caustica</v>
      </c>
      <c r="F130" s="81" t="str">
        <f>VLOOKUP(C130,clientes!$C$3:$D$60,2,FALSE)</f>
        <v>OLIN BLUE CUBE</v>
      </c>
      <c r="G130" s="82">
        <v>15088.66666666667</v>
      </c>
    </row>
    <row r="131" spans="1:7" x14ac:dyDescent="0.25">
      <c r="A131" s="83">
        <v>2026</v>
      </c>
      <c r="B131" s="84" t="s">
        <v>133</v>
      </c>
      <c r="C131" s="84" t="s">
        <v>167</v>
      </c>
      <c r="D131" s="84" t="s">
        <v>122</v>
      </c>
      <c r="E131" s="81" t="str">
        <f>VLOOKUP(D131,'[2]Lista de Produtos CLASSIFICAÇÃO'!$E$103:$F$114,2,FALSE)</f>
        <v>Óleo Vegetal</v>
      </c>
      <c r="F131" s="81" t="str">
        <f>VLOOKUP(C131,clientes!$C$3:$D$60,2,FALSE)</f>
        <v>POOL</v>
      </c>
      <c r="G131" s="85">
        <v>126305.0217391304</v>
      </c>
    </row>
    <row r="132" spans="1:7" x14ac:dyDescent="0.25">
      <c r="A132" s="80">
        <v>2026</v>
      </c>
      <c r="B132" s="81" t="s">
        <v>133</v>
      </c>
      <c r="C132" s="81" t="s">
        <v>168</v>
      </c>
      <c r="D132" s="81" t="s">
        <v>122</v>
      </c>
      <c r="E132" s="81" t="str">
        <f>VLOOKUP(D132,'[2]Lista de Produtos CLASSIFICAÇÃO'!$E$103:$F$114,2,FALSE)</f>
        <v>Óleo Vegetal</v>
      </c>
      <c r="F132" s="81" t="str">
        <f>VLOOKUP(C132,clientes!$C$3:$D$60,2,FALSE)</f>
        <v>POOL EXCEDENTE</v>
      </c>
      <c r="G132" s="82">
        <v>652.17391304347825</v>
      </c>
    </row>
    <row r="133" spans="1:7" x14ac:dyDescent="0.25">
      <c r="A133" s="83">
        <v>2026</v>
      </c>
      <c r="B133" s="84" t="s">
        <v>133</v>
      </c>
      <c r="C133" s="84" t="s">
        <v>238</v>
      </c>
      <c r="D133" s="84" t="s">
        <v>26</v>
      </c>
      <c r="E133" s="81" t="str">
        <f>VLOOKUP(D133,'[2]Lista de Produtos CLASSIFICAÇÃO'!$E$103:$F$114,2,FALSE)</f>
        <v>Biocombustíveis</v>
      </c>
      <c r="F133" s="81" t="str">
        <f>VLOOKUP(C133,clientes!$C$3:$D$60,2,FALSE)</f>
        <v>PRISMA</v>
      </c>
      <c r="G133" s="85">
        <v>5137.2093023255811</v>
      </c>
    </row>
    <row r="134" spans="1:7" x14ac:dyDescent="0.25">
      <c r="A134" s="80">
        <v>2026</v>
      </c>
      <c r="B134" s="81" t="s">
        <v>133</v>
      </c>
      <c r="C134" s="81" t="s">
        <v>159</v>
      </c>
      <c r="D134" s="81" t="s">
        <v>120</v>
      </c>
      <c r="E134" s="81" t="str">
        <f>VLOOKUP(D134,'[2]Lista de Produtos CLASSIFICAÇÃO'!$E$103:$F$114,2,FALSE)</f>
        <v>Derivados</v>
      </c>
      <c r="F134" s="81" t="str">
        <f>VLOOKUP(C134,clientes!$C$3:$D$60,2,FALSE)</f>
        <v>RAIZEN</v>
      </c>
      <c r="G134" s="82">
        <v>45000</v>
      </c>
    </row>
    <row r="135" spans="1:7" x14ac:dyDescent="0.25">
      <c r="A135" s="83">
        <v>2026</v>
      </c>
      <c r="B135" s="84" t="s">
        <v>133</v>
      </c>
      <c r="C135" s="84" t="s">
        <v>242</v>
      </c>
      <c r="D135" s="84" t="s">
        <v>120</v>
      </c>
      <c r="E135" s="81" t="str">
        <f>VLOOKUP(D135,'[2]Lista de Produtos CLASSIFICAÇÃO'!$E$103:$F$114,2,FALSE)</f>
        <v>Derivados</v>
      </c>
      <c r="F135" s="81" t="str">
        <f>VLOOKUP(C135,clientes!$C$3:$D$60,2,FALSE)</f>
        <v>RODOOIL DISTRIBUIDORA</v>
      </c>
      <c r="G135" s="85">
        <v>0</v>
      </c>
    </row>
    <row r="136" spans="1:7" x14ac:dyDescent="0.25">
      <c r="A136" s="80">
        <v>2026</v>
      </c>
      <c r="B136" s="81" t="s">
        <v>133</v>
      </c>
      <c r="C136" s="81" t="s">
        <v>241</v>
      </c>
      <c r="D136" s="81" t="s">
        <v>120</v>
      </c>
      <c r="E136" s="81" t="str">
        <f>VLOOKUP(D136,'[2]Lista de Produtos CLASSIFICAÇÃO'!$E$103:$F$114,2,FALSE)</f>
        <v>Derivados</v>
      </c>
      <c r="F136" s="81" t="str">
        <f>VLOOKUP(C136,clientes!$C$3:$D$60,2,FALSE)</f>
        <v>ROYAL FIC</v>
      </c>
      <c r="G136" s="82">
        <v>0</v>
      </c>
    </row>
    <row r="137" spans="1:7" x14ac:dyDescent="0.25">
      <c r="A137" s="83">
        <v>2026</v>
      </c>
      <c r="B137" s="84" t="s">
        <v>133</v>
      </c>
      <c r="C137" s="84" t="s">
        <v>161</v>
      </c>
      <c r="D137" s="84" t="s">
        <v>120</v>
      </c>
      <c r="E137" s="81" t="str">
        <f>VLOOKUP(D137,'[2]Lista de Produtos CLASSIFICAÇÃO'!$E$103:$F$114,2,FALSE)</f>
        <v>Derivados</v>
      </c>
      <c r="F137" s="81" t="str">
        <f>VLOOKUP(C137,clientes!$C$3:$D$60,2,FALSE)</f>
        <v>SUL PLATA</v>
      </c>
      <c r="G137" s="85">
        <v>36000</v>
      </c>
    </row>
    <row r="138" spans="1:7" x14ac:dyDescent="0.25">
      <c r="A138" s="80">
        <v>2026</v>
      </c>
      <c r="B138" s="81" t="s">
        <v>133</v>
      </c>
      <c r="C138" s="81" t="s">
        <v>244</v>
      </c>
      <c r="D138" s="81" t="s">
        <v>120</v>
      </c>
      <c r="E138" s="81" t="str">
        <f>VLOOKUP(D138,'[2]Lista de Produtos CLASSIFICAÇÃO'!$E$103:$F$114,2,FALSE)</f>
        <v>Derivados</v>
      </c>
      <c r="F138" s="81" t="str">
        <f>VLOOKUP(C138,clientes!$C$3:$D$60,2,FALSE)</f>
        <v>TAURUS</v>
      </c>
      <c r="G138" s="82">
        <v>0</v>
      </c>
    </row>
    <row r="139" spans="1:7" x14ac:dyDescent="0.25">
      <c r="A139" s="83">
        <v>2026</v>
      </c>
      <c r="B139" s="84" t="s">
        <v>133</v>
      </c>
      <c r="C139" s="84" t="s">
        <v>163</v>
      </c>
      <c r="D139" s="84" t="s">
        <v>115</v>
      </c>
      <c r="E139" s="81" t="str">
        <f>VLOOKUP(D139,'[2]Lista de Produtos CLASSIFICAÇÃO'!$E$103:$F$114,2,FALSE)</f>
        <v>Soda Caustica</v>
      </c>
      <c r="F139" s="81" t="str">
        <f>VLOOKUP(C139,clientes!$C$3:$D$60,2,FALSE)</f>
        <v>TRICON ENERGY</v>
      </c>
      <c r="G139" s="85">
        <v>3866.666666666667</v>
      </c>
    </row>
    <row r="140" spans="1:7" x14ac:dyDescent="0.25">
      <c r="A140" s="80">
        <v>2026</v>
      </c>
      <c r="B140" s="81" t="s">
        <v>133</v>
      </c>
      <c r="C140" s="81" t="s">
        <v>171</v>
      </c>
      <c r="D140" s="81" t="s">
        <v>22</v>
      </c>
      <c r="E140" s="81" t="str">
        <f>VLOOKUP(D140,'[2]Lista de Produtos CLASSIFICAÇÃO'!$E$103:$F$114,2,FALSE)</f>
        <v>Metanol</v>
      </c>
      <c r="F140" s="81" t="str">
        <f>VLOOKUP(C140,clientes!$C$3:$D$60,2,FALSE)</f>
        <v>VALENZ</v>
      </c>
      <c r="G140" s="82">
        <v>35727.848101265823</v>
      </c>
    </row>
    <row r="141" spans="1:7" x14ac:dyDescent="0.25">
      <c r="A141" s="83">
        <v>2026</v>
      </c>
      <c r="B141" s="84" t="s">
        <v>133</v>
      </c>
      <c r="C141" s="84" t="s">
        <v>160</v>
      </c>
      <c r="D141" s="84" t="s">
        <v>120</v>
      </c>
      <c r="E141" s="81" t="str">
        <f>VLOOKUP(D141,'[2]Lista de Produtos CLASSIFICAÇÃO'!$E$103:$F$114,2,FALSE)</f>
        <v>Derivados</v>
      </c>
      <c r="F141" s="81" t="str">
        <f>VLOOKUP(C141,clientes!$C$3:$D$60,2,FALSE)</f>
        <v>VIBRA</v>
      </c>
      <c r="G141" s="85">
        <v>18000</v>
      </c>
    </row>
    <row r="142" spans="1:7" x14ac:dyDescent="0.25">
      <c r="A142" s="80">
        <v>2026</v>
      </c>
      <c r="B142" s="81" t="s">
        <v>133</v>
      </c>
      <c r="C142" s="81" t="s">
        <v>160</v>
      </c>
      <c r="D142" s="81" t="s">
        <v>120</v>
      </c>
      <c r="E142" s="81" t="str">
        <f>VLOOKUP(D142,'[2]Lista de Produtos CLASSIFICAÇÃO'!$E$103:$F$114,2,FALSE)</f>
        <v>Derivados</v>
      </c>
      <c r="F142" s="81" t="str">
        <f>VLOOKUP(C142,clientes!$C$3:$D$60,2,FALSE)</f>
        <v>VIBRA</v>
      </c>
      <c r="G142" s="82">
        <v>0</v>
      </c>
    </row>
    <row r="143" spans="1:7" x14ac:dyDescent="0.25">
      <c r="A143" s="83">
        <v>2026</v>
      </c>
      <c r="B143" s="84" t="s">
        <v>134</v>
      </c>
      <c r="C143" s="84" t="s">
        <v>175</v>
      </c>
      <c r="D143" s="84" t="s">
        <v>123</v>
      </c>
      <c r="E143" s="81" t="str">
        <f>VLOOKUP(D143,'[2]Lista de Produtos CLASSIFICAÇÃO'!$E$103:$F$114,2,FALSE)</f>
        <v>Aquecidos</v>
      </c>
      <c r="F143" s="81" t="str">
        <f>VLOOKUP(C143,clientes!$C$3:$D$60,2,FALSE)</f>
        <v>AAK DO BRASIL</v>
      </c>
      <c r="G143" s="85">
        <v>4372.2222222222217</v>
      </c>
    </row>
    <row r="144" spans="1:7" x14ac:dyDescent="0.25">
      <c r="A144" s="80">
        <v>2026</v>
      </c>
      <c r="B144" s="81" t="s">
        <v>134</v>
      </c>
      <c r="C144" s="81" t="s">
        <v>157</v>
      </c>
      <c r="D144" s="81" t="s">
        <v>122</v>
      </c>
      <c r="E144" s="81" t="str">
        <f>VLOOKUP(D144,'[2]Lista de Produtos CLASSIFICAÇÃO'!$E$103:$F$114,2,FALSE)</f>
        <v>Óleo Vegetal</v>
      </c>
      <c r="F144" s="81" t="str">
        <f>VLOOKUP(C144,clientes!$C$3:$D$60,2,FALSE)</f>
        <v>ADM</v>
      </c>
      <c r="G144" s="82">
        <v>2826.086956521739</v>
      </c>
    </row>
    <row r="145" spans="1:7" x14ac:dyDescent="0.25">
      <c r="A145" s="83">
        <v>2026</v>
      </c>
      <c r="B145" s="84" t="s">
        <v>134</v>
      </c>
      <c r="C145" s="84" t="s">
        <v>18</v>
      </c>
      <c r="D145" s="84" t="s">
        <v>17</v>
      </c>
      <c r="E145" s="81" t="str">
        <f>VLOOKUP(D145,'[2]Lista de Produtos CLASSIFICAÇÃO'!$E$103:$F$114,2,FALSE)</f>
        <v>Acostagem</v>
      </c>
      <c r="F145" s="81" t="str">
        <f>VLOOKUP(C145,clientes!$C$3:$D$60,2,FALSE)</f>
        <v>ACOSTAGEM</v>
      </c>
      <c r="G145" s="85">
        <v>0</v>
      </c>
    </row>
    <row r="146" spans="1:7" x14ac:dyDescent="0.25">
      <c r="A146" s="80">
        <v>2026</v>
      </c>
      <c r="B146" s="81" t="s">
        <v>134</v>
      </c>
      <c r="C146" s="81" t="s">
        <v>155</v>
      </c>
      <c r="D146" s="81" t="s">
        <v>16</v>
      </c>
      <c r="E146" s="81" t="str">
        <f>VLOOKUP(D146,'[2]Lista de Produtos CLASSIFICAÇÃO'!$E$103:$F$114,2,FALSE)</f>
        <v>Outros</v>
      </c>
      <c r="F146" s="81" t="str">
        <f>VLOOKUP(C146,clientes!$C$3:$D$60,2,FALSE)</f>
        <v>ADISSEO</v>
      </c>
      <c r="G146" s="82">
        <v>3461.538461538461</v>
      </c>
    </row>
    <row r="147" spans="1:7" x14ac:dyDescent="0.25">
      <c r="A147" s="83">
        <v>2026</v>
      </c>
      <c r="B147" s="84" t="s">
        <v>134</v>
      </c>
      <c r="C147" s="84" t="s">
        <v>188</v>
      </c>
      <c r="D147" s="84" t="s">
        <v>123</v>
      </c>
      <c r="E147" s="81" t="str">
        <f>VLOOKUP(D147,'[2]Lista de Produtos CLASSIFICAÇÃO'!$E$103:$F$114,2,FALSE)</f>
        <v>Aquecidos</v>
      </c>
      <c r="F147" s="81" t="str">
        <f>VLOOKUP(C147,clientes!$C$3:$D$60,2,FALSE)</f>
        <v>ARES MERCHANTS PTE LIMITE</v>
      </c>
      <c r="G147" s="85">
        <v>3476.666666666667</v>
      </c>
    </row>
    <row r="148" spans="1:7" x14ac:dyDescent="0.25">
      <c r="A148" s="80">
        <v>2026</v>
      </c>
      <c r="B148" s="81" t="s">
        <v>134</v>
      </c>
      <c r="C148" s="81" t="s">
        <v>243</v>
      </c>
      <c r="D148" s="81" t="s">
        <v>120</v>
      </c>
      <c r="E148" s="81" t="str">
        <f>VLOOKUP(D148,'[2]Lista de Produtos CLASSIFICAÇÃO'!$E$103:$F$114,2,FALSE)</f>
        <v>Derivados</v>
      </c>
      <c r="F148" s="81" t="str">
        <f>VLOOKUP(C148,clientes!$C$3:$D$60,2,FALSE)</f>
        <v>ART PETRO</v>
      </c>
      <c r="G148" s="82">
        <v>0</v>
      </c>
    </row>
    <row r="149" spans="1:7" x14ac:dyDescent="0.25">
      <c r="A149" s="83">
        <v>2026</v>
      </c>
      <c r="B149" s="84" t="s">
        <v>134</v>
      </c>
      <c r="C149" s="84" t="s">
        <v>165</v>
      </c>
      <c r="D149" s="84" t="s">
        <v>123</v>
      </c>
      <c r="E149" s="81" t="str">
        <f>VLOOKUP(D149,'[2]Lista de Produtos CLASSIFICAÇÃO'!$E$103:$F$114,2,FALSE)</f>
        <v>Aquecidos</v>
      </c>
      <c r="F149" s="81" t="str">
        <f>VLOOKUP(C149,clientes!$C$3:$D$60,2,FALSE)</f>
        <v>BRF</v>
      </c>
      <c r="G149" s="85">
        <v>3526.666666666667</v>
      </c>
    </row>
    <row r="150" spans="1:7" x14ac:dyDescent="0.25">
      <c r="A150" s="80">
        <v>2026</v>
      </c>
      <c r="B150" s="81" t="s">
        <v>134</v>
      </c>
      <c r="C150" s="81" t="s">
        <v>179</v>
      </c>
      <c r="D150" s="81" t="s">
        <v>26</v>
      </c>
      <c r="E150" s="81" t="str">
        <f>VLOOKUP(D150,'[2]Lista de Produtos CLASSIFICAÇÃO'!$E$103:$F$114,2,FALSE)</f>
        <v>Biocombustíveis</v>
      </c>
      <c r="F150" s="81" t="str">
        <f>VLOOKUP(C150,clientes!$C$3:$D$60,2,FALSE)</f>
        <v>BSBIOS</v>
      </c>
      <c r="G150" s="82">
        <v>6356.9767441860467</v>
      </c>
    </row>
    <row r="151" spans="1:7" x14ac:dyDescent="0.25">
      <c r="A151" s="83">
        <v>2026</v>
      </c>
      <c r="B151" s="84" t="s">
        <v>134</v>
      </c>
      <c r="C151" s="84" t="s">
        <v>239</v>
      </c>
      <c r="D151" s="84" t="s">
        <v>115</v>
      </c>
      <c r="E151" s="81" t="str">
        <f>VLOOKUP(D151,'[2]Lista de Produtos CLASSIFICAÇÃO'!$E$103:$F$114,2,FALSE)</f>
        <v>Soda Caustica</v>
      </c>
      <c r="F151" s="81" t="str">
        <f>VLOOKUP(C151,clientes!$C$3:$D$60,2,FALSE)</f>
        <v>BSC QUIMICA</v>
      </c>
      <c r="G151" s="85">
        <v>1786.666666666667</v>
      </c>
    </row>
    <row r="152" spans="1:7" x14ac:dyDescent="0.25">
      <c r="A152" s="80">
        <v>2026</v>
      </c>
      <c r="B152" s="81" t="s">
        <v>134</v>
      </c>
      <c r="C152" s="81" t="s">
        <v>177</v>
      </c>
      <c r="D152" s="81" t="s">
        <v>115</v>
      </c>
      <c r="E152" s="81" t="str">
        <f>VLOOKUP(D152,'[2]Lista de Produtos CLASSIFICAÇÃO'!$E$103:$F$114,2,FALSE)</f>
        <v>Soda Caustica</v>
      </c>
      <c r="F152" s="81" t="str">
        <f>VLOOKUP(C152,clientes!$C$3:$D$60,2,FALSE)</f>
        <v>BRENNTAG</v>
      </c>
      <c r="G152" s="82">
        <v>1020</v>
      </c>
    </row>
    <row r="153" spans="1:7" x14ac:dyDescent="0.25">
      <c r="A153" s="83">
        <v>2026</v>
      </c>
      <c r="B153" s="84" t="s">
        <v>134</v>
      </c>
      <c r="C153" s="84" t="s">
        <v>156</v>
      </c>
      <c r="D153" s="84" t="s">
        <v>123</v>
      </c>
      <c r="E153" s="81" t="str">
        <f>VLOOKUP(D153,'[2]Lista de Produtos CLASSIFICAÇÃO'!$E$103:$F$114,2,FALSE)</f>
        <v>Aquecidos</v>
      </c>
      <c r="F153" s="81" t="str">
        <f>VLOOKUP(C153,clientes!$C$3:$D$60,2,FALSE)</f>
        <v>BUNGE</v>
      </c>
      <c r="G153" s="85">
        <v>2111.1111111111109</v>
      </c>
    </row>
    <row r="154" spans="1:7" x14ac:dyDescent="0.25">
      <c r="A154" s="80">
        <v>2026</v>
      </c>
      <c r="B154" s="81" t="s">
        <v>134</v>
      </c>
      <c r="C154" s="81" t="s">
        <v>166</v>
      </c>
      <c r="D154" s="81" t="s">
        <v>123</v>
      </c>
      <c r="E154" s="81" t="str">
        <f>VLOOKUP(D154,'[2]Lista de Produtos CLASSIFICAÇÃO'!$E$103:$F$114,2,FALSE)</f>
        <v>Aquecidos</v>
      </c>
      <c r="F154" s="81" t="str">
        <f>VLOOKUP(C154,clientes!$C$3:$D$60,2,FALSE)</f>
        <v>CARGILL</v>
      </c>
      <c r="G154" s="82">
        <v>1035.555555555555</v>
      </c>
    </row>
    <row r="155" spans="1:7" x14ac:dyDescent="0.25">
      <c r="A155" s="83">
        <v>2026</v>
      </c>
      <c r="B155" s="84" t="s">
        <v>134</v>
      </c>
      <c r="C155" s="84" t="s">
        <v>166</v>
      </c>
      <c r="D155" s="84" t="s">
        <v>122</v>
      </c>
      <c r="E155" s="81" t="str">
        <f>VLOOKUP(D155,'[2]Lista de Produtos CLASSIFICAÇÃO'!$E$103:$F$114,2,FALSE)</f>
        <v>Óleo Vegetal</v>
      </c>
      <c r="F155" s="81" t="str">
        <f>VLOOKUP(C155,clientes!$C$3:$D$60,2,FALSE)</f>
        <v>CARGILL</v>
      </c>
      <c r="G155" s="85">
        <v>483.695652173913</v>
      </c>
    </row>
    <row r="156" spans="1:7" x14ac:dyDescent="0.25">
      <c r="A156" s="80">
        <v>2026</v>
      </c>
      <c r="B156" s="81" t="s">
        <v>134</v>
      </c>
      <c r="C156" s="81" t="s">
        <v>174</v>
      </c>
      <c r="D156" s="81" t="s">
        <v>123</v>
      </c>
      <c r="E156" s="81" t="str">
        <f>VLOOKUP(D156,'[2]Lista de Produtos CLASSIFICAÇÃO'!$E$103:$F$114,2,FALSE)</f>
        <v>Aquecidos</v>
      </c>
      <c r="F156" s="81" t="str">
        <f>VLOOKUP(C156,clientes!$C$3:$D$60,2,FALSE)</f>
        <v>CELENA</v>
      </c>
      <c r="G156" s="82">
        <v>13401.111111111109</v>
      </c>
    </row>
    <row r="157" spans="1:7" x14ac:dyDescent="0.25">
      <c r="A157" s="83">
        <v>2026</v>
      </c>
      <c r="B157" s="84" t="s">
        <v>134</v>
      </c>
      <c r="C157" s="84" t="s">
        <v>185</v>
      </c>
      <c r="D157" s="84" t="s">
        <v>120</v>
      </c>
      <c r="E157" s="81" t="str">
        <f>VLOOKUP(D157,'[2]Lista de Produtos CLASSIFICAÇÃO'!$E$103:$F$114,2,FALSE)</f>
        <v>Derivados</v>
      </c>
      <c r="F157" s="81" t="str">
        <f>VLOOKUP(C157,clientes!$C$3:$D$60,2,FALSE)</f>
        <v>CIAPETRO</v>
      </c>
      <c r="G157" s="85">
        <v>13493.975903614461</v>
      </c>
    </row>
    <row r="158" spans="1:7" x14ac:dyDescent="0.25">
      <c r="A158" s="80">
        <v>2026</v>
      </c>
      <c r="B158" s="81" t="s">
        <v>134</v>
      </c>
      <c r="C158" s="81" t="s">
        <v>181</v>
      </c>
      <c r="D158" s="81" t="s">
        <v>123</v>
      </c>
      <c r="E158" s="81" t="str">
        <f>VLOOKUP(D158,'[2]Lista de Produtos CLASSIFICAÇÃO'!$E$103:$F$114,2,FALSE)</f>
        <v>Aquecidos</v>
      </c>
      <c r="F158" s="81" t="str">
        <f>VLOOKUP(C158,clientes!$C$3:$D$60,2,FALSE)</f>
        <v>COAMO</v>
      </c>
      <c r="G158" s="82">
        <v>1786.666666666667</v>
      </c>
    </row>
    <row r="159" spans="1:7" x14ac:dyDescent="0.25">
      <c r="A159" s="83">
        <v>2026</v>
      </c>
      <c r="B159" s="84" t="s">
        <v>134</v>
      </c>
      <c r="C159" s="84" t="s">
        <v>236</v>
      </c>
      <c r="D159" s="84" t="s">
        <v>121</v>
      </c>
      <c r="E159" s="81" t="str">
        <f>VLOOKUP(D159,'[2]Lista de Produtos CLASSIFICAÇÃO'!$E$103:$F$114,2,FALSE)</f>
        <v>Biocombustíveis</v>
      </c>
      <c r="F159" s="81" t="str">
        <f>VLOOKUP(C159,clientes!$C$3:$D$60,2,FALSE)</f>
        <v>ETANOL OUTROS</v>
      </c>
      <c r="G159" s="85">
        <v>0</v>
      </c>
    </row>
    <row r="160" spans="1:7" x14ac:dyDescent="0.25">
      <c r="A160" s="80">
        <v>2026</v>
      </c>
      <c r="B160" s="81" t="s">
        <v>134</v>
      </c>
      <c r="C160" s="81" t="s">
        <v>172</v>
      </c>
      <c r="D160" s="81" t="s">
        <v>124</v>
      </c>
      <c r="E160" s="81" t="str">
        <f>VLOOKUP(D160,'[2]Lista de Produtos CLASSIFICAÇÃO'!$E$103:$F$114,2,FALSE)</f>
        <v>Outros</v>
      </c>
      <c r="F160" s="81" t="str">
        <f>VLOOKUP(C160,clientes!$C$3:$D$60,2,FALSE)</f>
        <v>EVONIK</v>
      </c>
      <c r="G160" s="82">
        <v>1927.8481012658231</v>
      </c>
    </row>
    <row r="161" spans="1:7" x14ac:dyDescent="0.25">
      <c r="A161" s="83">
        <v>2026</v>
      </c>
      <c r="B161" s="84" t="s">
        <v>134</v>
      </c>
      <c r="C161" s="84" t="s">
        <v>240</v>
      </c>
      <c r="D161" s="84" t="s">
        <v>121</v>
      </c>
      <c r="E161" s="81" t="str">
        <f>VLOOKUP(D161,'[2]Lista de Produtos CLASSIFICAÇÃO'!$E$103:$F$114,2,FALSE)</f>
        <v>Biocombustíveis</v>
      </c>
      <c r="F161" s="81" t="str">
        <f>VLOOKUP(C161,clientes!$C$3:$D$60,2,FALSE)</f>
        <v>FS</v>
      </c>
      <c r="G161" s="85">
        <v>9200</v>
      </c>
    </row>
    <row r="162" spans="1:7" x14ac:dyDescent="0.25">
      <c r="A162" s="80">
        <v>2026</v>
      </c>
      <c r="B162" s="81" t="s">
        <v>134</v>
      </c>
      <c r="C162" s="81" t="s">
        <v>240</v>
      </c>
      <c r="D162" s="81" t="s">
        <v>121</v>
      </c>
      <c r="E162" s="81" t="str">
        <f>VLOOKUP(D162,'[2]Lista de Produtos CLASSIFICAÇÃO'!$E$103:$F$114,2,FALSE)</f>
        <v>Biocombustíveis</v>
      </c>
      <c r="F162" s="81" t="str">
        <f>VLOOKUP(C162,clientes!$C$3:$D$60,2,FALSE)</f>
        <v>FS</v>
      </c>
      <c r="G162" s="82">
        <v>0</v>
      </c>
    </row>
    <row r="163" spans="1:7" x14ac:dyDescent="0.25">
      <c r="A163" s="83">
        <v>2026</v>
      </c>
      <c r="B163" s="84" t="s">
        <v>134</v>
      </c>
      <c r="C163" s="84" t="s">
        <v>237</v>
      </c>
      <c r="D163" s="84" t="s">
        <v>120</v>
      </c>
      <c r="E163" s="81" t="str">
        <f>VLOOKUP(D163,'[2]Lista de Produtos CLASSIFICAÇÃO'!$E$103:$F$114,2,FALSE)</f>
        <v>Derivados</v>
      </c>
      <c r="F163" s="81" t="str">
        <f>VLOOKUP(C163,clientes!$C$3:$D$60,2,FALSE)</f>
        <v>FORTEZA TRADING DMCC</v>
      </c>
      <c r="G163" s="85">
        <v>3660.2409638554218</v>
      </c>
    </row>
    <row r="164" spans="1:7" x14ac:dyDescent="0.25">
      <c r="A164" s="80">
        <v>2026</v>
      </c>
      <c r="B164" s="81" t="s">
        <v>134</v>
      </c>
      <c r="C164" s="81" t="s">
        <v>191</v>
      </c>
      <c r="D164" s="81" t="s">
        <v>115</v>
      </c>
      <c r="E164" s="81" t="str">
        <f>VLOOKUP(D164,'[2]Lista de Produtos CLASSIFICAÇÃO'!$E$103:$F$114,2,FALSE)</f>
        <v>Soda Caustica</v>
      </c>
      <c r="F164" s="81" t="str">
        <f>VLOOKUP(C164,clientes!$C$3:$D$60,2,FALSE)</f>
        <v>GPC</v>
      </c>
      <c r="G164" s="82">
        <v>873.33333333333337</v>
      </c>
    </row>
    <row r="165" spans="1:7" x14ac:dyDescent="0.25">
      <c r="A165" s="83">
        <v>2026</v>
      </c>
      <c r="B165" s="84" t="s">
        <v>134</v>
      </c>
      <c r="C165" s="84" t="s">
        <v>189</v>
      </c>
      <c r="D165" s="84" t="s">
        <v>123</v>
      </c>
      <c r="E165" s="81" t="str">
        <f>VLOOKUP(D165,'[2]Lista de Produtos CLASSIFICAÇÃO'!$E$103:$F$114,2,FALSE)</f>
        <v>Aquecidos</v>
      </c>
      <c r="F165" s="81" t="str">
        <f>VLOOKUP(C165,clientes!$C$3:$D$60,2,FALSE)</f>
        <v>ICOF</v>
      </c>
      <c r="G165" s="85">
        <v>4983.333333333333</v>
      </c>
    </row>
    <row r="166" spans="1:7" x14ac:dyDescent="0.25">
      <c r="A166" s="80">
        <v>2026</v>
      </c>
      <c r="B166" s="81" t="s">
        <v>134</v>
      </c>
      <c r="C166" s="81" t="s">
        <v>184</v>
      </c>
      <c r="D166" s="81" t="s">
        <v>122</v>
      </c>
      <c r="E166" s="81" t="str">
        <f>VLOOKUP(D166,'[2]Lista de Produtos CLASSIFICAÇÃO'!$E$103:$F$114,2,FALSE)</f>
        <v>Óleo Vegetal</v>
      </c>
      <c r="F166" s="81" t="str">
        <f>VLOOKUP(C166,clientes!$C$3:$D$60,2,FALSE)</f>
        <v>INGREDION</v>
      </c>
      <c r="G166" s="82">
        <v>295.65217391304338</v>
      </c>
    </row>
    <row r="167" spans="1:7" x14ac:dyDescent="0.25">
      <c r="A167" s="83">
        <v>2026</v>
      </c>
      <c r="B167" s="84" t="s">
        <v>134</v>
      </c>
      <c r="C167" s="84" t="s">
        <v>192</v>
      </c>
      <c r="D167" s="84" t="s">
        <v>121</v>
      </c>
      <c r="E167" s="81" t="str">
        <f>VLOOKUP(D167,'[2]Lista de Produtos CLASSIFICAÇÃO'!$E$103:$F$114,2,FALSE)</f>
        <v>Biocombustíveis</v>
      </c>
      <c r="F167" s="81" t="str">
        <f>VLOOKUP(C167,clientes!$C$3:$D$60,2,FALSE)</f>
        <v>INPASA</v>
      </c>
      <c r="G167" s="85">
        <v>12146.25</v>
      </c>
    </row>
    <row r="168" spans="1:7" x14ac:dyDescent="0.25">
      <c r="A168" s="80">
        <v>2026</v>
      </c>
      <c r="B168" s="81" t="s">
        <v>134</v>
      </c>
      <c r="C168" s="81" t="s">
        <v>192</v>
      </c>
      <c r="D168" s="81" t="s">
        <v>121</v>
      </c>
      <c r="E168" s="81" t="str">
        <f>VLOOKUP(D168,'[2]Lista de Produtos CLASSIFICAÇÃO'!$E$103:$F$114,2,FALSE)</f>
        <v>Biocombustíveis</v>
      </c>
      <c r="F168" s="81" t="str">
        <f>VLOOKUP(C168,clientes!$C$3:$D$60,2,FALSE)</f>
        <v>INPASA</v>
      </c>
      <c r="G168" s="82">
        <v>0</v>
      </c>
    </row>
    <row r="169" spans="1:7" x14ac:dyDescent="0.25">
      <c r="A169" s="83">
        <v>2026</v>
      </c>
      <c r="B169" s="84" t="s">
        <v>134</v>
      </c>
      <c r="C169" s="84" t="s">
        <v>158</v>
      </c>
      <c r="D169" s="84" t="s">
        <v>120</v>
      </c>
      <c r="E169" s="81" t="str">
        <f>VLOOKUP(D169,'[2]Lista de Produtos CLASSIFICAÇÃO'!$E$103:$F$114,2,FALSE)</f>
        <v>Derivados</v>
      </c>
      <c r="F169" s="81" t="str">
        <f>VLOOKUP(C169,clientes!$C$3:$D$60,2,FALSE)</f>
        <v>IPIRANGA</v>
      </c>
      <c r="G169" s="85">
        <v>63000</v>
      </c>
    </row>
    <row r="170" spans="1:7" x14ac:dyDescent="0.25">
      <c r="A170" s="80">
        <v>2026</v>
      </c>
      <c r="B170" s="81" t="s">
        <v>134</v>
      </c>
      <c r="C170" s="81" t="s">
        <v>162</v>
      </c>
      <c r="D170" s="81" t="s">
        <v>123</v>
      </c>
      <c r="E170" s="81" t="str">
        <f>VLOOKUP(D170,'[2]Lista de Produtos CLASSIFICAÇÃO'!$E$103:$F$114,2,FALSE)</f>
        <v>Aquecidos</v>
      </c>
      <c r="F170" s="81" t="str">
        <f>VLOOKUP(C170,clientes!$C$3:$D$60,2,FALSE)</f>
        <v>JBS</v>
      </c>
      <c r="G170" s="82">
        <v>3444.4444444444439</v>
      </c>
    </row>
    <row r="171" spans="1:7" x14ac:dyDescent="0.25">
      <c r="A171" s="83">
        <v>2026</v>
      </c>
      <c r="B171" s="84" t="s">
        <v>134</v>
      </c>
      <c r="C171" s="84" t="s">
        <v>162</v>
      </c>
      <c r="D171" s="84" t="s">
        <v>115</v>
      </c>
      <c r="E171" s="81" t="str">
        <f>VLOOKUP(D171,'[2]Lista de Produtos CLASSIFICAÇÃO'!$E$103:$F$114,2,FALSE)</f>
        <v>Soda Caustica</v>
      </c>
      <c r="F171" s="81" t="str">
        <f>VLOOKUP(C171,clientes!$C$3:$D$60,2,FALSE)</f>
        <v>JBS</v>
      </c>
      <c r="G171" s="85">
        <v>1200</v>
      </c>
    </row>
    <row r="172" spans="1:7" x14ac:dyDescent="0.25">
      <c r="A172" s="80">
        <v>2026</v>
      </c>
      <c r="B172" s="81" t="s">
        <v>134</v>
      </c>
      <c r="C172" s="81" t="s">
        <v>169</v>
      </c>
      <c r="D172" s="81" t="s">
        <v>22</v>
      </c>
      <c r="E172" s="81" t="str">
        <f>VLOOKUP(D172,'[2]Lista de Produtos CLASSIFICAÇÃO'!$E$103:$F$114,2,FALSE)</f>
        <v>Metanol</v>
      </c>
      <c r="F172" s="81" t="str">
        <f>VLOOKUP(C172,clientes!$C$3:$D$60,2,FALSE)</f>
        <v>METHANEX</v>
      </c>
      <c r="G172" s="82">
        <v>83973.417721518985</v>
      </c>
    </row>
    <row r="173" spans="1:7" x14ac:dyDescent="0.25">
      <c r="A173" s="83">
        <v>2026</v>
      </c>
      <c r="B173" s="84" t="s">
        <v>134</v>
      </c>
      <c r="C173" s="84" t="s">
        <v>169</v>
      </c>
      <c r="D173" s="84" t="s">
        <v>22</v>
      </c>
      <c r="E173" s="81" t="str">
        <f>VLOOKUP(D173,'[2]Lista de Produtos CLASSIFICAÇÃO'!$E$103:$F$114,2,FALSE)</f>
        <v>Metanol</v>
      </c>
      <c r="F173" s="81" t="str">
        <f>VLOOKUP(C173,clientes!$C$3:$D$60,2,FALSE)</f>
        <v>METHANEX</v>
      </c>
      <c r="G173" s="85">
        <v>0</v>
      </c>
    </row>
    <row r="174" spans="1:7" x14ac:dyDescent="0.25">
      <c r="A174" s="80">
        <v>2026</v>
      </c>
      <c r="B174" s="81" t="s">
        <v>134</v>
      </c>
      <c r="C174" s="81" t="s">
        <v>170</v>
      </c>
      <c r="D174" s="81" t="s">
        <v>22</v>
      </c>
      <c r="E174" s="81" t="str">
        <f>VLOOKUP(D174,'[2]Lista de Produtos CLASSIFICAÇÃO'!$E$103:$F$114,2,FALSE)</f>
        <v>Metanol</v>
      </c>
      <c r="F174" s="81" t="str">
        <f>VLOOKUP(C174,clientes!$C$3:$D$60,2,FALSE)</f>
        <v>MITSUBISHI</v>
      </c>
      <c r="G174" s="82">
        <v>12239.24050632911</v>
      </c>
    </row>
    <row r="175" spans="1:7" x14ac:dyDescent="0.25">
      <c r="A175" s="83">
        <v>2026</v>
      </c>
      <c r="B175" s="84" t="s">
        <v>134</v>
      </c>
      <c r="C175" s="84" t="s">
        <v>186</v>
      </c>
      <c r="D175" s="84" t="s">
        <v>22</v>
      </c>
      <c r="E175" s="81" t="str">
        <f>VLOOKUP(D175,'[2]Lista de Produtos CLASSIFICAÇÃO'!$E$103:$F$114,2,FALSE)</f>
        <v>Metanol</v>
      </c>
      <c r="F175" s="81" t="str">
        <f>VLOOKUP(C175,clientes!$C$3:$D$60,2,FALSE)</f>
        <v>OQ TRADING</v>
      </c>
      <c r="G175" s="85">
        <v>0</v>
      </c>
    </row>
    <row r="176" spans="1:7" x14ac:dyDescent="0.25">
      <c r="A176" s="80">
        <v>2026</v>
      </c>
      <c r="B176" s="81" t="s">
        <v>134</v>
      </c>
      <c r="C176" s="81" t="s">
        <v>186</v>
      </c>
      <c r="D176" s="81" t="s">
        <v>22</v>
      </c>
      <c r="E176" s="81" t="str">
        <f>VLOOKUP(D176,'[2]Lista de Produtos CLASSIFICAÇÃO'!$E$103:$F$114,2,FALSE)</f>
        <v>Metanol</v>
      </c>
      <c r="F176" s="81" t="str">
        <f>VLOOKUP(C176,clientes!$C$3:$D$60,2,FALSE)</f>
        <v>OQ TRADING</v>
      </c>
      <c r="G176" s="82">
        <v>0</v>
      </c>
    </row>
    <row r="177" spans="1:7" x14ac:dyDescent="0.25">
      <c r="A177" s="83">
        <v>2026</v>
      </c>
      <c r="B177" s="84" t="s">
        <v>134</v>
      </c>
      <c r="C177" s="84" t="s">
        <v>178</v>
      </c>
      <c r="D177" s="84" t="s">
        <v>115</v>
      </c>
      <c r="E177" s="81" t="str">
        <f>VLOOKUP(D177,'[2]Lista de Produtos CLASSIFICAÇÃO'!$E$103:$F$114,2,FALSE)</f>
        <v>Soda Caustica</v>
      </c>
      <c r="F177" s="81" t="str">
        <f>VLOOKUP(C177,clientes!$C$3:$D$60,2,FALSE)</f>
        <v>OLIN BLUE CUBE</v>
      </c>
      <c r="G177" s="85">
        <v>15088.66666666667</v>
      </c>
    </row>
    <row r="178" spans="1:7" x14ac:dyDescent="0.25">
      <c r="A178" s="80">
        <v>2026</v>
      </c>
      <c r="B178" s="81" t="s">
        <v>134</v>
      </c>
      <c r="C178" s="81" t="s">
        <v>167</v>
      </c>
      <c r="D178" s="81" t="s">
        <v>122</v>
      </c>
      <c r="E178" s="81" t="str">
        <f>VLOOKUP(D178,'[2]Lista de Produtos CLASSIFICAÇÃO'!$E$103:$F$114,2,FALSE)</f>
        <v>Óleo Vegetal</v>
      </c>
      <c r="F178" s="81" t="str">
        <f>VLOOKUP(C178,clientes!$C$3:$D$60,2,FALSE)</f>
        <v>POOL</v>
      </c>
      <c r="G178" s="82">
        <v>86008.413043478256</v>
      </c>
    </row>
    <row r="179" spans="1:7" x14ac:dyDescent="0.25">
      <c r="A179" s="83">
        <v>2026</v>
      </c>
      <c r="B179" s="84" t="s">
        <v>134</v>
      </c>
      <c r="C179" s="84" t="s">
        <v>168</v>
      </c>
      <c r="D179" s="84" t="s">
        <v>122</v>
      </c>
      <c r="E179" s="81" t="str">
        <f>VLOOKUP(D179,'[2]Lista de Produtos CLASSIFICAÇÃO'!$E$103:$F$114,2,FALSE)</f>
        <v>Óleo Vegetal</v>
      </c>
      <c r="F179" s="81" t="str">
        <f>VLOOKUP(C179,clientes!$C$3:$D$60,2,FALSE)</f>
        <v>POOL EXCEDENTE</v>
      </c>
      <c r="G179" s="85">
        <v>652.17391304347825</v>
      </c>
    </row>
    <row r="180" spans="1:7" x14ac:dyDescent="0.25">
      <c r="A180" s="80">
        <v>2026</v>
      </c>
      <c r="B180" s="81" t="s">
        <v>134</v>
      </c>
      <c r="C180" s="81" t="s">
        <v>238</v>
      </c>
      <c r="D180" s="81" t="s">
        <v>26</v>
      </c>
      <c r="E180" s="81" t="str">
        <f>VLOOKUP(D180,'[2]Lista de Produtos CLASSIFICAÇÃO'!$E$103:$F$114,2,FALSE)</f>
        <v>Biocombustíveis</v>
      </c>
      <c r="F180" s="81" t="str">
        <f>VLOOKUP(C180,clientes!$C$3:$D$60,2,FALSE)</f>
        <v>PRISMA</v>
      </c>
      <c r="G180" s="82">
        <v>5137.2093023255811</v>
      </c>
    </row>
    <row r="181" spans="1:7" x14ac:dyDescent="0.25">
      <c r="A181" s="83">
        <v>2026</v>
      </c>
      <c r="B181" s="84" t="s">
        <v>134</v>
      </c>
      <c r="C181" s="84" t="s">
        <v>159</v>
      </c>
      <c r="D181" s="84" t="s">
        <v>120</v>
      </c>
      <c r="E181" s="81" t="str">
        <f>VLOOKUP(D181,'[2]Lista de Produtos CLASSIFICAÇÃO'!$E$103:$F$114,2,FALSE)</f>
        <v>Derivados</v>
      </c>
      <c r="F181" s="81" t="str">
        <f>VLOOKUP(C181,clientes!$C$3:$D$60,2,FALSE)</f>
        <v>RAIZEN</v>
      </c>
      <c r="G181" s="85">
        <v>45000</v>
      </c>
    </row>
    <row r="182" spans="1:7" x14ac:dyDescent="0.25">
      <c r="A182" s="80">
        <v>2026</v>
      </c>
      <c r="B182" s="81" t="s">
        <v>134</v>
      </c>
      <c r="C182" s="81" t="s">
        <v>242</v>
      </c>
      <c r="D182" s="81" t="s">
        <v>120</v>
      </c>
      <c r="E182" s="81" t="str">
        <f>VLOOKUP(D182,'[2]Lista de Produtos CLASSIFICAÇÃO'!$E$103:$F$114,2,FALSE)</f>
        <v>Derivados</v>
      </c>
      <c r="F182" s="81" t="str">
        <f>VLOOKUP(C182,clientes!$C$3:$D$60,2,FALSE)</f>
        <v>RODOOIL DISTRIBUIDORA</v>
      </c>
      <c r="G182" s="82">
        <v>0</v>
      </c>
    </row>
    <row r="183" spans="1:7" x14ac:dyDescent="0.25">
      <c r="A183" s="83">
        <v>2026</v>
      </c>
      <c r="B183" s="84" t="s">
        <v>134</v>
      </c>
      <c r="C183" s="84" t="s">
        <v>241</v>
      </c>
      <c r="D183" s="84" t="s">
        <v>120</v>
      </c>
      <c r="E183" s="81" t="str">
        <f>VLOOKUP(D183,'[2]Lista de Produtos CLASSIFICAÇÃO'!$E$103:$F$114,2,FALSE)</f>
        <v>Derivados</v>
      </c>
      <c r="F183" s="81" t="str">
        <f>VLOOKUP(C183,clientes!$C$3:$D$60,2,FALSE)</f>
        <v>ROYAL FIC</v>
      </c>
      <c r="G183" s="85">
        <v>0</v>
      </c>
    </row>
    <row r="184" spans="1:7" x14ac:dyDescent="0.25">
      <c r="A184" s="80">
        <v>2026</v>
      </c>
      <c r="B184" s="81" t="s">
        <v>134</v>
      </c>
      <c r="C184" s="81" t="s">
        <v>161</v>
      </c>
      <c r="D184" s="81" t="s">
        <v>120</v>
      </c>
      <c r="E184" s="81" t="str">
        <f>VLOOKUP(D184,'[2]Lista de Produtos CLASSIFICAÇÃO'!$E$103:$F$114,2,FALSE)</f>
        <v>Derivados</v>
      </c>
      <c r="F184" s="81" t="str">
        <f>VLOOKUP(C184,clientes!$C$3:$D$60,2,FALSE)</f>
        <v>SUL PLATA</v>
      </c>
      <c r="G184" s="82">
        <v>36000</v>
      </c>
    </row>
    <row r="185" spans="1:7" x14ac:dyDescent="0.25">
      <c r="A185" s="83">
        <v>2026</v>
      </c>
      <c r="B185" s="84" t="s">
        <v>134</v>
      </c>
      <c r="C185" s="84" t="s">
        <v>244</v>
      </c>
      <c r="D185" s="84" t="s">
        <v>120</v>
      </c>
      <c r="E185" s="81" t="str">
        <f>VLOOKUP(D185,'[2]Lista de Produtos CLASSIFICAÇÃO'!$E$103:$F$114,2,FALSE)</f>
        <v>Derivados</v>
      </c>
      <c r="F185" s="81" t="str">
        <f>VLOOKUP(C185,clientes!$C$3:$D$60,2,FALSE)</f>
        <v>TAURUS</v>
      </c>
      <c r="G185" s="85">
        <v>0</v>
      </c>
    </row>
    <row r="186" spans="1:7" x14ac:dyDescent="0.25">
      <c r="A186" s="80">
        <v>2026</v>
      </c>
      <c r="B186" s="81" t="s">
        <v>134</v>
      </c>
      <c r="C186" s="81" t="s">
        <v>163</v>
      </c>
      <c r="D186" s="81" t="s">
        <v>115</v>
      </c>
      <c r="E186" s="81" t="str">
        <f>VLOOKUP(D186,'[2]Lista de Produtos CLASSIFICAÇÃO'!$E$103:$F$114,2,FALSE)</f>
        <v>Soda Caustica</v>
      </c>
      <c r="F186" s="81" t="str">
        <f>VLOOKUP(C186,clientes!$C$3:$D$60,2,FALSE)</f>
        <v>TRICON ENERGY</v>
      </c>
      <c r="G186" s="82">
        <v>3866.666666666667</v>
      </c>
    </row>
    <row r="187" spans="1:7" x14ac:dyDescent="0.25">
      <c r="A187" s="83">
        <v>2026</v>
      </c>
      <c r="B187" s="84" t="s">
        <v>134</v>
      </c>
      <c r="C187" s="84" t="s">
        <v>171</v>
      </c>
      <c r="D187" s="84" t="s">
        <v>22</v>
      </c>
      <c r="E187" s="81" t="str">
        <f>VLOOKUP(D187,'[2]Lista de Produtos CLASSIFICAÇÃO'!$E$103:$F$114,2,FALSE)</f>
        <v>Metanol</v>
      </c>
      <c r="F187" s="81" t="str">
        <f>VLOOKUP(C187,clientes!$C$3:$D$60,2,FALSE)</f>
        <v>VALENZ</v>
      </c>
      <c r="G187" s="85">
        <v>35727.848101265823</v>
      </c>
    </row>
    <row r="188" spans="1:7" x14ac:dyDescent="0.25">
      <c r="A188" s="80">
        <v>2026</v>
      </c>
      <c r="B188" s="81" t="s">
        <v>134</v>
      </c>
      <c r="C188" s="81" t="s">
        <v>160</v>
      </c>
      <c r="D188" s="81" t="s">
        <v>120</v>
      </c>
      <c r="E188" s="81" t="str">
        <f>VLOOKUP(D188,'[2]Lista de Produtos CLASSIFICAÇÃO'!$E$103:$F$114,2,FALSE)</f>
        <v>Derivados</v>
      </c>
      <c r="F188" s="81" t="str">
        <f>VLOOKUP(C188,clientes!$C$3:$D$60,2,FALSE)</f>
        <v>VIBRA</v>
      </c>
      <c r="G188" s="82">
        <v>18000</v>
      </c>
    </row>
    <row r="189" spans="1:7" x14ac:dyDescent="0.25">
      <c r="A189" s="83">
        <v>2026</v>
      </c>
      <c r="B189" s="84" t="s">
        <v>134</v>
      </c>
      <c r="C189" s="84" t="s">
        <v>160</v>
      </c>
      <c r="D189" s="84" t="s">
        <v>120</v>
      </c>
      <c r="E189" s="81" t="str">
        <f>VLOOKUP(D189,'[2]Lista de Produtos CLASSIFICAÇÃO'!$E$103:$F$114,2,FALSE)</f>
        <v>Derivados</v>
      </c>
      <c r="F189" s="81" t="str">
        <f>VLOOKUP(C189,clientes!$C$3:$D$60,2,FALSE)</f>
        <v>VIBRA</v>
      </c>
      <c r="G189" s="85">
        <v>0</v>
      </c>
    </row>
    <row r="190" spans="1:7" x14ac:dyDescent="0.25">
      <c r="A190" s="80">
        <v>2026</v>
      </c>
      <c r="B190" s="81" t="s">
        <v>135</v>
      </c>
      <c r="C190" s="81" t="s">
        <v>175</v>
      </c>
      <c r="D190" s="81" t="s">
        <v>123</v>
      </c>
      <c r="E190" s="81" t="str">
        <f>VLOOKUP(D190,'[2]Lista de Produtos CLASSIFICAÇÃO'!$E$103:$F$114,2,FALSE)</f>
        <v>Aquecidos</v>
      </c>
      <c r="F190" s="81" t="str">
        <f>VLOOKUP(C190,clientes!$C$3:$D$60,2,FALSE)</f>
        <v>AAK DO BRASIL</v>
      </c>
      <c r="G190" s="82">
        <v>4372.2222222222217</v>
      </c>
    </row>
    <row r="191" spans="1:7" x14ac:dyDescent="0.25">
      <c r="A191" s="83">
        <v>2026</v>
      </c>
      <c r="B191" s="84" t="s">
        <v>135</v>
      </c>
      <c r="C191" s="84" t="s">
        <v>157</v>
      </c>
      <c r="D191" s="84" t="s">
        <v>122</v>
      </c>
      <c r="E191" s="81" t="str">
        <f>VLOOKUP(D191,'[2]Lista de Produtos CLASSIFICAÇÃO'!$E$103:$F$114,2,FALSE)</f>
        <v>Óleo Vegetal</v>
      </c>
      <c r="F191" s="81" t="str">
        <f>VLOOKUP(C191,clientes!$C$3:$D$60,2,FALSE)</f>
        <v>ADM</v>
      </c>
      <c r="G191" s="85">
        <v>2826.086956521739</v>
      </c>
    </row>
    <row r="192" spans="1:7" x14ac:dyDescent="0.25">
      <c r="A192" s="80">
        <v>2026</v>
      </c>
      <c r="B192" s="81" t="s">
        <v>135</v>
      </c>
      <c r="C192" s="81" t="s">
        <v>18</v>
      </c>
      <c r="D192" s="81" t="s">
        <v>17</v>
      </c>
      <c r="E192" s="81" t="str">
        <f>VLOOKUP(D192,'[2]Lista de Produtos CLASSIFICAÇÃO'!$E$103:$F$114,2,FALSE)</f>
        <v>Acostagem</v>
      </c>
      <c r="F192" s="81" t="str">
        <f>VLOOKUP(C192,clientes!$C$3:$D$60,2,FALSE)</f>
        <v>ACOSTAGEM</v>
      </c>
      <c r="G192" s="82">
        <v>0</v>
      </c>
    </row>
    <row r="193" spans="1:7" x14ac:dyDescent="0.25">
      <c r="A193" s="83">
        <v>2026</v>
      </c>
      <c r="B193" s="84" t="s">
        <v>135</v>
      </c>
      <c r="C193" s="84" t="s">
        <v>155</v>
      </c>
      <c r="D193" s="84" t="s">
        <v>16</v>
      </c>
      <c r="E193" s="81" t="str">
        <f>VLOOKUP(D193,'[2]Lista de Produtos CLASSIFICAÇÃO'!$E$103:$F$114,2,FALSE)</f>
        <v>Outros</v>
      </c>
      <c r="F193" s="81" t="str">
        <f>VLOOKUP(C193,clientes!$C$3:$D$60,2,FALSE)</f>
        <v>ADISSEO</v>
      </c>
      <c r="G193" s="85">
        <v>3461.538461538461</v>
      </c>
    </row>
    <row r="194" spans="1:7" x14ac:dyDescent="0.25">
      <c r="A194" s="80">
        <v>2026</v>
      </c>
      <c r="B194" s="81" t="s">
        <v>135</v>
      </c>
      <c r="C194" s="81" t="s">
        <v>188</v>
      </c>
      <c r="D194" s="81" t="s">
        <v>123</v>
      </c>
      <c r="E194" s="81" t="str">
        <f>VLOOKUP(D194,'[2]Lista de Produtos CLASSIFICAÇÃO'!$E$103:$F$114,2,FALSE)</f>
        <v>Aquecidos</v>
      </c>
      <c r="F194" s="81" t="str">
        <f>VLOOKUP(C194,clientes!$C$3:$D$60,2,FALSE)</f>
        <v>ARES MERCHANTS PTE LIMITE</v>
      </c>
      <c r="G194" s="82">
        <v>3476.666666666667</v>
      </c>
    </row>
    <row r="195" spans="1:7" x14ac:dyDescent="0.25">
      <c r="A195" s="83">
        <v>2026</v>
      </c>
      <c r="B195" s="84" t="s">
        <v>135</v>
      </c>
      <c r="C195" s="84" t="s">
        <v>243</v>
      </c>
      <c r="D195" s="84" t="s">
        <v>120</v>
      </c>
      <c r="E195" s="81" t="str">
        <f>VLOOKUP(D195,'[2]Lista de Produtos CLASSIFICAÇÃO'!$E$103:$F$114,2,FALSE)</f>
        <v>Derivados</v>
      </c>
      <c r="F195" s="81" t="str">
        <f>VLOOKUP(C195,clientes!$C$3:$D$60,2,FALSE)</f>
        <v>ART PETRO</v>
      </c>
      <c r="G195" s="85">
        <v>9000</v>
      </c>
    </row>
    <row r="196" spans="1:7" x14ac:dyDescent="0.25">
      <c r="A196" s="80">
        <v>2026</v>
      </c>
      <c r="B196" s="81" t="s">
        <v>135</v>
      </c>
      <c r="C196" s="81" t="s">
        <v>165</v>
      </c>
      <c r="D196" s="81" t="s">
        <v>123</v>
      </c>
      <c r="E196" s="81" t="str">
        <f>VLOOKUP(D196,'[2]Lista de Produtos CLASSIFICAÇÃO'!$E$103:$F$114,2,FALSE)</f>
        <v>Aquecidos</v>
      </c>
      <c r="F196" s="81" t="str">
        <f>VLOOKUP(C196,clientes!$C$3:$D$60,2,FALSE)</f>
        <v>BRF</v>
      </c>
      <c r="G196" s="82">
        <v>3526.666666666667</v>
      </c>
    </row>
    <row r="197" spans="1:7" x14ac:dyDescent="0.25">
      <c r="A197" s="83">
        <v>2026</v>
      </c>
      <c r="B197" s="84" t="s">
        <v>135</v>
      </c>
      <c r="C197" s="84" t="s">
        <v>179</v>
      </c>
      <c r="D197" s="84" t="s">
        <v>26</v>
      </c>
      <c r="E197" s="81" t="str">
        <f>VLOOKUP(D197,'[2]Lista de Produtos CLASSIFICAÇÃO'!$E$103:$F$114,2,FALSE)</f>
        <v>Biocombustíveis</v>
      </c>
      <c r="F197" s="81" t="str">
        <f>VLOOKUP(C197,clientes!$C$3:$D$60,2,FALSE)</f>
        <v>BSBIOS</v>
      </c>
      <c r="G197" s="85">
        <v>6356.9767441860467</v>
      </c>
    </row>
    <row r="198" spans="1:7" x14ac:dyDescent="0.25">
      <c r="A198" s="80">
        <v>2026</v>
      </c>
      <c r="B198" s="81" t="s">
        <v>135</v>
      </c>
      <c r="C198" s="81" t="s">
        <v>239</v>
      </c>
      <c r="D198" s="81" t="s">
        <v>115</v>
      </c>
      <c r="E198" s="81" t="str">
        <f>VLOOKUP(D198,'[2]Lista de Produtos CLASSIFICAÇÃO'!$E$103:$F$114,2,FALSE)</f>
        <v>Soda Caustica</v>
      </c>
      <c r="F198" s="81" t="str">
        <f>VLOOKUP(C198,clientes!$C$3:$D$60,2,FALSE)</f>
        <v>BSC QUIMICA</v>
      </c>
      <c r="G198" s="82">
        <v>1786.666666666667</v>
      </c>
    </row>
    <row r="199" spans="1:7" x14ac:dyDescent="0.25">
      <c r="A199" s="83">
        <v>2026</v>
      </c>
      <c r="B199" s="84" t="s">
        <v>135</v>
      </c>
      <c r="C199" s="84" t="s">
        <v>177</v>
      </c>
      <c r="D199" s="84" t="s">
        <v>115</v>
      </c>
      <c r="E199" s="81" t="str">
        <f>VLOOKUP(D199,'[2]Lista de Produtos CLASSIFICAÇÃO'!$E$103:$F$114,2,FALSE)</f>
        <v>Soda Caustica</v>
      </c>
      <c r="F199" s="81" t="str">
        <f>VLOOKUP(C199,clientes!$C$3:$D$60,2,FALSE)</f>
        <v>BRENNTAG</v>
      </c>
      <c r="G199" s="85">
        <v>1020</v>
      </c>
    </row>
    <row r="200" spans="1:7" x14ac:dyDescent="0.25">
      <c r="A200" s="80">
        <v>2026</v>
      </c>
      <c r="B200" s="81" t="s">
        <v>135</v>
      </c>
      <c r="C200" s="81" t="s">
        <v>156</v>
      </c>
      <c r="D200" s="81" t="s">
        <v>123</v>
      </c>
      <c r="E200" s="81" t="str">
        <f>VLOOKUP(D200,'[2]Lista de Produtos CLASSIFICAÇÃO'!$E$103:$F$114,2,FALSE)</f>
        <v>Aquecidos</v>
      </c>
      <c r="F200" s="81" t="str">
        <f>VLOOKUP(C200,clientes!$C$3:$D$60,2,FALSE)</f>
        <v>BUNGE</v>
      </c>
      <c r="G200" s="82">
        <v>2111.1111111111109</v>
      </c>
    </row>
    <row r="201" spans="1:7" x14ac:dyDescent="0.25">
      <c r="A201" s="83">
        <v>2026</v>
      </c>
      <c r="B201" s="84" t="s">
        <v>135</v>
      </c>
      <c r="C201" s="84" t="s">
        <v>166</v>
      </c>
      <c r="D201" s="84" t="s">
        <v>123</v>
      </c>
      <c r="E201" s="81" t="str">
        <f>VLOOKUP(D201,'[2]Lista de Produtos CLASSIFICAÇÃO'!$E$103:$F$114,2,FALSE)</f>
        <v>Aquecidos</v>
      </c>
      <c r="F201" s="81" t="str">
        <f>VLOOKUP(C201,clientes!$C$3:$D$60,2,FALSE)</f>
        <v>CARGILL</v>
      </c>
      <c r="G201" s="85">
        <v>1035.555555555555</v>
      </c>
    </row>
    <row r="202" spans="1:7" x14ac:dyDescent="0.25">
      <c r="A202" s="80">
        <v>2026</v>
      </c>
      <c r="B202" s="81" t="s">
        <v>135</v>
      </c>
      <c r="C202" s="81" t="s">
        <v>166</v>
      </c>
      <c r="D202" s="81" t="s">
        <v>122</v>
      </c>
      <c r="E202" s="81" t="str">
        <f>VLOOKUP(D202,'[2]Lista de Produtos CLASSIFICAÇÃO'!$E$103:$F$114,2,FALSE)</f>
        <v>Óleo Vegetal</v>
      </c>
      <c r="F202" s="81" t="str">
        <f>VLOOKUP(C202,clientes!$C$3:$D$60,2,FALSE)</f>
        <v>CARGILL</v>
      </c>
      <c r="G202" s="82">
        <v>483.695652173913</v>
      </c>
    </row>
    <row r="203" spans="1:7" x14ac:dyDescent="0.25">
      <c r="A203" s="83">
        <v>2026</v>
      </c>
      <c r="B203" s="84" t="s">
        <v>135</v>
      </c>
      <c r="C203" s="84" t="s">
        <v>174</v>
      </c>
      <c r="D203" s="84" t="s">
        <v>123</v>
      </c>
      <c r="E203" s="81" t="str">
        <f>VLOOKUP(D203,'[2]Lista de Produtos CLASSIFICAÇÃO'!$E$103:$F$114,2,FALSE)</f>
        <v>Aquecidos</v>
      </c>
      <c r="F203" s="81" t="str">
        <f>VLOOKUP(C203,clientes!$C$3:$D$60,2,FALSE)</f>
        <v>CELENA</v>
      </c>
      <c r="G203" s="85">
        <v>13401.111111111109</v>
      </c>
    </row>
    <row r="204" spans="1:7" x14ac:dyDescent="0.25">
      <c r="A204" s="80">
        <v>2026</v>
      </c>
      <c r="B204" s="81" t="s">
        <v>135</v>
      </c>
      <c r="C204" s="81" t="s">
        <v>185</v>
      </c>
      <c r="D204" s="81" t="s">
        <v>120</v>
      </c>
      <c r="E204" s="81" t="str">
        <f>VLOOKUP(D204,'[2]Lista de Produtos CLASSIFICAÇÃO'!$E$103:$F$114,2,FALSE)</f>
        <v>Derivados</v>
      </c>
      <c r="F204" s="81" t="str">
        <f>VLOOKUP(C204,clientes!$C$3:$D$60,2,FALSE)</f>
        <v>CIAPETRO</v>
      </c>
      <c r="G204" s="82">
        <v>13493.975903614461</v>
      </c>
    </row>
    <row r="205" spans="1:7" x14ac:dyDescent="0.25">
      <c r="A205" s="83">
        <v>2026</v>
      </c>
      <c r="B205" s="84" t="s">
        <v>135</v>
      </c>
      <c r="C205" s="84" t="s">
        <v>181</v>
      </c>
      <c r="D205" s="84" t="s">
        <v>123</v>
      </c>
      <c r="E205" s="81" t="str">
        <f>VLOOKUP(D205,'[2]Lista de Produtos CLASSIFICAÇÃO'!$E$103:$F$114,2,FALSE)</f>
        <v>Aquecidos</v>
      </c>
      <c r="F205" s="81" t="str">
        <f>VLOOKUP(C205,clientes!$C$3:$D$60,2,FALSE)</f>
        <v>COAMO</v>
      </c>
      <c r="G205" s="85">
        <v>1786.666666666667</v>
      </c>
    </row>
    <row r="206" spans="1:7" x14ac:dyDescent="0.25">
      <c r="A206" s="80">
        <v>2026</v>
      </c>
      <c r="B206" s="81" t="s">
        <v>135</v>
      </c>
      <c r="C206" s="81" t="s">
        <v>236</v>
      </c>
      <c r="D206" s="81" t="s">
        <v>121</v>
      </c>
      <c r="E206" s="81" t="str">
        <f>VLOOKUP(D206,'[2]Lista de Produtos CLASSIFICAÇÃO'!$E$103:$F$114,2,FALSE)</f>
        <v>Biocombustíveis</v>
      </c>
      <c r="F206" s="81" t="str">
        <f>VLOOKUP(C206,clientes!$C$3:$D$60,2,FALSE)</f>
        <v>ETANOL OUTROS</v>
      </c>
      <c r="G206" s="82">
        <v>0</v>
      </c>
    </row>
    <row r="207" spans="1:7" x14ac:dyDescent="0.25">
      <c r="A207" s="83">
        <v>2026</v>
      </c>
      <c r="B207" s="84" t="s">
        <v>135</v>
      </c>
      <c r="C207" s="84" t="s">
        <v>172</v>
      </c>
      <c r="D207" s="84" t="s">
        <v>124</v>
      </c>
      <c r="E207" s="81" t="str">
        <f>VLOOKUP(D207,'[2]Lista de Produtos CLASSIFICAÇÃO'!$E$103:$F$114,2,FALSE)</f>
        <v>Outros</v>
      </c>
      <c r="F207" s="81" t="str">
        <f>VLOOKUP(C207,clientes!$C$3:$D$60,2,FALSE)</f>
        <v>EVONIK</v>
      </c>
      <c r="G207" s="85">
        <v>1927.8481012658231</v>
      </c>
    </row>
    <row r="208" spans="1:7" x14ac:dyDescent="0.25">
      <c r="A208" s="80">
        <v>2026</v>
      </c>
      <c r="B208" s="81" t="s">
        <v>135</v>
      </c>
      <c r="C208" s="81" t="s">
        <v>240</v>
      </c>
      <c r="D208" s="81" t="s">
        <v>121</v>
      </c>
      <c r="E208" s="81" t="str">
        <f>VLOOKUP(D208,'[2]Lista de Produtos CLASSIFICAÇÃO'!$E$103:$F$114,2,FALSE)</f>
        <v>Biocombustíveis</v>
      </c>
      <c r="F208" s="81" t="str">
        <f>VLOOKUP(C208,clientes!$C$3:$D$60,2,FALSE)</f>
        <v>FS</v>
      </c>
      <c r="G208" s="82">
        <v>9200</v>
      </c>
    </row>
    <row r="209" spans="1:7" x14ac:dyDescent="0.25">
      <c r="A209" s="83">
        <v>2026</v>
      </c>
      <c r="B209" s="84" t="s">
        <v>135</v>
      </c>
      <c r="C209" s="84" t="s">
        <v>240</v>
      </c>
      <c r="D209" s="84" t="s">
        <v>121</v>
      </c>
      <c r="E209" s="81" t="str">
        <f>VLOOKUP(D209,'[2]Lista de Produtos CLASSIFICAÇÃO'!$E$103:$F$114,2,FALSE)</f>
        <v>Biocombustíveis</v>
      </c>
      <c r="F209" s="81" t="str">
        <f>VLOOKUP(C209,clientes!$C$3:$D$60,2,FALSE)</f>
        <v>FS</v>
      </c>
      <c r="G209" s="85">
        <v>20000</v>
      </c>
    </row>
    <row r="210" spans="1:7" x14ac:dyDescent="0.25">
      <c r="A210" s="80">
        <v>2026</v>
      </c>
      <c r="B210" s="81" t="s">
        <v>135</v>
      </c>
      <c r="C210" s="81" t="s">
        <v>237</v>
      </c>
      <c r="D210" s="81" t="s">
        <v>120</v>
      </c>
      <c r="E210" s="81" t="str">
        <f>VLOOKUP(D210,'[2]Lista de Produtos CLASSIFICAÇÃO'!$E$103:$F$114,2,FALSE)</f>
        <v>Derivados</v>
      </c>
      <c r="F210" s="81" t="str">
        <f>VLOOKUP(C210,clientes!$C$3:$D$60,2,FALSE)</f>
        <v>FORTEZA TRADING DMCC</v>
      </c>
      <c r="G210" s="82">
        <v>3660.2409638554218</v>
      </c>
    </row>
    <row r="211" spans="1:7" x14ac:dyDescent="0.25">
      <c r="A211" s="83">
        <v>2026</v>
      </c>
      <c r="B211" s="84" t="s">
        <v>135</v>
      </c>
      <c r="C211" s="84" t="s">
        <v>191</v>
      </c>
      <c r="D211" s="84" t="s">
        <v>115</v>
      </c>
      <c r="E211" s="81" t="str">
        <f>VLOOKUP(D211,'[2]Lista de Produtos CLASSIFICAÇÃO'!$E$103:$F$114,2,FALSE)</f>
        <v>Soda Caustica</v>
      </c>
      <c r="F211" s="81" t="str">
        <f>VLOOKUP(C211,clientes!$C$3:$D$60,2,FALSE)</f>
        <v>GPC</v>
      </c>
      <c r="G211" s="85">
        <v>873.33333333333337</v>
      </c>
    </row>
    <row r="212" spans="1:7" x14ac:dyDescent="0.25">
      <c r="A212" s="80">
        <v>2026</v>
      </c>
      <c r="B212" s="81" t="s">
        <v>135</v>
      </c>
      <c r="C212" s="81" t="s">
        <v>189</v>
      </c>
      <c r="D212" s="81" t="s">
        <v>123</v>
      </c>
      <c r="E212" s="81" t="str">
        <f>VLOOKUP(D212,'[2]Lista de Produtos CLASSIFICAÇÃO'!$E$103:$F$114,2,FALSE)</f>
        <v>Aquecidos</v>
      </c>
      <c r="F212" s="81" t="str">
        <f>VLOOKUP(C212,clientes!$C$3:$D$60,2,FALSE)</f>
        <v>ICOF</v>
      </c>
      <c r="G212" s="82">
        <v>4983.333333333333</v>
      </c>
    </row>
    <row r="213" spans="1:7" x14ac:dyDescent="0.25">
      <c r="A213" s="83">
        <v>2026</v>
      </c>
      <c r="B213" s="84" t="s">
        <v>135</v>
      </c>
      <c r="C213" s="84" t="s">
        <v>184</v>
      </c>
      <c r="D213" s="84" t="s">
        <v>122</v>
      </c>
      <c r="E213" s="81" t="str">
        <f>VLOOKUP(D213,'[2]Lista de Produtos CLASSIFICAÇÃO'!$E$103:$F$114,2,FALSE)</f>
        <v>Óleo Vegetal</v>
      </c>
      <c r="F213" s="81" t="str">
        <f>VLOOKUP(C213,clientes!$C$3:$D$60,2,FALSE)</f>
        <v>INGREDION</v>
      </c>
      <c r="G213" s="85">
        <v>295.65217391304338</v>
      </c>
    </row>
    <row r="214" spans="1:7" x14ac:dyDescent="0.25">
      <c r="A214" s="80">
        <v>2026</v>
      </c>
      <c r="B214" s="81" t="s">
        <v>135</v>
      </c>
      <c r="C214" s="81" t="s">
        <v>192</v>
      </c>
      <c r="D214" s="81" t="s">
        <v>121</v>
      </c>
      <c r="E214" s="81" t="str">
        <f>VLOOKUP(D214,'[2]Lista de Produtos CLASSIFICAÇÃO'!$E$103:$F$114,2,FALSE)</f>
        <v>Biocombustíveis</v>
      </c>
      <c r="F214" s="81" t="str">
        <f>VLOOKUP(C214,clientes!$C$3:$D$60,2,FALSE)</f>
        <v>INPASA</v>
      </c>
      <c r="G214" s="82">
        <v>12146.25</v>
      </c>
    </row>
    <row r="215" spans="1:7" x14ac:dyDescent="0.25">
      <c r="A215" s="83">
        <v>2026</v>
      </c>
      <c r="B215" s="84" t="s">
        <v>135</v>
      </c>
      <c r="C215" s="84" t="s">
        <v>192</v>
      </c>
      <c r="D215" s="84" t="s">
        <v>121</v>
      </c>
      <c r="E215" s="81" t="str">
        <f>VLOOKUP(D215,'[2]Lista de Produtos CLASSIFICAÇÃO'!$E$103:$F$114,2,FALSE)</f>
        <v>Biocombustíveis</v>
      </c>
      <c r="F215" s="81" t="str">
        <f>VLOOKUP(C215,clientes!$C$3:$D$60,2,FALSE)</f>
        <v>INPASA</v>
      </c>
      <c r="G215" s="85">
        <v>20000</v>
      </c>
    </row>
    <row r="216" spans="1:7" x14ac:dyDescent="0.25">
      <c r="A216" s="80">
        <v>2026</v>
      </c>
      <c r="B216" s="81" t="s">
        <v>135</v>
      </c>
      <c r="C216" s="81" t="s">
        <v>158</v>
      </c>
      <c r="D216" s="81" t="s">
        <v>120</v>
      </c>
      <c r="E216" s="81" t="str">
        <f>VLOOKUP(D216,'[2]Lista de Produtos CLASSIFICAÇÃO'!$E$103:$F$114,2,FALSE)</f>
        <v>Derivados</v>
      </c>
      <c r="F216" s="81" t="str">
        <f>VLOOKUP(C216,clientes!$C$3:$D$60,2,FALSE)</f>
        <v>IPIRANGA</v>
      </c>
      <c r="G216" s="82">
        <v>63000</v>
      </c>
    </row>
    <row r="217" spans="1:7" x14ac:dyDescent="0.25">
      <c r="A217" s="83">
        <v>2026</v>
      </c>
      <c r="B217" s="84" t="s">
        <v>135</v>
      </c>
      <c r="C217" s="84" t="s">
        <v>162</v>
      </c>
      <c r="D217" s="84" t="s">
        <v>123</v>
      </c>
      <c r="E217" s="81" t="str">
        <f>VLOOKUP(D217,'[2]Lista de Produtos CLASSIFICAÇÃO'!$E$103:$F$114,2,FALSE)</f>
        <v>Aquecidos</v>
      </c>
      <c r="F217" s="81" t="str">
        <f>VLOOKUP(C217,clientes!$C$3:$D$60,2,FALSE)</f>
        <v>JBS</v>
      </c>
      <c r="G217" s="85">
        <v>3444.4444444444439</v>
      </c>
    </row>
    <row r="218" spans="1:7" x14ac:dyDescent="0.25">
      <c r="A218" s="80">
        <v>2026</v>
      </c>
      <c r="B218" s="81" t="s">
        <v>135</v>
      </c>
      <c r="C218" s="81" t="s">
        <v>162</v>
      </c>
      <c r="D218" s="81" t="s">
        <v>115</v>
      </c>
      <c r="E218" s="81" t="str">
        <f>VLOOKUP(D218,'[2]Lista de Produtos CLASSIFICAÇÃO'!$E$103:$F$114,2,FALSE)</f>
        <v>Soda Caustica</v>
      </c>
      <c r="F218" s="81" t="str">
        <f>VLOOKUP(C218,clientes!$C$3:$D$60,2,FALSE)</f>
        <v>JBS</v>
      </c>
      <c r="G218" s="82">
        <v>1200</v>
      </c>
    </row>
    <row r="219" spans="1:7" x14ac:dyDescent="0.25">
      <c r="A219" s="83">
        <v>2026</v>
      </c>
      <c r="B219" s="84" t="s">
        <v>135</v>
      </c>
      <c r="C219" s="84" t="s">
        <v>169</v>
      </c>
      <c r="D219" s="84" t="s">
        <v>22</v>
      </c>
      <c r="E219" s="81" t="str">
        <f>VLOOKUP(D219,'[2]Lista de Produtos CLASSIFICAÇÃO'!$E$103:$F$114,2,FALSE)</f>
        <v>Metanol</v>
      </c>
      <c r="F219" s="81" t="str">
        <f>VLOOKUP(C219,clientes!$C$3:$D$60,2,FALSE)</f>
        <v>METHANEX</v>
      </c>
      <c r="G219" s="85">
        <v>83973.417721518985</v>
      </c>
    </row>
    <row r="220" spans="1:7" x14ac:dyDescent="0.25">
      <c r="A220" s="80">
        <v>2026</v>
      </c>
      <c r="B220" s="81" t="s">
        <v>135</v>
      </c>
      <c r="C220" s="81" t="s">
        <v>169</v>
      </c>
      <c r="D220" s="81" t="s">
        <v>22</v>
      </c>
      <c r="E220" s="81" t="str">
        <f>VLOOKUP(D220,'[2]Lista de Produtos CLASSIFICAÇÃO'!$E$103:$F$114,2,FALSE)</f>
        <v>Metanol</v>
      </c>
      <c r="F220" s="81" t="str">
        <f>VLOOKUP(C220,clientes!$C$3:$D$60,2,FALSE)</f>
        <v>METHANEX</v>
      </c>
      <c r="G220" s="82">
        <v>26959.49367088607</v>
      </c>
    </row>
    <row r="221" spans="1:7" x14ac:dyDescent="0.25">
      <c r="A221" s="83">
        <v>2026</v>
      </c>
      <c r="B221" s="84" t="s">
        <v>135</v>
      </c>
      <c r="C221" s="84" t="s">
        <v>170</v>
      </c>
      <c r="D221" s="84" t="s">
        <v>22</v>
      </c>
      <c r="E221" s="81" t="str">
        <f>VLOOKUP(D221,'[2]Lista de Produtos CLASSIFICAÇÃO'!$E$103:$F$114,2,FALSE)</f>
        <v>Metanol</v>
      </c>
      <c r="F221" s="81" t="str">
        <f>VLOOKUP(C221,clientes!$C$3:$D$60,2,FALSE)</f>
        <v>MITSUBISHI</v>
      </c>
      <c r="G221" s="85">
        <v>12239.24050632911</v>
      </c>
    </row>
    <row r="222" spans="1:7" x14ac:dyDescent="0.25">
      <c r="A222" s="80">
        <v>2026</v>
      </c>
      <c r="B222" s="81" t="s">
        <v>135</v>
      </c>
      <c r="C222" s="81" t="s">
        <v>186</v>
      </c>
      <c r="D222" s="81" t="s">
        <v>22</v>
      </c>
      <c r="E222" s="81" t="str">
        <f>VLOOKUP(D222,'[2]Lista de Produtos CLASSIFICAÇÃO'!$E$103:$F$114,2,FALSE)</f>
        <v>Metanol</v>
      </c>
      <c r="F222" s="81" t="str">
        <f>VLOOKUP(C222,clientes!$C$3:$D$60,2,FALSE)</f>
        <v>OQ TRADING</v>
      </c>
      <c r="G222" s="82">
        <v>15189.873417721519</v>
      </c>
    </row>
    <row r="223" spans="1:7" x14ac:dyDescent="0.25">
      <c r="A223" s="83">
        <v>2026</v>
      </c>
      <c r="B223" s="84" t="s">
        <v>135</v>
      </c>
      <c r="C223" s="84" t="s">
        <v>186</v>
      </c>
      <c r="D223" s="84" t="s">
        <v>22</v>
      </c>
      <c r="E223" s="81" t="str">
        <f>VLOOKUP(D223,'[2]Lista de Produtos CLASSIFICAÇÃO'!$E$103:$F$114,2,FALSE)</f>
        <v>Metanol</v>
      </c>
      <c r="F223" s="81" t="str">
        <f>VLOOKUP(C223,clientes!$C$3:$D$60,2,FALSE)</f>
        <v>OQ TRADING</v>
      </c>
      <c r="G223" s="85">
        <v>6329.1139240506327</v>
      </c>
    </row>
    <row r="224" spans="1:7" x14ac:dyDescent="0.25">
      <c r="A224" s="80">
        <v>2026</v>
      </c>
      <c r="B224" s="81" t="s">
        <v>135</v>
      </c>
      <c r="C224" s="81" t="s">
        <v>178</v>
      </c>
      <c r="D224" s="81" t="s">
        <v>115</v>
      </c>
      <c r="E224" s="81" t="str">
        <f>VLOOKUP(D224,'[2]Lista de Produtos CLASSIFICAÇÃO'!$E$103:$F$114,2,FALSE)</f>
        <v>Soda Caustica</v>
      </c>
      <c r="F224" s="81" t="str">
        <f>VLOOKUP(C224,clientes!$C$3:$D$60,2,FALSE)</f>
        <v>OLIN BLUE CUBE</v>
      </c>
      <c r="G224" s="82">
        <v>15088.66666666667</v>
      </c>
    </row>
    <row r="225" spans="1:7" x14ac:dyDescent="0.25">
      <c r="A225" s="83">
        <v>2026</v>
      </c>
      <c r="B225" s="84" t="s">
        <v>135</v>
      </c>
      <c r="C225" s="84" t="s">
        <v>167</v>
      </c>
      <c r="D225" s="84" t="s">
        <v>122</v>
      </c>
      <c r="E225" s="81" t="str">
        <f>VLOOKUP(D225,'[2]Lista de Produtos CLASSIFICAÇÃO'!$E$103:$F$114,2,FALSE)</f>
        <v>Óleo Vegetal</v>
      </c>
      <c r="F225" s="81" t="str">
        <f>VLOOKUP(C225,clientes!$C$3:$D$60,2,FALSE)</f>
        <v>POOL</v>
      </c>
      <c r="G225" s="85">
        <v>81326.086956521729</v>
      </c>
    </row>
    <row r="226" spans="1:7" x14ac:dyDescent="0.25">
      <c r="A226" s="80">
        <v>2026</v>
      </c>
      <c r="B226" s="81" t="s">
        <v>135</v>
      </c>
      <c r="C226" s="81" t="s">
        <v>168</v>
      </c>
      <c r="D226" s="81" t="s">
        <v>122</v>
      </c>
      <c r="E226" s="81" t="str">
        <f>VLOOKUP(D226,'[2]Lista de Produtos CLASSIFICAÇÃO'!$E$103:$F$114,2,FALSE)</f>
        <v>Óleo Vegetal</v>
      </c>
      <c r="F226" s="81" t="str">
        <f>VLOOKUP(C226,clientes!$C$3:$D$60,2,FALSE)</f>
        <v>POOL EXCEDENTE</v>
      </c>
      <c r="G226" s="82">
        <v>652.17391304347825</v>
      </c>
    </row>
    <row r="227" spans="1:7" x14ac:dyDescent="0.25">
      <c r="A227" s="83">
        <v>2026</v>
      </c>
      <c r="B227" s="84" t="s">
        <v>135</v>
      </c>
      <c r="C227" s="84" t="s">
        <v>238</v>
      </c>
      <c r="D227" s="84" t="s">
        <v>26</v>
      </c>
      <c r="E227" s="81" t="str">
        <f>VLOOKUP(D227,'[2]Lista de Produtos CLASSIFICAÇÃO'!$E$103:$F$114,2,FALSE)</f>
        <v>Biocombustíveis</v>
      </c>
      <c r="F227" s="81" t="str">
        <f>VLOOKUP(C227,clientes!$C$3:$D$60,2,FALSE)</f>
        <v>PRISMA</v>
      </c>
      <c r="G227" s="85">
        <v>5137.2093023255811</v>
      </c>
    </row>
    <row r="228" spans="1:7" x14ac:dyDescent="0.25">
      <c r="A228" s="80">
        <v>2026</v>
      </c>
      <c r="B228" s="81" t="s">
        <v>135</v>
      </c>
      <c r="C228" s="81" t="s">
        <v>159</v>
      </c>
      <c r="D228" s="81" t="s">
        <v>120</v>
      </c>
      <c r="E228" s="81" t="str">
        <f>VLOOKUP(D228,'[2]Lista de Produtos CLASSIFICAÇÃO'!$E$103:$F$114,2,FALSE)</f>
        <v>Derivados</v>
      </c>
      <c r="F228" s="81" t="str">
        <f>VLOOKUP(C228,clientes!$C$3:$D$60,2,FALSE)</f>
        <v>RAIZEN</v>
      </c>
      <c r="G228" s="82">
        <v>45000</v>
      </c>
    </row>
    <row r="229" spans="1:7" x14ac:dyDescent="0.25">
      <c r="A229" s="83">
        <v>2026</v>
      </c>
      <c r="B229" s="84" t="s">
        <v>135</v>
      </c>
      <c r="C229" s="84" t="s">
        <v>242</v>
      </c>
      <c r="D229" s="84" t="s">
        <v>120</v>
      </c>
      <c r="E229" s="81" t="str">
        <f>VLOOKUP(D229,'[2]Lista de Produtos CLASSIFICAÇÃO'!$E$103:$F$114,2,FALSE)</f>
        <v>Derivados</v>
      </c>
      <c r="F229" s="81" t="str">
        <f>VLOOKUP(C229,clientes!$C$3:$D$60,2,FALSE)</f>
        <v>RODOOIL DISTRIBUIDORA</v>
      </c>
      <c r="G229" s="85">
        <v>18000</v>
      </c>
    </row>
    <row r="230" spans="1:7" x14ac:dyDescent="0.25">
      <c r="A230" s="80">
        <v>2026</v>
      </c>
      <c r="B230" s="81" t="s">
        <v>135</v>
      </c>
      <c r="C230" s="81" t="s">
        <v>241</v>
      </c>
      <c r="D230" s="81" t="s">
        <v>120</v>
      </c>
      <c r="E230" s="81" t="str">
        <f>VLOOKUP(D230,'[2]Lista de Produtos CLASSIFICAÇÃO'!$E$103:$F$114,2,FALSE)</f>
        <v>Derivados</v>
      </c>
      <c r="F230" s="81" t="str">
        <f>VLOOKUP(C230,clientes!$C$3:$D$60,2,FALSE)</f>
        <v>ROYAL FIC</v>
      </c>
      <c r="G230" s="82">
        <v>18000</v>
      </c>
    </row>
    <row r="231" spans="1:7" x14ac:dyDescent="0.25">
      <c r="A231" s="83">
        <v>2026</v>
      </c>
      <c r="B231" s="84" t="s">
        <v>135</v>
      </c>
      <c r="C231" s="84" t="s">
        <v>161</v>
      </c>
      <c r="D231" s="84" t="s">
        <v>120</v>
      </c>
      <c r="E231" s="81" t="str">
        <f>VLOOKUP(D231,'[2]Lista de Produtos CLASSIFICAÇÃO'!$E$103:$F$114,2,FALSE)</f>
        <v>Derivados</v>
      </c>
      <c r="F231" s="81" t="str">
        <f>VLOOKUP(C231,clientes!$C$3:$D$60,2,FALSE)</f>
        <v>SUL PLATA</v>
      </c>
      <c r="G231" s="85">
        <v>36000</v>
      </c>
    </row>
    <row r="232" spans="1:7" x14ac:dyDescent="0.25">
      <c r="A232" s="80">
        <v>2026</v>
      </c>
      <c r="B232" s="81" t="s">
        <v>135</v>
      </c>
      <c r="C232" s="81" t="s">
        <v>244</v>
      </c>
      <c r="D232" s="81" t="s">
        <v>120</v>
      </c>
      <c r="E232" s="81" t="str">
        <f>VLOOKUP(D232,'[2]Lista de Produtos CLASSIFICAÇÃO'!$E$103:$F$114,2,FALSE)</f>
        <v>Derivados</v>
      </c>
      <c r="F232" s="81" t="str">
        <f>VLOOKUP(C232,clientes!$C$3:$D$60,2,FALSE)</f>
        <v>TAURUS</v>
      </c>
      <c r="G232" s="82">
        <v>9000</v>
      </c>
    </row>
    <row r="233" spans="1:7" x14ac:dyDescent="0.25">
      <c r="A233" s="83">
        <v>2026</v>
      </c>
      <c r="B233" s="84" t="s">
        <v>135</v>
      </c>
      <c r="C233" s="84" t="s">
        <v>163</v>
      </c>
      <c r="D233" s="84" t="s">
        <v>115</v>
      </c>
      <c r="E233" s="81" t="str">
        <f>VLOOKUP(D233,'[2]Lista de Produtos CLASSIFICAÇÃO'!$E$103:$F$114,2,FALSE)</f>
        <v>Soda Caustica</v>
      </c>
      <c r="F233" s="81" t="str">
        <f>VLOOKUP(C233,clientes!$C$3:$D$60,2,FALSE)</f>
        <v>TRICON ENERGY</v>
      </c>
      <c r="G233" s="85">
        <v>3866.666666666667</v>
      </c>
    </row>
    <row r="234" spans="1:7" x14ac:dyDescent="0.25">
      <c r="A234" s="80">
        <v>2026</v>
      </c>
      <c r="B234" s="81" t="s">
        <v>135</v>
      </c>
      <c r="C234" s="81" t="s">
        <v>171</v>
      </c>
      <c r="D234" s="81" t="s">
        <v>22</v>
      </c>
      <c r="E234" s="81" t="str">
        <f>VLOOKUP(D234,'[2]Lista de Produtos CLASSIFICAÇÃO'!$E$103:$F$114,2,FALSE)</f>
        <v>Metanol</v>
      </c>
      <c r="F234" s="81" t="str">
        <f>VLOOKUP(C234,clientes!$C$3:$D$60,2,FALSE)</f>
        <v>VALENZ</v>
      </c>
      <c r="G234" s="82">
        <v>35727.848101265823</v>
      </c>
    </row>
    <row r="235" spans="1:7" x14ac:dyDescent="0.25">
      <c r="A235" s="83">
        <v>2026</v>
      </c>
      <c r="B235" s="84" t="s">
        <v>135</v>
      </c>
      <c r="C235" s="84" t="s">
        <v>160</v>
      </c>
      <c r="D235" s="84" t="s">
        <v>120</v>
      </c>
      <c r="E235" s="81" t="str">
        <f>VLOOKUP(D235,'[2]Lista de Produtos CLASSIFICAÇÃO'!$E$103:$F$114,2,FALSE)</f>
        <v>Derivados</v>
      </c>
      <c r="F235" s="81" t="str">
        <f>VLOOKUP(C235,clientes!$C$3:$D$60,2,FALSE)</f>
        <v>VIBRA</v>
      </c>
      <c r="G235" s="85">
        <v>18000</v>
      </c>
    </row>
    <row r="236" spans="1:7" x14ac:dyDescent="0.25">
      <c r="A236" s="80">
        <v>2026</v>
      </c>
      <c r="B236" s="81" t="s">
        <v>135</v>
      </c>
      <c r="C236" s="81" t="s">
        <v>160</v>
      </c>
      <c r="D236" s="81" t="s">
        <v>120</v>
      </c>
      <c r="E236" s="81" t="str">
        <f>VLOOKUP(D236,'[2]Lista de Produtos CLASSIFICAÇÃO'!$E$103:$F$114,2,FALSE)</f>
        <v>Derivados</v>
      </c>
      <c r="F236" s="81" t="str">
        <f>VLOOKUP(C236,clientes!$C$3:$D$60,2,FALSE)</f>
        <v>VIBRA</v>
      </c>
      <c r="G236" s="82">
        <v>0</v>
      </c>
    </row>
    <row r="237" spans="1:7" x14ac:dyDescent="0.25">
      <c r="A237" s="83">
        <v>2026</v>
      </c>
      <c r="B237" s="84" t="s">
        <v>136</v>
      </c>
      <c r="C237" s="84" t="s">
        <v>175</v>
      </c>
      <c r="D237" s="84" t="s">
        <v>123</v>
      </c>
      <c r="E237" s="81" t="str">
        <f>VLOOKUP(D237,'[2]Lista de Produtos CLASSIFICAÇÃO'!$E$103:$F$114,2,FALSE)</f>
        <v>Aquecidos</v>
      </c>
      <c r="F237" s="81" t="str">
        <f>VLOOKUP(C237,clientes!$C$3:$D$60,2,FALSE)</f>
        <v>AAK DO BRASIL</v>
      </c>
      <c r="G237" s="85">
        <v>4372.2222222222217</v>
      </c>
    </row>
    <row r="238" spans="1:7" x14ac:dyDescent="0.25">
      <c r="A238" s="80">
        <v>2026</v>
      </c>
      <c r="B238" s="81" t="s">
        <v>136</v>
      </c>
      <c r="C238" s="81" t="s">
        <v>157</v>
      </c>
      <c r="D238" s="81" t="s">
        <v>122</v>
      </c>
      <c r="E238" s="81" t="str">
        <f>VLOOKUP(D238,'[2]Lista de Produtos CLASSIFICAÇÃO'!$E$103:$F$114,2,FALSE)</f>
        <v>Óleo Vegetal</v>
      </c>
      <c r="F238" s="81" t="str">
        <f>VLOOKUP(C238,clientes!$C$3:$D$60,2,FALSE)</f>
        <v>ADM</v>
      </c>
      <c r="G238" s="82">
        <v>2826.086956521739</v>
      </c>
    </row>
    <row r="239" spans="1:7" x14ac:dyDescent="0.25">
      <c r="A239" s="83">
        <v>2026</v>
      </c>
      <c r="B239" s="84" t="s">
        <v>136</v>
      </c>
      <c r="C239" s="84" t="s">
        <v>18</v>
      </c>
      <c r="D239" s="84" t="s">
        <v>17</v>
      </c>
      <c r="E239" s="81" t="str">
        <f>VLOOKUP(D239,'[2]Lista de Produtos CLASSIFICAÇÃO'!$E$103:$F$114,2,FALSE)</f>
        <v>Acostagem</v>
      </c>
      <c r="F239" s="81" t="str">
        <f>VLOOKUP(C239,clientes!$C$3:$D$60,2,FALSE)</f>
        <v>ACOSTAGEM</v>
      </c>
      <c r="G239" s="85">
        <v>0</v>
      </c>
    </row>
    <row r="240" spans="1:7" x14ac:dyDescent="0.25">
      <c r="A240" s="80">
        <v>2026</v>
      </c>
      <c r="B240" s="81" t="s">
        <v>136</v>
      </c>
      <c r="C240" s="81" t="s">
        <v>155</v>
      </c>
      <c r="D240" s="81" t="s">
        <v>16</v>
      </c>
      <c r="E240" s="81" t="str">
        <f>VLOOKUP(D240,'[2]Lista de Produtos CLASSIFICAÇÃO'!$E$103:$F$114,2,FALSE)</f>
        <v>Outros</v>
      </c>
      <c r="F240" s="81" t="str">
        <f>VLOOKUP(C240,clientes!$C$3:$D$60,2,FALSE)</f>
        <v>ADISSEO</v>
      </c>
      <c r="G240" s="82">
        <v>3461.538461538461</v>
      </c>
    </row>
    <row r="241" spans="1:7" x14ac:dyDescent="0.25">
      <c r="A241" s="83">
        <v>2026</v>
      </c>
      <c r="B241" s="84" t="s">
        <v>136</v>
      </c>
      <c r="C241" s="84" t="s">
        <v>188</v>
      </c>
      <c r="D241" s="84" t="s">
        <v>123</v>
      </c>
      <c r="E241" s="81" t="str">
        <f>VLOOKUP(D241,'[2]Lista de Produtos CLASSIFICAÇÃO'!$E$103:$F$114,2,FALSE)</f>
        <v>Aquecidos</v>
      </c>
      <c r="F241" s="81" t="str">
        <f>VLOOKUP(C241,clientes!$C$3:$D$60,2,FALSE)</f>
        <v>ARES MERCHANTS PTE LIMITE</v>
      </c>
      <c r="G241" s="85">
        <v>3476.666666666667</v>
      </c>
    </row>
    <row r="242" spans="1:7" x14ac:dyDescent="0.25">
      <c r="A242" s="80">
        <v>2026</v>
      </c>
      <c r="B242" s="81" t="s">
        <v>136</v>
      </c>
      <c r="C242" s="81" t="s">
        <v>243</v>
      </c>
      <c r="D242" s="81" t="s">
        <v>120</v>
      </c>
      <c r="E242" s="81" t="str">
        <f>VLOOKUP(D242,'[2]Lista de Produtos CLASSIFICAÇÃO'!$E$103:$F$114,2,FALSE)</f>
        <v>Derivados</v>
      </c>
      <c r="F242" s="81" t="str">
        <f>VLOOKUP(C242,clientes!$C$3:$D$60,2,FALSE)</f>
        <v>ART PETRO</v>
      </c>
      <c r="G242" s="82">
        <v>9000</v>
      </c>
    </row>
    <row r="243" spans="1:7" x14ac:dyDescent="0.25">
      <c r="A243" s="83">
        <v>2026</v>
      </c>
      <c r="B243" s="84" t="s">
        <v>136</v>
      </c>
      <c r="C243" s="84" t="s">
        <v>165</v>
      </c>
      <c r="D243" s="84" t="s">
        <v>123</v>
      </c>
      <c r="E243" s="81" t="str">
        <f>VLOOKUP(D243,'[2]Lista de Produtos CLASSIFICAÇÃO'!$E$103:$F$114,2,FALSE)</f>
        <v>Aquecidos</v>
      </c>
      <c r="F243" s="81" t="str">
        <f>VLOOKUP(C243,clientes!$C$3:$D$60,2,FALSE)</f>
        <v>BRF</v>
      </c>
      <c r="G243" s="85">
        <v>3526.666666666667</v>
      </c>
    </row>
    <row r="244" spans="1:7" x14ac:dyDescent="0.25">
      <c r="A244" s="80">
        <v>2026</v>
      </c>
      <c r="B244" s="81" t="s">
        <v>136</v>
      </c>
      <c r="C244" s="81" t="s">
        <v>179</v>
      </c>
      <c r="D244" s="81" t="s">
        <v>26</v>
      </c>
      <c r="E244" s="81" t="str">
        <f>VLOOKUP(D244,'[2]Lista de Produtos CLASSIFICAÇÃO'!$E$103:$F$114,2,FALSE)</f>
        <v>Biocombustíveis</v>
      </c>
      <c r="F244" s="81" t="str">
        <f>VLOOKUP(C244,clientes!$C$3:$D$60,2,FALSE)</f>
        <v>BSBIOS</v>
      </c>
      <c r="G244" s="82">
        <v>6356.9767441860467</v>
      </c>
    </row>
    <row r="245" spans="1:7" x14ac:dyDescent="0.25">
      <c r="A245" s="83">
        <v>2026</v>
      </c>
      <c r="B245" s="84" t="s">
        <v>136</v>
      </c>
      <c r="C245" s="84" t="s">
        <v>239</v>
      </c>
      <c r="D245" s="84" t="s">
        <v>115</v>
      </c>
      <c r="E245" s="81" t="str">
        <f>VLOOKUP(D245,'[2]Lista de Produtos CLASSIFICAÇÃO'!$E$103:$F$114,2,FALSE)</f>
        <v>Soda Caustica</v>
      </c>
      <c r="F245" s="81" t="str">
        <f>VLOOKUP(C245,clientes!$C$3:$D$60,2,FALSE)</f>
        <v>BSC QUIMICA</v>
      </c>
      <c r="G245" s="85">
        <v>1786.666666666667</v>
      </c>
    </row>
    <row r="246" spans="1:7" x14ac:dyDescent="0.25">
      <c r="A246" s="80">
        <v>2026</v>
      </c>
      <c r="B246" s="81" t="s">
        <v>136</v>
      </c>
      <c r="C246" s="81" t="s">
        <v>177</v>
      </c>
      <c r="D246" s="81" t="s">
        <v>115</v>
      </c>
      <c r="E246" s="81" t="str">
        <f>VLOOKUP(D246,'[2]Lista de Produtos CLASSIFICAÇÃO'!$E$103:$F$114,2,FALSE)</f>
        <v>Soda Caustica</v>
      </c>
      <c r="F246" s="81" t="str">
        <f>VLOOKUP(C246,clientes!$C$3:$D$60,2,FALSE)</f>
        <v>BRENNTAG</v>
      </c>
      <c r="G246" s="82">
        <v>1020</v>
      </c>
    </row>
    <row r="247" spans="1:7" x14ac:dyDescent="0.25">
      <c r="A247" s="83">
        <v>2026</v>
      </c>
      <c r="B247" s="84" t="s">
        <v>136</v>
      </c>
      <c r="C247" s="84" t="s">
        <v>156</v>
      </c>
      <c r="D247" s="84" t="s">
        <v>123</v>
      </c>
      <c r="E247" s="81" t="str">
        <f>VLOOKUP(D247,'[2]Lista de Produtos CLASSIFICAÇÃO'!$E$103:$F$114,2,FALSE)</f>
        <v>Aquecidos</v>
      </c>
      <c r="F247" s="81" t="str">
        <f>VLOOKUP(C247,clientes!$C$3:$D$60,2,FALSE)</f>
        <v>BUNGE</v>
      </c>
      <c r="G247" s="85">
        <v>2111.1111111111109</v>
      </c>
    </row>
    <row r="248" spans="1:7" x14ac:dyDescent="0.25">
      <c r="A248" s="80">
        <v>2026</v>
      </c>
      <c r="B248" s="81" t="s">
        <v>136</v>
      </c>
      <c r="C248" s="81" t="s">
        <v>166</v>
      </c>
      <c r="D248" s="81" t="s">
        <v>123</v>
      </c>
      <c r="E248" s="81" t="str">
        <f>VLOOKUP(D248,'[2]Lista de Produtos CLASSIFICAÇÃO'!$E$103:$F$114,2,FALSE)</f>
        <v>Aquecidos</v>
      </c>
      <c r="F248" s="81" t="str">
        <f>VLOOKUP(C248,clientes!$C$3:$D$60,2,FALSE)</f>
        <v>CARGILL</v>
      </c>
      <c r="G248" s="82">
        <v>1035.555555555555</v>
      </c>
    </row>
    <row r="249" spans="1:7" x14ac:dyDescent="0.25">
      <c r="A249" s="83">
        <v>2026</v>
      </c>
      <c r="B249" s="84" t="s">
        <v>136</v>
      </c>
      <c r="C249" s="84" t="s">
        <v>166</v>
      </c>
      <c r="D249" s="84" t="s">
        <v>122</v>
      </c>
      <c r="E249" s="81" t="str">
        <f>VLOOKUP(D249,'[2]Lista de Produtos CLASSIFICAÇÃO'!$E$103:$F$114,2,FALSE)</f>
        <v>Óleo Vegetal</v>
      </c>
      <c r="F249" s="81" t="str">
        <f>VLOOKUP(C249,clientes!$C$3:$D$60,2,FALSE)</f>
        <v>CARGILL</v>
      </c>
      <c r="G249" s="85">
        <v>483.695652173913</v>
      </c>
    </row>
    <row r="250" spans="1:7" x14ac:dyDescent="0.25">
      <c r="A250" s="80">
        <v>2026</v>
      </c>
      <c r="B250" s="81" t="s">
        <v>136</v>
      </c>
      <c r="C250" s="81" t="s">
        <v>174</v>
      </c>
      <c r="D250" s="81" t="s">
        <v>123</v>
      </c>
      <c r="E250" s="81" t="str">
        <f>VLOOKUP(D250,'[2]Lista de Produtos CLASSIFICAÇÃO'!$E$103:$F$114,2,FALSE)</f>
        <v>Aquecidos</v>
      </c>
      <c r="F250" s="81" t="str">
        <f>VLOOKUP(C250,clientes!$C$3:$D$60,2,FALSE)</f>
        <v>CELENA</v>
      </c>
      <c r="G250" s="82">
        <v>13401.111111111109</v>
      </c>
    </row>
    <row r="251" spans="1:7" x14ac:dyDescent="0.25">
      <c r="A251" s="83">
        <v>2026</v>
      </c>
      <c r="B251" s="84" t="s">
        <v>136</v>
      </c>
      <c r="C251" s="84" t="s">
        <v>185</v>
      </c>
      <c r="D251" s="84" t="s">
        <v>120</v>
      </c>
      <c r="E251" s="81" t="str">
        <f>VLOOKUP(D251,'[2]Lista de Produtos CLASSIFICAÇÃO'!$E$103:$F$114,2,FALSE)</f>
        <v>Derivados</v>
      </c>
      <c r="F251" s="81" t="str">
        <f>VLOOKUP(C251,clientes!$C$3:$D$60,2,FALSE)</f>
        <v>CIAPETRO</v>
      </c>
      <c r="G251" s="85">
        <v>13493.975903614461</v>
      </c>
    </row>
    <row r="252" spans="1:7" x14ac:dyDescent="0.25">
      <c r="A252" s="80">
        <v>2026</v>
      </c>
      <c r="B252" s="81" t="s">
        <v>136</v>
      </c>
      <c r="C252" s="81" t="s">
        <v>181</v>
      </c>
      <c r="D252" s="81" t="s">
        <v>123</v>
      </c>
      <c r="E252" s="81" t="str">
        <f>VLOOKUP(D252,'[2]Lista de Produtos CLASSIFICAÇÃO'!$E$103:$F$114,2,FALSE)</f>
        <v>Aquecidos</v>
      </c>
      <c r="F252" s="81" t="str">
        <f>VLOOKUP(C252,clientes!$C$3:$D$60,2,FALSE)</f>
        <v>COAMO</v>
      </c>
      <c r="G252" s="82">
        <v>1786.666666666667</v>
      </c>
    </row>
    <row r="253" spans="1:7" x14ac:dyDescent="0.25">
      <c r="A253" s="83">
        <v>2026</v>
      </c>
      <c r="B253" s="84" t="s">
        <v>136</v>
      </c>
      <c r="C253" s="84" t="s">
        <v>236</v>
      </c>
      <c r="D253" s="84" t="s">
        <v>121</v>
      </c>
      <c r="E253" s="81" t="str">
        <f>VLOOKUP(D253,'[2]Lista de Produtos CLASSIFICAÇÃO'!$E$103:$F$114,2,FALSE)</f>
        <v>Biocombustíveis</v>
      </c>
      <c r="F253" s="81" t="str">
        <f>VLOOKUP(C253,clientes!$C$3:$D$60,2,FALSE)</f>
        <v>ETANOL OUTROS</v>
      </c>
      <c r="G253" s="85">
        <v>0</v>
      </c>
    </row>
    <row r="254" spans="1:7" x14ac:dyDescent="0.25">
      <c r="A254" s="80">
        <v>2026</v>
      </c>
      <c r="B254" s="81" t="s">
        <v>136</v>
      </c>
      <c r="C254" s="81" t="s">
        <v>172</v>
      </c>
      <c r="D254" s="81" t="s">
        <v>124</v>
      </c>
      <c r="E254" s="81" t="str">
        <f>VLOOKUP(D254,'[2]Lista de Produtos CLASSIFICAÇÃO'!$E$103:$F$114,2,FALSE)</f>
        <v>Outros</v>
      </c>
      <c r="F254" s="81" t="str">
        <f>VLOOKUP(C254,clientes!$C$3:$D$60,2,FALSE)</f>
        <v>EVONIK</v>
      </c>
      <c r="G254" s="82">
        <v>1927.8481012658231</v>
      </c>
    </row>
    <row r="255" spans="1:7" x14ac:dyDescent="0.25">
      <c r="A255" s="83">
        <v>2026</v>
      </c>
      <c r="B255" s="84" t="s">
        <v>136</v>
      </c>
      <c r="C255" s="84" t="s">
        <v>240</v>
      </c>
      <c r="D255" s="84" t="s">
        <v>121</v>
      </c>
      <c r="E255" s="81" t="str">
        <f>VLOOKUP(D255,'[2]Lista de Produtos CLASSIFICAÇÃO'!$E$103:$F$114,2,FALSE)</f>
        <v>Biocombustíveis</v>
      </c>
      <c r="F255" s="81" t="str">
        <f>VLOOKUP(C255,clientes!$C$3:$D$60,2,FALSE)</f>
        <v>FS</v>
      </c>
      <c r="G255" s="85">
        <v>9200</v>
      </c>
    </row>
    <row r="256" spans="1:7" x14ac:dyDescent="0.25">
      <c r="A256" s="80">
        <v>2026</v>
      </c>
      <c r="B256" s="81" t="s">
        <v>136</v>
      </c>
      <c r="C256" s="81" t="s">
        <v>240</v>
      </c>
      <c r="D256" s="81" t="s">
        <v>121</v>
      </c>
      <c r="E256" s="81" t="str">
        <f>VLOOKUP(D256,'[2]Lista de Produtos CLASSIFICAÇÃO'!$E$103:$F$114,2,FALSE)</f>
        <v>Biocombustíveis</v>
      </c>
      <c r="F256" s="81" t="str">
        <f>VLOOKUP(C256,clientes!$C$3:$D$60,2,FALSE)</f>
        <v>FS</v>
      </c>
      <c r="G256" s="82">
        <v>0</v>
      </c>
    </row>
    <row r="257" spans="1:7" x14ac:dyDescent="0.25">
      <c r="A257" s="83">
        <v>2026</v>
      </c>
      <c r="B257" s="84" t="s">
        <v>136</v>
      </c>
      <c r="C257" s="84" t="s">
        <v>237</v>
      </c>
      <c r="D257" s="84" t="s">
        <v>120</v>
      </c>
      <c r="E257" s="81" t="str">
        <f>VLOOKUP(D257,'[2]Lista de Produtos CLASSIFICAÇÃO'!$E$103:$F$114,2,FALSE)</f>
        <v>Derivados</v>
      </c>
      <c r="F257" s="81" t="str">
        <f>VLOOKUP(C257,clientes!$C$3:$D$60,2,FALSE)</f>
        <v>FORTEZA TRADING DMCC</v>
      </c>
      <c r="G257" s="85">
        <v>3660.2409638554218</v>
      </c>
    </row>
    <row r="258" spans="1:7" x14ac:dyDescent="0.25">
      <c r="A258" s="80">
        <v>2026</v>
      </c>
      <c r="B258" s="81" t="s">
        <v>136</v>
      </c>
      <c r="C258" s="81" t="s">
        <v>191</v>
      </c>
      <c r="D258" s="81" t="s">
        <v>115</v>
      </c>
      <c r="E258" s="81" t="str">
        <f>VLOOKUP(D258,'[2]Lista de Produtos CLASSIFICAÇÃO'!$E$103:$F$114,2,FALSE)</f>
        <v>Soda Caustica</v>
      </c>
      <c r="F258" s="81" t="str">
        <f>VLOOKUP(C258,clientes!$C$3:$D$60,2,FALSE)</f>
        <v>GPC</v>
      </c>
      <c r="G258" s="82">
        <v>873.33333333333337</v>
      </c>
    </row>
    <row r="259" spans="1:7" x14ac:dyDescent="0.25">
      <c r="A259" s="83">
        <v>2026</v>
      </c>
      <c r="B259" s="84" t="s">
        <v>136</v>
      </c>
      <c r="C259" s="84" t="s">
        <v>189</v>
      </c>
      <c r="D259" s="84" t="s">
        <v>123</v>
      </c>
      <c r="E259" s="81" t="str">
        <f>VLOOKUP(D259,'[2]Lista de Produtos CLASSIFICAÇÃO'!$E$103:$F$114,2,FALSE)</f>
        <v>Aquecidos</v>
      </c>
      <c r="F259" s="81" t="str">
        <f>VLOOKUP(C259,clientes!$C$3:$D$60,2,FALSE)</f>
        <v>ICOF</v>
      </c>
      <c r="G259" s="85">
        <v>4983.333333333333</v>
      </c>
    </row>
    <row r="260" spans="1:7" x14ac:dyDescent="0.25">
      <c r="A260" s="80">
        <v>2026</v>
      </c>
      <c r="B260" s="81" t="s">
        <v>136</v>
      </c>
      <c r="C260" s="81" t="s">
        <v>184</v>
      </c>
      <c r="D260" s="81" t="s">
        <v>122</v>
      </c>
      <c r="E260" s="81" t="str">
        <f>VLOOKUP(D260,'[2]Lista de Produtos CLASSIFICAÇÃO'!$E$103:$F$114,2,FALSE)</f>
        <v>Óleo Vegetal</v>
      </c>
      <c r="F260" s="81" t="str">
        <f>VLOOKUP(C260,clientes!$C$3:$D$60,2,FALSE)</f>
        <v>INGREDION</v>
      </c>
      <c r="G260" s="82">
        <v>295.65217391304338</v>
      </c>
    </row>
    <row r="261" spans="1:7" x14ac:dyDescent="0.25">
      <c r="A261" s="83">
        <v>2026</v>
      </c>
      <c r="B261" s="84" t="s">
        <v>136</v>
      </c>
      <c r="C261" s="84" t="s">
        <v>192</v>
      </c>
      <c r="D261" s="84" t="s">
        <v>121</v>
      </c>
      <c r="E261" s="81" t="str">
        <f>VLOOKUP(D261,'[2]Lista de Produtos CLASSIFICAÇÃO'!$E$103:$F$114,2,FALSE)</f>
        <v>Biocombustíveis</v>
      </c>
      <c r="F261" s="81" t="str">
        <f>VLOOKUP(C261,clientes!$C$3:$D$60,2,FALSE)</f>
        <v>INPASA</v>
      </c>
      <c r="G261" s="85">
        <v>12146.25</v>
      </c>
    </row>
    <row r="262" spans="1:7" x14ac:dyDescent="0.25">
      <c r="A262" s="80">
        <v>2026</v>
      </c>
      <c r="B262" s="81" t="s">
        <v>136</v>
      </c>
      <c r="C262" s="81" t="s">
        <v>192</v>
      </c>
      <c r="D262" s="81" t="s">
        <v>121</v>
      </c>
      <c r="E262" s="81" t="str">
        <f>VLOOKUP(D262,'[2]Lista de Produtos CLASSIFICAÇÃO'!$E$103:$F$114,2,FALSE)</f>
        <v>Biocombustíveis</v>
      </c>
      <c r="F262" s="81" t="str">
        <f>VLOOKUP(C262,clientes!$C$3:$D$60,2,FALSE)</f>
        <v>INPASA</v>
      </c>
      <c r="G262" s="82">
        <v>20000</v>
      </c>
    </row>
    <row r="263" spans="1:7" x14ac:dyDescent="0.25">
      <c r="A263" s="83">
        <v>2026</v>
      </c>
      <c r="B263" s="84" t="s">
        <v>136</v>
      </c>
      <c r="C263" s="84" t="s">
        <v>158</v>
      </c>
      <c r="D263" s="84" t="s">
        <v>120</v>
      </c>
      <c r="E263" s="81" t="str">
        <f>VLOOKUP(D263,'[2]Lista de Produtos CLASSIFICAÇÃO'!$E$103:$F$114,2,FALSE)</f>
        <v>Derivados</v>
      </c>
      <c r="F263" s="81" t="str">
        <f>VLOOKUP(C263,clientes!$C$3:$D$60,2,FALSE)</f>
        <v>IPIRANGA</v>
      </c>
      <c r="G263" s="85">
        <v>63000</v>
      </c>
    </row>
    <row r="264" spans="1:7" x14ac:dyDescent="0.25">
      <c r="A264" s="80">
        <v>2026</v>
      </c>
      <c r="B264" s="81" t="s">
        <v>136</v>
      </c>
      <c r="C264" s="81" t="s">
        <v>162</v>
      </c>
      <c r="D264" s="81" t="s">
        <v>123</v>
      </c>
      <c r="E264" s="81" t="str">
        <f>VLOOKUP(D264,'[2]Lista de Produtos CLASSIFICAÇÃO'!$E$103:$F$114,2,FALSE)</f>
        <v>Aquecidos</v>
      </c>
      <c r="F264" s="81" t="str">
        <f>VLOOKUP(C264,clientes!$C$3:$D$60,2,FALSE)</f>
        <v>JBS</v>
      </c>
      <c r="G264" s="82">
        <v>3444.4444444444439</v>
      </c>
    </row>
    <row r="265" spans="1:7" x14ac:dyDescent="0.25">
      <c r="A265" s="83">
        <v>2026</v>
      </c>
      <c r="B265" s="84" t="s">
        <v>136</v>
      </c>
      <c r="C265" s="84" t="s">
        <v>162</v>
      </c>
      <c r="D265" s="84" t="s">
        <v>115</v>
      </c>
      <c r="E265" s="81" t="str">
        <f>VLOOKUP(D265,'[2]Lista de Produtos CLASSIFICAÇÃO'!$E$103:$F$114,2,FALSE)</f>
        <v>Soda Caustica</v>
      </c>
      <c r="F265" s="81" t="str">
        <f>VLOOKUP(C265,clientes!$C$3:$D$60,2,FALSE)</f>
        <v>JBS</v>
      </c>
      <c r="G265" s="85">
        <v>1200</v>
      </c>
    </row>
    <row r="266" spans="1:7" x14ac:dyDescent="0.25">
      <c r="A266" s="80">
        <v>2026</v>
      </c>
      <c r="B266" s="81" t="s">
        <v>136</v>
      </c>
      <c r="C266" s="81" t="s">
        <v>169</v>
      </c>
      <c r="D266" s="81" t="s">
        <v>22</v>
      </c>
      <c r="E266" s="81" t="str">
        <f>VLOOKUP(D266,'[2]Lista de Produtos CLASSIFICAÇÃO'!$E$103:$F$114,2,FALSE)</f>
        <v>Metanol</v>
      </c>
      <c r="F266" s="81" t="str">
        <f>VLOOKUP(C266,clientes!$C$3:$D$60,2,FALSE)</f>
        <v>METHANEX</v>
      </c>
      <c r="G266" s="82">
        <v>83973.417721518985</v>
      </c>
    </row>
    <row r="267" spans="1:7" x14ac:dyDescent="0.25">
      <c r="A267" s="83">
        <v>2026</v>
      </c>
      <c r="B267" s="84" t="s">
        <v>136</v>
      </c>
      <c r="C267" s="84" t="s">
        <v>169</v>
      </c>
      <c r="D267" s="84" t="s">
        <v>22</v>
      </c>
      <c r="E267" s="81" t="str">
        <f>VLOOKUP(D267,'[2]Lista de Produtos CLASSIFICAÇÃO'!$E$103:$F$114,2,FALSE)</f>
        <v>Metanol</v>
      </c>
      <c r="F267" s="81" t="str">
        <f>VLOOKUP(C267,clientes!$C$3:$D$60,2,FALSE)</f>
        <v>METHANEX</v>
      </c>
      <c r="G267" s="85">
        <v>26959.49367088607</v>
      </c>
    </row>
    <row r="268" spans="1:7" x14ac:dyDescent="0.25">
      <c r="A268" s="80">
        <v>2026</v>
      </c>
      <c r="B268" s="81" t="s">
        <v>136</v>
      </c>
      <c r="C268" s="81" t="s">
        <v>170</v>
      </c>
      <c r="D268" s="81" t="s">
        <v>22</v>
      </c>
      <c r="E268" s="81" t="str">
        <f>VLOOKUP(D268,'[2]Lista de Produtos CLASSIFICAÇÃO'!$E$103:$F$114,2,FALSE)</f>
        <v>Metanol</v>
      </c>
      <c r="F268" s="81" t="str">
        <f>VLOOKUP(C268,clientes!$C$3:$D$60,2,FALSE)</f>
        <v>MITSUBISHI</v>
      </c>
      <c r="G268" s="82">
        <v>12239.24050632911</v>
      </c>
    </row>
    <row r="269" spans="1:7" x14ac:dyDescent="0.25">
      <c r="A269" s="83">
        <v>2026</v>
      </c>
      <c r="B269" s="84" t="s">
        <v>136</v>
      </c>
      <c r="C269" s="84" t="s">
        <v>186</v>
      </c>
      <c r="D269" s="84" t="s">
        <v>22</v>
      </c>
      <c r="E269" s="81" t="str">
        <f>VLOOKUP(D269,'[2]Lista de Produtos CLASSIFICAÇÃO'!$E$103:$F$114,2,FALSE)</f>
        <v>Metanol</v>
      </c>
      <c r="F269" s="81" t="str">
        <f>VLOOKUP(C269,clientes!$C$3:$D$60,2,FALSE)</f>
        <v>OQ TRADING</v>
      </c>
      <c r="G269" s="85">
        <v>0</v>
      </c>
    </row>
    <row r="270" spans="1:7" x14ac:dyDescent="0.25">
      <c r="A270" s="80">
        <v>2026</v>
      </c>
      <c r="B270" s="81" t="s">
        <v>136</v>
      </c>
      <c r="C270" s="81" t="s">
        <v>186</v>
      </c>
      <c r="D270" s="81" t="s">
        <v>22</v>
      </c>
      <c r="E270" s="81" t="str">
        <f>VLOOKUP(D270,'[2]Lista de Produtos CLASSIFICAÇÃO'!$E$103:$F$114,2,FALSE)</f>
        <v>Metanol</v>
      </c>
      <c r="F270" s="81" t="str">
        <f>VLOOKUP(C270,clientes!$C$3:$D$60,2,FALSE)</f>
        <v>OQ TRADING</v>
      </c>
      <c r="G270" s="82">
        <v>0</v>
      </c>
    </row>
    <row r="271" spans="1:7" x14ac:dyDescent="0.25">
      <c r="A271" s="83">
        <v>2026</v>
      </c>
      <c r="B271" s="84" t="s">
        <v>136</v>
      </c>
      <c r="C271" s="84" t="s">
        <v>178</v>
      </c>
      <c r="D271" s="84" t="s">
        <v>115</v>
      </c>
      <c r="E271" s="81" t="str">
        <f>VLOOKUP(D271,'[2]Lista de Produtos CLASSIFICAÇÃO'!$E$103:$F$114,2,FALSE)</f>
        <v>Soda Caustica</v>
      </c>
      <c r="F271" s="81" t="str">
        <f>VLOOKUP(C271,clientes!$C$3:$D$60,2,FALSE)</f>
        <v>OLIN BLUE CUBE</v>
      </c>
      <c r="G271" s="85">
        <v>15088.66666666667</v>
      </c>
    </row>
    <row r="272" spans="1:7" x14ac:dyDescent="0.25">
      <c r="A272" s="80">
        <v>2026</v>
      </c>
      <c r="B272" s="81" t="s">
        <v>136</v>
      </c>
      <c r="C272" s="81" t="s">
        <v>167</v>
      </c>
      <c r="D272" s="81" t="s">
        <v>122</v>
      </c>
      <c r="E272" s="81" t="str">
        <f>VLOOKUP(D272,'[2]Lista de Produtos CLASSIFICAÇÃO'!$E$103:$F$114,2,FALSE)</f>
        <v>Óleo Vegetal</v>
      </c>
      <c r="F272" s="81" t="str">
        <f>VLOOKUP(C272,clientes!$C$3:$D$60,2,FALSE)</f>
        <v>POOL</v>
      </c>
      <c r="G272" s="82">
        <v>95886.260869565216</v>
      </c>
    </row>
    <row r="273" spans="1:7" x14ac:dyDescent="0.25">
      <c r="A273" s="83">
        <v>2026</v>
      </c>
      <c r="B273" s="84" t="s">
        <v>136</v>
      </c>
      <c r="C273" s="84" t="s">
        <v>168</v>
      </c>
      <c r="D273" s="84" t="s">
        <v>122</v>
      </c>
      <c r="E273" s="81" t="str">
        <f>VLOOKUP(D273,'[2]Lista de Produtos CLASSIFICAÇÃO'!$E$103:$F$114,2,FALSE)</f>
        <v>Óleo Vegetal</v>
      </c>
      <c r="F273" s="81" t="str">
        <f>VLOOKUP(C273,clientes!$C$3:$D$60,2,FALSE)</f>
        <v>POOL EXCEDENTE</v>
      </c>
      <c r="G273" s="85">
        <v>652.17391304347825</v>
      </c>
    </row>
    <row r="274" spans="1:7" x14ac:dyDescent="0.25">
      <c r="A274" s="80">
        <v>2026</v>
      </c>
      <c r="B274" s="81" t="s">
        <v>136</v>
      </c>
      <c r="C274" s="81" t="s">
        <v>238</v>
      </c>
      <c r="D274" s="81" t="s">
        <v>26</v>
      </c>
      <c r="E274" s="81" t="str">
        <f>VLOOKUP(D274,'[2]Lista de Produtos CLASSIFICAÇÃO'!$E$103:$F$114,2,FALSE)</f>
        <v>Biocombustíveis</v>
      </c>
      <c r="F274" s="81" t="str">
        <f>VLOOKUP(C274,clientes!$C$3:$D$60,2,FALSE)</f>
        <v>PRISMA</v>
      </c>
      <c r="G274" s="82">
        <v>5137.2093023255811</v>
      </c>
    </row>
    <row r="275" spans="1:7" x14ac:dyDescent="0.25">
      <c r="A275" s="83">
        <v>2026</v>
      </c>
      <c r="B275" s="84" t="s">
        <v>136</v>
      </c>
      <c r="C275" s="84" t="s">
        <v>159</v>
      </c>
      <c r="D275" s="84" t="s">
        <v>120</v>
      </c>
      <c r="E275" s="81" t="str">
        <f>VLOOKUP(D275,'[2]Lista de Produtos CLASSIFICAÇÃO'!$E$103:$F$114,2,FALSE)</f>
        <v>Derivados</v>
      </c>
      <c r="F275" s="81" t="str">
        <f>VLOOKUP(C275,clientes!$C$3:$D$60,2,FALSE)</f>
        <v>RAIZEN</v>
      </c>
      <c r="G275" s="85">
        <v>45000</v>
      </c>
    </row>
    <row r="276" spans="1:7" x14ac:dyDescent="0.25">
      <c r="A276" s="80">
        <v>2026</v>
      </c>
      <c r="B276" s="81" t="s">
        <v>136</v>
      </c>
      <c r="C276" s="81" t="s">
        <v>242</v>
      </c>
      <c r="D276" s="81" t="s">
        <v>120</v>
      </c>
      <c r="E276" s="81" t="str">
        <f>VLOOKUP(D276,'[2]Lista de Produtos CLASSIFICAÇÃO'!$E$103:$F$114,2,FALSE)</f>
        <v>Derivados</v>
      </c>
      <c r="F276" s="81" t="str">
        <f>VLOOKUP(C276,clientes!$C$3:$D$60,2,FALSE)</f>
        <v>RODOOIL DISTRIBUIDORA</v>
      </c>
      <c r="G276" s="82">
        <v>18000</v>
      </c>
    </row>
    <row r="277" spans="1:7" x14ac:dyDescent="0.25">
      <c r="A277" s="83">
        <v>2026</v>
      </c>
      <c r="B277" s="84" t="s">
        <v>136</v>
      </c>
      <c r="C277" s="84" t="s">
        <v>241</v>
      </c>
      <c r="D277" s="84" t="s">
        <v>120</v>
      </c>
      <c r="E277" s="81" t="str">
        <f>VLOOKUP(D277,'[2]Lista de Produtos CLASSIFICAÇÃO'!$E$103:$F$114,2,FALSE)</f>
        <v>Derivados</v>
      </c>
      <c r="F277" s="81" t="str">
        <f>VLOOKUP(C277,clientes!$C$3:$D$60,2,FALSE)</f>
        <v>ROYAL FIC</v>
      </c>
      <c r="G277" s="85">
        <v>18000</v>
      </c>
    </row>
    <row r="278" spans="1:7" x14ac:dyDescent="0.25">
      <c r="A278" s="80">
        <v>2026</v>
      </c>
      <c r="B278" s="81" t="s">
        <v>136</v>
      </c>
      <c r="C278" s="81" t="s">
        <v>161</v>
      </c>
      <c r="D278" s="81" t="s">
        <v>120</v>
      </c>
      <c r="E278" s="81" t="str">
        <f>VLOOKUP(D278,'[2]Lista de Produtos CLASSIFICAÇÃO'!$E$103:$F$114,2,FALSE)</f>
        <v>Derivados</v>
      </c>
      <c r="F278" s="81" t="str">
        <f>VLOOKUP(C278,clientes!$C$3:$D$60,2,FALSE)</f>
        <v>SUL PLATA</v>
      </c>
      <c r="G278" s="82">
        <v>36000</v>
      </c>
    </row>
    <row r="279" spans="1:7" x14ac:dyDescent="0.25">
      <c r="A279" s="83">
        <v>2026</v>
      </c>
      <c r="B279" s="84" t="s">
        <v>136</v>
      </c>
      <c r="C279" s="84" t="s">
        <v>244</v>
      </c>
      <c r="D279" s="84" t="s">
        <v>120</v>
      </c>
      <c r="E279" s="81" t="str">
        <f>VLOOKUP(D279,'[2]Lista de Produtos CLASSIFICAÇÃO'!$E$103:$F$114,2,FALSE)</f>
        <v>Derivados</v>
      </c>
      <c r="F279" s="81" t="str">
        <f>VLOOKUP(C279,clientes!$C$3:$D$60,2,FALSE)</f>
        <v>TAURUS</v>
      </c>
      <c r="G279" s="85">
        <v>9000</v>
      </c>
    </row>
    <row r="280" spans="1:7" x14ac:dyDescent="0.25">
      <c r="A280" s="80">
        <v>2026</v>
      </c>
      <c r="B280" s="81" t="s">
        <v>136</v>
      </c>
      <c r="C280" s="81" t="s">
        <v>163</v>
      </c>
      <c r="D280" s="81" t="s">
        <v>115</v>
      </c>
      <c r="E280" s="81" t="str">
        <f>VLOOKUP(D280,'[2]Lista de Produtos CLASSIFICAÇÃO'!$E$103:$F$114,2,FALSE)</f>
        <v>Soda Caustica</v>
      </c>
      <c r="F280" s="81" t="str">
        <f>VLOOKUP(C280,clientes!$C$3:$D$60,2,FALSE)</f>
        <v>TRICON ENERGY</v>
      </c>
      <c r="G280" s="82">
        <v>3866.666666666667</v>
      </c>
    </row>
    <row r="281" spans="1:7" x14ac:dyDescent="0.25">
      <c r="A281" s="83">
        <v>2026</v>
      </c>
      <c r="B281" s="84" t="s">
        <v>136</v>
      </c>
      <c r="C281" s="84" t="s">
        <v>171</v>
      </c>
      <c r="D281" s="84" t="s">
        <v>22</v>
      </c>
      <c r="E281" s="81" t="str">
        <f>VLOOKUP(D281,'[2]Lista de Produtos CLASSIFICAÇÃO'!$E$103:$F$114,2,FALSE)</f>
        <v>Metanol</v>
      </c>
      <c r="F281" s="81" t="str">
        <f>VLOOKUP(C281,clientes!$C$3:$D$60,2,FALSE)</f>
        <v>VALENZ</v>
      </c>
      <c r="G281" s="85">
        <v>35727.848101265823</v>
      </c>
    </row>
    <row r="282" spans="1:7" x14ac:dyDescent="0.25">
      <c r="A282" s="80">
        <v>2026</v>
      </c>
      <c r="B282" s="81" t="s">
        <v>136</v>
      </c>
      <c r="C282" s="81" t="s">
        <v>160</v>
      </c>
      <c r="D282" s="81" t="s">
        <v>120</v>
      </c>
      <c r="E282" s="81" t="str">
        <f>VLOOKUP(D282,'[2]Lista de Produtos CLASSIFICAÇÃO'!$E$103:$F$114,2,FALSE)</f>
        <v>Derivados</v>
      </c>
      <c r="F282" s="81" t="str">
        <f>VLOOKUP(C282,clientes!$C$3:$D$60,2,FALSE)</f>
        <v>VIBRA</v>
      </c>
      <c r="G282" s="82">
        <v>18000</v>
      </c>
    </row>
    <row r="283" spans="1:7" x14ac:dyDescent="0.25">
      <c r="A283" s="83">
        <v>2026</v>
      </c>
      <c r="B283" s="84" t="s">
        <v>136</v>
      </c>
      <c r="C283" s="84" t="s">
        <v>160</v>
      </c>
      <c r="D283" s="84" t="s">
        <v>120</v>
      </c>
      <c r="E283" s="81" t="str">
        <f>VLOOKUP(D283,'[2]Lista de Produtos CLASSIFICAÇÃO'!$E$103:$F$114,2,FALSE)</f>
        <v>Derivados</v>
      </c>
      <c r="F283" s="81" t="str">
        <f>VLOOKUP(C283,clientes!$C$3:$D$60,2,FALSE)</f>
        <v>VIBRA</v>
      </c>
      <c r="G283" s="85">
        <v>0</v>
      </c>
    </row>
    <row r="284" spans="1:7" x14ac:dyDescent="0.25">
      <c r="A284" s="80">
        <v>2026</v>
      </c>
      <c r="B284" s="81" t="s">
        <v>137</v>
      </c>
      <c r="C284" s="81" t="s">
        <v>175</v>
      </c>
      <c r="D284" s="81" t="s">
        <v>123</v>
      </c>
      <c r="E284" s="81" t="str">
        <f>VLOOKUP(D284,'[2]Lista de Produtos CLASSIFICAÇÃO'!$E$103:$F$114,2,FALSE)</f>
        <v>Aquecidos</v>
      </c>
      <c r="F284" s="81" t="str">
        <f>VLOOKUP(C284,clientes!$C$3:$D$60,2,FALSE)</f>
        <v>AAK DO BRASIL</v>
      </c>
      <c r="G284" s="82">
        <v>4372.2222222222217</v>
      </c>
    </row>
    <row r="285" spans="1:7" x14ac:dyDescent="0.25">
      <c r="A285" s="83">
        <v>2026</v>
      </c>
      <c r="B285" s="84" t="s">
        <v>137</v>
      </c>
      <c r="C285" s="84" t="s">
        <v>157</v>
      </c>
      <c r="D285" s="84" t="s">
        <v>122</v>
      </c>
      <c r="E285" s="81" t="str">
        <f>VLOOKUP(D285,'[2]Lista de Produtos CLASSIFICAÇÃO'!$E$103:$F$114,2,FALSE)</f>
        <v>Óleo Vegetal</v>
      </c>
      <c r="F285" s="81" t="str">
        <f>VLOOKUP(C285,clientes!$C$3:$D$60,2,FALSE)</f>
        <v>ADM</v>
      </c>
      <c r="G285" s="85">
        <v>2826.086956521739</v>
      </c>
    </row>
    <row r="286" spans="1:7" x14ac:dyDescent="0.25">
      <c r="A286" s="80">
        <v>2026</v>
      </c>
      <c r="B286" s="81" t="s">
        <v>137</v>
      </c>
      <c r="C286" s="81" t="s">
        <v>18</v>
      </c>
      <c r="D286" s="81" t="s">
        <v>17</v>
      </c>
      <c r="E286" s="81" t="str">
        <f>VLOOKUP(D286,'[2]Lista de Produtos CLASSIFICAÇÃO'!$E$103:$F$114,2,FALSE)</f>
        <v>Acostagem</v>
      </c>
      <c r="F286" s="81" t="str">
        <f>VLOOKUP(C286,clientes!$C$3:$D$60,2,FALSE)</f>
        <v>ACOSTAGEM</v>
      </c>
      <c r="G286" s="82">
        <v>0</v>
      </c>
    </row>
    <row r="287" spans="1:7" x14ac:dyDescent="0.25">
      <c r="A287" s="83">
        <v>2026</v>
      </c>
      <c r="B287" s="84" t="s">
        <v>137</v>
      </c>
      <c r="C287" s="84" t="s">
        <v>155</v>
      </c>
      <c r="D287" s="84" t="s">
        <v>16</v>
      </c>
      <c r="E287" s="81" t="str">
        <f>VLOOKUP(D287,'[2]Lista de Produtos CLASSIFICAÇÃO'!$E$103:$F$114,2,FALSE)</f>
        <v>Outros</v>
      </c>
      <c r="F287" s="81" t="str">
        <f>VLOOKUP(C287,clientes!$C$3:$D$60,2,FALSE)</f>
        <v>ADISSEO</v>
      </c>
      <c r="G287" s="85">
        <v>3461.538461538461</v>
      </c>
    </row>
    <row r="288" spans="1:7" x14ac:dyDescent="0.25">
      <c r="A288" s="80">
        <v>2026</v>
      </c>
      <c r="B288" s="81" t="s">
        <v>137</v>
      </c>
      <c r="C288" s="81" t="s">
        <v>188</v>
      </c>
      <c r="D288" s="81" t="s">
        <v>123</v>
      </c>
      <c r="E288" s="81" t="str">
        <f>VLOOKUP(D288,'[2]Lista de Produtos CLASSIFICAÇÃO'!$E$103:$F$114,2,FALSE)</f>
        <v>Aquecidos</v>
      </c>
      <c r="F288" s="81" t="str">
        <f>VLOOKUP(C288,clientes!$C$3:$D$60,2,FALSE)</f>
        <v>ARES MERCHANTS PTE LIMITE</v>
      </c>
      <c r="G288" s="82">
        <v>3476.666666666667</v>
      </c>
    </row>
    <row r="289" spans="1:7" x14ac:dyDescent="0.25">
      <c r="A289" s="83">
        <v>2026</v>
      </c>
      <c r="B289" s="84" t="s">
        <v>137</v>
      </c>
      <c r="C289" s="84" t="s">
        <v>243</v>
      </c>
      <c r="D289" s="84" t="s">
        <v>120</v>
      </c>
      <c r="E289" s="81" t="str">
        <f>VLOOKUP(D289,'[2]Lista de Produtos CLASSIFICAÇÃO'!$E$103:$F$114,2,FALSE)</f>
        <v>Derivados</v>
      </c>
      <c r="F289" s="81" t="str">
        <f>VLOOKUP(C289,clientes!$C$3:$D$60,2,FALSE)</f>
        <v>ART PETRO</v>
      </c>
      <c r="G289" s="85">
        <v>9000</v>
      </c>
    </row>
    <row r="290" spans="1:7" x14ac:dyDescent="0.25">
      <c r="A290" s="80">
        <v>2026</v>
      </c>
      <c r="B290" s="81" t="s">
        <v>137</v>
      </c>
      <c r="C290" s="81" t="s">
        <v>165</v>
      </c>
      <c r="D290" s="81" t="s">
        <v>123</v>
      </c>
      <c r="E290" s="81" t="str">
        <f>VLOOKUP(D290,'[2]Lista de Produtos CLASSIFICAÇÃO'!$E$103:$F$114,2,FALSE)</f>
        <v>Aquecidos</v>
      </c>
      <c r="F290" s="81" t="str">
        <f>VLOOKUP(C290,clientes!$C$3:$D$60,2,FALSE)</f>
        <v>BRF</v>
      </c>
      <c r="G290" s="82">
        <v>3526.666666666667</v>
      </c>
    </row>
    <row r="291" spans="1:7" x14ac:dyDescent="0.25">
      <c r="A291" s="83">
        <v>2026</v>
      </c>
      <c r="B291" s="84" t="s">
        <v>137</v>
      </c>
      <c r="C291" s="84" t="s">
        <v>179</v>
      </c>
      <c r="D291" s="84" t="s">
        <v>26</v>
      </c>
      <c r="E291" s="81" t="str">
        <f>VLOOKUP(D291,'[2]Lista de Produtos CLASSIFICAÇÃO'!$E$103:$F$114,2,FALSE)</f>
        <v>Biocombustíveis</v>
      </c>
      <c r="F291" s="81" t="str">
        <f>VLOOKUP(C291,clientes!$C$3:$D$60,2,FALSE)</f>
        <v>BSBIOS</v>
      </c>
      <c r="G291" s="85">
        <v>6356.9767441860467</v>
      </c>
    </row>
    <row r="292" spans="1:7" x14ac:dyDescent="0.25">
      <c r="A292" s="80">
        <v>2026</v>
      </c>
      <c r="B292" s="81" t="s">
        <v>137</v>
      </c>
      <c r="C292" s="81" t="s">
        <v>239</v>
      </c>
      <c r="D292" s="81" t="s">
        <v>115</v>
      </c>
      <c r="E292" s="81" t="str">
        <f>VLOOKUP(D292,'[2]Lista de Produtos CLASSIFICAÇÃO'!$E$103:$F$114,2,FALSE)</f>
        <v>Soda Caustica</v>
      </c>
      <c r="F292" s="81" t="str">
        <f>VLOOKUP(C292,clientes!$C$3:$D$60,2,FALSE)</f>
        <v>BSC QUIMICA</v>
      </c>
      <c r="G292" s="82">
        <v>1786.666666666667</v>
      </c>
    </row>
    <row r="293" spans="1:7" x14ac:dyDescent="0.25">
      <c r="A293" s="83">
        <v>2026</v>
      </c>
      <c r="B293" s="84" t="s">
        <v>137</v>
      </c>
      <c r="C293" s="84" t="s">
        <v>177</v>
      </c>
      <c r="D293" s="84" t="s">
        <v>115</v>
      </c>
      <c r="E293" s="81" t="str">
        <f>VLOOKUP(D293,'[2]Lista de Produtos CLASSIFICAÇÃO'!$E$103:$F$114,2,FALSE)</f>
        <v>Soda Caustica</v>
      </c>
      <c r="F293" s="81" t="str">
        <f>VLOOKUP(C293,clientes!$C$3:$D$60,2,FALSE)</f>
        <v>BRENNTAG</v>
      </c>
      <c r="G293" s="85">
        <v>1020</v>
      </c>
    </row>
    <row r="294" spans="1:7" x14ac:dyDescent="0.25">
      <c r="A294" s="80">
        <v>2026</v>
      </c>
      <c r="B294" s="81" t="s">
        <v>137</v>
      </c>
      <c r="C294" s="81" t="s">
        <v>156</v>
      </c>
      <c r="D294" s="81" t="s">
        <v>123</v>
      </c>
      <c r="E294" s="81" t="str">
        <f>VLOOKUP(D294,'[2]Lista de Produtos CLASSIFICAÇÃO'!$E$103:$F$114,2,FALSE)</f>
        <v>Aquecidos</v>
      </c>
      <c r="F294" s="81" t="str">
        <f>VLOOKUP(C294,clientes!$C$3:$D$60,2,FALSE)</f>
        <v>BUNGE</v>
      </c>
      <c r="G294" s="82">
        <v>2111.1111111111109</v>
      </c>
    </row>
    <row r="295" spans="1:7" x14ac:dyDescent="0.25">
      <c r="A295" s="83">
        <v>2026</v>
      </c>
      <c r="B295" s="84" t="s">
        <v>137</v>
      </c>
      <c r="C295" s="84" t="s">
        <v>166</v>
      </c>
      <c r="D295" s="84" t="s">
        <v>123</v>
      </c>
      <c r="E295" s="81" t="str">
        <f>VLOOKUP(D295,'[2]Lista de Produtos CLASSIFICAÇÃO'!$E$103:$F$114,2,FALSE)</f>
        <v>Aquecidos</v>
      </c>
      <c r="F295" s="81" t="str">
        <f>VLOOKUP(C295,clientes!$C$3:$D$60,2,FALSE)</f>
        <v>CARGILL</v>
      </c>
      <c r="G295" s="85">
        <v>1035.555555555555</v>
      </c>
    </row>
    <row r="296" spans="1:7" x14ac:dyDescent="0.25">
      <c r="A296" s="80">
        <v>2026</v>
      </c>
      <c r="B296" s="81" t="s">
        <v>137</v>
      </c>
      <c r="C296" s="81" t="s">
        <v>166</v>
      </c>
      <c r="D296" s="81" t="s">
        <v>122</v>
      </c>
      <c r="E296" s="81" t="str">
        <f>VLOOKUP(D296,'[2]Lista de Produtos CLASSIFICAÇÃO'!$E$103:$F$114,2,FALSE)</f>
        <v>Óleo Vegetal</v>
      </c>
      <c r="F296" s="81" t="str">
        <f>VLOOKUP(C296,clientes!$C$3:$D$60,2,FALSE)</f>
        <v>CARGILL</v>
      </c>
      <c r="G296" s="82">
        <v>483.695652173913</v>
      </c>
    </row>
    <row r="297" spans="1:7" x14ac:dyDescent="0.25">
      <c r="A297" s="83">
        <v>2026</v>
      </c>
      <c r="B297" s="84" t="s">
        <v>137</v>
      </c>
      <c r="C297" s="84" t="s">
        <v>174</v>
      </c>
      <c r="D297" s="84" t="s">
        <v>123</v>
      </c>
      <c r="E297" s="81" t="str">
        <f>VLOOKUP(D297,'[2]Lista de Produtos CLASSIFICAÇÃO'!$E$103:$F$114,2,FALSE)</f>
        <v>Aquecidos</v>
      </c>
      <c r="F297" s="81" t="str">
        <f>VLOOKUP(C297,clientes!$C$3:$D$60,2,FALSE)</f>
        <v>CELENA</v>
      </c>
      <c r="G297" s="85">
        <v>13401.111111111109</v>
      </c>
    </row>
    <row r="298" spans="1:7" x14ac:dyDescent="0.25">
      <c r="A298" s="80">
        <v>2026</v>
      </c>
      <c r="B298" s="81" t="s">
        <v>137</v>
      </c>
      <c r="C298" s="81" t="s">
        <v>185</v>
      </c>
      <c r="D298" s="81" t="s">
        <v>120</v>
      </c>
      <c r="E298" s="81" t="str">
        <f>VLOOKUP(D298,'[2]Lista de Produtos CLASSIFICAÇÃO'!$E$103:$F$114,2,FALSE)</f>
        <v>Derivados</v>
      </c>
      <c r="F298" s="81" t="str">
        <f>VLOOKUP(C298,clientes!$C$3:$D$60,2,FALSE)</f>
        <v>CIAPETRO</v>
      </c>
      <c r="G298" s="82">
        <v>13493.975903614461</v>
      </c>
    </row>
    <row r="299" spans="1:7" x14ac:dyDescent="0.25">
      <c r="A299" s="83">
        <v>2026</v>
      </c>
      <c r="B299" s="84" t="s">
        <v>137</v>
      </c>
      <c r="C299" s="84" t="s">
        <v>181</v>
      </c>
      <c r="D299" s="84" t="s">
        <v>123</v>
      </c>
      <c r="E299" s="81" t="str">
        <f>VLOOKUP(D299,'[2]Lista de Produtos CLASSIFICAÇÃO'!$E$103:$F$114,2,FALSE)</f>
        <v>Aquecidos</v>
      </c>
      <c r="F299" s="81" t="str">
        <f>VLOOKUP(C299,clientes!$C$3:$D$60,2,FALSE)</f>
        <v>COAMO</v>
      </c>
      <c r="G299" s="85">
        <v>1786.666666666667</v>
      </c>
    </row>
    <row r="300" spans="1:7" x14ac:dyDescent="0.25">
      <c r="A300" s="80">
        <v>2026</v>
      </c>
      <c r="B300" s="81" t="s">
        <v>137</v>
      </c>
      <c r="C300" s="81" t="s">
        <v>236</v>
      </c>
      <c r="D300" s="81" t="s">
        <v>121</v>
      </c>
      <c r="E300" s="81" t="str">
        <f>VLOOKUP(D300,'[2]Lista de Produtos CLASSIFICAÇÃO'!$E$103:$F$114,2,FALSE)</f>
        <v>Biocombustíveis</v>
      </c>
      <c r="F300" s="81" t="str">
        <f>VLOOKUP(C300,clientes!$C$3:$D$60,2,FALSE)</f>
        <v>ETANOL OUTROS</v>
      </c>
      <c r="G300" s="82">
        <v>0</v>
      </c>
    </row>
    <row r="301" spans="1:7" x14ac:dyDescent="0.25">
      <c r="A301" s="83">
        <v>2026</v>
      </c>
      <c r="B301" s="84" t="s">
        <v>137</v>
      </c>
      <c r="C301" s="84" t="s">
        <v>172</v>
      </c>
      <c r="D301" s="84" t="s">
        <v>124</v>
      </c>
      <c r="E301" s="81" t="str">
        <f>VLOOKUP(D301,'[2]Lista de Produtos CLASSIFICAÇÃO'!$E$103:$F$114,2,FALSE)</f>
        <v>Outros</v>
      </c>
      <c r="F301" s="81" t="str">
        <f>VLOOKUP(C301,clientes!$C$3:$D$60,2,FALSE)</f>
        <v>EVONIK</v>
      </c>
      <c r="G301" s="85">
        <v>1927.8481012658231</v>
      </c>
    </row>
    <row r="302" spans="1:7" x14ac:dyDescent="0.25">
      <c r="A302" s="80">
        <v>2026</v>
      </c>
      <c r="B302" s="81" t="s">
        <v>137</v>
      </c>
      <c r="C302" s="81" t="s">
        <v>240</v>
      </c>
      <c r="D302" s="81" t="s">
        <v>121</v>
      </c>
      <c r="E302" s="81" t="str">
        <f>VLOOKUP(D302,'[2]Lista de Produtos CLASSIFICAÇÃO'!$E$103:$F$114,2,FALSE)</f>
        <v>Biocombustíveis</v>
      </c>
      <c r="F302" s="81" t="str">
        <f>VLOOKUP(C302,clientes!$C$3:$D$60,2,FALSE)</f>
        <v>FS</v>
      </c>
      <c r="G302" s="82">
        <v>9200</v>
      </c>
    </row>
    <row r="303" spans="1:7" x14ac:dyDescent="0.25">
      <c r="A303" s="83">
        <v>2026</v>
      </c>
      <c r="B303" s="84" t="s">
        <v>137</v>
      </c>
      <c r="C303" s="84" t="s">
        <v>240</v>
      </c>
      <c r="D303" s="84" t="s">
        <v>121</v>
      </c>
      <c r="E303" s="81" t="str">
        <f>VLOOKUP(D303,'[2]Lista de Produtos CLASSIFICAÇÃO'!$E$103:$F$114,2,FALSE)</f>
        <v>Biocombustíveis</v>
      </c>
      <c r="F303" s="81" t="str">
        <f>VLOOKUP(C303,clientes!$C$3:$D$60,2,FALSE)</f>
        <v>FS</v>
      </c>
      <c r="G303" s="85">
        <v>20000</v>
      </c>
    </row>
    <row r="304" spans="1:7" x14ac:dyDescent="0.25">
      <c r="A304" s="80">
        <v>2026</v>
      </c>
      <c r="B304" s="81" t="s">
        <v>137</v>
      </c>
      <c r="C304" s="81" t="s">
        <v>237</v>
      </c>
      <c r="D304" s="81" t="s">
        <v>120</v>
      </c>
      <c r="E304" s="81" t="str">
        <f>VLOOKUP(D304,'[2]Lista de Produtos CLASSIFICAÇÃO'!$E$103:$F$114,2,FALSE)</f>
        <v>Derivados</v>
      </c>
      <c r="F304" s="81" t="str">
        <f>VLOOKUP(C304,clientes!$C$3:$D$60,2,FALSE)</f>
        <v>FORTEZA TRADING DMCC</v>
      </c>
      <c r="G304" s="82">
        <v>3660.2409638554218</v>
      </c>
    </row>
    <row r="305" spans="1:7" x14ac:dyDescent="0.25">
      <c r="A305" s="83">
        <v>2026</v>
      </c>
      <c r="B305" s="84" t="s">
        <v>137</v>
      </c>
      <c r="C305" s="84" t="s">
        <v>191</v>
      </c>
      <c r="D305" s="84" t="s">
        <v>115</v>
      </c>
      <c r="E305" s="81" t="str">
        <f>VLOOKUP(D305,'[2]Lista de Produtos CLASSIFICAÇÃO'!$E$103:$F$114,2,FALSE)</f>
        <v>Soda Caustica</v>
      </c>
      <c r="F305" s="81" t="str">
        <f>VLOOKUP(C305,clientes!$C$3:$D$60,2,FALSE)</f>
        <v>GPC</v>
      </c>
      <c r="G305" s="85">
        <v>873.33333333333337</v>
      </c>
    </row>
    <row r="306" spans="1:7" x14ac:dyDescent="0.25">
      <c r="A306" s="80">
        <v>2026</v>
      </c>
      <c r="B306" s="81" t="s">
        <v>137</v>
      </c>
      <c r="C306" s="81" t="s">
        <v>189</v>
      </c>
      <c r="D306" s="81" t="s">
        <v>123</v>
      </c>
      <c r="E306" s="81" t="str">
        <f>VLOOKUP(D306,'[2]Lista de Produtos CLASSIFICAÇÃO'!$E$103:$F$114,2,FALSE)</f>
        <v>Aquecidos</v>
      </c>
      <c r="F306" s="81" t="str">
        <f>VLOOKUP(C306,clientes!$C$3:$D$60,2,FALSE)</f>
        <v>ICOF</v>
      </c>
      <c r="G306" s="82">
        <v>4983.333333333333</v>
      </c>
    </row>
    <row r="307" spans="1:7" x14ac:dyDescent="0.25">
      <c r="A307" s="83">
        <v>2026</v>
      </c>
      <c r="B307" s="84" t="s">
        <v>137</v>
      </c>
      <c r="C307" s="84" t="s">
        <v>184</v>
      </c>
      <c r="D307" s="84" t="s">
        <v>122</v>
      </c>
      <c r="E307" s="81" t="str">
        <f>VLOOKUP(D307,'[2]Lista de Produtos CLASSIFICAÇÃO'!$E$103:$F$114,2,FALSE)</f>
        <v>Óleo Vegetal</v>
      </c>
      <c r="F307" s="81" t="str">
        <f>VLOOKUP(C307,clientes!$C$3:$D$60,2,FALSE)</f>
        <v>INGREDION</v>
      </c>
      <c r="G307" s="85">
        <v>295.65217391304338</v>
      </c>
    </row>
    <row r="308" spans="1:7" x14ac:dyDescent="0.25">
      <c r="A308" s="80">
        <v>2026</v>
      </c>
      <c r="B308" s="81" t="s">
        <v>137</v>
      </c>
      <c r="C308" s="81" t="s">
        <v>192</v>
      </c>
      <c r="D308" s="81" t="s">
        <v>121</v>
      </c>
      <c r="E308" s="81" t="str">
        <f>VLOOKUP(D308,'[2]Lista de Produtos CLASSIFICAÇÃO'!$E$103:$F$114,2,FALSE)</f>
        <v>Biocombustíveis</v>
      </c>
      <c r="F308" s="81" t="str">
        <f>VLOOKUP(C308,clientes!$C$3:$D$60,2,FALSE)</f>
        <v>INPASA</v>
      </c>
      <c r="G308" s="82">
        <v>12146.25</v>
      </c>
    </row>
    <row r="309" spans="1:7" x14ac:dyDescent="0.25">
      <c r="A309" s="83">
        <v>2026</v>
      </c>
      <c r="B309" s="84" t="s">
        <v>137</v>
      </c>
      <c r="C309" s="84" t="s">
        <v>192</v>
      </c>
      <c r="D309" s="84" t="s">
        <v>121</v>
      </c>
      <c r="E309" s="81" t="str">
        <f>VLOOKUP(D309,'[2]Lista de Produtos CLASSIFICAÇÃO'!$E$103:$F$114,2,FALSE)</f>
        <v>Biocombustíveis</v>
      </c>
      <c r="F309" s="81" t="str">
        <f>VLOOKUP(C309,clientes!$C$3:$D$60,2,FALSE)</f>
        <v>INPASA</v>
      </c>
      <c r="G309" s="85">
        <v>20000</v>
      </c>
    </row>
    <row r="310" spans="1:7" x14ac:dyDescent="0.25">
      <c r="A310" s="80">
        <v>2026</v>
      </c>
      <c r="B310" s="81" t="s">
        <v>137</v>
      </c>
      <c r="C310" s="81" t="s">
        <v>158</v>
      </c>
      <c r="D310" s="81" t="s">
        <v>120</v>
      </c>
      <c r="E310" s="81" t="str">
        <f>VLOOKUP(D310,'[2]Lista de Produtos CLASSIFICAÇÃO'!$E$103:$F$114,2,FALSE)</f>
        <v>Derivados</v>
      </c>
      <c r="F310" s="81" t="str">
        <f>VLOOKUP(C310,clientes!$C$3:$D$60,2,FALSE)</f>
        <v>IPIRANGA</v>
      </c>
      <c r="G310" s="82">
        <v>63000</v>
      </c>
    </row>
    <row r="311" spans="1:7" x14ac:dyDescent="0.25">
      <c r="A311" s="83">
        <v>2026</v>
      </c>
      <c r="B311" s="84" t="s">
        <v>137</v>
      </c>
      <c r="C311" s="84" t="s">
        <v>162</v>
      </c>
      <c r="D311" s="84" t="s">
        <v>123</v>
      </c>
      <c r="E311" s="81" t="str">
        <f>VLOOKUP(D311,'[2]Lista de Produtos CLASSIFICAÇÃO'!$E$103:$F$114,2,FALSE)</f>
        <v>Aquecidos</v>
      </c>
      <c r="F311" s="81" t="str">
        <f>VLOOKUP(C311,clientes!$C$3:$D$60,2,FALSE)</f>
        <v>JBS</v>
      </c>
      <c r="G311" s="85">
        <v>3444.4444444444439</v>
      </c>
    </row>
    <row r="312" spans="1:7" x14ac:dyDescent="0.25">
      <c r="A312" s="80">
        <v>2026</v>
      </c>
      <c r="B312" s="81" t="s">
        <v>137</v>
      </c>
      <c r="C312" s="81" t="s">
        <v>162</v>
      </c>
      <c r="D312" s="81" t="s">
        <v>115</v>
      </c>
      <c r="E312" s="81" t="str">
        <f>VLOOKUP(D312,'[2]Lista de Produtos CLASSIFICAÇÃO'!$E$103:$F$114,2,FALSE)</f>
        <v>Soda Caustica</v>
      </c>
      <c r="F312" s="81" t="str">
        <f>VLOOKUP(C312,clientes!$C$3:$D$60,2,FALSE)</f>
        <v>JBS</v>
      </c>
      <c r="G312" s="82">
        <v>1200</v>
      </c>
    </row>
    <row r="313" spans="1:7" x14ac:dyDescent="0.25">
      <c r="A313" s="83">
        <v>2026</v>
      </c>
      <c r="B313" s="84" t="s">
        <v>137</v>
      </c>
      <c r="C313" s="84" t="s">
        <v>169</v>
      </c>
      <c r="D313" s="84" t="s">
        <v>22</v>
      </c>
      <c r="E313" s="81" t="str">
        <f>VLOOKUP(D313,'[2]Lista de Produtos CLASSIFICAÇÃO'!$E$103:$F$114,2,FALSE)</f>
        <v>Metanol</v>
      </c>
      <c r="F313" s="81" t="str">
        <f>VLOOKUP(C313,clientes!$C$3:$D$60,2,FALSE)</f>
        <v>METHANEX</v>
      </c>
      <c r="G313" s="85">
        <v>83973.417721518985</v>
      </c>
    </row>
    <row r="314" spans="1:7" x14ac:dyDescent="0.25">
      <c r="A314" s="80">
        <v>2026</v>
      </c>
      <c r="B314" s="81" t="s">
        <v>137</v>
      </c>
      <c r="C314" s="81" t="s">
        <v>169</v>
      </c>
      <c r="D314" s="81" t="s">
        <v>22</v>
      </c>
      <c r="E314" s="81" t="str">
        <f>VLOOKUP(D314,'[2]Lista de Produtos CLASSIFICAÇÃO'!$E$103:$F$114,2,FALSE)</f>
        <v>Metanol</v>
      </c>
      <c r="F314" s="81" t="str">
        <f>VLOOKUP(C314,clientes!$C$3:$D$60,2,FALSE)</f>
        <v>METHANEX</v>
      </c>
      <c r="G314" s="82">
        <v>26959.49367088607</v>
      </c>
    </row>
    <row r="315" spans="1:7" x14ac:dyDescent="0.25">
      <c r="A315" s="83">
        <v>2026</v>
      </c>
      <c r="B315" s="84" t="s">
        <v>137</v>
      </c>
      <c r="C315" s="84" t="s">
        <v>170</v>
      </c>
      <c r="D315" s="84" t="s">
        <v>22</v>
      </c>
      <c r="E315" s="81" t="str">
        <f>VLOOKUP(D315,'[2]Lista de Produtos CLASSIFICAÇÃO'!$E$103:$F$114,2,FALSE)</f>
        <v>Metanol</v>
      </c>
      <c r="F315" s="81" t="str">
        <f>VLOOKUP(C315,clientes!$C$3:$D$60,2,FALSE)</f>
        <v>MITSUBISHI</v>
      </c>
      <c r="G315" s="85">
        <v>12239.24050632911</v>
      </c>
    </row>
    <row r="316" spans="1:7" x14ac:dyDescent="0.25">
      <c r="A316" s="80">
        <v>2026</v>
      </c>
      <c r="B316" s="81" t="s">
        <v>137</v>
      </c>
      <c r="C316" s="81" t="s">
        <v>186</v>
      </c>
      <c r="D316" s="81" t="s">
        <v>22</v>
      </c>
      <c r="E316" s="81" t="str">
        <f>VLOOKUP(D316,'[2]Lista de Produtos CLASSIFICAÇÃO'!$E$103:$F$114,2,FALSE)</f>
        <v>Metanol</v>
      </c>
      <c r="F316" s="81" t="str">
        <f>VLOOKUP(C316,clientes!$C$3:$D$60,2,FALSE)</f>
        <v>OQ TRADING</v>
      </c>
      <c r="G316" s="82">
        <v>15189.873417721519</v>
      </c>
    </row>
    <row r="317" spans="1:7" x14ac:dyDescent="0.25">
      <c r="A317" s="83">
        <v>2026</v>
      </c>
      <c r="B317" s="84" t="s">
        <v>137</v>
      </c>
      <c r="C317" s="84" t="s">
        <v>186</v>
      </c>
      <c r="D317" s="84" t="s">
        <v>22</v>
      </c>
      <c r="E317" s="81" t="str">
        <f>VLOOKUP(D317,'[2]Lista de Produtos CLASSIFICAÇÃO'!$E$103:$F$114,2,FALSE)</f>
        <v>Metanol</v>
      </c>
      <c r="F317" s="81" t="str">
        <f>VLOOKUP(C317,clientes!$C$3:$D$60,2,FALSE)</f>
        <v>OQ TRADING</v>
      </c>
      <c r="G317" s="85">
        <v>6329.1139240506327</v>
      </c>
    </row>
    <row r="318" spans="1:7" x14ac:dyDescent="0.25">
      <c r="A318" s="80">
        <v>2026</v>
      </c>
      <c r="B318" s="81" t="s">
        <v>137</v>
      </c>
      <c r="C318" s="81" t="s">
        <v>178</v>
      </c>
      <c r="D318" s="81" t="s">
        <v>115</v>
      </c>
      <c r="E318" s="81" t="str">
        <f>VLOOKUP(D318,'[2]Lista de Produtos CLASSIFICAÇÃO'!$E$103:$F$114,2,FALSE)</f>
        <v>Soda Caustica</v>
      </c>
      <c r="F318" s="81" t="str">
        <f>VLOOKUP(C318,clientes!$C$3:$D$60,2,FALSE)</f>
        <v>OLIN BLUE CUBE</v>
      </c>
      <c r="G318" s="82">
        <v>15088.66666666667</v>
      </c>
    </row>
    <row r="319" spans="1:7" x14ac:dyDescent="0.25">
      <c r="A319" s="83">
        <v>2026</v>
      </c>
      <c r="B319" s="84" t="s">
        <v>137</v>
      </c>
      <c r="C319" s="84" t="s">
        <v>167</v>
      </c>
      <c r="D319" s="84" t="s">
        <v>122</v>
      </c>
      <c r="E319" s="81" t="str">
        <f>VLOOKUP(D319,'[2]Lista de Produtos CLASSIFICAÇÃO'!$E$103:$F$114,2,FALSE)</f>
        <v>Óleo Vegetal</v>
      </c>
      <c r="F319" s="81" t="str">
        <f>VLOOKUP(C319,clientes!$C$3:$D$60,2,FALSE)</f>
        <v>POOL</v>
      </c>
      <c r="G319" s="85">
        <v>103480.4347826087</v>
      </c>
    </row>
    <row r="320" spans="1:7" x14ac:dyDescent="0.25">
      <c r="A320" s="80">
        <v>2026</v>
      </c>
      <c r="B320" s="81" t="s">
        <v>137</v>
      </c>
      <c r="C320" s="81" t="s">
        <v>168</v>
      </c>
      <c r="D320" s="81" t="s">
        <v>122</v>
      </c>
      <c r="E320" s="81" t="str">
        <f>VLOOKUP(D320,'[2]Lista de Produtos CLASSIFICAÇÃO'!$E$103:$F$114,2,FALSE)</f>
        <v>Óleo Vegetal</v>
      </c>
      <c r="F320" s="81" t="str">
        <f>VLOOKUP(C320,clientes!$C$3:$D$60,2,FALSE)</f>
        <v>POOL EXCEDENTE</v>
      </c>
      <c r="G320" s="82">
        <v>652.17391304347825</v>
      </c>
    </row>
    <row r="321" spans="1:7" x14ac:dyDescent="0.25">
      <c r="A321" s="83">
        <v>2026</v>
      </c>
      <c r="B321" s="84" t="s">
        <v>137</v>
      </c>
      <c r="C321" s="84" t="s">
        <v>238</v>
      </c>
      <c r="D321" s="84" t="s">
        <v>26</v>
      </c>
      <c r="E321" s="81" t="str">
        <f>VLOOKUP(D321,'[2]Lista de Produtos CLASSIFICAÇÃO'!$E$103:$F$114,2,FALSE)</f>
        <v>Biocombustíveis</v>
      </c>
      <c r="F321" s="81" t="str">
        <f>VLOOKUP(C321,clientes!$C$3:$D$60,2,FALSE)</f>
        <v>PRISMA</v>
      </c>
      <c r="G321" s="85">
        <v>5137.2093023255811</v>
      </c>
    </row>
    <row r="322" spans="1:7" x14ac:dyDescent="0.25">
      <c r="A322" s="80">
        <v>2026</v>
      </c>
      <c r="B322" s="81" t="s">
        <v>137</v>
      </c>
      <c r="C322" s="81" t="s">
        <v>159</v>
      </c>
      <c r="D322" s="81" t="s">
        <v>120</v>
      </c>
      <c r="E322" s="81" t="str">
        <f>VLOOKUP(D322,'[2]Lista de Produtos CLASSIFICAÇÃO'!$E$103:$F$114,2,FALSE)</f>
        <v>Derivados</v>
      </c>
      <c r="F322" s="81" t="str">
        <f>VLOOKUP(C322,clientes!$C$3:$D$60,2,FALSE)</f>
        <v>RAIZEN</v>
      </c>
      <c r="G322" s="82">
        <v>45000</v>
      </c>
    </row>
    <row r="323" spans="1:7" x14ac:dyDescent="0.25">
      <c r="A323" s="83">
        <v>2026</v>
      </c>
      <c r="B323" s="84" t="s">
        <v>137</v>
      </c>
      <c r="C323" s="84" t="s">
        <v>242</v>
      </c>
      <c r="D323" s="84" t="s">
        <v>120</v>
      </c>
      <c r="E323" s="81" t="str">
        <f>VLOOKUP(D323,'[2]Lista de Produtos CLASSIFICAÇÃO'!$E$103:$F$114,2,FALSE)</f>
        <v>Derivados</v>
      </c>
      <c r="F323" s="81" t="str">
        <f>VLOOKUP(C323,clientes!$C$3:$D$60,2,FALSE)</f>
        <v>RODOOIL DISTRIBUIDORA</v>
      </c>
      <c r="G323" s="85">
        <v>18000</v>
      </c>
    </row>
    <row r="324" spans="1:7" x14ac:dyDescent="0.25">
      <c r="A324" s="80">
        <v>2026</v>
      </c>
      <c r="B324" s="81" t="s">
        <v>137</v>
      </c>
      <c r="C324" s="81" t="s">
        <v>241</v>
      </c>
      <c r="D324" s="81" t="s">
        <v>120</v>
      </c>
      <c r="E324" s="81" t="str">
        <f>VLOOKUP(D324,'[2]Lista de Produtos CLASSIFICAÇÃO'!$E$103:$F$114,2,FALSE)</f>
        <v>Derivados</v>
      </c>
      <c r="F324" s="81" t="str">
        <f>VLOOKUP(C324,clientes!$C$3:$D$60,2,FALSE)</f>
        <v>ROYAL FIC</v>
      </c>
      <c r="G324" s="82">
        <v>18000</v>
      </c>
    </row>
    <row r="325" spans="1:7" x14ac:dyDescent="0.25">
      <c r="A325" s="83">
        <v>2026</v>
      </c>
      <c r="B325" s="84" t="s">
        <v>137</v>
      </c>
      <c r="C325" s="84" t="s">
        <v>161</v>
      </c>
      <c r="D325" s="84" t="s">
        <v>120</v>
      </c>
      <c r="E325" s="81" t="str">
        <f>VLOOKUP(D325,'[2]Lista de Produtos CLASSIFICAÇÃO'!$E$103:$F$114,2,FALSE)</f>
        <v>Derivados</v>
      </c>
      <c r="F325" s="81" t="str">
        <f>VLOOKUP(C325,clientes!$C$3:$D$60,2,FALSE)</f>
        <v>SUL PLATA</v>
      </c>
      <c r="G325" s="85">
        <v>36000</v>
      </c>
    </row>
    <row r="326" spans="1:7" x14ac:dyDescent="0.25">
      <c r="A326" s="80">
        <v>2026</v>
      </c>
      <c r="B326" s="81" t="s">
        <v>137</v>
      </c>
      <c r="C326" s="81" t="s">
        <v>244</v>
      </c>
      <c r="D326" s="81" t="s">
        <v>120</v>
      </c>
      <c r="E326" s="81" t="str">
        <f>VLOOKUP(D326,'[2]Lista de Produtos CLASSIFICAÇÃO'!$E$103:$F$114,2,FALSE)</f>
        <v>Derivados</v>
      </c>
      <c r="F326" s="81" t="str">
        <f>VLOOKUP(C326,clientes!$C$3:$D$60,2,FALSE)</f>
        <v>TAURUS</v>
      </c>
      <c r="G326" s="82">
        <v>9000</v>
      </c>
    </row>
    <row r="327" spans="1:7" x14ac:dyDescent="0.25">
      <c r="A327" s="83">
        <v>2026</v>
      </c>
      <c r="B327" s="84" t="s">
        <v>137</v>
      </c>
      <c r="C327" s="84" t="s">
        <v>163</v>
      </c>
      <c r="D327" s="84" t="s">
        <v>115</v>
      </c>
      <c r="E327" s="81" t="str">
        <f>VLOOKUP(D327,'[2]Lista de Produtos CLASSIFICAÇÃO'!$E$103:$F$114,2,FALSE)</f>
        <v>Soda Caustica</v>
      </c>
      <c r="F327" s="81" t="str">
        <f>VLOOKUP(C327,clientes!$C$3:$D$60,2,FALSE)</f>
        <v>TRICON ENERGY</v>
      </c>
      <c r="G327" s="85">
        <v>3866.666666666667</v>
      </c>
    </row>
    <row r="328" spans="1:7" x14ac:dyDescent="0.25">
      <c r="A328" s="80">
        <v>2026</v>
      </c>
      <c r="B328" s="81" t="s">
        <v>137</v>
      </c>
      <c r="C328" s="81" t="s">
        <v>171</v>
      </c>
      <c r="D328" s="81" t="s">
        <v>22</v>
      </c>
      <c r="E328" s="81" t="str">
        <f>VLOOKUP(D328,'[2]Lista de Produtos CLASSIFICAÇÃO'!$E$103:$F$114,2,FALSE)</f>
        <v>Metanol</v>
      </c>
      <c r="F328" s="81" t="str">
        <f>VLOOKUP(C328,clientes!$C$3:$D$60,2,FALSE)</f>
        <v>VALENZ</v>
      </c>
      <c r="G328" s="82">
        <v>35727.848101265823</v>
      </c>
    </row>
    <row r="329" spans="1:7" x14ac:dyDescent="0.25">
      <c r="A329" s="83">
        <v>2026</v>
      </c>
      <c r="B329" s="84" t="s">
        <v>137</v>
      </c>
      <c r="C329" s="84" t="s">
        <v>160</v>
      </c>
      <c r="D329" s="84" t="s">
        <v>120</v>
      </c>
      <c r="E329" s="81" t="str">
        <f>VLOOKUP(D329,'[2]Lista de Produtos CLASSIFICAÇÃO'!$E$103:$F$114,2,FALSE)</f>
        <v>Derivados</v>
      </c>
      <c r="F329" s="81" t="str">
        <f>VLOOKUP(C329,clientes!$C$3:$D$60,2,FALSE)</f>
        <v>VIBRA</v>
      </c>
      <c r="G329" s="85">
        <v>18000</v>
      </c>
    </row>
    <row r="330" spans="1:7" x14ac:dyDescent="0.25">
      <c r="A330" s="80">
        <v>2026</v>
      </c>
      <c r="B330" s="81" t="s">
        <v>137</v>
      </c>
      <c r="C330" s="81" t="s">
        <v>160</v>
      </c>
      <c r="D330" s="81" t="s">
        <v>120</v>
      </c>
      <c r="E330" s="81" t="str">
        <f>VLOOKUP(D330,'[2]Lista de Produtos CLASSIFICAÇÃO'!$E$103:$F$114,2,FALSE)</f>
        <v>Derivados</v>
      </c>
      <c r="F330" s="81" t="str">
        <f>VLOOKUP(C330,clientes!$C$3:$D$60,2,FALSE)</f>
        <v>VIBRA</v>
      </c>
      <c r="G330" s="82">
        <v>0</v>
      </c>
    </row>
    <row r="331" spans="1:7" x14ac:dyDescent="0.25">
      <c r="A331" s="83">
        <v>2026</v>
      </c>
      <c r="B331" s="84" t="s">
        <v>138</v>
      </c>
      <c r="C331" s="84" t="s">
        <v>175</v>
      </c>
      <c r="D331" s="84" t="s">
        <v>123</v>
      </c>
      <c r="E331" s="81" t="str">
        <f>VLOOKUP(D331,'[2]Lista de Produtos CLASSIFICAÇÃO'!$E$103:$F$114,2,FALSE)</f>
        <v>Aquecidos</v>
      </c>
      <c r="F331" s="81" t="str">
        <f>VLOOKUP(C331,clientes!$C$3:$D$60,2,FALSE)</f>
        <v>AAK DO BRASIL</v>
      </c>
      <c r="G331" s="85">
        <v>4372.2222222222217</v>
      </c>
    </row>
    <row r="332" spans="1:7" x14ac:dyDescent="0.25">
      <c r="A332" s="80">
        <v>2026</v>
      </c>
      <c r="B332" s="81" t="s">
        <v>138</v>
      </c>
      <c r="C332" s="81" t="s">
        <v>157</v>
      </c>
      <c r="D332" s="81" t="s">
        <v>122</v>
      </c>
      <c r="E332" s="81" t="str">
        <f>VLOOKUP(D332,'[2]Lista de Produtos CLASSIFICAÇÃO'!$E$103:$F$114,2,FALSE)</f>
        <v>Óleo Vegetal</v>
      </c>
      <c r="F332" s="81" t="str">
        <f>VLOOKUP(C332,clientes!$C$3:$D$60,2,FALSE)</f>
        <v>ADM</v>
      </c>
      <c r="G332" s="82">
        <v>2826.086956521739</v>
      </c>
    </row>
    <row r="333" spans="1:7" x14ac:dyDescent="0.25">
      <c r="A333" s="83">
        <v>2026</v>
      </c>
      <c r="B333" s="84" t="s">
        <v>138</v>
      </c>
      <c r="C333" s="84" t="s">
        <v>18</v>
      </c>
      <c r="D333" s="84" t="s">
        <v>17</v>
      </c>
      <c r="E333" s="81" t="str">
        <f>VLOOKUP(D333,'[2]Lista de Produtos CLASSIFICAÇÃO'!$E$103:$F$114,2,FALSE)</f>
        <v>Acostagem</v>
      </c>
      <c r="F333" s="81" t="str">
        <f>VLOOKUP(C333,clientes!$C$3:$D$60,2,FALSE)</f>
        <v>ACOSTAGEM</v>
      </c>
      <c r="G333" s="85">
        <v>0</v>
      </c>
    </row>
    <row r="334" spans="1:7" x14ac:dyDescent="0.25">
      <c r="A334" s="80">
        <v>2026</v>
      </c>
      <c r="B334" s="81" t="s">
        <v>138</v>
      </c>
      <c r="C334" s="81" t="s">
        <v>155</v>
      </c>
      <c r="D334" s="81" t="s">
        <v>16</v>
      </c>
      <c r="E334" s="81" t="str">
        <f>VLOOKUP(D334,'[2]Lista de Produtos CLASSIFICAÇÃO'!$E$103:$F$114,2,FALSE)</f>
        <v>Outros</v>
      </c>
      <c r="F334" s="81" t="str">
        <f>VLOOKUP(C334,clientes!$C$3:$D$60,2,FALSE)</f>
        <v>ADISSEO</v>
      </c>
      <c r="G334" s="82">
        <v>3461.538461538461</v>
      </c>
    </row>
    <row r="335" spans="1:7" x14ac:dyDescent="0.25">
      <c r="A335" s="83">
        <v>2026</v>
      </c>
      <c r="B335" s="84" t="s">
        <v>138</v>
      </c>
      <c r="C335" s="84" t="s">
        <v>188</v>
      </c>
      <c r="D335" s="84" t="s">
        <v>123</v>
      </c>
      <c r="E335" s="81" t="str">
        <f>VLOOKUP(D335,'[2]Lista de Produtos CLASSIFICAÇÃO'!$E$103:$F$114,2,FALSE)</f>
        <v>Aquecidos</v>
      </c>
      <c r="F335" s="81" t="str">
        <f>VLOOKUP(C335,clientes!$C$3:$D$60,2,FALSE)</f>
        <v>ARES MERCHANTS PTE LIMITE</v>
      </c>
      <c r="G335" s="85">
        <v>3476.666666666667</v>
      </c>
    </row>
    <row r="336" spans="1:7" x14ac:dyDescent="0.25">
      <c r="A336" s="80">
        <v>2026</v>
      </c>
      <c r="B336" s="81" t="s">
        <v>138</v>
      </c>
      <c r="C336" s="81" t="s">
        <v>243</v>
      </c>
      <c r="D336" s="81" t="s">
        <v>120</v>
      </c>
      <c r="E336" s="81" t="str">
        <f>VLOOKUP(D336,'[2]Lista de Produtos CLASSIFICAÇÃO'!$E$103:$F$114,2,FALSE)</f>
        <v>Derivados</v>
      </c>
      <c r="F336" s="81" t="str">
        <f>VLOOKUP(C336,clientes!$C$3:$D$60,2,FALSE)</f>
        <v>ART PETRO</v>
      </c>
      <c r="G336" s="82">
        <v>9000</v>
      </c>
    </row>
    <row r="337" spans="1:7" x14ac:dyDescent="0.25">
      <c r="A337" s="83">
        <v>2026</v>
      </c>
      <c r="B337" s="84" t="s">
        <v>138</v>
      </c>
      <c r="C337" s="84" t="s">
        <v>165</v>
      </c>
      <c r="D337" s="84" t="s">
        <v>123</v>
      </c>
      <c r="E337" s="81" t="str">
        <f>VLOOKUP(D337,'[2]Lista de Produtos CLASSIFICAÇÃO'!$E$103:$F$114,2,FALSE)</f>
        <v>Aquecidos</v>
      </c>
      <c r="F337" s="81" t="str">
        <f>VLOOKUP(C337,clientes!$C$3:$D$60,2,FALSE)</f>
        <v>BRF</v>
      </c>
      <c r="G337" s="85">
        <v>3526.666666666667</v>
      </c>
    </row>
    <row r="338" spans="1:7" x14ac:dyDescent="0.25">
      <c r="A338" s="80">
        <v>2026</v>
      </c>
      <c r="B338" s="81" t="s">
        <v>138</v>
      </c>
      <c r="C338" s="81" t="s">
        <v>179</v>
      </c>
      <c r="D338" s="81" t="s">
        <v>26</v>
      </c>
      <c r="E338" s="81" t="str">
        <f>VLOOKUP(D338,'[2]Lista de Produtos CLASSIFICAÇÃO'!$E$103:$F$114,2,FALSE)</f>
        <v>Biocombustíveis</v>
      </c>
      <c r="F338" s="81" t="str">
        <f>VLOOKUP(C338,clientes!$C$3:$D$60,2,FALSE)</f>
        <v>BSBIOS</v>
      </c>
      <c r="G338" s="82">
        <v>6356.9767441860467</v>
      </c>
    </row>
    <row r="339" spans="1:7" x14ac:dyDescent="0.25">
      <c r="A339" s="83">
        <v>2026</v>
      </c>
      <c r="B339" s="84" t="s">
        <v>138</v>
      </c>
      <c r="C339" s="84" t="s">
        <v>239</v>
      </c>
      <c r="D339" s="84" t="s">
        <v>115</v>
      </c>
      <c r="E339" s="81" t="str">
        <f>VLOOKUP(D339,'[2]Lista de Produtos CLASSIFICAÇÃO'!$E$103:$F$114,2,FALSE)</f>
        <v>Soda Caustica</v>
      </c>
      <c r="F339" s="81" t="str">
        <f>VLOOKUP(C339,clientes!$C$3:$D$60,2,FALSE)</f>
        <v>BSC QUIMICA</v>
      </c>
      <c r="G339" s="85">
        <v>1786.666666666667</v>
      </c>
    </row>
    <row r="340" spans="1:7" x14ac:dyDescent="0.25">
      <c r="A340" s="80">
        <v>2026</v>
      </c>
      <c r="B340" s="81" t="s">
        <v>138</v>
      </c>
      <c r="C340" s="81" t="s">
        <v>177</v>
      </c>
      <c r="D340" s="81" t="s">
        <v>115</v>
      </c>
      <c r="E340" s="81" t="str">
        <f>VLOOKUP(D340,'[2]Lista de Produtos CLASSIFICAÇÃO'!$E$103:$F$114,2,FALSE)</f>
        <v>Soda Caustica</v>
      </c>
      <c r="F340" s="81" t="str">
        <f>VLOOKUP(C340,clientes!$C$3:$D$60,2,FALSE)</f>
        <v>BRENNTAG</v>
      </c>
      <c r="G340" s="82">
        <v>1020</v>
      </c>
    </row>
    <row r="341" spans="1:7" x14ac:dyDescent="0.25">
      <c r="A341" s="83">
        <v>2026</v>
      </c>
      <c r="B341" s="84" t="s">
        <v>138</v>
      </c>
      <c r="C341" s="84" t="s">
        <v>156</v>
      </c>
      <c r="D341" s="84" t="s">
        <v>123</v>
      </c>
      <c r="E341" s="81" t="str">
        <f>VLOOKUP(D341,'[2]Lista de Produtos CLASSIFICAÇÃO'!$E$103:$F$114,2,FALSE)</f>
        <v>Aquecidos</v>
      </c>
      <c r="F341" s="81" t="str">
        <f>VLOOKUP(C341,clientes!$C$3:$D$60,2,FALSE)</f>
        <v>BUNGE</v>
      </c>
      <c r="G341" s="85">
        <v>2111.1111111111109</v>
      </c>
    </row>
    <row r="342" spans="1:7" x14ac:dyDescent="0.25">
      <c r="A342" s="80">
        <v>2026</v>
      </c>
      <c r="B342" s="81" t="s">
        <v>138</v>
      </c>
      <c r="C342" s="81" t="s">
        <v>166</v>
      </c>
      <c r="D342" s="81" t="s">
        <v>123</v>
      </c>
      <c r="E342" s="81" t="str">
        <f>VLOOKUP(D342,'[2]Lista de Produtos CLASSIFICAÇÃO'!$E$103:$F$114,2,FALSE)</f>
        <v>Aquecidos</v>
      </c>
      <c r="F342" s="81" t="str">
        <f>VLOOKUP(C342,clientes!$C$3:$D$60,2,FALSE)</f>
        <v>CARGILL</v>
      </c>
      <c r="G342" s="82">
        <v>1035.555555555555</v>
      </c>
    </row>
    <row r="343" spans="1:7" x14ac:dyDescent="0.25">
      <c r="A343" s="83">
        <v>2026</v>
      </c>
      <c r="B343" s="84" t="s">
        <v>138</v>
      </c>
      <c r="C343" s="84" t="s">
        <v>166</v>
      </c>
      <c r="D343" s="84" t="s">
        <v>122</v>
      </c>
      <c r="E343" s="81" t="str">
        <f>VLOOKUP(D343,'[2]Lista de Produtos CLASSIFICAÇÃO'!$E$103:$F$114,2,FALSE)</f>
        <v>Óleo Vegetal</v>
      </c>
      <c r="F343" s="81" t="str">
        <f>VLOOKUP(C343,clientes!$C$3:$D$60,2,FALSE)</f>
        <v>CARGILL</v>
      </c>
      <c r="G343" s="85">
        <v>483.695652173913</v>
      </c>
    </row>
    <row r="344" spans="1:7" x14ac:dyDescent="0.25">
      <c r="A344" s="80">
        <v>2026</v>
      </c>
      <c r="B344" s="81" t="s">
        <v>138</v>
      </c>
      <c r="C344" s="81" t="s">
        <v>174</v>
      </c>
      <c r="D344" s="81" t="s">
        <v>123</v>
      </c>
      <c r="E344" s="81" t="str">
        <f>VLOOKUP(D344,'[2]Lista de Produtos CLASSIFICAÇÃO'!$E$103:$F$114,2,FALSE)</f>
        <v>Aquecidos</v>
      </c>
      <c r="F344" s="81" t="str">
        <f>VLOOKUP(C344,clientes!$C$3:$D$60,2,FALSE)</f>
        <v>CELENA</v>
      </c>
      <c r="G344" s="82">
        <v>13401.111111111109</v>
      </c>
    </row>
    <row r="345" spans="1:7" x14ac:dyDescent="0.25">
      <c r="A345" s="83">
        <v>2026</v>
      </c>
      <c r="B345" s="84" t="s">
        <v>138</v>
      </c>
      <c r="C345" s="84" t="s">
        <v>185</v>
      </c>
      <c r="D345" s="84" t="s">
        <v>120</v>
      </c>
      <c r="E345" s="81" t="str">
        <f>VLOOKUP(D345,'[2]Lista de Produtos CLASSIFICAÇÃO'!$E$103:$F$114,2,FALSE)</f>
        <v>Derivados</v>
      </c>
      <c r="F345" s="81" t="str">
        <f>VLOOKUP(C345,clientes!$C$3:$D$60,2,FALSE)</f>
        <v>CIAPETRO</v>
      </c>
      <c r="G345" s="85">
        <v>13493.975903614461</v>
      </c>
    </row>
    <row r="346" spans="1:7" x14ac:dyDescent="0.25">
      <c r="A346" s="80">
        <v>2026</v>
      </c>
      <c r="B346" s="81" t="s">
        <v>138</v>
      </c>
      <c r="C346" s="81" t="s">
        <v>181</v>
      </c>
      <c r="D346" s="81" t="s">
        <v>123</v>
      </c>
      <c r="E346" s="81" t="str">
        <f>VLOOKUP(D346,'[2]Lista de Produtos CLASSIFICAÇÃO'!$E$103:$F$114,2,FALSE)</f>
        <v>Aquecidos</v>
      </c>
      <c r="F346" s="81" t="str">
        <f>VLOOKUP(C346,clientes!$C$3:$D$60,2,FALSE)</f>
        <v>COAMO</v>
      </c>
      <c r="G346" s="82">
        <v>1786.666666666667</v>
      </c>
    </row>
    <row r="347" spans="1:7" x14ac:dyDescent="0.25">
      <c r="A347" s="83">
        <v>2026</v>
      </c>
      <c r="B347" s="84" t="s">
        <v>138</v>
      </c>
      <c r="C347" s="84" t="s">
        <v>236</v>
      </c>
      <c r="D347" s="84" t="s">
        <v>121</v>
      </c>
      <c r="E347" s="81" t="str">
        <f>VLOOKUP(D347,'[2]Lista de Produtos CLASSIFICAÇÃO'!$E$103:$F$114,2,FALSE)</f>
        <v>Biocombustíveis</v>
      </c>
      <c r="F347" s="81" t="str">
        <f>VLOOKUP(C347,clientes!$C$3:$D$60,2,FALSE)</f>
        <v>ETANOL OUTROS</v>
      </c>
      <c r="G347" s="85">
        <v>0</v>
      </c>
    </row>
    <row r="348" spans="1:7" x14ac:dyDescent="0.25">
      <c r="A348" s="80">
        <v>2026</v>
      </c>
      <c r="B348" s="81" t="s">
        <v>138</v>
      </c>
      <c r="C348" s="81" t="s">
        <v>172</v>
      </c>
      <c r="D348" s="81" t="s">
        <v>124</v>
      </c>
      <c r="E348" s="81" t="str">
        <f>VLOOKUP(D348,'[2]Lista de Produtos CLASSIFICAÇÃO'!$E$103:$F$114,2,FALSE)</f>
        <v>Outros</v>
      </c>
      <c r="F348" s="81" t="str">
        <f>VLOOKUP(C348,clientes!$C$3:$D$60,2,FALSE)</f>
        <v>EVONIK</v>
      </c>
      <c r="G348" s="82">
        <v>1927.8481012658231</v>
      </c>
    </row>
    <row r="349" spans="1:7" x14ac:dyDescent="0.25">
      <c r="A349" s="83">
        <v>2026</v>
      </c>
      <c r="B349" s="84" t="s">
        <v>138</v>
      </c>
      <c r="C349" s="84" t="s">
        <v>240</v>
      </c>
      <c r="D349" s="84" t="s">
        <v>121</v>
      </c>
      <c r="E349" s="81" t="str">
        <f>VLOOKUP(D349,'[2]Lista de Produtos CLASSIFICAÇÃO'!$E$103:$F$114,2,FALSE)</f>
        <v>Biocombustíveis</v>
      </c>
      <c r="F349" s="81" t="str">
        <f>VLOOKUP(C349,clientes!$C$3:$D$60,2,FALSE)</f>
        <v>FS</v>
      </c>
      <c r="G349" s="85">
        <v>9200</v>
      </c>
    </row>
    <row r="350" spans="1:7" x14ac:dyDescent="0.25">
      <c r="A350" s="80">
        <v>2026</v>
      </c>
      <c r="B350" s="81" t="s">
        <v>138</v>
      </c>
      <c r="C350" s="81" t="s">
        <v>240</v>
      </c>
      <c r="D350" s="81" t="s">
        <v>121</v>
      </c>
      <c r="E350" s="81" t="str">
        <f>VLOOKUP(D350,'[2]Lista de Produtos CLASSIFICAÇÃO'!$E$103:$F$114,2,FALSE)</f>
        <v>Biocombustíveis</v>
      </c>
      <c r="F350" s="81" t="str">
        <f>VLOOKUP(C350,clientes!$C$3:$D$60,2,FALSE)</f>
        <v>FS</v>
      </c>
      <c r="G350" s="82">
        <v>0</v>
      </c>
    </row>
    <row r="351" spans="1:7" x14ac:dyDescent="0.25">
      <c r="A351" s="83">
        <v>2026</v>
      </c>
      <c r="B351" s="84" t="s">
        <v>138</v>
      </c>
      <c r="C351" s="84" t="s">
        <v>237</v>
      </c>
      <c r="D351" s="84" t="s">
        <v>120</v>
      </c>
      <c r="E351" s="81" t="str">
        <f>VLOOKUP(D351,'[2]Lista de Produtos CLASSIFICAÇÃO'!$E$103:$F$114,2,FALSE)</f>
        <v>Derivados</v>
      </c>
      <c r="F351" s="81" t="str">
        <f>VLOOKUP(C351,clientes!$C$3:$D$60,2,FALSE)</f>
        <v>FORTEZA TRADING DMCC</v>
      </c>
      <c r="G351" s="85">
        <v>3660.2409638554218</v>
      </c>
    </row>
    <row r="352" spans="1:7" x14ac:dyDescent="0.25">
      <c r="A352" s="80">
        <v>2026</v>
      </c>
      <c r="B352" s="81" t="s">
        <v>138</v>
      </c>
      <c r="C352" s="81" t="s">
        <v>191</v>
      </c>
      <c r="D352" s="81" t="s">
        <v>115</v>
      </c>
      <c r="E352" s="81" t="str">
        <f>VLOOKUP(D352,'[2]Lista de Produtos CLASSIFICAÇÃO'!$E$103:$F$114,2,FALSE)</f>
        <v>Soda Caustica</v>
      </c>
      <c r="F352" s="81" t="str">
        <f>VLOOKUP(C352,clientes!$C$3:$D$60,2,FALSE)</f>
        <v>GPC</v>
      </c>
      <c r="G352" s="82">
        <v>873.33333333333337</v>
      </c>
    </row>
    <row r="353" spans="1:7" x14ac:dyDescent="0.25">
      <c r="A353" s="83">
        <v>2026</v>
      </c>
      <c r="B353" s="84" t="s">
        <v>138</v>
      </c>
      <c r="C353" s="84" t="s">
        <v>189</v>
      </c>
      <c r="D353" s="84" t="s">
        <v>123</v>
      </c>
      <c r="E353" s="81" t="str">
        <f>VLOOKUP(D353,'[2]Lista de Produtos CLASSIFICAÇÃO'!$E$103:$F$114,2,FALSE)</f>
        <v>Aquecidos</v>
      </c>
      <c r="F353" s="81" t="str">
        <f>VLOOKUP(C353,clientes!$C$3:$D$60,2,FALSE)</f>
        <v>ICOF</v>
      </c>
      <c r="G353" s="85">
        <v>4983.333333333333</v>
      </c>
    </row>
    <row r="354" spans="1:7" x14ac:dyDescent="0.25">
      <c r="A354" s="80">
        <v>2026</v>
      </c>
      <c r="B354" s="81" t="s">
        <v>138</v>
      </c>
      <c r="C354" s="81" t="s">
        <v>184</v>
      </c>
      <c r="D354" s="81" t="s">
        <v>122</v>
      </c>
      <c r="E354" s="81" t="str">
        <f>VLOOKUP(D354,'[2]Lista de Produtos CLASSIFICAÇÃO'!$E$103:$F$114,2,FALSE)</f>
        <v>Óleo Vegetal</v>
      </c>
      <c r="F354" s="81" t="str">
        <f>VLOOKUP(C354,clientes!$C$3:$D$60,2,FALSE)</f>
        <v>INGREDION</v>
      </c>
      <c r="G354" s="82">
        <v>295.65217391304338</v>
      </c>
    </row>
    <row r="355" spans="1:7" x14ac:dyDescent="0.25">
      <c r="A355" s="83">
        <v>2026</v>
      </c>
      <c r="B355" s="84" t="s">
        <v>138</v>
      </c>
      <c r="C355" s="84" t="s">
        <v>192</v>
      </c>
      <c r="D355" s="84" t="s">
        <v>121</v>
      </c>
      <c r="E355" s="81" t="str">
        <f>VLOOKUP(D355,'[2]Lista de Produtos CLASSIFICAÇÃO'!$E$103:$F$114,2,FALSE)</f>
        <v>Biocombustíveis</v>
      </c>
      <c r="F355" s="81" t="str">
        <f>VLOOKUP(C355,clientes!$C$3:$D$60,2,FALSE)</f>
        <v>INPASA</v>
      </c>
      <c r="G355" s="85">
        <v>12146.25</v>
      </c>
    </row>
    <row r="356" spans="1:7" x14ac:dyDescent="0.25">
      <c r="A356" s="80">
        <v>2026</v>
      </c>
      <c r="B356" s="81" t="s">
        <v>138</v>
      </c>
      <c r="C356" s="81" t="s">
        <v>192</v>
      </c>
      <c r="D356" s="81" t="s">
        <v>121</v>
      </c>
      <c r="E356" s="81" t="str">
        <f>VLOOKUP(D356,'[2]Lista de Produtos CLASSIFICAÇÃO'!$E$103:$F$114,2,FALSE)</f>
        <v>Biocombustíveis</v>
      </c>
      <c r="F356" s="81" t="str">
        <f>VLOOKUP(C356,clientes!$C$3:$D$60,2,FALSE)</f>
        <v>INPASA</v>
      </c>
      <c r="G356" s="82">
        <v>20000</v>
      </c>
    </row>
    <row r="357" spans="1:7" x14ac:dyDescent="0.25">
      <c r="A357" s="83">
        <v>2026</v>
      </c>
      <c r="B357" s="84" t="s">
        <v>138</v>
      </c>
      <c r="C357" s="84" t="s">
        <v>158</v>
      </c>
      <c r="D357" s="84" t="s">
        <v>120</v>
      </c>
      <c r="E357" s="81" t="str">
        <f>VLOOKUP(D357,'[2]Lista de Produtos CLASSIFICAÇÃO'!$E$103:$F$114,2,FALSE)</f>
        <v>Derivados</v>
      </c>
      <c r="F357" s="81" t="str">
        <f>VLOOKUP(C357,clientes!$C$3:$D$60,2,FALSE)</f>
        <v>IPIRANGA</v>
      </c>
      <c r="G357" s="85">
        <v>63000</v>
      </c>
    </row>
    <row r="358" spans="1:7" x14ac:dyDescent="0.25">
      <c r="A358" s="80">
        <v>2026</v>
      </c>
      <c r="B358" s="81" t="s">
        <v>138</v>
      </c>
      <c r="C358" s="81" t="s">
        <v>162</v>
      </c>
      <c r="D358" s="81" t="s">
        <v>123</v>
      </c>
      <c r="E358" s="81" t="str">
        <f>VLOOKUP(D358,'[2]Lista de Produtos CLASSIFICAÇÃO'!$E$103:$F$114,2,FALSE)</f>
        <v>Aquecidos</v>
      </c>
      <c r="F358" s="81" t="str">
        <f>VLOOKUP(C358,clientes!$C$3:$D$60,2,FALSE)</f>
        <v>JBS</v>
      </c>
      <c r="G358" s="82">
        <v>3444.4444444444439</v>
      </c>
    </row>
    <row r="359" spans="1:7" x14ac:dyDescent="0.25">
      <c r="A359" s="83">
        <v>2026</v>
      </c>
      <c r="B359" s="84" t="s">
        <v>138</v>
      </c>
      <c r="C359" s="84" t="s">
        <v>162</v>
      </c>
      <c r="D359" s="84" t="s">
        <v>115</v>
      </c>
      <c r="E359" s="81" t="str">
        <f>VLOOKUP(D359,'[2]Lista de Produtos CLASSIFICAÇÃO'!$E$103:$F$114,2,FALSE)</f>
        <v>Soda Caustica</v>
      </c>
      <c r="F359" s="81" t="str">
        <f>VLOOKUP(C359,clientes!$C$3:$D$60,2,FALSE)</f>
        <v>JBS</v>
      </c>
      <c r="G359" s="85">
        <v>1200</v>
      </c>
    </row>
    <row r="360" spans="1:7" x14ac:dyDescent="0.25">
      <c r="A360" s="80">
        <v>2026</v>
      </c>
      <c r="B360" s="81" t="s">
        <v>138</v>
      </c>
      <c r="C360" s="81" t="s">
        <v>169</v>
      </c>
      <c r="D360" s="81" t="s">
        <v>22</v>
      </c>
      <c r="E360" s="81" t="str">
        <f>VLOOKUP(D360,'[2]Lista de Produtos CLASSIFICAÇÃO'!$E$103:$F$114,2,FALSE)</f>
        <v>Metanol</v>
      </c>
      <c r="F360" s="81" t="str">
        <f>VLOOKUP(C360,clientes!$C$3:$D$60,2,FALSE)</f>
        <v>METHANEX</v>
      </c>
      <c r="G360" s="82">
        <v>83973.417721518985</v>
      </c>
    </row>
    <row r="361" spans="1:7" x14ac:dyDescent="0.25">
      <c r="A361" s="83">
        <v>2026</v>
      </c>
      <c r="B361" s="84" t="s">
        <v>138</v>
      </c>
      <c r="C361" s="84" t="s">
        <v>169</v>
      </c>
      <c r="D361" s="84" t="s">
        <v>22</v>
      </c>
      <c r="E361" s="81" t="str">
        <f>VLOOKUP(D361,'[2]Lista de Produtos CLASSIFICAÇÃO'!$E$103:$F$114,2,FALSE)</f>
        <v>Metanol</v>
      </c>
      <c r="F361" s="81" t="str">
        <f>VLOOKUP(C361,clientes!$C$3:$D$60,2,FALSE)</f>
        <v>METHANEX</v>
      </c>
      <c r="G361" s="85">
        <v>26959.49367088607</v>
      </c>
    </row>
    <row r="362" spans="1:7" x14ac:dyDescent="0.25">
      <c r="A362" s="80">
        <v>2026</v>
      </c>
      <c r="B362" s="81" t="s">
        <v>138</v>
      </c>
      <c r="C362" s="81" t="s">
        <v>170</v>
      </c>
      <c r="D362" s="81" t="s">
        <v>22</v>
      </c>
      <c r="E362" s="81" t="str">
        <f>VLOOKUP(D362,'[2]Lista de Produtos CLASSIFICAÇÃO'!$E$103:$F$114,2,FALSE)</f>
        <v>Metanol</v>
      </c>
      <c r="F362" s="81" t="str">
        <f>VLOOKUP(C362,clientes!$C$3:$D$60,2,FALSE)</f>
        <v>MITSUBISHI</v>
      </c>
      <c r="G362" s="82">
        <v>12239.24050632911</v>
      </c>
    </row>
    <row r="363" spans="1:7" x14ac:dyDescent="0.25">
      <c r="A363" s="83">
        <v>2026</v>
      </c>
      <c r="B363" s="84" t="s">
        <v>138</v>
      </c>
      <c r="C363" s="84" t="s">
        <v>186</v>
      </c>
      <c r="D363" s="84" t="s">
        <v>22</v>
      </c>
      <c r="E363" s="81" t="str">
        <f>VLOOKUP(D363,'[2]Lista de Produtos CLASSIFICAÇÃO'!$E$103:$F$114,2,FALSE)</f>
        <v>Metanol</v>
      </c>
      <c r="F363" s="81" t="str">
        <f>VLOOKUP(C363,clientes!$C$3:$D$60,2,FALSE)</f>
        <v>OQ TRADING</v>
      </c>
      <c r="G363" s="85">
        <v>0</v>
      </c>
    </row>
    <row r="364" spans="1:7" x14ac:dyDescent="0.25">
      <c r="A364" s="80">
        <v>2026</v>
      </c>
      <c r="B364" s="81" t="s">
        <v>138</v>
      </c>
      <c r="C364" s="81" t="s">
        <v>186</v>
      </c>
      <c r="D364" s="81" t="s">
        <v>22</v>
      </c>
      <c r="E364" s="81" t="str">
        <f>VLOOKUP(D364,'[2]Lista de Produtos CLASSIFICAÇÃO'!$E$103:$F$114,2,FALSE)</f>
        <v>Metanol</v>
      </c>
      <c r="F364" s="81" t="str">
        <f>VLOOKUP(C364,clientes!$C$3:$D$60,2,FALSE)</f>
        <v>OQ TRADING</v>
      </c>
      <c r="G364" s="82">
        <v>0</v>
      </c>
    </row>
    <row r="365" spans="1:7" x14ac:dyDescent="0.25">
      <c r="A365" s="83">
        <v>2026</v>
      </c>
      <c r="B365" s="84" t="s">
        <v>138</v>
      </c>
      <c r="C365" s="84" t="s">
        <v>178</v>
      </c>
      <c r="D365" s="84" t="s">
        <v>115</v>
      </c>
      <c r="E365" s="81" t="str">
        <f>VLOOKUP(D365,'[2]Lista de Produtos CLASSIFICAÇÃO'!$E$103:$F$114,2,FALSE)</f>
        <v>Soda Caustica</v>
      </c>
      <c r="F365" s="81" t="str">
        <f>VLOOKUP(C365,clientes!$C$3:$D$60,2,FALSE)</f>
        <v>OLIN BLUE CUBE</v>
      </c>
      <c r="G365" s="85">
        <v>15088.66666666667</v>
      </c>
    </row>
    <row r="366" spans="1:7" x14ac:dyDescent="0.25">
      <c r="A366" s="80">
        <v>2026</v>
      </c>
      <c r="B366" s="81" t="s">
        <v>138</v>
      </c>
      <c r="C366" s="81" t="s">
        <v>167</v>
      </c>
      <c r="D366" s="81" t="s">
        <v>122</v>
      </c>
      <c r="E366" s="81" t="str">
        <f>VLOOKUP(D366,'[2]Lista de Produtos CLASSIFICAÇÃO'!$E$103:$F$114,2,FALSE)</f>
        <v>Óleo Vegetal</v>
      </c>
      <c r="F366" s="81" t="str">
        <f>VLOOKUP(C366,clientes!$C$3:$D$60,2,FALSE)</f>
        <v>POOL</v>
      </c>
      <c r="G366" s="82">
        <v>84442.65217391304</v>
      </c>
    </row>
    <row r="367" spans="1:7" x14ac:dyDescent="0.25">
      <c r="A367" s="83">
        <v>2026</v>
      </c>
      <c r="B367" s="84" t="s">
        <v>138</v>
      </c>
      <c r="C367" s="84" t="s">
        <v>168</v>
      </c>
      <c r="D367" s="84" t="s">
        <v>122</v>
      </c>
      <c r="E367" s="81" t="str">
        <f>VLOOKUP(D367,'[2]Lista de Produtos CLASSIFICAÇÃO'!$E$103:$F$114,2,FALSE)</f>
        <v>Óleo Vegetal</v>
      </c>
      <c r="F367" s="81" t="str">
        <f>VLOOKUP(C367,clientes!$C$3:$D$60,2,FALSE)</f>
        <v>POOL EXCEDENTE</v>
      </c>
      <c r="G367" s="85">
        <v>652.17391304347825</v>
      </c>
    </row>
    <row r="368" spans="1:7" x14ac:dyDescent="0.25">
      <c r="A368" s="80">
        <v>2026</v>
      </c>
      <c r="B368" s="81" t="s">
        <v>138</v>
      </c>
      <c r="C368" s="81" t="s">
        <v>238</v>
      </c>
      <c r="D368" s="81" t="s">
        <v>26</v>
      </c>
      <c r="E368" s="81" t="str">
        <f>VLOOKUP(D368,'[2]Lista de Produtos CLASSIFICAÇÃO'!$E$103:$F$114,2,FALSE)</f>
        <v>Biocombustíveis</v>
      </c>
      <c r="F368" s="81" t="str">
        <f>VLOOKUP(C368,clientes!$C$3:$D$60,2,FALSE)</f>
        <v>PRISMA</v>
      </c>
      <c r="G368" s="82">
        <v>5137.2093023255811</v>
      </c>
    </row>
    <row r="369" spans="1:7" x14ac:dyDescent="0.25">
      <c r="A369" s="83">
        <v>2026</v>
      </c>
      <c r="B369" s="84" t="s">
        <v>138</v>
      </c>
      <c r="C369" s="84" t="s">
        <v>159</v>
      </c>
      <c r="D369" s="84" t="s">
        <v>120</v>
      </c>
      <c r="E369" s="81" t="str">
        <f>VLOOKUP(D369,'[2]Lista de Produtos CLASSIFICAÇÃO'!$E$103:$F$114,2,FALSE)</f>
        <v>Derivados</v>
      </c>
      <c r="F369" s="81" t="str">
        <f>VLOOKUP(C369,clientes!$C$3:$D$60,2,FALSE)</f>
        <v>RAIZEN</v>
      </c>
      <c r="G369" s="85">
        <v>45000</v>
      </c>
    </row>
    <row r="370" spans="1:7" x14ac:dyDescent="0.25">
      <c r="A370" s="80">
        <v>2026</v>
      </c>
      <c r="B370" s="81" t="s">
        <v>138</v>
      </c>
      <c r="C370" s="81" t="s">
        <v>242</v>
      </c>
      <c r="D370" s="81" t="s">
        <v>120</v>
      </c>
      <c r="E370" s="81" t="str">
        <f>VLOOKUP(D370,'[2]Lista de Produtos CLASSIFICAÇÃO'!$E$103:$F$114,2,FALSE)</f>
        <v>Derivados</v>
      </c>
      <c r="F370" s="81" t="str">
        <f>VLOOKUP(C370,clientes!$C$3:$D$60,2,FALSE)</f>
        <v>RODOOIL DISTRIBUIDORA</v>
      </c>
      <c r="G370" s="82">
        <v>18000</v>
      </c>
    </row>
    <row r="371" spans="1:7" x14ac:dyDescent="0.25">
      <c r="A371" s="83">
        <v>2026</v>
      </c>
      <c r="B371" s="84" t="s">
        <v>138</v>
      </c>
      <c r="C371" s="84" t="s">
        <v>241</v>
      </c>
      <c r="D371" s="84" t="s">
        <v>120</v>
      </c>
      <c r="E371" s="81" t="str">
        <f>VLOOKUP(D371,'[2]Lista de Produtos CLASSIFICAÇÃO'!$E$103:$F$114,2,FALSE)</f>
        <v>Derivados</v>
      </c>
      <c r="F371" s="81" t="str">
        <f>VLOOKUP(C371,clientes!$C$3:$D$60,2,FALSE)</f>
        <v>ROYAL FIC</v>
      </c>
      <c r="G371" s="85">
        <v>18000</v>
      </c>
    </row>
    <row r="372" spans="1:7" x14ac:dyDescent="0.25">
      <c r="A372" s="80">
        <v>2026</v>
      </c>
      <c r="B372" s="81" t="s">
        <v>138</v>
      </c>
      <c r="C372" s="81" t="s">
        <v>161</v>
      </c>
      <c r="D372" s="81" t="s">
        <v>120</v>
      </c>
      <c r="E372" s="81" t="str">
        <f>VLOOKUP(D372,'[2]Lista de Produtos CLASSIFICAÇÃO'!$E$103:$F$114,2,FALSE)</f>
        <v>Derivados</v>
      </c>
      <c r="F372" s="81" t="str">
        <f>VLOOKUP(C372,clientes!$C$3:$D$60,2,FALSE)</f>
        <v>SUL PLATA</v>
      </c>
      <c r="G372" s="82">
        <v>36000</v>
      </c>
    </row>
    <row r="373" spans="1:7" x14ac:dyDescent="0.25">
      <c r="A373" s="83">
        <v>2026</v>
      </c>
      <c r="B373" s="84" t="s">
        <v>138</v>
      </c>
      <c r="C373" s="84" t="s">
        <v>244</v>
      </c>
      <c r="D373" s="84" t="s">
        <v>120</v>
      </c>
      <c r="E373" s="81" t="str">
        <f>VLOOKUP(D373,'[2]Lista de Produtos CLASSIFICAÇÃO'!$E$103:$F$114,2,FALSE)</f>
        <v>Derivados</v>
      </c>
      <c r="F373" s="81" t="str">
        <f>VLOOKUP(C373,clientes!$C$3:$D$60,2,FALSE)</f>
        <v>TAURUS</v>
      </c>
      <c r="G373" s="85">
        <v>9000</v>
      </c>
    </row>
    <row r="374" spans="1:7" x14ac:dyDescent="0.25">
      <c r="A374" s="80">
        <v>2026</v>
      </c>
      <c r="B374" s="81" t="s">
        <v>138</v>
      </c>
      <c r="C374" s="81" t="s">
        <v>163</v>
      </c>
      <c r="D374" s="81" t="s">
        <v>115</v>
      </c>
      <c r="E374" s="81" t="str">
        <f>VLOOKUP(D374,'[2]Lista de Produtos CLASSIFICAÇÃO'!$E$103:$F$114,2,FALSE)</f>
        <v>Soda Caustica</v>
      </c>
      <c r="F374" s="81" t="str">
        <f>VLOOKUP(C374,clientes!$C$3:$D$60,2,FALSE)</f>
        <v>TRICON ENERGY</v>
      </c>
      <c r="G374" s="82">
        <v>3866.666666666667</v>
      </c>
    </row>
    <row r="375" spans="1:7" x14ac:dyDescent="0.25">
      <c r="A375" s="83">
        <v>2026</v>
      </c>
      <c r="B375" s="84" t="s">
        <v>138</v>
      </c>
      <c r="C375" s="84" t="s">
        <v>171</v>
      </c>
      <c r="D375" s="84" t="s">
        <v>22</v>
      </c>
      <c r="E375" s="81" t="str">
        <f>VLOOKUP(D375,'[2]Lista de Produtos CLASSIFICAÇÃO'!$E$103:$F$114,2,FALSE)</f>
        <v>Metanol</v>
      </c>
      <c r="F375" s="81" t="str">
        <f>VLOOKUP(C375,clientes!$C$3:$D$60,2,FALSE)</f>
        <v>VALENZ</v>
      </c>
      <c r="G375" s="85">
        <v>35727.848101265823</v>
      </c>
    </row>
    <row r="376" spans="1:7" x14ac:dyDescent="0.25">
      <c r="A376" s="80">
        <v>2026</v>
      </c>
      <c r="B376" s="81" t="s">
        <v>138</v>
      </c>
      <c r="C376" s="81" t="s">
        <v>160</v>
      </c>
      <c r="D376" s="81" t="s">
        <v>120</v>
      </c>
      <c r="E376" s="81" t="str">
        <f>VLOOKUP(D376,'[2]Lista de Produtos CLASSIFICAÇÃO'!$E$103:$F$114,2,FALSE)</f>
        <v>Derivados</v>
      </c>
      <c r="F376" s="81" t="str">
        <f>VLOOKUP(C376,clientes!$C$3:$D$60,2,FALSE)</f>
        <v>VIBRA</v>
      </c>
      <c r="G376" s="82">
        <v>18000</v>
      </c>
    </row>
    <row r="377" spans="1:7" x14ac:dyDescent="0.25">
      <c r="A377" s="83">
        <v>2026</v>
      </c>
      <c r="B377" s="84" t="s">
        <v>138</v>
      </c>
      <c r="C377" s="84" t="s">
        <v>160</v>
      </c>
      <c r="D377" s="84" t="s">
        <v>120</v>
      </c>
      <c r="E377" s="81" t="str">
        <f>VLOOKUP(D377,'[2]Lista de Produtos CLASSIFICAÇÃO'!$E$103:$F$114,2,FALSE)</f>
        <v>Derivados</v>
      </c>
      <c r="F377" s="81" t="str">
        <f>VLOOKUP(C377,clientes!$C$3:$D$60,2,FALSE)</f>
        <v>VIBRA</v>
      </c>
      <c r="G377" s="85">
        <v>0</v>
      </c>
    </row>
    <row r="378" spans="1:7" x14ac:dyDescent="0.25">
      <c r="A378" s="80">
        <v>2026</v>
      </c>
      <c r="B378" s="81" t="s">
        <v>139</v>
      </c>
      <c r="C378" s="81" t="s">
        <v>175</v>
      </c>
      <c r="D378" s="81" t="s">
        <v>123</v>
      </c>
      <c r="E378" s="81" t="str">
        <f>VLOOKUP(D378,'[2]Lista de Produtos CLASSIFICAÇÃO'!$E$103:$F$114,2,FALSE)</f>
        <v>Aquecidos</v>
      </c>
      <c r="F378" s="81" t="str">
        <f>VLOOKUP(C378,clientes!$C$3:$D$60,2,FALSE)</f>
        <v>AAK DO BRASIL</v>
      </c>
      <c r="G378" s="82">
        <v>4372.2222222222217</v>
      </c>
    </row>
    <row r="379" spans="1:7" x14ac:dyDescent="0.25">
      <c r="A379" s="83">
        <v>2026</v>
      </c>
      <c r="B379" s="84" t="s">
        <v>139</v>
      </c>
      <c r="C379" s="84" t="s">
        <v>157</v>
      </c>
      <c r="D379" s="84" t="s">
        <v>122</v>
      </c>
      <c r="E379" s="81" t="str">
        <f>VLOOKUP(D379,'[2]Lista de Produtos CLASSIFICAÇÃO'!$E$103:$F$114,2,FALSE)</f>
        <v>Óleo Vegetal</v>
      </c>
      <c r="F379" s="81" t="str">
        <f>VLOOKUP(C379,clientes!$C$3:$D$60,2,FALSE)</f>
        <v>ADM</v>
      </c>
      <c r="G379" s="85">
        <v>2826.086956521739</v>
      </c>
    </row>
    <row r="380" spans="1:7" x14ac:dyDescent="0.25">
      <c r="A380" s="80">
        <v>2026</v>
      </c>
      <c r="B380" s="81" t="s">
        <v>139</v>
      </c>
      <c r="C380" s="81" t="s">
        <v>18</v>
      </c>
      <c r="D380" s="81" t="s">
        <v>17</v>
      </c>
      <c r="E380" s="81" t="str">
        <f>VLOOKUP(D380,'[2]Lista de Produtos CLASSIFICAÇÃO'!$E$103:$F$114,2,FALSE)</f>
        <v>Acostagem</v>
      </c>
      <c r="F380" s="81" t="str">
        <f>VLOOKUP(C380,clientes!$C$3:$D$60,2,FALSE)</f>
        <v>ACOSTAGEM</v>
      </c>
      <c r="G380" s="82">
        <v>0</v>
      </c>
    </row>
    <row r="381" spans="1:7" x14ac:dyDescent="0.25">
      <c r="A381" s="83">
        <v>2026</v>
      </c>
      <c r="B381" s="84" t="s">
        <v>139</v>
      </c>
      <c r="C381" s="84" t="s">
        <v>155</v>
      </c>
      <c r="D381" s="84" t="s">
        <v>16</v>
      </c>
      <c r="E381" s="81" t="str">
        <f>VLOOKUP(D381,'[2]Lista de Produtos CLASSIFICAÇÃO'!$E$103:$F$114,2,FALSE)</f>
        <v>Outros</v>
      </c>
      <c r="F381" s="81" t="str">
        <f>VLOOKUP(C381,clientes!$C$3:$D$60,2,FALSE)</f>
        <v>ADISSEO</v>
      </c>
      <c r="G381" s="85">
        <v>3461.538461538461</v>
      </c>
    </row>
    <row r="382" spans="1:7" x14ac:dyDescent="0.25">
      <c r="A382" s="80">
        <v>2026</v>
      </c>
      <c r="B382" s="81" t="s">
        <v>139</v>
      </c>
      <c r="C382" s="81" t="s">
        <v>188</v>
      </c>
      <c r="D382" s="81" t="s">
        <v>123</v>
      </c>
      <c r="E382" s="81" t="str">
        <f>VLOOKUP(D382,'[2]Lista de Produtos CLASSIFICAÇÃO'!$E$103:$F$114,2,FALSE)</f>
        <v>Aquecidos</v>
      </c>
      <c r="F382" s="81" t="str">
        <f>VLOOKUP(C382,clientes!$C$3:$D$60,2,FALSE)</f>
        <v>ARES MERCHANTS PTE LIMITE</v>
      </c>
      <c r="G382" s="82">
        <v>3476.666666666667</v>
      </c>
    </row>
    <row r="383" spans="1:7" x14ac:dyDescent="0.25">
      <c r="A383" s="83">
        <v>2026</v>
      </c>
      <c r="B383" s="84" t="s">
        <v>139</v>
      </c>
      <c r="C383" s="84" t="s">
        <v>243</v>
      </c>
      <c r="D383" s="84" t="s">
        <v>120</v>
      </c>
      <c r="E383" s="81" t="str">
        <f>VLOOKUP(D383,'[2]Lista de Produtos CLASSIFICAÇÃO'!$E$103:$F$114,2,FALSE)</f>
        <v>Derivados</v>
      </c>
      <c r="F383" s="81" t="str">
        <f>VLOOKUP(C383,clientes!$C$3:$D$60,2,FALSE)</f>
        <v>ART PETRO</v>
      </c>
      <c r="G383" s="85">
        <v>9000</v>
      </c>
    </row>
    <row r="384" spans="1:7" x14ac:dyDescent="0.25">
      <c r="A384" s="80">
        <v>2026</v>
      </c>
      <c r="B384" s="81" t="s">
        <v>139</v>
      </c>
      <c r="C384" s="81" t="s">
        <v>165</v>
      </c>
      <c r="D384" s="81" t="s">
        <v>123</v>
      </c>
      <c r="E384" s="81" t="str">
        <f>VLOOKUP(D384,'[2]Lista de Produtos CLASSIFICAÇÃO'!$E$103:$F$114,2,FALSE)</f>
        <v>Aquecidos</v>
      </c>
      <c r="F384" s="81" t="str">
        <f>VLOOKUP(C384,clientes!$C$3:$D$60,2,FALSE)</f>
        <v>BRF</v>
      </c>
      <c r="G384" s="82">
        <v>3526.666666666667</v>
      </c>
    </row>
    <row r="385" spans="1:7" x14ac:dyDescent="0.25">
      <c r="A385" s="83">
        <v>2026</v>
      </c>
      <c r="B385" s="84" t="s">
        <v>139</v>
      </c>
      <c r="C385" s="84" t="s">
        <v>179</v>
      </c>
      <c r="D385" s="84" t="s">
        <v>26</v>
      </c>
      <c r="E385" s="81" t="str">
        <f>VLOOKUP(D385,'[2]Lista de Produtos CLASSIFICAÇÃO'!$E$103:$F$114,2,FALSE)</f>
        <v>Biocombustíveis</v>
      </c>
      <c r="F385" s="81" t="str">
        <f>VLOOKUP(C385,clientes!$C$3:$D$60,2,FALSE)</f>
        <v>BSBIOS</v>
      </c>
      <c r="G385" s="85">
        <v>6356.9767441860467</v>
      </c>
    </row>
    <row r="386" spans="1:7" x14ac:dyDescent="0.25">
      <c r="A386" s="80">
        <v>2026</v>
      </c>
      <c r="B386" s="81" t="s">
        <v>139</v>
      </c>
      <c r="C386" s="81" t="s">
        <v>239</v>
      </c>
      <c r="D386" s="81" t="s">
        <v>115</v>
      </c>
      <c r="E386" s="81" t="str">
        <f>VLOOKUP(D386,'[2]Lista de Produtos CLASSIFICAÇÃO'!$E$103:$F$114,2,FALSE)</f>
        <v>Soda Caustica</v>
      </c>
      <c r="F386" s="81" t="str">
        <f>VLOOKUP(C386,clientes!$C$3:$D$60,2,FALSE)</f>
        <v>BSC QUIMICA</v>
      </c>
      <c r="G386" s="82">
        <v>1786.666666666667</v>
      </c>
    </row>
    <row r="387" spans="1:7" x14ac:dyDescent="0.25">
      <c r="A387" s="83">
        <v>2026</v>
      </c>
      <c r="B387" s="84" t="s">
        <v>139</v>
      </c>
      <c r="C387" s="84" t="s">
        <v>177</v>
      </c>
      <c r="D387" s="84" t="s">
        <v>115</v>
      </c>
      <c r="E387" s="81" t="str">
        <f>VLOOKUP(D387,'[2]Lista de Produtos CLASSIFICAÇÃO'!$E$103:$F$114,2,FALSE)</f>
        <v>Soda Caustica</v>
      </c>
      <c r="F387" s="81" t="str">
        <f>VLOOKUP(C387,clientes!$C$3:$D$60,2,FALSE)</f>
        <v>BRENNTAG</v>
      </c>
      <c r="G387" s="85">
        <v>1020</v>
      </c>
    </row>
    <row r="388" spans="1:7" x14ac:dyDescent="0.25">
      <c r="A388" s="80">
        <v>2026</v>
      </c>
      <c r="B388" s="81" t="s">
        <v>139</v>
      </c>
      <c r="C388" s="81" t="s">
        <v>156</v>
      </c>
      <c r="D388" s="81" t="s">
        <v>123</v>
      </c>
      <c r="E388" s="81" t="str">
        <f>VLOOKUP(D388,'[2]Lista de Produtos CLASSIFICAÇÃO'!$E$103:$F$114,2,FALSE)</f>
        <v>Aquecidos</v>
      </c>
      <c r="F388" s="81" t="str">
        <f>VLOOKUP(C388,clientes!$C$3:$D$60,2,FALSE)</f>
        <v>BUNGE</v>
      </c>
      <c r="G388" s="82">
        <v>2111.1111111111109</v>
      </c>
    </row>
    <row r="389" spans="1:7" x14ac:dyDescent="0.25">
      <c r="A389" s="83">
        <v>2026</v>
      </c>
      <c r="B389" s="84" t="s">
        <v>139</v>
      </c>
      <c r="C389" s="84" t="s">
        <v>166</v>
      </c>
      <c r="D389" s="84" t="s">
        <v>123</v>
      </c>
      <c r="E389" s="81" t="str">
        <f>VLOOKUP(D389,'[2]Lista de Produtos CLASSIFICAÇÃO'!$E$103:$F$114,2,FALSE)</f>
        <v>Aquecidos</v>
      </c>
      <c r="F389" s="81" t="str">
        <f>VLOOKUP(C389,clientes!$C$3:$D$60,2,FALSE)</f>
        <v>CARGILL</v>
      </c>
      <c r="G389" s="85">
        <v>1035.555555555555</v>
      </c>
    </row>
    <row r="390" spans="1:7" x14ac:dyDescent="0.25">
      <c r="A390" s="80">
        <v>2026</v>
      </c>
      <c r="B390" s="81" t="s">
        <v>139</v>
      </c>
      <c r="C390" s="81" t="s">
        <v>166</v>
      </c>
      <c r="D390" s="81" t="s">
        <v>122</v>
      </c>
      <c r="E390" s="81" t="str">
        <f>VLOOKUP(D390,'[2]Lista de Produtos CLASSIFICAÇÃO'!$E$103:$F$114,2,FALSE)</f>
        <v>Óleo Vegetal</v>
      </c>
      <c r="F390" s="81" t="str">
        <f>VLOOKUP(C390,clientes!$C$3:$D$60,2,FALSE)</f>
        <v>CARGILL</v>
      </c>
      <c r="G390" s="82">
        <v>483.695652173913</v>
      </c>
    </row>
    <row r="391" spans="1:7" x14ac:dyDescent="0.25">
      <c r="A391" s="83">
        <v>2026</v>
      </c>
      <c r="B391" s="84" t="s">
        <v>139</v>
      </c>
      <c r="C391" s="84" t="s">
        <v>174</v>
      </c>
      <c r="D391" s="84" t="s">
        <v>123</v>
      </c>
      <c r="E391" s="81" t="str">
        <f>VLOOKUP(D391,'[2]Lista de Produtos CLASSIFICAÇÃO'!$E$103:$F$114,2,FALSE)</f>
        <v>Aquecidos</v>
      </c>
      <c r="F391" s="81" t="str">
        <f>VLOOKUP(C391,clientes!$C$3:$D$60,2,FALSE)</f>
        <v>CELENA</v>
      </c>
      <c r="G391" s="85">
        <v>13401.111111111109</v>
      </c>
    </row>
    <row r="392" spans="1:7" x14ac:dyDescent="0.25">
      <c r="A392" s="80">
        <v>2026</v>
      </c>
      <c r="B392" s="81" t="s">
        <v>139</v>
      </c>
      <c r="C392" s="81" t="s">
        <v>185</v>
      </c>
      <c r="D392" s="81" t="s">
        <v>120</v>
      </c>
      <c r="E392" s="81" t="str">
        <f>VLOOKUP(D392,'[2]Lista de Produtos CLASSIFICAÇÃO'!$E$103:$F$114,2,FALSE)</f>
        <v>Derivados</v>
      </c>
      <c r="F392" s="81" t="str">
        <f>VLOOKUP(C392,clientes!$C$3:$D$60,2,FALSE)</f>
        <v>CIAPETRO</v>
      </c>
      <c r="G392" s="82">
        <v>13493.975903614461</v>
      </c>
    </row>
    <row r="393" spans="1:7" x14ac:dyDescent="0.25">
      <c r="A393" s="83">
        <v>2026</v>
      </c>
      <c r="B393" s="84" t="s">
        <v>139</v>
      </c>
      <c r="C393" s="84" t="s">
        <v>181</v>
      </c>
      <c r="D393" s="84" t="s">
        <v>123</v>
      </c>
      <c r="E393" s="81" t="str">
        <f>VLOOKUP(D393,'[2]Lista de Produtos CLASSIFICAÇÃO'!$E$103:$F$114,2,FALSE)</f>
        <v>Aquecidos</v>
      </c>
      <c r="F393" s="81" t="str">
        <f>VLOOKUP(C393,clientes!$C$3:$D$60,2,FALSE)</f>
        <v>COAMO</v>
      </c>
      <c r="G393" s="85">
        <v>1786.666666666667</v>
      </c>
    </row>
    <row r="394" spans="1:7" x14ac:dyDescent="0.25">
      <c r="A394" s="80">
        <v>2026</v>
      </c>
      <c r="B394" s="81" t="s">
        <v>139</v>
      </c>
      <c r="C394" s="81" t="s">
        <v>236</v>
      </c>
      <c r="D394" s="81" t="s">
        <v>121</v>
      </c>
      <c r="E394" s="81" t="str">
        <f>VLOOKUP(D394,'[2]Lista de Produtos CLASSIFICAÇÃO'!$E$103:$F$114,2,FALSE)</f>
        <v>Biocombustíveis</v>
      </c>
      <c r="F394" s="81" t="str">
        <f>VLOOKUP(C394,clientes!$C$3:$D$60,2,FALSE)</f>
        <v>ETANOL OUTROS</v>
      </c>
      <c r="G394" s="82">
        <v>0</v>
      </c>
    </row>
    <row r="395" spans="1:7" x14ac:dyDescent="0.25">
      <c r="A395" s="83">
        <v>2026</v>
      </c>
      <c r="B395" s="84" t="s">
        <v>139</v>
      </c>
      <c r="C395" s="84" t="s">
        <v>172</v>
      </c>
      <c r="D395" s="84" t="s">
        <v>124</v>
      </c>
      <c r="E395" s="81" t="str">
        <f>VLOOKUP(D395,'[2]Lista de Produtos CLASSIFICAÇÃO'!$E$103:$F$114,2,FALSE)</f>
        <v>Outros</v>
      </c>
      <c r="F395" s="81" t="str">
        <f>VLOOKUP(C395,clientes!$C$3:$D$60,2,FALSE)</f>
        <v>EVONIK</v>
      </c>
      <c r="G395" s="85">
        <v>1927.8481012658231</v>
      </c>
    </row>
    <row r="396" spans="1:7" x14ac:dyDescent="0.25">
      <c r="A396" s="80">
        <v>2026</v>
      </c>
      <c r="B396" s="81" t="s">
        <v>139</v>
      </c>
      <c r="C396" s="81" t="s">
        <v>240</v>
      </c>
      <c r="D396" s="81" t="s">
        <v>121</v>
      </c>
      <c r="E396" s="81" t="str">
        <f>VLOOKUP(D396,'[2]Lista de Produtos CLASSIFICAÇÃO'!$E$103:$F$114,2,FALSE)</f>
        <v>Biocombustíveis</v>
      </c>
      <c r="F396" s="81" t="str">
        <f>VLOOKUP(C396,clientes!$C$3:$D$60,2,FALSE)</f>
        <v>FS</v>
      </c>
      <c r="G396" s="82">
        <v>9200</v>
      </c>
    </row>
    <row r="397" spans="1:7" x14ac:dyDescent="0.25">
      <c r="A397" s="83">
        <v>2026</v>
      </c>
      <c r="B397" s="84" t="s">
        <v>139</v>
      </c>
      <c r="C397" s="84" t="s">
        <v>240</v>
      </c>
      <c r="D397" s="84" t="s">
        <v>121</v>
      </c>
      <c r="E397" s="81" t="str">
        <f>VLOOKUP(D397,'[2]Lista de Produtos CLASSIFICAÇÃO'!$E$103:$F$114,2,FALSE)</f>
        <v>Biocombustíveis</v>
      </c>
      <c r="F397" s="81" t="str">
        <f>VLOOKUP(C397,clientes!$C$3:$D$60,2,FALSE)</f>
        <v>FS</v>
      </c>
      <c r="G397" s="85">
        <v>20000</v>
      </c>
    </row>
    <row r="398" spans="1:7" x14ac:dyDescent="0.25">
      <c r="A398" s="80">
        <v>2026</v>
      </c>
      <c r="B398" s="81" t="s">
        <v>139</v>
      </c>
      <c r="C398" s="81" t="s">
        <v>237</v>
      </c>
      <c r="D398" s="81" t="s">
        <v>120</v>
      </c>
      <c r="E398" s="81" t="str">
        <f>VLOOKUP(D398,'[2]Lista de Produtos CLASSIFICAÇÃO'!$E$103:$F$114,2,FALSE)</f>
        <v>Derivados</v>
      </c>
      <c r="F398" s="81" t="str">
        <f>VLOOKUP(C398,clientes!$C$3:$D$60,2,FALSE)</f>
        <v>FORTEZA TRADING DMCC</v>
      </c>
      <c r="G398" s="82">
        <v>3660.2409638554218</v>
      </c>
    </row>
    <row r="399" spans="1:7" x14ac:dyDescent="0.25">
      <c r="A399" s="83">
        <v>2026</v>
      </c>
      <c r="B399" s="84" t="s">
        <v>139</v>
      </c>
      <c r="C399" s="84" t="s">
        <v>191</v>
      </c>
      <c r="D399" s="84" t="s">
        <v>115</v>
      </c>
      <c r="E399" s="81" t="str">
        <f>VLOOKUP(D399,'[2]Lista de Produtos CLASSIFICAÇÃO'!$E$103:$F$114,2,FALSE)</f>
        <v>Soda Caustica</v>
      </c>
      <c r="F399" s="81" t="str">
        <f>VLOOKUP(C399,clientes!$C$3:$D$60,2,FALSE)</f>
        <v>GPC</v>
      </c>
      <c r="G399" s="85">
        <v>873.33333333333337</v>
      </c>
    </row>
    <row r="400" spans="1:7" x14ac:dyDescent="0.25">
      <c r="A400" s="80">
        <v>2026</v>
      </c>
      <c r="B400" s="81" t="s">
        <v>139</v>
      </c>
      <c r="C400" s="81" t="s">
        <v>189</v>
      </c>
      <c r="D400" s="81" t="s">
        <v>123</v>
      </c>
      <c r="E400" s="81" t="str">
        <f>VLOOKUP(D400,'[2]Lista de Produtos CLASSIFICAÇÃO'!$E$103:$F$114,2,FALSE)</f>
        <v>Aquecidos</v>
      </c>
      <c r="F400" s="81" t="str">
        <f>VLOOKUP(C400,clientes!$C$3:$D$60,2,FALSE)</f>
        <v>ICOF</v>
      </c>
      <c r="G400" s="82">
        <v>4983.333333333333</v>
      </c>
    </row>
    <row r="401" spans="1:7" x14ac:dyDescent="0.25">
      <c r="A401" s="83">
        <v>2026</v>
      </c>
      <c r="B401" s="84" t="s">
        <v>139</v>
      </c>
      <c r="C401" s="84" t="s">
        <v>184</v>
      </c>
      <c r="D401" s="84" t="s">
        <v>122</v>
      </c>
      <c r="E401" s="81" t="str">
        <f>VLOOKUP(D401,'[2]Lista de Produtos CLASSIFICAÇÃO'!$E$103:$F$114,2,FALSE)</f>
        <v>Óleo Vegetal</v>
      </c>
      <c r="F401" s="81" t="str">
        <f>VLOOKUP(C401,clientes!$C$3:$D$60,2,FALSE)</f>
        <v>INGREDION</v>
      </c>
      <c r="G401" s="85">
        <v>295.65217391304338</v>
      </c>
    </row>
    <row r="402" spans="1:7" x14ac:dyDescent="0.25">
      <c r="A402" s="80">
        <v>2026</v>
      </c>
      <c r="B402" s="81" t="s">
        <v>139</v>
      </c>
      <c r="C402" s="81" t="s">
        <v>192</v>
      </c>
      <c r="D402" s="81" t="s">
        <v>121</v>
      </c>
      <c r="E402" s="81" t="str">
        <f>VLOOKUP(D402,'[2]Lista de Produtos CLASSIFICAÇÃO'!$E$103:$F$114,2,FALSE)</f>
        <v>Biocombustíveis</v>
      </c>
      <c r="F402" s="81" t="str">
        <f>VLOOKUP(C402,clientes!$C$3:$D$60,2,FALSE)</f>
        <v>INPASA</v>
      </c>
      <c r="G402" s="82">
        <v>12146.25</v>
      </c>
    </row>
    <row r="403" spans="1:7" x14ac:dyDescent="0.25">
      <c r="A403" s="83">
        <v>2026</v>
      </c>
      <c r="B403" s="84" t="s">
        <v>139</v>
      </c>
      <c r="C403" s="84" t="s">
        <v>192</v>
      </c>
      <c r="D403" s="84" t="s">
        <v>121</v>
      </c>
      <c r="E403" s="81" t="str">
        <f>VLOOKUP(D403,'[2]Lista de Produtos CLASSIFICAÇÃO'!$E$103:$F$114,2,FALSE)</f>
        <v>Biocombustíveis</v>
      </c>
      <c r="F403" s="81" t="str">
        <f>VLOOKUP(C403,clientes!$C$3:$D$60,2,FALSE)</f>
        <v>INPASA</v>
      </c>
      <c r="G403" s="85">
        <v>20000</v>
      </c>
    </row>
    <row r="404" spans="1:7" x14ac:dyDescent="0.25">
      <c r="A404" s="80">
        <v>2026</v>
      </c>
      <c r="B404" s="81" t="s">
        <v>139</v>
      </c>
      <c r="C404" s="81" t="s">
        <v>158</v>
      </c>
      <c r="D404" s="81" t="s">
        <v>120</v>
      </c>
      <c r="E404" s="81" t="str">
        <f>VLOOKUP(D404,'[2]Lista de Produtos CLASSIFICAÇÃO'!$E$103:$F$114,2,FALSE)</f>
        <v>Derivados</v>
      </c>
      <c r="F404" s="81" t="str">
        <f>VLOOKUP(C404,clientes!$C$3:$D$60,2,FALSE)</f>
        <v>IPIRANGA</v>
      </c>
      <c r="G404" s="82">
        <v>63000</v>
      </c>
    </row>
    <row r="405" spans="1:7" x14ac:dyDescent="0.25">
      <c r="A405" s="83">
        <v>2026</v>
      </c>
      <c r="B405" s="84" t="s">
        <v>139</v>
      </c>
      <c r="C405" s="84" t="s">
        <v>162</v>
      </c>
      <c r="D405" s="84" t="s">
        <v>123</v>
      </c>
      <c r="E405" s="81" t="str">
        <f>VLOOKUP(D405,'[2]Lista de Produtos CLASSIFICAÇÃO'!$E$103:$F$114,2,FALSE)</f>
        <v>Aquecidos</v>
      </c>
      <c r="F405" s="81" t="str">
        <f>VLOOKUP(C405,clientes!$C$3:$D$60,2,FALSE)</f>
        <v>JBS</v>
      </c>
      <c r="G405" s="85">
        <v>3444.4444444444439</v>
      </c>
    </row>
    <row r="406" spans="1:7" x14ac:dyDescent="0.25">
      <c r="A406" s="80">
        <v>2026</v>
      </c>
      <c r="B406" s="81" t="s">
        <v>139</v>
      </c>
      <c r="C406" s="81" t="s">
        <v>162</v>
      </c>
      <c r="D406" s="81" t="s">
        <v>115</v>
      </c>
      <c r="E406" s="81" t="str">
        <f>VLOOKUP(D406,'[2]Lista de Produtos CLASSIFICAÇÃO'!$E$103:$F$114,2,FALSE)</f>
        <v>Soda Caustica</v>
      </c>
      <c r="F406" s="81" t="str">
        <f>VLOOKUP(C406,clientes!$C$3:$D$60,2,FALSE)</f>
        <v>JBS</v>
      </c>
      <c r="G406" s="82">
        <v>1200</v>
      </c>
    </row>
    <row r="407" spans="1:7" x14ac:dyDescent="0.25">
      <c r="A407" s="83">
        <v>2026</v>
      </c>
      <c r="B407" s="84" t="s">
        <v>139</v>
      </c>
      <c r="C407" s="84" t="s">
        <v>169</v>
      </c>
      <c r="D407" s="84" t="s">
        <v>22</v>
      </c>
      <c r="E407" s="81" t="str">
        <f>VLOOKUP(D407,'[2]Lista de Produtos CLASSIFICAÇÃO'!$E$103:$F$114,2,FALSE)</f>
        <v>Metanol</v>
      </c>
      <c r="F407" s="81" t="str">
        <f>VLOOKUP(C407,clientes!$C$3:$D$60,2,FALSE)</f>
        <v>METHANEX</v>
      </c>
      <c r="G407" s="85">
        <v>83973.417721518985</v>
      </c>
    </row>
    <row r="408" spans="1:7" x14ac:dyDescent="0.25">
      <c r="A408" s="80">
        <v>2026</v>
      </c>
      <c r="B408" s="81" t="s">
        <v>139</v>
      </c>
      <c r="C408" s="81" t="s">
        <v>169</v>
      </c>
      <c r="D408" s="81" t="s">
        <v>22</v>
      </c>
      <c r="E408" s="81" t="str">
        <f>VLOOKUP(D408,'[2]Lista de Produtos CLASSIFICAÇÃO'!$E$103:$F$114,2,FALSE)</f>
        <v>Metanol</v>
      </c>
      <c r="F408" s="81" t="str">
        <f>VLOOKUP(C408,clientes!$C$3:$D$60,2,FALSE)</f>
        <v>METHANEX</v>
      </c>
      <c r="G408" s="82">
        <v>26959.49367088607</v>
      </c>
    </row>
    <row r="409" spans="1:7" x14ac:dyDescent="0.25">
      <c r="A409" s="83">
        <v>2026</v>
      </c>
      <c r="B409" s="84" t="s">
        <v>139</v>
      </c>
      <c r="C409" s="84" t="s">
        <v>170</v>
      </c>
      <c r="D409" s="84" t="s">
        <v>22</v>
      </c>
      <c r="E409" s="81" t="str">
        <f>VLOOKUP(D409,'[2]Lista de Produtos CLASSIFICAÇÃO'!$E$103:$F$114,2,FALSE)</f>
        <v>Metanol</v>
      </c>
      <c r="F409" s="81" t="str">
        <f>VLOOKUP(C409,clientes!$C$3:$D$60,2,FALSE)</f>
        <v>MITSUBISHI</v>
      </c>
      <c r="G409" s="85">
        <v>12239.24050632911</v>
      </c>
    </row>
    <row r="410" spans="1:7" x14ac:dyDescent="0.25">
      <c r="A410" s="80">
        <v>2026</v>
      </c>
      <c r="B410" s="81" t="s">
        <v>139</v>
      </c>
      <c r="C410" s="81" t="s">
        <v>186</v>
      </c>
      <c r="D410" s="81" t="s">
        <v>22</v>
      </c>
      <c r="E410" s="81" t="str">
        <f>VLOOKUP(D410,'[2]Lista de Produtos CLASSIFICAÇÃO'!$E$103:$F$114,2,FALSE)</f>
        <v>Metanol</v>
      </c>
      <c r="F410" s="81" t="str">
        <f>VLOOKUP(C410,clientes!$C$3:$D$60,2,FALSE)</f>
        <v>OQ TRADING</v>
      </c>
      <c r="G410" s="82">
        <v>15189.873417721519</v>
      </c>
    </row>
    <row r="411" spans="1:7" x14ac:dyDescent="0.25">
      <c r="A411" s="83">
        <v>2026</v>
      </c>
      <c r="B411" s="84" t="s">
        <v>139</v>
      </c>
      <c r="C411" s="84" t="s">
        <v>186</v>
      </c>
      <c r="D411" s="84" t="s">
        <v>22</v>
      </c>
      <c r="E411" s="81" t="str">
        <f>VLOOKUP(D411,'[2]Lista de Produtos CLASSIFICAÇÃO'!$E$103:$F$114,2,FALSE)</f>
        <v>Metanol</v>
      </c>
      <c r="F411" s="81" t="str">
        <f>VLOOKUP(C411,clientes!$C$3:$D$60,2,FALSE)</f>
        <v>OQ TRADING</v>
      </c>
      <c r="G411" s="85">
        <v>6329.1139240506327</v>
      </c>
    </row>
    <row r="412" spans="1:7" x14ac:dyDescent="0.25">
      <c r="A412" s="80">
        <v>2026</v>
      </c>
      <c r="B412" s="81" t="s">
        <v>139</v>
      </c>
      <c r="C412" s="81" t="s">
        <v>178</v>
      </c>
      <c r="D412" s="81" t="s">
        <v>115</v>
      </c>
      <c r="E412" s="81" t="str">
        <f>VLOOKUP(D412,'[2]Lista de Produtos CLASSIFICAÇÃO'!$E$103:$F$114,2,FALSE)</f>
        <v>Soda Caustica</v>
      </c>
      <c r="F412" s="81" t="str">
        <f>VLOOKUP(C412,clientes!$C$3:$D$60,2,FALSE)</f>
        <v>OLIN BLUE CUBE</v>
      </c>
      <c r="G412" s="82">
        <v>15088.66666666667</v>
      </c>
    </row>
    <row r="413" spans="1:7" x14ac:dyDescent="0.25">
      <c r="A413" s="83">
        <v>2026</v>
      </c>
      <c r="B413" s="84" t="s">
        <v>139</v>
      </c>
      <c r="C413" s="84" t="s">
        <v>167</v>
      </c>
      <c r="D413" s="84" t="s">
        <v>122</v>
      </c>
      <c r="E413" s="81" t="str">
        <f>VLOOKUP(D413,'[2]Lista de Produtos CLASSIFICAÇÃO'!$E$103:$F$114,2,FALSE)</f>
        <v>Óleo Vegetal</v>
      </c>
      <c r="F413" s="81" t="str">
        <f>VLOOKUP(C413,clientes!$C$3:$D$60,2,FALSE)</f>
        <v>POOL</v>
      </c>
      <c r="G413" s="85">
        <v>54616.543478260872</v>
      </c>
    </row>
    <row r="414" spans="1:7" x14ac:dyDescent="0.25">
      <c r="A414" s="80">
        <v>2026</v>
      </c>
      <c r="B414" s="81" t="s">
        <v>139</v>
      </c>
      <c r="C414" s="81" t="s">
        <v>168</v>
      </c>
      <c r="D414" s="81" t="s">
        <v>122</v>
      </c>
      <c r="E414" s="81" t="str">
        <f>VLOOKUP(D414,'[2]Lista de Produtos CLASSIFICAÇÃO'!$E$103:$F$114,2,FALSE)</f>
        <v>Óleo Vegetal</v>
      </c>
      <c r="F414" s="81" t="str">
        <f>VLOOKUP(C414,clientes!$C$3:$D$60,2,FALSE)</f>
        <v>POOL EXCEDENTE</v>
      </c>
      <c r="G414" s="82">
        <v>652.17391304347825</v>
      </c>
    </row>
    <row r="415" spans="1:7" x14ac:dyDescent="0.25">
      <c r="A415" s="83">
        <v>2026</v>
      </c>
      <c r="B415" s="84" t="s">
        <v>139</v>
      </c>
      <c r="C415" s="84" t="s">
        <v>238</v>
      </c>
      <c r="D415" s="84" t="s">
        <v>26</v>
      </c>
      <c r="E415" s="81" t="str">
        <f>VLOOKUP(D415,'[2]Lista de Produtos CLASSIFICAÇÃO'!$E$103:$F$114,2,FALSE)</f>
        <v>Biocombustíveis</v>
      </c>
      <c r="F415" s="81" t="str">
        <f>VLOOKUP(C415,clientes!$C$3:$D$60,2,FALSE)</f>
        <v>PRISMA</v>
      </c>
      <c r="G415" s="85">
        <v>5137.2093023255811</v>
      </c>
    </row>
    <row r="416" spans="1:7" x14ac:dyDescent="0.25">
      <c r="A416" s="80">
        <v>2026</v>
      </c>
      <c r="B416" s="81" t="s">
        <v>139</v>
      </c>
      <c r="C416" s="81" t="s">
        <v>159</v>
      </c>
      <c r="D416" s="81" t="s">
        <v>120</v>
      </c>
      <c r="E416" s="81" t="str">
        <f>VLOOKUP(D416,'[2]Lista de Produtos CLASSIFICAÇÃO'!$E$103:$F$114,2,FALSE)</f>
        <v>Derivados</v>
      </c>
      <c r="F416" s="81" t="str">
        <f>VLOOKUP(C416,clientes!$C$3:$D$60,2,FALSE)</f>
        <v>RAIZEN</v>
      </c>
      <c r="G416" s="82">
        <v>45000</v>
      </c>
    </row>
    <row r="417" spans="1:7" x14ac:dyDescent="0.25">
      <c r="A417" s="83">
        <v>2026</v>
      </c>
      <c r="B417" s="84" t="s">
        <v>139</v>
      </c>
      <c r="C417" s="84" t="s">
        <v>242</v>
      </c>
      <c r="D417" s="84" t="s">
        <v>120</v>
      </c>
      <c r="E417" s="81" t="str">
        <f>VLOOKUP(D417,'[2]Lista de Produtos CLASSIFICAÇÃO'!$E$103:$F$114,2,FALSE)</f>
        <v>Derivados</v>
      </c>
      <c r="F417" s="81" t="str">
        <f>VLOOKUP(C417,clientes!$C$3:$D$60,2,FALSE)</f>
        <v>RODOOIL DISTRIBUIDORA</v>
      </c>
      <c r="G417" s="85">
        <v>18000</v>
      </c>
    </row>
    <row r="418" spans="1:7" x14ac:dyDescent="0.25">
      <c r="A418" s="80">
        <v>2026</v>
      </c>
      <c r="B418" s="81" t="s">
        <v>139</v>
      </c>
      <c r="C418" s="81" t="s">
        <v>241</v>
      </c>
      <c r="D418" s="81" t="s">
        <v>120</v>
      </c>
      <c r="E418" s="81" t="str">
        <f>VLOOKUP(D418,'[2]Lista de Produtos CLASSIFICAÇÃO'!$E$103:$F$114,2,FALSE)</f>
        <v>Derivados</v>
      </c>
      <c r="F418" s="81" t="str">
        <f>VLOOKUP(C418,clientes!$C$3:$D$60,2,FALSE)</f>
        <v>ROYAL FIC</v>
      </c>
      <c r="G418" s="82">
        <v>18000</v>
      </c>
    </row>
    <row r="419" spans="1:7" x14ac:dyDescent="0.25">
      <c r="A419" s="83">
        <v>2026</v>
      </c>
      <c r="B419" s="84" t="s">
        <v>139</v>
      </c>
      <c r="C419" s="84" t="s">
        <v>161</v>
      </c>
      <c r="D419" s="84" t="s">
        <v>120</v>
      </c>
      <c r="E419" s="81" t="str">
        <f>VLOOKUP(D419,'[2]Lista de Produtos CLASSIFICAÇÃO'!$E$103:$F$114,2,FALSE)</f>
        <v>Derivados</v>
      </c>
      <c r="F419" s="81" t="str">
        <f>VLOOKUP(C419,clientes!$C$3:$D$60,2,FALSE)</f>
        <v>SUL PLATA</v>
      </c>
      <c r="G419" s="85">
        <v>36000</v>
      </c>
    </row>
    <row r="420" spans="1:7" x14ac:dyDescent="0.25">
      <c r="A420" s="80">
        <v>2026</v>
      </c>
      <c r="B420" s="81" t="s">
        <v>139</v>
      </c>
      <c r="C420" s="81" t="s">
        <v>244</v>
      </c>
      <c r="D420" s="81" t="s">
        <v>120</v>
      </c>
      <c r="E420" s="81" t="str">
        <f>VLOOKUP(D420,'[2]Lista de Produtos CLASSIFICAÇÃO'!$E$103:$F$114,2,FALSE)</f>
        <v>Derivados</v>
      </c>
      <c r="F420" s="81" t="str">
        <f>VLOOKUP(C420,clientes!$C$3:$D$60,2,FALSE)</f>
        <v>TAURUS</v>
      </c>
      <c r="G420" s="82">
        <v>9000</v>
      </c>
    </row>
    <row r="421" spans="1:7" x14ac:dyDescent="0.25">
      <c r="A421" s="83">
        <v>2026</v>
      </c>
      <c r="B421" s="84" t="s">
        <v>139</v>
      </c>
      <c r="C421" s="84" t="s">
        <v>163</v>
      </c>
      <c r="D421" s="84" t="s">
        <v>115</v>
      </c>
      <c r="E421" s="81" t="str">
        <f>VLOOKUP(D421,'[2]Lista de Produtos CLASSIFICAÇÃO'!$E$103:$F$114,2,FALSE)</f>
        <v>Soda Caustica</v>
      </c>
      <c r="F421" s="81" t="str">
        <f>VLOOKUP(C421,clientes!$C$3:$D$60,2,FALSE)</f>
        <v>TRICON ENERGY</v>
      </c>
      <c r="G421" s="85">
        <v>3866.666666666667</v>
      </c>
    </row>
    <row r="422" spans="1:7" x14ac:dyDescent="0.25">
      <c r="A422" s="80">
        <v>2026</v>
      </c>
      <c r="B422" s="81" t="s">
        <v>139</v>
      </c>
      <c r="C422" s="81" t="s">
        <v>171</v>
      </c>
      <c r="D422" s="81" t="s">
        <v>22</v>
      </c>
      <c r="E422" s="81" t="str">
        <f>VLOOKUP(D422,'[2]Lista de Produtos CLASSIFICAÇÃO'!$E$103:$F$114,2,FALSE)</f>
        <v>Metanol</v>
      </c>
      <c r="F422" s="81" t="str">
        <f>VLOOKUP(C422,clientes!$C$3:$D$60,2,FALSE)</f>
        <v>VALENZ</v>
      </c>
      <c r="G422" s="82">
        <v>35727.848101265823</v>
      </c>
    </row>
    <row r="423" spans="1:7" x14ac:dyDescent="0.25">
      <c r="A423" s="83">
        <v>2026</v>
      </c>
      <c r="B423" s="84" t="s">
        <v>139</v>
      </c>
      <c r="C423" s="84" t="s">
        <v>160</v>
      </c>
      <c r="D423" s="84" t="s">
        <v>120</v>
      </c>
      <c r="E423" s="81" t="str">
        <f>VLOOKUP(D423,'[2]Lista de Produtos CLASSIFICAÇÃO'!$E$103:$F$114,2,FALSE)</f>
        <v>Derivados</v>
      </c>
      <c r="F423" s="81" t="str">
        <f>VLOOKUP(C423,clientes!$C$3:$D$60,2,FALSE)</f>
        <v>VIBRA</v>
      </c>
      <c r="G423" s="85">
        <v>0</v>
      </c>
    </row>
    <row r="424" spans="1:7" x14ac:dyDescent="0.25">
      <c r="A424" s="80">
        <v>2026</v>
      </c>
      <c r="B424" s="81" t="s">
        <v>139</v>
      </c>
      <c r="C424" s="81" t="s">
        <v>160</v>
      </c>
      <c r="D424" s="81" t="s">
        <v>120</v>
      </c>
      <c r="E424" s="81" t="str">
        <f>VLOOKUP(D424,'[2]Lista de Produtos CLASSIFICAÇÃO'!$E$103:$F$114,2,FALSE)</f>
        <v>Derivados</v>
      </c>
      <c r="F424" s="81" t="str">
        <f>VLOOKUP(C424,clientes!$C$3:$D$60,2,FALSE)</f>
        <v>VIBRA</v>
      </c>
      <c r="G424" s="82">
        <v>18000</v>
      </c>
    </row>
    <row r="425" spans="1:7" x14ac:dyDescent="0.25">
      <c r="A425" s="83">
        <v>2026</v>
      </c>
      <c r="B425" s="84" t="s">
        <v>140</v>
      </c>
      <c r="C425" s="84" t="s">
        <v>175</v>
      </c>
      <c r="D425" s="84" t="s">
        <v>123</v>
      </c>
      <c r="E425" s="81" t="str">
        <f>VLOOKUP(D425,'[2]Lista de Produtos CLASSIFICAÇÃO'!$E$103:$F$114,2,FALSE)</f>
        <v>Aquecidos</v>
      </c>
      <c r="F425" s="81" t="str">
        <f>VLOOKUP(C425,clientes!$C$3:$D$60,2,FALSE)</f>
        <v>AAK DO BRASIL</v>
      </c>
      <c r="G425" s="85">
        <v>4372.2222222222217</v>
      </c>
    </row>
    <row r="426" spans="1:7" x14ac:dyDescent="0.25">
      <c r="A426" s="80">
        <v>2026</v>
      </c>
      <c r="B426" s="81" t="s">
        <v>140</v>
      </c>
      <c r="C426" s="81" t="s">
        <v>157</v>
      </c>
      <c r="D426" s="81" t="s">
        <v>122</v>
      </c>
      <c r="E426" s="81" t="str">
        <f>VLOOKUP(D426,'[2]Lista de Produtos CLASSIFICAÇÃO'!$E$103:$F$114,2,FALSE)</f>
        <v>Óleo Vegetal</v>
      </c>
      <c r="F426" s="81" t="str">
        <f>VLOOKUP(C426,clientes!$C$3:$D$60,2,FALSE)</f>
        <v>ADM</v>
      </c>
      <c r="G426" s="82">
        <v>2826.086956521739</v>
      </c>
    </row>
    <row r="427" spans="1:7" x14ac:dyDescent="0.25">
      <c r="A427" s="83">
        <v>2026</v>
      </c>
      <c r="B427" s="84" t="s">
        <v>140</v>
      </c>
      <c r="C427" s="84" t="s">
        <v>18</v>
      </c>
      <c r="D427" s="84" t="s">
        <v>17</v>
      </c>
      <c r="E427" s="81" t="str">
        <f>VLOOKUP(D427,'[2]Lista de Produtos CLASSIFICAÇÃO'!$E$103:$F$114,2,FALSE)</f>
        <v>Acostagem</v>
      </c>
      <c r="F427" s="81" t="str">
        <f>VLOOKUP(C427,clientes!$C$3:$D$60,2,FALSE)</f>
        <v>ACOSTAGEM</v>
      </c>
      <c r="G427" s="85">
        <v>0</v>
      </c>
    </row>
    <row r="428" spans="1:7" x14ac:dyDescent="0.25">
      <c r="A428" s="80">
        <v>2026</v>
      </c>
      <c r="B428" s="81" t="s">
        <v>140</v>
      </c>
      <c r="C428" s="81" t="s">
        <v>155</v>
      </c>
      <c r="D428" s="81" t="s">
        <v>16</v>
      </c>
      <c r="E428" s="81" t="str">
        <f>VLOOKUP(D428,'[2]Lista de Produtos CLASSIFICAÇÃO'!$E$103:$F$114,2,FALSE)</f>
        <v>Outros</v>
      </c>
      <c r="F428" s="81" t="str">
        <f>VLOOKUP(C428,clientes!$C$3:$D$60,2,FALSE)</f>
        <v>ADISSEO</v>
      </c>
      <c r="G428" s="82">
        <v>3461.538461538461</v>
      </c>
    </row>
    <row r="429" spans="1:7" x14ac:dyDescent="0.25">
      <c r="A429" s="83">
        <v>2026</v>
      </c>
      <c r="B429" s="84" t="s">
        <v>140</v>
      </c>
      <c r="C429" s="84" t="s">
        <v>188</v>
      </c>
      <c r="D429" s="84" t="s">
        <v>123</v>
      </c>
      <c r="E429" s="81" t="str">
        <f>VLOOKUP(D429,'[2]Lista de Produtos CLASSIFICAÇÃO'!$E$103:$F$114,2,FALSE)</f>
        <v>Aquecidos</v>
      </c>
      <c r="F429" s="81" t="str">
        <f>VLOOKUP(C429,clientes!$C$3:$D$60,2,FALSE)</f>
        <v>ARES MERCHANTS PTE LIMITE</v>
      </c>
      <c r="G429" s="85">
        <v>3476.666666666667</v>
      </c>
    </row>
    <row r="430" spans="1:7" x14ac:dyDescent="0.25">
      <c r="A430" s="80">
        <v>2026</v>
      </c>
      <c r="B430" s="81" t="s">
        <v>140</v>
      </c>
      <c r="C430" s="81" t="s">
        <v>243</v>
      </c>
      <c r="D430" s="81" t="s">
        <v>120</v>
      </c>
      <c r="E430" s="81" t="str">
        <f>VLOOKUP(D430,'[2]Lista de Produtos CLASSIFICAÇÃO'!$E$103:$F$114,2,FALSE)</f>
        <v>Derivados</v>
      </c>
      <c r="F430" s="81" t="str">
        <f>VLOOKUP(C430,clientes!$C$3:$D$60,2,FALSE)</f>
        <v>ART PETRO</v>
      </c>
      <c r="G430" s="82">
        <v>9000</v>
      </c>
    </row>
    <row r="431" spans="1:7" x14ac:dyDescent="0.25">
      <c r="A431" s="83">
        <v>2026</v>
      </c>
      <c r="B431" s="84" t="s">
        <v>140</v>
      </c>
      <c r="C431" s="84" t="s">
        <v>165</v>
      </c>
      <c r="D431" s="84" t="s">
        <v>123</v>
      </c>
      <c r="E431" s="81" t="str">
        <f>VLOOKUP(D431,'[2]Lista de Produtos CLASSIFICAÇÃO'!$E$103:$F$114,2,FALSE)</f>
        <v>Aquecidos</v>
      </c>
      <c r="F431" s="81" t="str">
        <f>VLOOKUP(C431,clientes!$C$3:$D$60,2,FALSE)</f>
        <v>BRF</v>
      </c>
      <c r="G431" s="85">
        <v>3526.666666666667</v>
      </c>
    </row>
    <row r="432" spans="1:7" x14ac:dyDescent="0.25">
      <c r="A432" s="80">
        <v>2026</v>
      </c>
      <c r="B432" s="81" t="s">
        <v>140</v>
      </c>
      <c r="C432" s="81" t="s">
        <v>179</v>
      </c>
      <c r="D432" s="81" t="s">
        <v>26</v>
      </c>
      <c r="E432" s="81" t="str">
        <f>VLOOKUP(D432,'[2]Lista de Produtos CLASSIFICAÇÃO'!$E$103:$F$114,2,FALSE)</f>
        <v>Biocombustíveis</v>
      </c>
      <c r="F432" s="81" t="str">
        <f>VLOOKUP(C432,clientes!$C$3:$D$60,2,FALSE)</f>
        <v>BSBIOS</v>
      </c>
      <c r="G432" s="82">
        <v>6356.9767441860467</v>
      </c>
    </row>
    <row r="433" spans="1:7" x14ac:dyDescent="0.25">
      <c r="A433" s="83">
        <v>2026</v>
      </c>
      <c r="B433" s="84" t="s">
        <v>140</v>
      </c>
      <c r="C433" s="84" t="s">
        <v>239</v>
      </c>
      <c r="D433" s="84" t="s">
        <v>115</v>
      </c>
      <c r="E433" s="81" t="str">
        <f>VLOOKUP(D433,'[2]Lista de Produtos CLASSIFICAÇÃO'!$E$103:$F$114,2,FALSE)</f>
        <v>Soda Caustica</v>
      </c>
      <c r="F433" s="81" t="str">
        <f>VLOOKUP(C433,clientes!$C$3:$D$60,2,FALSE)</f>
        <v>BSC QUIMICA</v>
      </c>
      <c r="G433" s="85">
        <v>1786.666666666667</v>
      </c>
    </row>
    <row r="434" spans="1:7" x14ac:dyDescent="0.25">
      <c r="A434" s="80">
        <v>2026</v>
      </c>
      <c r="B434" s="81" t="s">
        <v>140</v>
      </c>
      <c r="C434" s="81" t="s">
        <v>177</v>
      </c>
      <c r="D434" s="81" t="s">
        <v>115</v>
      </c>
      <c r="E434" s="81" t="str">
        <f>VLOOKUP(D434,'[2]Lista de Produtos CLASSIFICAÇÃO'!$E$103:$F$114,2,FALSE)</f>
        <v>Soda Caustica</v>
      </c>
      <c r="F434" s="81" t="str">
        <f>VLOOKUP(C434,clientes!$C$3:$D$60,2,FALSE)</f>
        <v>BRENNTAG</v>
      </c>
      <c r="G434" s="82">
        <v>1020</v>
      </c>
    </row>
    <row r="435" spans="1:7" x14ac:dyDescent="0.25">
      <c r="A435" s="83">
        <v>2026</v>
      </c>
      <c r="B435" s="84" t="s">
        <v>140</v>
      </c>
      <c r="C435" s="84" t="s">
        <v>156</v>
      </c>
      <c r="D435" s="84" t="s">
        <v>123</v>
      </c>
      <c r="E435" s="81" t="str">
        <f>VLOOKUP(D435,'[2]Lista de Produtos CLASSIFICAÇÃO'!$E$103:$F$114,2,FALSE)</f>
        <v>Aquecidos</v>
      </c>
      <c r="F435" s="81" t="str">
        <f>VLOOKUP(C435,clientes!$C$3:$D$60,2,FALSE)</f>
        <v>BUNGE</v>
      </c>
      <c r="G435" s="85">
        <v>2111.1111111111109</v>
      </c>
    </row>
    <row r="436" spans="1:7" x14ac:dyDescent="0.25">
      <c r="A436" s="80">
        <v>2026</v>
      </c>
      <c r="B436" s="81" t="s">
        <v>140</v>
      </c>
      <c r="C436" s="81" t="s">
        <v>166</v>
      </c>
      <c r="D436" s="81" t="s">
        <v>123</v>
      </c>
      <c r="E436" s="81" t="str">
        <f>VLOOKUP(D436,'[2]Lista de Produtos CLASSIFICAÇÃO'!$E$103:$F$114,2,FALSE)</f>
        <v>Aquecidos</v>
      </c>
      <c r="F436" s="81" t="str">
        <f>VLOOKUP(C436,clientes!$C$3:$D$60,2,FALSE)</f>
        <v>CARGILL</v>
      </c>
      <c r="G436" s="82">
        <v>1035.555555555555</v>
      </c>
    </row>
    <row r="437" spans="1:7" x14ac:dyDescent="0.25">
      <c r="A437" s="83">
        <v>2026</v>
      </c>
      <c r="B437" s="84" t="s">
        <v>140</v>
      </c>
      <c r="C437" s="84" t="s">
        <v>166</v>
      </c>
      <c r="D437" s="84" t="s">
        <v>122</v>
      </c>
      <c r="E437" s="81" t="str">
        <f>VLOOKUP(D437,'[2]Lista de Produtos CLASSIFICAÇÃO'!$E$103:$F$114,2,FALSE)</f>
        <v>Óleo Vegetal</v>
      </c>
      <c r="F437" s="81" t="str">
        <f>VLOOKUP(C437,clientes!$C$3:$D$60,2,FALSE)</f>
        <v>CARGILL</v>
      </c>
      <c r="G437" s="85">
        <v>483.695652173913</v>
      </c>
    </row>
    <row r="438" spans="1:7" x14ac:dyDescent="0.25">
      <c r="A438" s="80">
        <v>2026</v>
      </c>
      <c r="B438" s="81" t="s">
        <v>140</v>
      </c>
      <c r="C438" s="81" t="s">
        <v>174</v>
      </c>
      <c r="D438" s="81" t="s">
        <v>123</v>
      </c>
      <c r="E438" s="81" t="str">
        <f>VLOOKUP(D438,'[2]Lista de Produtos CLASSIFICAÇÃO'!$E$103:$F$114,2,FALSE)</f>
        <v>Aquecidos</v>
      </c>
      <c r="F438" s="81" t="str">
        <f>VLOOKUP(C438,clientes!$C$3:$D$60,2,FALSE)</f>
        <v>CELENA</v>
      </c>
      <c r="G438" s="82">
        <v>13401.111111111109</v>
      </c>
    </row>
    <row r="439" spans="1:7" x14ac:dyDescent="0.25">
      <c r="A439" s="83">
        <v>2026</v>
      </c>
      <c r="B439" s="84" t="s">
        <v>140</v>
      </c>
      <c r="C439" s="84" t="s">
        <v>185</v>
      </c>
      <c r="D439" s="84" t="s">
        <v>120</v>
      </c>
      <c r="E439" s="81" t="str">
        <f>VLOOKUP(D439,'[2]Lista de Produtos CLASSIFICAÇÃO'!$E$103:$F$114,2,FALSE)</f>
        <v>Derivados</v>
      </c>
      <c r="F439" s="81" t="str">
        <f>VLOOKUP(C439,clientes!$C$3:$D$60,2,FALSE)</f>
        <v>CIAPETRO</v>
      </c>
      <c r="G439" s="85">
        <v>13493.975903614461</v>
      </c>
    </row>
    <row r="440" spans="1:7" x14ac:dyDescent="0.25">
      <c r="A440" s="80">
        <v>2026</v>
      </c>
      <c r="B440" s="81" t="s">
        <v>140</v>
      </c>
      <c r="C440" s="81" t="s">
        <v>181</v>
      </c>
      <c r="D440" s="81" t="s">
        <v>123</v>
      </c>
      <c r="E440" s="81" t="str">
        <f>VLOOKUP(D440,'[2]Lista de Produtos CLASSIFICAÇÃO'!$E$103:$F$114,2,FALSE)</f>
        <v>Aquecidos</v>
      </c>
      <c r="F440" s="81" t="str">
        <f>VLOOKUP(C440,clientes!$C$3:$D$60,2,FALSE)</f>
        <v>COAMO</v>
      </c>
      <c r="G440" s="82">
        <v>1786.666666666667</v>
      </c>
    </row>
    <row r="441" spans="1:7" x14ac:dyDescent="0.25">
      <c r="A441" s="83">
        <v>2026</v>
      </c>
      <c r="B441" s="84" t="s">
        <v>140</v>
      </c>
      <c r="C441" s="84" t="s">
        <v>236</v>
      </c>
      <c r="D441" s="84" t="s">
        <v>121</v>
      </c>
      <c r="E441" s="81" t="str">
        <f>VLOOKUP(D441,'[2]Lista de Produtos CLASSIFICAÇÃO'!$E$103:$F$114,2,FALSE)</f>
        <v>Biocombustíveis</v>
      </c>
      <c r="F441" s="81" t="str">
        <f>VLOOKUP(C441,clientes!$C$3:$D$60,2,FALSE)</f>
        <v>ETANOL OUTROS</v>
      </c>
      <c r="G441" s="85">
        <v>0</v>
      </c>
    </row>
    <row r="442" spans="1:7" x14ac:dyDescent="0.25">
      <c r="A442" s="80">
        <v>2026</v>
      </c>
      <c r="B442" s="81" t="s">
        <v>140</v>
      </c>
      <c r="C442" s="81" t="s">
        <v>172</v>
      </c>
      <c r="D442" s="81" t="s">
        <v>124</v>
      </c>
      <c r="E442" s="81" t="str">
        <f>VLOOKUP(D442,'[2]Lista de Produtos CLASSIFICAÇÃO'!$E$103:$F$114,2,FALSE)</f>
        <v>Outros</v>
      </c>
      <c r="F442" s="81" t="str">
        <f>VLOOKUP(C442,clientes!$C$3:$D$60,2,FALSE)</f>
        <v>EVONIK</v>
      </c>
      <c r="G442" s="82">
        <v>1927.8481012658231</v>
      </c>
    </row>
    <row r="443" spans="1:7" x14ac:dyDescent="0.25">
      <c r="A443" s="83">
        <v>2026</v>
      </c>
      <c r="B443" s="84" t="s">
        <v>140</v>
      </c>
      <c r="C443" s="84" t="s">
        <v>240</v>
      </c>
      <c r="D443" s="84" t="s">
        <v>121</v>
      </c>
      <c r="E443" s="81" t="str">
        <f>VLOOKUP(D443,'[2]Lista de Produtos CLASSIFICAÇÃO'!$E$103:$F$114,2,FALSE)</f>
        <v>Biocombustíveis</v>
      </c>
      <c r="F443" s="81" t="str">
        <f>VLOOKUP(C443,clientes!$C$3:$D$60,2,FALSE)</f>
        <v>FS</v>
      </c>
      <c r="G443" s="85">
        <v>9200</v>
      </c>
    </row>
    <row r="444" spans="1:7" x14ac:dyDescent="0.25">
      <c r="A444" s="80">
        <v>2026</v>
      </c>
      <c r="B444" s="81" t="s">
        <v>140</v>
      </c>
      <c r="C444" s="81" t="s">
        <v>240</v>
      </c>
      <c r="D444" s="81" t="s">
        <v>121</v>
      </c>
      <c r="E444" s="81" t="str">
        <f>VLOOKUP(D444,'[2]Lista de Produtos CLASSIFICAÇÃO'!$E$103:$F$114,2,FALSE)</f>
        <v>Biocombustíveis</v>
      </c>
      <c r="F444" s="81" t="str">
        <f>VLOOKUP(C444,clientes!$C$3:$D$60,2,FALSE)</f>
        <v>FS</v>
      </c>
      <c r="G444" s="82">
        <v>0</v>
      </c>
    </row>
    <row r="445" spans="1:7" x14ac:dyDescent="0.25">
      <c r="A445" s="83">
        <v>2026</v>
      </c>
      <c r="B445" s="84" t="s">
        <v>140</v>
      </c>
      <c r="C445" s="84" t="s">
        <v>237</v>
      </c>
      <c r="D445" s="84" t="s">
        <v>120</v>
      </c>
      <c r="E445" s="81" t="str">
        <f>VLOOKUP(D445,'[2]Lista de Produtos CLASSIFICAÇÃO'!$E$103:$F$114,2,FALSE)</f>
        <v>Derivados</v>
      </c>
      <c r="F445" s="81" t="str">
        <f>VLOOKUP(C445,clientes!$C$3:$D$60,2,FALSE)</f>
        <v>FORTEZA TRADING DMCC</v>
      </c>
      <c r="G445" s="85">
        <v>3660.2409638554218</v>
      </c>
    </row>
    <row r="446" spans="1:7" x14ac:dyDescent="0.25">
      <c r="A446" s="80">
        <v>2026</v>
      </c>
      <c r="B446" s="81" t="s">
        <v>140</v>
      </c>
      <c r="C446" s="81" t="s">
        <v>191</v>
      </c>
      <c r="D446" s="81" t="s">
        <v>115</v>
      </c>
      <c r="E446" s="81" t="str">
        <f>VLOOKUP(D446,'[2]Lista de Produtos CLASSIFICAÇÃO'!$E$103:$F$114,2,FALSE)</f>
        <v>Soda Caustica</v>
      </c>
      <c r="F446" s="81" t="str">
        <f>VLOOKUP(C446,clientes!$C$3:$D$60,2,FALSE)</f>
        <v>GPC</v>
      </c>
      <c r="G446" s="82">
        <v>873.33333333333337</v>
      </c>
    </row>
    <row r="447" spans="1:7" x14ac:dyDescent="0.25">
      <c r="A447" s="83">
        <v>2026</v>
      </c>
      <c r="B447" s="84" t="s">
        <v>140</v>
      </c>
      <c r="C447" s="84" t="s">
        <v>189</v>
      </c>
      <c r="D447" s="84" t="s">
        <v>123</v>
      </c>
      <c r="E447" s="81" t="str">
        <f>VLOOKUP(D447,'[2]Lista de Produtos CLASSIFICAÇÃO'!$E$103:$F$114,2,FALSE)</f>
        <v>Aquecidos</v>
      </c>
      <c r="F447" s="81" t="str">
        <f>VLOOKUP(C447,clientes!$C$3:$D$60,2,FALSE)</f>
        <v>ICOF</v>
      </c>
      <c r="G447" s="85">
        <v>4983.333333333333</v>
      </c>
    </row>
    <row r="448" spans="1:7" x14ac:dyDescent="0.25">
      <c r="A448" s="80">
        <v>2026</v>
      </c>
      <c r="B448" s="81" t="s">
        <v>140</v>
      </c>
      <c r="C448" s="81" t="s">
        <v>184</v>
      </c>
      <c r="D448" s="81" t="s">
        <v>122</v>
      </c>
      <c r="E448" s="81" t="str">
        <f>VLOOKUP(D448,'[2]Lista de Produtos CLASSIFICAÇÃO'!$E$103:$F$114,2,FALSE)</f>
        <v>Óleo Vegetal</v>
      </c>
      <c r="F448" s="81" t="str">
        <f>VLOOKUP(C448,clientes!$C$3:$D$60,2,FALSE)</f>
        <v>INGREDION</v>
      </c>
      <c r="G448" s="82">
        <v>295.65217391304338</v>
      </c>
    </row>
    <row r="449" spans="1:7" x14ac:dyDescent="0.25">
      <c r="A449" s="83">
        <v>2026</v>
      </c>
      <c r="B449" s="84" t="s">
        <v>140</v>
      </c>
      <c r="C449" s="84" t="s">
        <v>192</v>
      </c>
      <c r="D449" s="84" t="s">
        <v>121</v>
      </c>
      <c r="E449" s="81" t="str">
        <f>VLOOKUP(D449,'[2]Lista de Produtos CLASSIFICAÇÃO'!$E$103:$F$114,2,FALSE)</f>
        <v>Biocombustíveis</v>
      </c>
      <c r="F449" s="81" t="str">
        <f>VLOOKUP(C449,clientes!$C$3:$D$60,2,FALSE)</f>
        <v>INPASA</v>
      </c>
      <c r="G449" s="85">
        <v>12146.25</v>
      </c>
    </row>
    <row r="450" spans="1:7" x14ac:dyDescent="0.25">
      <c r="A450" s="80">
        <v>2026</v>
      </c>
      <c r="B450" s="81" t="s">
        <v>140</v>
      </c>
      <c r="C450" s="81" t="s">
        <v>192</v>
      </c>
      <c r="D450" s="81" t="s">
        <v>121</v>
      </c>
      <c r="E450" s="81" t="str">
        <f>VLOOKUP(D450,'[2]Lista de Produtos CLASSIFICAÇÃO'!$E$103:$F$114,2,FALSE)</f>
        <v>Biocombustíveis</v>
      </c>
      <c r="F450" s="81" t="str">
        <f>VLOOKUP(C450,clientes!$C$3:$D$60,2,FALSE)</f>
        <v>INPASA</v>
      </c>
      <c r="G450" s="82">
        <v>20000</v>
      </c>
    </row>
    <row r="451" spans="1:7" x14ac:dyDescent="0.25">
      <c r="A451" s="83">
        <v>2026</v>
      </c>
      <c r="B451" s="84" t="s">
        <v>140</v>
      </c>
      <c r="C451" s="84" t="s">
        <v>158</v>
      </c>
      <c r="D451" s="84" t="s">
        <v>120</v>
      </c>
      <c r="E451" s="81" t="str">
        <f>VLOOKUP(D451,'[2]Lista de Produtos CLASSIFICAÇÃO'!$E$103:$F$114,2,FALSE)</f>
        <v>Derivados</v>
      </c>
      <c r="F451" s="81" t="str">
        <f>VLOOKUP(C451,clientes!$C$3:$D$60,2,FALSE)</f>
        <v>IPIRANGA</v>
      </c>
      <c r="G451" s="85">
        <v>63000</v>
      </c>
    </row>
    <row r="452" spans="1:7" x14ac:dyDescent="0.25">
      <c r="A452" s="80">
        <v>2026</v>
      </c>
      <c r="B452" s="81" t="s">
        <v>140</v>
      </c>
      <c r="C452" s="81" t="s">
        <v>162</v>
      </c>
      <c r="D452" s="81" t="s">
        <v>123</v>
      </c>
      <c r="E452" s="81" t="str">
        <f>VLOOKUP(D452,'[2]Lista de Produtos CLASSIFICAÇÃO'!$E$103:$F$114,2,FALSE)</f>
        <v>Aquecidos</v>
      </c>
      <c r="F452" s="81" t="str">
        <f>VLOOKUP(C452,clientes!$C$3:$D$60,2,FALSE)</f>
        <v>JBS</v>
      </c>
      <c r="G452" s="82">
        <v>3444.4444444444439</v>
      </c>
    </row>
    <row r="453" spans="1:7" x14ac:dyDescent="0.25">
      <c r="A453" s="83">
        <v>2026</v>
      </c>
      <c r="B453" s="84" t="s">
        <v>140</v>
      </c>
      <c r="C453" s="84" t="s">
        <v>162</v>
      </c>
      <c r="D453" s="84" t="s">
        <v>115</v>
      </c>
      <c r="E453" s="81" t="str">
        <f>VLOOKUP(D453,'[2]Lista de Produtos CLASSIFICAÇÃO'!$E$103:$F$114,2,FALSE)</f>
        <v>Soda Caustica</v>
      </c>
      <c r="F453" s="81" t="str">
        <f>VLOOKUP(C453,clientes!$C$3:$D$60,2,FALSE)</f>
        <v>JBS</v>
      </c>
      <c r="G453" s="85">
        <v>1200</v>
      </c>
    </row>
    <row r="454" spans="1:7" x14ac:dyDescent="0.25">
      <c r="A454" s="80">
        <v>2026</v>
      </c>
      <c r="B454" s="81" t="s">
        <v>140</v>
      </c>
      <c r="C454" s="81" t="s">
        <v>169</v>
      </c>
      <c r="D454" s="81" t="s">
        <v>22</v>
      </c>
      <c r="E454" s="81" t="str">
        <f>VLOOKUP(D454,'[2]Lista de Produtos CLASSIFICAÇÃO'!$E$103:$F$114,2,FALSE)</f>
        <v>Metanol</v>
      </c>
      <c r="F454" s="81" t="str">
        <f>VLOOKUP(C454,clientes!$C$3:$D$60,2,FALSE)</f>
        <v>METHANEX</v>
      </c>
      <c r="G454" s="82">
        <v>83973.417721518985</v>
      </c>
    </row>
    <row r="455" spans="1:7" x14ac:dyDescent="0.25">
      <c r="A455" s="83">
        <v>2026</v>
      </c>
      <c r="B455" s="84" t="s">
        <v>140</v>
      </c>
      <c r="C455" s="84" t="s">
        <v>169</v>
      </c>
      <c r="D455" s="84" t="s">
        <v>22</v>
      </c>
      <c r="E455" s="81" t="str">
        <f>VLOOKUP(D455,'[2]Lista de Produtos CLASSIFICAÇÃO'!$E$103:$F$114,2,FALSE)</f>
        <v>Metanol</v>
      </c>
      <c r="F455" s="81" t="str">
        <f>VLOOKUP(C455,clientes!$C$3:$D$60,2,FALSE)</f>
        <v>METHANEX</v>
      </c>
      <c r="G455" s="85">
        <v>26959.49367088607</v>
      </c>
    </row>
    <row r="456" spans="1:7" x14ac:dyDescent="0.25">
      <c r="A456" s="80">
        <v>2026</v>
      </c>
      <c r="B456" s="81" t="s">
        <v>140</v>
      </c>
      <c r="C456" s="81" t="s">
        <v>170</v>
      </c>
      <c r="D456" s="81" t="s">
        <v>22</v>
      </c>
      <c r="E456" s="81" t="str">
        <f>VLOOKUP(D456,'[2]Lista de Produtos CLASSIFICAÇÃO'!$E$103:$F$114,2,FALSE)</f>
        <v>Metanol</v>
      </c>
      <c r="F456" s="81" t="str">
        <f>VLOOKUP(C456,clientes!$C$3:$D$60,2,FALSE)</f>
        <v>MITSUBISHI</v>
      </c>
      <c r="G456" s="82">
        <v>12239.24050632911</v>
      </c>
    </row>
    <row r="457" spans="1:7" x14ac:dyDescent="0.25">
      <c r="A457" s="83">
        <v>2026</v>
      </c>
      <c r="B457" s="84" t="s">
        <v>140</v>
      </c>
      <c r="C457" s="84" t="s">
        <v>186</v>
      </c>
      <c r="D457" s="84" t="s">
        <v>22</v>
      </c>
      <c r="E457" s="81" t="str">
        <f>VLOOKUP(D457,'[2]Lista de Produtos CLASSIFICAÇÃO'!$E$103:$F$114,2,FALSE)</f>
        <v>Metanol</v>
      </c>
      <c r="F457" s="81" t="str">
        <f>VLOOKUP(C457,clientes!$C$3:$D$60,2,FALSE)</f>
        <v>OQ TRADING</v>
      </c>
      <c r="G457" s="85">
        <v>0</v>
      </c>
    </row>
    <row r="458" spans="1:7" x14ac:dyDescent="0.25">
      <c r="A458" s="80">
        <v>2026</v>
      </c>
      <c r="B458" s="81" t="s">
        <v>140</v>
      </c>
      <c r="C458" s="81" t="s">
        <v>186</v>
      </c>
      <c r="D458" s="81" t="s">
        <v>22</v>
      </c>
      <c r="E458" s="81" t="str">
        <f>VLOOKUP(D458,'[2]Lista de Produtos CLASSIFICAÇÃO'!$E$103:$F$114,2,FALSE)</f>
        <v>Metanol</v>
      </c>
      <c r="F458" s="81" t="str">
        <f>VLOOKUP(C458,clientes!$C$3:$D$60,2,FALSE)</f>
        <v>OQ TRADING</v>
      </c>
      <c r="G458" s="82">
        <v>0</v>
      </c>
    </row>
    <row r="459" spans="1:7" x14ac:dyDescent="0.25">
      <c r="A459" s="83">
        <v>2026</v>
      </c>
      <c r="B459" s="84" t="s">
        <v>140</v>
      </c>
      <c r="C459" s="84" t="s">
        <v>178</v>
      </c>
      <c r="D459" s="84" t="s">
        <v>115</v>
      </c>
      <c r="E459" s="81" t="str">
        <f>VLOOKUP(D459,'[2]Lista de Produtos CLASSIFICAÇÃO'!$E$103:$F$114,2,FALSE)</f>
        <v>Soda Caustica</v>
      </c>
      <c r="F459" s="81" t="str">
        <f>VLOOKUP(C459,clientes!$C$3:$D$60,2,FALSE)</f>
        <v>OLIN BLUE CUBE</v>
      </c>
      <c r="G459" s="85">
        <v>15088.66666666667</v>
      </c>
    </row>
    <row r="460" spans="1:7" x14ac:dyDescent="0.25">
      <c r="A460" s="80">
        <v>2026</v>
      </c>
      <c r="B460" s="81" t="s">
        <v>140</v>
      </c>
      <c r="C460" s="81" t="s">
        <v>167</v>
      </c>
      <c r="D460" s="81" t="s">
        <v>122</v>
      </c>
      <c r="E460" s="81" t="str">
        <f>VLOOKUP(D460,'[2]Lista de Produtos CLASSIFICAÇÃO'!$E$103:$F$114,2,FALSE)</f>
        <v>Óleo Vegetal</v>
      </c>
      <c r="F460" s="81" t="str">
        <f>VLOOKUP(C460,clientes!$C$3:$D$60,2,FALSE)</f>
        <v>POOL</v>
      </c>
      <c r="G460" s="82">
        <v>37391.304347826088</v>
      </c>
    </row>
    <row r="461" spans="1:7" x14ac:dyDescent="0.25">
      <c r="A461" s="83">
        <v>2026</v>
      </c>
      <c r="B461" s="84" t="s">
        <v>140</v>
      </c>
      <c r="C461" s="84" t="s">
        <v>168</v>
      </c>
      <c r="D461" s="84" t="s">
        <v>122</v>
      </c>
      <c r="E461" s="81" t="str">
        <f>VLOOKUP(D461,'[2]Lista de Produtos CLASSIFICAÇÃO'!$E$103:$F$114,2,FALSE)</f>
        <v>Óleo Vegetal</v>
      </c>
      <c r="F461" s="81" t="str">
        <f>VLOOKUP(C461,clientes!$C$3:$D$60,2,FALSE)</f>
        <v>POOL EXCEDENTE</v>
      </c>
      <c r="G461" s="85">
        <v>652.17391304347825</v>
      </c>
    </row>
    <row r="462" spans="1:7" x14ac:dyDescent="0.25">
      <c r="A462" s="80">
        <v>2026</v>
      </c>
      <c r="B462" s="81" t="s">
        <v>140</v>
      </c>
      <c r="C462" s="81" t="s">
        <v>238</v>
      </c>
      <c r="D462" s="81" t="s">
        <v>26</v>
      </c>
      <c r="E462" s="81" t="str">
        <f>VLOOKUP(D462,'[2]Lista de Produtos CLASSIFICAÇÃO'!$E$103:$F$114,2,FALSE)</f>
        <v>Biocombustíveis</v>
      </c>
      <c r="F462" s="81" t="str">
        <f>VLOOKUP(C462,clientes!$C$3:$D$60,2,FALSE)</f>
        <v>PRISMA</v>
      </c>
      <c r="G462" s="82">
        <v>5137.2093023255811</v>
      </c>
    </row>
    <row r="463" spans="1:7" x14ac:dyDescent="0.25">
      <c r="A463" s="83">
        <v>2026</v>
      </c>
      <c r="B463" s="84" t="s">
        <v>140</v>
      </c>
      <c r="C463" s="84" t="s">
        <v>159</v>
      </c>
      <c r="D463" s="84" t="s">
        <v>120</v>
      </c>
      <c r="E463" s="81" t="str">
        <f>VLOOKUP(D463,'[2]Lista de Produtos CLASSIFICAÇÃO'!$E$103:$F$114,2,FALSE)</f>
        <v>Derivados</v>
      </c>
      <c r="F463" s="81" t="str">
        <f>VLOOKUP(C463,clientes!$C$3:$D$60,2,FALSE)</f>
        <v>RAIZEN</v>
      </c>
      <c r="G463" s="85">
        <v>45000</v>
      </c>
    </row>
    <row r="464" spans="1:7" x14ac:dyDescent="0.25">
      <c r="A464" s="80">
        <v>2026</v>
      </c>
      <c r="B464" s="81" t="s">
        <v>140</v>
      </c>
      <c r="C464" s="81" t="s">
        <v>242</v>
      </c>
      <c r="D464" s="81" t="s">
        <v>120</v>
      </c>
      <c r="E464" s="81" t="str">
        <f>VLOOKUP(D464,'[2]Lista de Produtos CLASSIFICAÇÃO'!$E$103:$F$114,2,FALSE)</f>
        <v>Derivados</v>
      </c>
      <c r="F464" s="81" t="str">
        <f>VLOOKUP(C464,clientes!$C$3:$D$60,2,FALSE)</f>
        <v>RODOOIL DISTRIBUIDORA</v>
      </c>
      <c r="G464" s="82">
        <v>18000</v>
      </c>
    </row>
    <row r="465" spans="1:7" x14ac:dyDescent="0.25">
      <c r="A465" s="83">
        <v>2026</v>
      </c>
      <c r="B465" s="84" t="s">
        <v>140</v>
      </c>
      <c r="C465" s="84" t="s">
        <v>241</v>
      </c>
      <c r="D465" s="84" t="s">
        <v>120</v>
      </c>
      <c r="E465" s="81" t="str">
        <f>VLOOKUP(D465,'[2]Lista de Produtos CLASSIFICAÇÃO'!$E$103:$F$114,2,FALSE)</f>
        <v>Derivados</v>
      </c>
      <c r="F465" s="81" t="str">
        <f>VLOOKUP(C465,clientes!$C$3:$D$60,2,FALSE)</f>
        <v>ROYAL FIC</v>
      </c>
      <c r="G465" s="85">
        <v>18000</v>
      </c>
    </row>
    <row r="466" spans="1:7" x14ac:dyDescent="0.25">
      <c r="A466" s="80">
        <v>2026</v>
      </c>
      <c r="B466" s="81" t="s">
        <v>140</v>
      </c>
      <c r="C466" s="81" t="s">
        <v>161</v>
      </c>
      <c r="D466" s="81" t="s">
        <v>120</v>
      </c>
      <c r="E466" s="81" t="str">
        <f>VLOOKUP(D466,'[2]Lista de Produtos CLASSIFICAÇÃO'!$E$103:$F$114,2,FALSE)</f>
        <v>Derivados</v>
      </c>
      <c r="F466" s="81" t="str">
        <f>VLOOKUP(C466,clientes!$C$3:$D$60,2,FALSE)</f>
        <v>SUL PLATA</v>
      </c>
      <c r="G466" s="82">
        <v>36000</v>
      </c>
    </row>
    <row r="467" spans="1:7" x14ac:dyDescent="0.25">
      <c r="A467" s="83">
        <v>2026</v>
      </c>
      <c r="B467" s="84" t="s">
        <v>140</v>
      </c>
      <c r="C467" s="84" t="s">
        <v>244</v>
      </c>
      <c r="D467" s="84" t="s">
        <v>120</v>
      </c>
      <c r="E467" s="81" t="str">
        <f>VLOOKUP(D467,'[2]Lista de Produtos CLASSIFICAÇÃO'!$E$103:$F$114,2,FALSE)</f>
        <v>Derivados</v>
      </c>
      <c r="F467" s="81" t="str">
        <f>VLOOKUP(C467,clientes!$C$3:$D$60,2,FALSE)</f>
        <v>TAURUS</v>
      </c>
      <c r="G467" s="85">
        <v>9000</v>
      </c>
    </row>
    <row r="468" spans="1:7" x14ac:dyDescent="0.25">
      <c r="A468" s="80">
        <v>2026</v>
      </c>
      <c r="B468" s="81" t="s">
        <v>140</v>
      </c>
      <c r="C468" s="81" t="s">
        <v>163</v>
      </c>
      <c r="D468" s="81" t="s">
        <v>115</v>
      </c>
      <c r="E468" s="81" t="str">
        <f>VLOOKUP(D468,'[2]Lista de Produtos CLASSIFICAÇÃO'!$E$103:$F$114,2,FALSE)</f>
        <v>Soda Caustica</v>
      </c>
      <c r="F468" s="81" t="str">
        <f>VLOOKUP(C468,clientes!$C$3:$D$60,2,FALSE)</f>
        <v>TRICON ENERGY</v>
      </c>
      <c r="G468" s="82">
        <v>3866.666666666667</v>
      </c>
    </row>
    <row r="469" spans="1:7" x14ac:dyDescent="0.25">
      <c r="A469" s="83">
        <v>2026</v>
      </c>
      <c r="B469" s="84" t="s">
        <v>140</v>
      </c>
      <c r="C469" s="84" t="s">
        <v>171</v>
      </c>
      <c r="D469" s="84" t="s">
        <v>22</v>
      </c>
      <c r="E469" s="81" t="str">
        <f>VLOOKUP(D469,'[2]Lista de Produtos CLASSIFICAÇÃO'!$E$103:$F$114,2,FALSE)</f>
        <v>Metanol</v>
      </c>
      <c r="F469" s="81" t="str">
        <f>VLOOKUP(C469,clientes!$C$3:$D$60,2,FALSE)</f>
        <v>VALENZ</v>
      </c>
      <c r="G469" s="85">
        <v>35727.848101265823</v>
      </c>
    </row>
    <row r="470" spans="1:7" x14ac:dyDescent="0.25">
      <c r="A470" s="80">
        <v>2026</v>
      </c>
      <c r="B470" s="81" t="s">
        <v>140</v>
      </c>
      <c r="C470" s="81" t="s">
        <v>160</v>
      </c>
      <c r="D470" s="81" t="s">
        <v>120</v>
      </c>
      <c r="E470" s="81" t="str">
        <f>VLOOKUP(D470,'[2]Lista de Produtos CLASSIFICAÇÃO'!$E$103:$F$114,2,FALSE)</f>
        <v>Derivados</v>
      </c>
      <c r="F470" s="81" t="str">
        <f>VLOOKUP(C470,clientes!$C$3:$D$60,2,FALSE)</f>
        <v>VIBRA</v>
      </c>
      <c r="G470" s="82">
        <v>0</v>
      </c>
    </row>
    <row r="471" spans="1:7" x14ac:dyDescent="0.25">
      <c r="A471" s="83">
        <v>2026</v>
      </c>
      <c r="B471" s="84" t="s">
        <v>140</v>
      </c>
      <c r="C471" s="84" t="s">
        <v>160</v>
      </c>
      <c r="D471" s="84" t="s">
        <v>120</v>
      </c>
      <c r="E471" s="81" t="str">
        <f>VLOOKUP(D471,'[2]Lista de Produtos CLASSIFICAÇÃO'!$E$103:$F$114,2,FALSE)</f>
        <v>Derivados</v>
      </c>
      <c r="F471" s="81" t="str">
        <f>VLOOKUP(C471,clientes!$C$3:$D$60,2,FALSE)</f>
        <v>VIBRA</v>
      </c>
      <c r="G471" s="85">
        <v>18000</v>
      </c>
    </row>
    <row r="472" spans="1:7" x14ac:dyDescent="0.25">
      <c r="A472" s="80">
        <v>2026</v>
      </c>
      <c r="B472" s="81" t="s">
        <v>141</v>
      </c>
      <c r="C472" s="81" t="s">
        <v>175</v>
      </c>
      <c r="D472" s="81" t="s">
        <v>123</v>
      </c>
      <c r="E472" s="81" t="str">
        <f>VLOOKUP(D472,'[2]Lista de Produtos CLASSIFICAÇÃO'!$E$103:$F$114,2,FALSE)</f>
        <v>Aquecidos</v>
      </c>
      <c r="F472" s="81" t="str">
        <f>VLOOKUP(C472,clientes!$C$3:$D$60,2,FALSE)</f>
        <v>AAK DO BRASIL</v>
      </c>
      <c r="G472" s="82">
        <v>4372.2222222222217</v>
      </c>
    </row>
    <row r="473" spans="1:7" x14ac:dyDescent="0.25">
      <c r="A473" s="83">
        <v>2026</v>
      </c>
      <c r="B473" s="84" t="s">
        <v>141</v>
      </c>
      <c r="C473" s="84" t="s">
        <v>157</v>
      </c>
      <c r="D473" s="84" t="s">
        <v>122</v>
      </c>
      <c r="E473" s="81" t="str">
        <f>VLOOKUP(D473,'[2]Lista de Produtos CLASSIFICAÇÃO'!$E$103:$F$114,2,FALSE)</f>
        <v>Óleo Vegetal</v>
      </c>
      <c r="F473" s="81" t="str">
        <f>VLOOKUP(C473,clientes!$C$3:$D$60,2,FALSE)</f>
        <v>ADM</v>
      </c>
      <c r="G473" s="85">
        <v>2826.086956521739</v>
      </c>
    </row>
    <row r="474" spans="1:7" x14ac:dyDescent="0.25">
      <c r="A474" s="80">
        <v>2026</v>
      </c>
      <c r="B474" s="81" t="s">
        <v>141</v>
      </c>
      <c r="C474" s="81" t="s">
        <v>18</v>
      </c>
      <c r="D474" s="81" t="s">
        <v>17</v>
      </c>
      <c r="E474" s="81" t="str">
        <f>VLOOKUP(D474,'[2]Lista de Produtos CLASSIFICAÇÃO'!$E$103:$F$114,2,FALSE)</f>
        <v>Acostagem</v>
      </c>
      <c r="F474" s="81" t="str">
        <f>VLOOKUP(C474,clientes!$C$3:$D$60,2,FALSE)</f>
        <v>ACOSTAGEM</v>
      </c>
      <c r="G474" s="82">
        <v>0</v>
      </c>
    </row>
    <row r="475" spans="1:7" x14ac:dyDescent="0.25">
      <c r="A475" s="83">
        <v>2026</v>
      </c>
      <c r="B475" s="84" t="s">
        <v>141</v>
      </c>
      <c r="C475" s="84" t="s">
        <v>155</v>
      </c>
      <c r="D475" s="84" t="s">
        <v>16</v>
      </c>
      <c r="E475" s="81" t="str">
        <f>VLOOKUP(D475,'[2]Lista de Produtos CLASSIFICAÇÃO'!$E$103:$F$114,2,FALSE)</f>
        <v>Outros</v>
      </c>
      <c r="F475" s="81" t="str">
        <f>VLOOKUP(C475,clientes!$C$3:$D$60,2,FALSE)</f>
        <v>ADISSEO</v>
      </c>
      <c r="G475" s="85">
        <v>3461.538461538461</v>
      </c>
    </row>
    <row r="476" spans="1:7" x14ac:dyDescent="0.25">
      <c r="A476" s="80">
        <v>2026</v>
      </c>
      <c r="B476" s="81" t="s">
        <v>141</v>
      </c>
      <c r="C476" s="81" t="s">
        <v>188</v>
      </c>
      <c r="D476" s="81" t="s">
        <v>123</v>
      </c>
      <c r="E476" s="81" t="str">
        <f>VLOOKUP(D476,'[2]Lista de Produtos CLASSIFICAÇÃO'!$E$103:$F$114,2,FALSE)</f>
        <v>Aquecidos</v>
      </c>
      <c r="F476" s="81" t="str">
        <f>VLOOKUP(C476,clientes!$C$3:$D$60,2,FALSE)</f>
        <v>ARES MERCHANTS PTE LIMITE</v>
      </c>
      <c r="G476" s="82">
        <v>3476.666666666667</v>
      </c>
    </row>
    <row r="477" spans="1:7" x14ac:dyDescent="0.25">
      <c r="A477" s="83">
        <v>2026</v>
      </c>
      <c r="B477" s="84" t="s">
        <v>141</v>
      </c>
      <c r="C477" s="84" t="s">
        <v>243</v>
      </c>
      <c r="D477" s="84" t="s">
        <v>120</v>
      </c>
      <c r="E477" s="81" t="str">
        <f>VLOOKUP(D477,'[2]Lista de Produtos CLASSIFICAÇÃO'!$E$103:$F$114,2,FALSE)</f>
        <v>Derivados</v>
      </c>
      <c r="F477" s="81" t="str">
        <f>VLOOKUP(C477,clientes!$C$3:$D$60,2,FALSE)</f>
        <v>ART PETRO</v>
      </c>
      <c r="G477" s="85">
        <v>9000</v>
      </c>
    </row>
    <row r="478" spans="1:7" x14ac:dyDescent="0.25">
      <c r="A478" s="80">
        <v>2026</v>
      </c>
      <c r="B478" s="81" t="s">
        <v>141</v>
      </c>
      <c r="C478" s="81" t="s">
        <v>165</v>
      </c>
      <c r="D478" s="81" t="s">
        <v>123</v>
      </c>
      <c r="E478" s="81" t="str">
        <f>VLOOKUP(D478,'[2]Lista de Produtos CLASSIFICAÇÃO'!$E$103:$F$114,2,FALSE)</f>
        <v>Aquecidos</v>
      </c>
      <c r="F478" s="81" t="str">
        <f>VLOOKUP(C478,clientes!$C$3:$D$60,2,FALSE)</f>
        <v>BRF</v>
      </c>
      <c r="G478" s="82">
        <v>3526.666666666667</v>
      </c>
    </row>
    <row r="479" spans="1:7" x14ac:dyDescent="0.25">
      <c r="A479" s="83">
        <v>2026</v>
      </c>
      <c r="B479" s="84" t="s">
        <v>141</v>
      </c>
      <c r="C479" s="84" t="s">
        <v>179</v>
      </c>
      <c r="D479" s="84" t="s">
        <v>26</v>
      </c>
      <c r="E479" s="81" t="str">
        <f>VLOOKUP(D479,'[2]Lista de Produtos CLASSIFICAÇÃO'!$E$103:$F$114,2,FALSE)</f>
        <v>Biocombustíveis</v>
      </c>
      <c r="F479" s="81" t="str">
        <f>VLOOKUP(C479,clientes!$C$3:$D$60,2,FALSE)</f>
        <v>BSBIOS</v>
      </c>
      <c r="G479" s="85">
        <v>6356.9767441860467</v>
      </c>
    </row>
    <row r="480" spans="1:7" x14ac:dyDescent="0.25">
      <c r="A480" s="80">
        <v>2026</v>
      </c>
      <c r="B480" s="81" t="s">
        <v>141</v>
      </c>
      <c r="C480" s="81" t="s">
        <v>239</v>
      </c>
      <c r="D480" s="81" t="s">
        <v>115</v>
      </c>
      <c r="E480" s="81" t="str">
        <f>VLOOKUP(D480,'[2]Lista de Produtos CLASSIFICAÇÃO'!$E$103:$F$114,2,FALSE)</f>
        <v>Soda Caustica</v>
      </c>
      <c r="F480" s="81" t="str">
        <f>VLOOKUP(C480,clientes!$C$3:$D$60,2,FALSE)</f>
        <v>BSC QUIMICA</v>
      </c>
      <c r="G480" s="82">
        <v>1786.666666666667</v>
      </c>
    </row>
    <row r="481" spans="1:7" x14ac:dyDescent="0.25">
      <c r="A481" s="83">
        <v>2026</v>
      </c>
      <c r="B481" s="84" t="s">
        <v>141</v>
      </c>
      <c r="C481" s="84" t="s">
        <v>177</v>
      </c>
      <c r="D481" s="84" t="s">
        <v>115</v>
      </c>
      <c r="E481" s="81" t="str">
        <f>VLOOKUP(D481,'[2]Lista de Produtos CLASSIFICAÇÃO'!$E$103:$F$114,2,FALSE)</f>
        <v>Soda Caustica</v>
      </c>
      <c r="F481" s="81" t="str">
        <f>VLOOKUP(C481,clientes!$C$3:$D$60,2,FALSE)</f>
        <v>BRENNTAG</v>
      </c>
      <c r="G481" s="85">
        <v>1020</v>
      </c>
    </row>
    <row r="482" spans="1:7" x14ac:dyDescent="0.25">
      <c r="A482" s="80">
        <v>2026</v>
      </c>
      <c r="B482" s="81" t="s">
        <v>141</v>
      </c>
      <c r="C482" s="81" t="s">
        <v>156</v>
      </c>
      <c r="D482" s="81" t="s">
        <v>123</v>
      </c>
      <c r="E482" s="81" t="str">
        <f>VLOOKUP(D482,'[2]Lista de Produtos CLASSIFICAÇÃO'!$E$103:$F$114,2,FALSE)</f>
        <v>Aquecidos</v>
      </c>
      <c r="F482" s="81" t="str">
        <f>VLOOKUP(C482,clientes!$C$3:$D$60,2,FALSE)</f>
        <v>BUNGE</v>
      </c>
      <c r="G482" s="82">
        <v>2111.1111111111109</v>
      </c>
    </row>
    <row r="483" spans="1:7" x14ac:dyDescent="0.25">
      <c r="A483" s="83">
        <v>2026</v>
      </c>
      <c r="B483" s="84" t="s">
        <v>141</v>
      </c>
      <c r="C483" s="84" t="s">
        <v>166</v>
      </c>
      <c r="D483" s="84" t="s">
        <v>123</v>
      </c>
      <c r="E483" s="81" t="str">
        <f>VLOOKUP(D483,'[2]Lista de Produtos CLASSIFICAÇÃO'!$E$103:$F$114,2,FALSE)</f>
        <v>Aquecidos</v>
      </c>
      <c r="F483" s="81" t="str">
        <f>VLOOKUP(C483,clientes!$C$3:$D$60,2,FALSE)</f>
        <v>CARGILL</v>
      </c>
      <c r="G483" s="85">
        <v>1035.555555555555</v>
      </c>
    </row>
    <row r="484" spans="1:7" x14ac:dyDescent="0.25">
      <c r="A484" s="80">
        <v>2026</v>
      </c>
      <c r="B484" s="81" t="s">
        <v>141</v>
      </c>
      <c r="C484" s="81" t="s">
        <v>166</v>
      </c>
      <c r="D484" s="81" t="s">
        <v>122</v>
      </c>
      <c r="E484" s="81" t="str">
        <f>VLOOKUP(D484,'[2]Lista de Produtos CLASSIFICAÇÃO'!$E$103:$F$114,2,FALSE)</f>
        <v>Óleo Vegetal</v>
      </c>
      <c r="F484" s="81" t="str">
        <f>VLOOKUP(C484,clientes!$C$3:$D$60,2,FALSE)</f>
        <v>CARGILL</v>
      </c>
      <c r="G484" s="82">
        <v>483.695652173913</v>
      </c>
    </row>
    <row r="485" spans="1:7" x14ac:dyDescent="0.25">
      <c r="A485" s="83">
        <v>2026</v>
      </c>
      <c r="B485" s="84" t="s">
        <v>141</v>
      </c>
      <c r="C485" s="84" t="s">
        <v>174</v>
      </c>
      <c r="D485" s="84" t="s">
        <v>123</v>
      </c>
      <c r="E485" s="81" t="str">
        <f>VLOOKUP(D485,'[2]Lista de Produtos CLASSIFICAÇÃO'!$E$103:$F$114,2,FALSE)</f>
        <v>Aquecidos</v>
      </c>
      <c r="F485" s="81" t="str">
        <f>VLOOKUP(C485,clientes!$C$3:$D$60,2,FALSE)</f>
        <v>CELENA</v>
      </c>
      <c r="G485" s="85">
        <v>13401.111111111109</v>
      </c>
    </row>
    <row r="486" spans="1:7" x14ac:dyDescent="0.25">
      <c r="A486" s="80">
        <v>2026</v>
      </c>
      <c r="B486" s="81" t="s">
        <v>141</v>
      </c>
      <c r="C486" s="81" t="s">
        <v>185</v>
      </c>
      <c r="D486" s="81" t="s">
        <v>120</v>
      </c>
      <c r="E486" s="81" t="str">
        <f>VLOOKUP(D486,'[2]Lista de Produtos CLASSIFICAÇÃO'!$E$103:$F$114,2,FALSE)</f>
        <v>Derivados</v>
      </c>
      <c r="F486" s="81" t="str">
        <f>VLOOKUP(C486,clientes!$C$3:$D$60,2,FALSE)</f>
        <v>CIAPETRO</v>
      </c>
      <c r="G486" s="82">
        <v>13493.975903614461</v>
      </c>
    </row>
    <row r="487" spans="1:7" x14ac:dyDescent="0.25">
      <c r="A487" s="83">
        <v>2026</v>
      </c>
      <c r="B487" s="84" t="s">
        <v>141</v>
      </c>
      <c r="C487" s="84" t="s">
        <v>181</v>
      </c>
      <c r="D487" s="84" t="s">
        <v>123</v>
      </c>
      <c r="E487" s="81" t="str">
        <f>VLOOKUP(D487,'[2]Lista de Produtos CLASSIFICAÇÃO'!$E$103:$F$114,2,FALSE)</f>
        <v>Aquecidos</v>
      </c>
      <c r="F487" s="81" t="str">
        <f>VLOOKUP(C487,clientes!$C$3:$D$60,2,FALSE)</f>
        <v>COAMO</v>
      </c>
      <c r="G487" s="85">
        <v>1786.666666666667</v>
      </c>
    </row>
    <row r="488" spans="1:7" x14ac:dyDescent="0.25">
      <c r="A488" s="80">
        <v>2026</v>
      </c>
      <c r="B488" s="81" t="s">
        <v>141</v>
      </c>
      <c r="C488" s="81" t="s">
        <v>236</v>
      </c>
      <c r="D488" s="81" t="s">
        <v>121</v>
      </c>
      <c r="E488" s="81" t="str">
        <f>VLOOKUP(D488,'[2]Lista de Produtos CLASSIFICAÇÃO'!$E$103:$F$114,2,FALSE)</f>
        <v>Biocombustíveis</v>
      </c>
      <c r="F488" s="81" t="str">
        <f>VLOOKUP(C488,clientes!$C$3:$D$60,2,FALSE)</f>
        <v>ETANOL OUTROS</v>
      </c>
      <c r="G488" s="82">
        <v>0</v>
      </c>
    </row>
    <row r="489" spans="1:7" x14ac:dyDescent="0.25">
      <c r="A489" s="83">
        <v>2026</v>
      </c>
      <c r="B489" s="84" t="s">
        <v>141</v>
      </c>
      <c r="C489" s="84" t="s">
        <v>172</v>
      </c>
      <c r="D489" s="84" t="s">
        <v>124</v>
      </c>
      <c r="E489" s="81" t="str">
        <f>VLOOKUP(D489,'[2]Lista de Produtos CLASSIFICAÇÃO'!$E$103:$F$114,2,FALSE)</f>
        <v>Outros</v>
      </c>
      <c r="F489" s="81" t="str">
        <f>VLOOKUP(C489,clientes!$C$3:$D$60,2,FALSE)</f>
        <v>EVONIK</v>
      </c>
      <c r="G489" s="85">
        <v>1927.8481012658231</v>
      </c>
    </row>
    <row r="490" spans="1:7" x14ac:dyDescent="0.25">
      <c r="A490" s="80">
        <v>2026</v>
      </c>
      <c r="B490" s="81" t="s">
        <v>141</v>
      </c>
      <c r="C490" s="81" t="s">
        <v>240</v>
      </c>
      <c r="D490" s="81" t="s">
        <v>121</v>
      </c>
      <c r="E490" s="81" t="str">
        <f>VLOOKUP(D490,'[2]Lista de Produtos CLASSIFICAÇÃO'!$E$103:$F$114,2,FALSE)</f>
        <v>Biocombustíveis</v>
      </c>
      <c r="F490" s="81" t="str">
        <f>VLOOKUP(C490,clientes!$C$3:$D$60,2,FALSE)</f>
        <v>FS</v>
      </c>
      <c r="G490" s="82">
        <v>9200</v>
      </c>
    </row>
    <row r="491" spans="1:7" x14ac:dyDescent="0.25">
      <c r="A491" s="83">
        <v>2026</v>
      </c>
      <c r="B491" s="84" t="s">
        <v>141</v>
      </c>
      <c r="C491" s="84" t="s">
        <v>240</v>
      </c>
      <c r="D491" s="84" t="s">
        <v>121</v>
      </c>
      <c r="E491" s="81" t="str">
        <f>VLOOKUP(D491,'[2]Lista de Produtos CLASSIFICAÇÃO'!$E$103:$F$114,2,FALSE)</f>
        <v>Biocombustíveis</v>
      </c>
      <c r="F491" s="81" t="str">
        <f>VLOOKUP(C491,clientes!$C$3:$D$60,2,FALSE)</f>
        <v>FS</v>
      </c>
      <c r="G491" s="85">
        <v>20000</v>
      </c>
    </row>
    <row r="492" spans="1:7" x14ac:dyDescent="0.25">
      <c r="A492" s="80">
        <v>2026</v>
      </c>
      <c r="B492" s="81" t="s">
        <v>141</v>
      </c>
      <c r="C492" s="81" t="s">
        <v>237</v>
      </c>
      <c r="D492" s="81" t="s">
        <v>120</v>
      </c>
      <c r="E492" s="81" t="str">
        <f>VLOOKUP(D492,'[2]Lista de Produtos CLASSIFICAÇÃO'!$E$103:$F$114,2,FALSE)</f>
        <v>Derivados</v>
      </c>
      <c r="F492" s="81" t="str">
        <f>VLOOKUP(C492,clientes!$C$3:$D$60,2,FALSE)</f>
        <v>FORTEZA TRADING DMCC</v>
      </c>
      <c r="G492" s="82">
        <v>3660.2409638554218</v>
      </c>
    </row>
    <row r="493" spans="1:7" x14ac:dyDescent="0.25">
      <c r="A493" s="83">
        <v>2026</v>
      </c>
      <c r="B493" s="84" t="s">
        <v>141</v>
      </c>
      <c r="C493" s="84" t="s">
        <v>191</v>
      </c>
      <c r="D493" s="84" t="s">
        <v>115</v>
      </c>
      <c r="E493" s="81" t="str">
        <f>VLOOKUP(D493,'[2]Lista de Produtos CLASSIFICAÇÃO'!$E$103:$F$114,2,FALSE)</f>
        <v>Soda Caustica</v>
      </c>
      <c r="F493" s="81" t="str">
        <f>VLOOKUP(C493,clientes!$C$3:$D$60,2,FALSE)</f>
        <v>GPC</v>
      </c>
      <c r="G493" s="85">
        <v>873.33333333333337</v>
      </c>
    </row>
    <row r="494" spans="1:7" x14ac:dyDescent="0.25">
      <c r="A494" s="80">
        <v>2026</v>
      </c>
      <c r="B494" s="81" t="s">
        <v>141</v>
      </c>
      <c r="C494" s="81" t="s">
        <v>189</v>
      </c>
      <c r="D494" s="81" t="s">
        <v>123</v>
      </c>
      <c r="E494" s="81" t="str">
        <f>VLOOKUP(D494,'[2]Lista de Produtos CLASSIFICAÇÃO'!$E$103:$F$114,2,FALSE)</f>
        <v>Aquecidos</v>
      </c>
      <c r="F494" s="81" t="str">
        <f>VLOOKUP(C494,clientes!$C$3:$D$60,2,FALSE)</f>
        <v>ICOF</v>
      </c>
      <c r="G494" s="82">
        <v>4983.333333333333</v>
      </c>
    </row>
    <row r="495" spans="1:7" x14ac:dyDescent="0.25">
      <c r="A495" s="83">
        <v>2026</v>
      </c>
      <c r="B495" s="84" t="s">
        <v>141</v>
      </c>
      <c r="C495" s="84" t="s">
        <v>184</v>
      </c>
      <c r="D495" s="84" t="s">
        <v>122</v>
      </c>
      <c r="E495" s="81" t="str">
        <f>VLOOKUP(D495,'[2]Lista de Produtos CLASSIFICAÇÃO'!$E$103:$F$114,2,FALSE)</f>
        <v>Óleo Vegetal</v>
      </c>
      <c r="F495" s="81" t="str">
        <f>VLOOKUP(C495,clientes!$C$3:$D$60,2,FALSE)</f>
        <v>INGREDION</v>
      </c>
      <c r="G495" s="85">
        <v>295.65217391304338</v>
      </c>
    </row>
    <row r="496" spans="1:7" x14ac:dyDescent="0.25">
      <c r="A496" s="80">
        <v>2026</v>
      </c>
      <c r="B496" s="81" t="s">
        <v>141</v>
      </c>
      <c r="C496" s="81" t="s">
        <v>192</v>
      </c>
      <c r="D496" s="81" t="s">
        <v>121</v>
      </c>
      <c r="E496" s="81" t="str">
        <f>VLOOKUP(D496,'[2]Lista de Produtos CLASSIFICAÇÃO'!$E$103:$F$114,2,FALSE)</f>
        <v>Biocombustíveis</v>
      </c>
      <c r="F496" s="81" t="str">
        <f>VLOOKUP(C496,clientes!$C$3:$D$60,2,FALSE)</f>
        <v>INPASA</v>
      </c>
      <c r="G496" s="82">
        <v>12146.25</v>
      </c>
    </row>
    <row r="497" spans="1:7" x14ac:dyDescent="0.25">
      <c r="A497" s="83">
        <v>2026</v>
      </c>
      <c r="B497" s="84" t="s">
        <v>141</v>
      </c>
      <c r="C497" s="84" t="s">
        <v>192</v>
      </c>
      <c r="D497" s="84" t="s">
        <v>121</v>
      </c>
      <c r="E497" s="81" t="str">
        <f>VLOOKUP(D497,'[2]Lista de Produtos CLASSIFICAÇÃO'!$E$103:$F$114,2,FALSE)</f>
        <v>Biocombustíveis</v>
      </c>
      <c r="F497" s="81" t="str">
        <f>VLOOKUP(C497,clientes!$C$3:$D$60,2,FALSE)</f>
        <v>INPASA</v>
      </c>
      <c r="G497" s="85">
        <v>20000</v>
      </c>
    </row>
    <row r="498" spans="1:7" x14ac:dyDescent="0.25">
      <c r="A498" s="80">
        <v>2026</v>
      </c>
      <c r="B498" s="81" t="s">
        <v>141</v>
      </c>
      <c r="C498" s="81" t="s">
        <v>158</v>
      </c>
      <c r="D498" s="81" t="s">
        <v>120</v>
      </c>
      <c r="E498" s="81" t="str">
        <f>VLOOKUP(D498,'[2]Lista de Produtos CLASSIFICAÇÃO'!$E$103:$F$114,2,FALSE)</f>
        <v>Derivados</v>
      </c>
      <c r="F498" s="81" t="str">
        <f>VLOOKUP(C498,clientes!$C$3:$D$60,2,FALSE)</f>
        <v>IPIRANGA</v>
      </c>
      <c r="G498" s="82">
        <v>63000</v>
      </c>
    </row>
    <row r="499" spans="1:7" x14ac:dyDescent="0.25">
      <c r="A499" s="83">
        <v>2026</v>
      </c>
      <c r="B499" s="84" t="s">
        <v>141</v>
      </c>
      <c r="C499" s="84" t="s">
        <v>162</v>
      </c>
      <c r="D499" s="84" t="s">
        <v>123</v>
      </c>
      <c r="E499" s="81" t="str">
        <f>VLOOKUP(D499,'[2]Lista de Produtos CLASSIFICAÇÃO'!$E$103:$F$114,2,FALSE)</f>
        <v>Aquecidos</v>
      </c>
      <c r="F499" s="81" t="str">
        <f>VLOOKUP(C499,clientes!$C$3:$D$60,2,FALSE)</f>
        <v>JBS</v>
      </c>
      <c r="G499" s="85">
        <v>3444.4444444444439</v>
      </c>
    </row>
    <row r="500" spans="1:7" x14ac:dyDescent="0.25">
      <c r="A500" s="80">
        <v>2026</v>
      </c>
      <c r="B500" s="81" t="s">
        <v>141</v>
      </c>
      <c r="C500" s="81" t="s">
        <v>162</v>
      </c>
      <c r="D500" s="81" t="s">
        <v>115</v>
      </c>
      <c r="E500" s="81" t="str">
        <f>VLOOKUP(D500,'[2]Lista de Produtos CLASSIFICAÇÃO'!$E$103:$F$114,2,FALSE)</f>
        <v>Soda Caustica</v>
      </c>
      <c r="F500" s="81" t="str">
        <f>VLOOKUP(C500,clientes!$C$3:$D$60,2,FALSE)</f>
        <v>JBS</v>
      </c>
      <c r="G500" s="82">
        <v>1200</v>
      </c>
    </row>
    <row r="501" spans="1:7" x14ac:dyDescent="0.25">
      <c r="A501" s="83">
        <v>2026</v>
      </c>
      <c r="B501" s="84" t="s">
        <v>141</v>
      </c>
      <c r="C501" s="84" t="s">
        <v>169</v>
      </c>
      <c r="D501" s="84" t="s">
        <v>22</v>
      </c>
      <c r="E501" s="81" t="str">
        <f>VLOOKUP(D501,'[2]Lista de Produtos CLASSIFICAÇÃO'!$E$103:$F$114,2,FALSE)</f>
        <v>Metanol</v>
      </c>
      <c r="F501" s="81" t="str">
        <f>VLOOKUP(C501,clientes!$C$3:$D$60,2,FALSE)</f>
        <v>METHANEX</v>
      </c>
      <c r="G501" s="85">
        <v>83973.417721518985</v>
      </c>
    </row>
    <row r="502" spans="1:7" x14ac:dyDescent="0.25">
      <c r="A502" s="80">
        <v>2026</v>
      </c>
      <c r="B502" s="81" t="s">
        <v>141</v>
      </c>
      <c r="C502" s="81" t="s">
        <v>169</v>
      </c>
      <c r="D502" s="81" t="s">
        <v>22</v>
      </c>
      <c r="E502" s="81" t="str">
        <f>VLOOKUP(D502,'[2]Lista de Produtos CLASSIFICAÇÃO'!$E$103:$F$114,2,FALSE)</f>
        <v>Metanol</v>
      </c>
      <c r="F502" s="81" t="str">
        <f>VLOOKUP(C502,clientes!$C$3:$D$60,2,FALSE)</f>
        <v>METHANEX</v>
      </c>
      <c r="G502" s="82">
        <v>26959.49367088607</v>
      </c>
    </row>
    <row r="503" spans="1:7" x14ac:dyDescent="0.25">
      <c r="A503" s="83">
        <v>2026</v>
      </c>
      <c r="B503" s="84" t="s">
        <v>141</v>
      </c>
      <c r="C503" s="84" t="s">
        <v>170</v>
      </c>
      <c r="D503" s="84" t="s">
        <v>22</v>
      </c>
      <c r="E503" s="81" t="str">
        <f>VLOOKUP(D503,'[2]Lista de Produtos CLASSIFICAÇÃO'!$E$103:$F$114,2,FALSE)</f>
        <v>Metanol</v>
      </c>
      <c r="F503" s="81" t="str">
        <f>VLOOKUP(C503,clientes!$C$3:$D$60,2,FALSE)</f>
        <v>MITSUBISHI</v>
      </c>
      <c r="G503" s="85">
        <v>12239.24050632911</v>
      </c>
    </row>
    <row r="504" spans="1:7" x14ac:dyDescent="0.25">
      <c r="A504" s="80">
        <v>2026</v>
      </c>
      <c r="B504" s="81" t="s">
        <v>141</v>
      </c>
      <c r="C504" s="81" t="s">
        <v>186</v>
      </c>
      <c r="D504" s="81" t="s">
        <v>22</v>
      </c>
      <c r="E504" s="81" t="str">
        <f>VLOOKUP(D504,'[2]Lista de Produtos CLASSIFICAÇÃO'!$E$103:$F$114,2,FALSE)</f>
        <v>Metanol</v>
      </c>
      <c r="F504" s="81" t="str">
        <f>VLOOKUP(C504,clientes!$C$3:$D$60,2,FALSE)</f>
        <v>OQ TRADING</v>
      </c>
      <c r="G504" s="82">
        <v>15189.873417721519</v>
      </c>
    </row>
    <row r="505" spans="1:7" x14ac:dyDescent="0.25">
      <c r="A505" s="83">
        <v>2026</v>
      </c>
      <c r="B505" s="84" t="s">
        <v>141</v>
      </c>
      <c r="C505" s="84" t="s">
        <v>186</v>
      </c>
      <c r="D505" s="84" t="s">
        <v>22</v>
      </c>
      <c r="E505" s="81" t="str">
        <f>VLOOKUP(D505,'[2]Lista de Produtos CLASSIFICAÇÃO'!$E$103:$F$114,2,FALSE)</f>
        <v>Metanol</v>
      </c>
      <c r="F505" s="81" t="str">
        <f>VLOOKUP(C505,clientes!$C$3:$D$60,2,FALSE)</f>
        <v>OQ TRADING</v>
      </c>
      <c r="G505" s="85">
        <v>6329.1139240506327</v>
      </c>
    </row>
    <row r="506" spans="1:7" x14ac:dyDescent="0.25">
      <c r="A506" s="80">
        <v>2026</v>
      </c>
      <c r="B506" s="81" t="s">
        <v>141</v>
      </c>
      <c r="C506" s="81" t="s">
        <v>178</v>
      </c>
      <c r="D506" s="81" t="s">
        <v>115</v>
      </c>
      <c r="E506" s="81" t="str">
        <f>VLOOKUP(D506,'[2]Lista de Produtos CLASSIFICAÇÃO'!$E$103:$F$114,2,FALSE)</f>
        <v>Soda Caustica</v>
      </c>
      <c r="F506" s="81" t="str">
        <f>VLOOKUP(C506,clientes!$C$3:$D$60,2,FALSE)</f>
        <v>OLIN BLUE CUBE</v>
      </c>
      <c r="G506" s="82">
        <v>15088.66666666667</v>
      </c>
    </row>
    <row r="507" spans="1:7" x14ac:dyDescent="0.25">
      <c r="A507" s="83">
        <v>2026</v>
      </c>
      <c r="B507" s="84" t="s">
        <v>141</v>
      </c>
      <c r="C507" s="84" t="s">
        <v>167</v>
      </c>
      <c r="D507" s="84" t="s">
        <v>122</v>
      </c>
      <c r="E507" s="81" t="str">
        <f>VLOOKUP(D507,'[2]Lista de Produtos CLASSIFICAÇÃO'!$E$103:$F$114,2,FALSE)</f>
        <v>Óleo Vegetal</v>
      </c>
      <c r="F507" s="81" t="str">
        <f>VLOOKUP(C507,clientes!$C$3:$D$60,2,FALSE)</f>
        <v>POOL</v>
      </c>
      <c r="G507" s="85">
        <v>22603.043478260872</v>
      </c>
    </row>
    <row r="508" spans="1:7" x14ac:dyDescent="0.25">
      <c r="A508" s="80">
        <v>2026</v>
      </c>
      <c r="B508" s="81" t="s">
        <v>141</v>
      </c>
      <c r="C508" s="81" t="s">
        <v>168</v>
      </c>
      <c r="D508" s="81" t="s">
        <v>122</v>
      </c>
      <c r="E508" s="81" t="str">
        <f>VLOOKUP(D508,'[2]Lista de Produtos CLASSIFICAÇÃO'!$E$103:$F$114,2,FALSE)</f>
        <v>Óleo Vegetal</v>
      </c>
      <c r="F508" s="81" t="str">
        <f>VLOOKUP(C508,clientes!$C$3:$D$60,2,FALSE)</f>
        <v>POOL EXCEDENTE</v>
      </c>
      <c r="G508" s="82">
        <v>652.17391304347825</v>
      </c>
    </row>
    <row r="509" spans="1:7" x14ac:dyDescent="0.25">
      <c r="A509" s="83">
        <v>2026</v>
      </c>
      <c r="B509" s="84" t="s">
        <v>141</v>
      </c>
      <c r="C509" s="84" t="s">
        <v>238</v>
      </c>
      <c r="D509" s="84" t="s">
        <v>26</v>
      </c>
      <c r="E509" s="81" t="str">
        <f>VLOOKUP(D509,'[2]Lista de Produtos CLASSIFICAÇÃO'!$E$103:$F$114,2,FALSE)</f>
        <v>Biocombustíveis</v>
      </c>
      <c r="F509" s="81" t="str">
        <f>VLOOKUP(C509,clientes!$C$3:$D$60,2,FALSE)</f>
        <v>PRISMA</v>
      </c>
      <c r="G509" s="85">
        <v>5137.2093023255811</v>
      </c>
    </row>
    <row r="510" spans="1:7" x14ac:dyDescent="0.25">
      <c r="A510" s="80">
        <v>2026</v>
      </c>
      <c r="B510" s="81" t="s">
        <v>141</v>
      </c>
      <c r="C510" s="81" t="s">
        <v>159</v>
      </c>
      <c r="D510" s="81" t="s">
        <v>120</v>
      </c>
      <c r="E510" s="81" t="str">
        <f>VLOOKUP(D510,'[2]Lista de Produtos CLASSIFICAÇÃO'!$E$103:$F$114,2,FALSE)</f>
        <v>Derivados</v>
      </c>
      <c r="F510" s="81" t="str">
        <f>VLOOKUP(C510,clientes!$C$3:$D$60,2,FALSE)</f>
        <v>RAIZEN</v>
      </c>
      <c r="G510" s="82">
        <v>45000</v>
      </c>
    </row>
    <row r="511" spans="1:7" x14ac:dyDescent="0.25">
      <c r="A511" s="83">
        <v>2026</v>
      </c>
      <c r="B511" s="84" t="s">
        <v>141</v>
      </c>
      <c r="C511" s="84" t="s">
        <v>242</v>
      </c>
      <c r="D511" s="84" t="s">
        <v>120</v>
      </c>
      <c r="E511" s="81" t="str">
        <f>VLOOKUP(D511,'[2]Lista de Produtos CLASSIFICAÇÃO'!$E$103:$F$114,2,FALSE)</f>
        <v>Derivados</v>
      </c>
      <c r="F511" s="81" t="str">
        <f>VLOOKUP(C511,clientes!$C$3:$D$60,2,FALSE)</f>
        <v>RODOOIL DISTRIBUIDORA</v>
      </c>
      <c r="G511" s="85">
        <v>18000</v>
      </c>
    </row>
    <row r="512" spans="1:7" x14ac:dyDescent="0.25">
      <c r="A512" s="80">
        <v>2026</v>
      </c>
      <c r="B512" s="81" t="s">
        <v>141</v>
      </c>
      <c r="C512" s="81" t="s">
        <v>241</v>
      </c>
      <c r="D512" s="81" t="s">
        <v>120</v>
      </c>
      <c r="E512" s="81" t="str">
        <f>VLOOKUP(D512,'[2]Lista de Produtos CLASSIFICAÇÃO'!$E$103:$F$114,2,FALSE)</f>
        <v>Derivados</v>
      </c>
      <c r="F512" s="81" t="str">
        <f>VLOOKUP(C512,clientes!$C$3:$D$60,2,FALSE)</f>
        <v>ROYAL FIC</v>
      </c>
      <c r="G512" s="82">
        <v>18000</v>
      </c>
    </row>
    <row r="513" spans="1:7" x14ac:dyDescent="0.25">
      <c r="A513" s="83">
        <v>2026</v>
      </c>
      <c r="B513" s="84" t="s">
        <v>141</v>
      </c>
      <c r="C513" s="84" t="s">
        <v>161</v>
      </c>
      <c r="D513" s="84" t="s">
        <v>120</v>
      </c>
      <c r="E513" s="81" t="str">
        <f>VLOOKUP(D513,'[2]Lista de Produtos CLASSIFICAÇÃO'!$E$103:$F$114,2,FALSE)</f>
        <v>Derivados</v>
      </c>
      <c r="F513" s="81" t="str">
        <f>VLOOKUP(C513,clientes!$C$3:$D$60,2,FALSE)</f>
        <v>SUL PLATA</v>
      </c>
      <c r="G513" s="85">
        <v>36000</v>
      </c>
    </row>
    <row r="514" spans="1:7" x14ac:dyDescent="0.25">
      <c r="A514" s="80">
        <v>2026</v>
      </c>
      <c r="B514" s="81" t="s">
        <v>141</v>
      </c>
      <c r="C514" s="81" t="s">
        <v>244</v>
      </c>
      <c r="D514" s="81" t="s">
        <v>120</v>
      </c>
      <c r="E514" s="81" t="str">
        <f>VLOOKUP(D514,'[2]Lista de Produtos CLASSIFICAÇÃO'!$E$103:$F$114,2,FALSE)</f>
        <v>Derivados</v>
      </c>
      <c r="F514" s="81" t="str">
        <f>VLOOKUP(C514,clientes!$C$3:$D$60,2,FALSE)</f>
        <v>TAURUS</v>
      </c>
      <c r="G514" s="82">
        <v>9000</v>
      </c>
    </row>
    <row r="515" spans="1:7" x14ac:dyDescent="0.25">
      <c r="A515" s="83">
        <v>2026</v>
      </c>
      <c r="B515" s="84" t="s">
        <v>141</v>
      </c>
      <c r="C515" s="84" t="s">
        <v>163</v>
      </c>
      <c r="D515" s="84" t="s">
        <v>115</v>
      </c>
      <c r="E515" s="81" t="str">
        <f>VLOOKUP(D515,'[2]Lista de Produtos CLASSIFICAÇÃO'!$E$103:$F$114,2,FALSE)</f>
        <v>Soda Caustica</v>
      </c>
      <c r="F515" s="81" t="str">
        <f>VLOOKUP(C515,clientes!$C$3:$D$60,2,FALSE)</f>
        <v>TRICON ENERGY</v>
      </c>
      <c r="G515" s="85">
        <v>3866.666666666667</v>
      </c>
    </row>
    <row r="516" spans="1:7" x14ac:dyDescent="0.25">
      <c r="A516" s="80">
        <v>2026</v>
      </c>
      <c r="B516" s="81" t="s">
        <v>141</v>
      </c>
      <c r="C516" s="81" t="s">
        <v>171</v>
      </c>
      <c r="D516" s="81" t="s">
        <v>22</v>
      </c>
      <c r="E516" s="81" t="str">
        <f>VLOOKUP(D516,'[2]Lista de Produtos CLASSIFICAÇÃO'!$E$103:$F$114,2,FALSE)</f>
        <v>Metanol</v>
      </c>
      <c r="F516" s="81" t="str">
        <f>VLOOKUP(C516,clientes!$C$3:$D$60,2,FALSE)</f>
        <v>VALENZ</v>
      </c>
      <c r="G516" s="82">
        <v>35727.848101265823</v>
      </c>
    </row>
    <row r="517" spans="1:7" x14ac:dyDescent="0.25">
      <c r="A517" s="83">
        <v>2026</v>
      </c>
      <c r="B517" s="84" t="s">
        <v>141</v>
      </c>
      <c r="C517" s="84" t="s">
        <v>160</v>
      </c>
      <c r="D517" s="84" t="s">
        <v>120</v>
      </c>
      <c r="E517" s="81" t="str">
        <f>VLOOKUP(D517,'[2]Lista de Produtos CLASSIFICAÇÃO'!$E$103:$F$114,2,FALSE)</f>
        <v>Derivados</v>
      </c>
      <c r="F517" s="81" t="str">
        <f>VLOOKUP(C517,clientes!$C$3:$D$60,2,FALSE)</f>
        <v>VIBRA</v>
      </c>
      <c r="G517" s="85">
        <v>0</v>
      </c>
    </row>
    <row r="518" spans="1:7" x14ac:dyDescent="0.25">
      <c r="A518" s="80">
        <v>2026</v>
      </c>
      <c r="B518" s="81" t="s">
        <v>141</v>
      </c>
      <c r="C518" s="81" t="s">
        <v>160</v>
      </c>
      <c r="D518" s="81" t="s">
        <v>120</v>
      </c>
      <c r="E518" s="81" t="str">
        <f>VLOOKUP(D518,'[2]Lista de Produtos CLASSIFICAÇÃO'!$E$103:$F$114,2,FALSE)</f>
        <v>Derivados</v>
      </c>
      <c r="F518" s="81" t="str">
        <f>VLOOKUP(C518,clientes!$C$3:$D$60,2,FALSE)</f>
        <v>VIBRA</v>
      </c>
      <c r="G518" s="82">
        <v>18000</v>
      </c>
    </row>
    <row r="519" spans="1:7" x14ac:dyDescent="0.25">
      <c r="A519" s="83">
        <v>2026</v>
      </c>
      <c r="B519" s="84" t="s">
        <v>142</v>
      </c>
      <c r="C519" s="84" t="s">
        <v>175</v>
      </c>
      <c r="D519" s="84" t="s">
        <v>123</v>
      </c>
      <c r="E519" s="81" t="str">
        <f>VLOOKUP(D519,'[2]Lista de Produtos CLASSIFICAÇÃO'!$E$103:$F$114,2,FALSE)</f>
        <v>Aquecidos</v>
      </c>
      <c r="F519" s="81" t="str">
        <f>VLOOKUP(C519,clientes!$C$3:$D$60,2,FALSE)</f>
        <v>AAK DO BRASIL</v>
      </c>
      <c r="G519" s="85">
        <v>4372.2222222222217</v>
      </c>
    </row>
    <row r="520" spans="1:7" x14ac:dyDescent="0.25">
      <c r="A520" s="80">
        <v>2026</v>
      </c>
      <c r="B520" s="81" t="s">
        <v>142</v>
      </c>
      <c r="C520" s="81" t="s">
        <v>157</v>
      </c>
      <c r="D520" s="81" t="s">
        <v>122</v>
      </c>
      <c r="E520" s="81" t="str">
        <f>VLOOKUP(D520,'[2]Lista de Produtos CLASSIFICAÇÃO'!$E$103:$F$114,2,FALSE)</f>
        <v>Óleo Vegetal</v>
      </c>
      <c r="F520" s="81" t="str">
        <f>VLOOKUP(C520,clientes!$C$3:$D$60,2,FALSE)</f>
        <v>ADM</v>
      </c>
      <c r="G520" s="82">
        <v>2826.086956521739</v>
      </c>
    </row>
    <row r="521" spans="1:7" x14ac:dyDescent="0.25">
      <c r="A521" s="83">
        <v>2026</v>
      </c>
      <c r="B521" s="84" t="s">
        <v>142</v>
      </c>
      <c r="C521" s="84" t="s">
        <v>18</v>
      </c>
      <c r="D521" s="84" t="s">
        <v>17</v>
      </c>
      <c r="E521" s="81" t="str">
        <f>VLOOKUP(D521,'[2]Lista de Produtos CLASSIFICAÇÃO'!$E$103:$F$114,2,FALSE)</f>
        <v>Acostagem</v>
      </c>
      <c r="F521" s="81" t="str">
        <f>VLOOKUP(C521,clientes!$C$3:$D$60,2,FALSE)</f>
        <v>ACOSTAGEM</v>
      </c>
      <c r="G521" s="85">
        <v>0</v>
      </c>
    </row>
    <row r="522" spans="1:7" x14ac:dyDescent="0.25">
      <c r="A522" s="80">
        <v>2026</v>
      </c>
      <c r="B522" s="81" t="s">
        <v>142</v>
      </c>
      <c r="C522" s="81" t="s">
        <v>155</v>
      </c>
      <c r="D522" s="81" t="s">
        <v>16</v>
      </c>
      <c r="E522" s="81" t="str">
        <f>VLOOKUP(D522,'[2]Lista de Produtos CLASSIFICAÇÃO'!$E$103:$F$114,2,FALSE)</f>
        <v>Outros</v>
      </c>
      <c r="F522" s="81" t="str">
        <f>VLOOKUP(C522,clientes!$C$3:$D$60,2,FALSE)</f>
        <v>ADISSEO</v>
      </c>
      <c r="G522" s="82">
        <v>3461.538461538461</v>
      </c>
    </row>
    <row r="523" spans="1:7" x14ac:dyDescent="0.25">
      <c r="A523" s="83">
        <v>2026</v>
      </c>
      <c r="B523" s="84" t="s">
        <v>142</v>
      </c>
      <c r="C523" s="84" t="s">
        <v>188</v>
      </c>
      <c r="D523" s="84" t="s">
        <v>123</v>
      </c>
      <c r="E523" s="81" t="str">
        <f>VLOOKUP(D523,'[2]Lista de Produtos CLASSIFICAÇÃO'!$E$103:$F$114,2,FALSE)</f>
        <v>Aquecidos</v>
      </c>
      <c r="F523" s="81" t="str">
        <f>VLOOKUP(C523,clientes!$C$3:$D$60,2,FALSE)</f>
        <v>ARES MERCHANTS PTE LIMITE</v>
      </c>
      <c r="G523" s="85">
        <v>3476.666666666667</v>
      </c>
    </row>
    <row r="524" spans="1:7" x14ac:dyDescent="0.25">
      <c r="A524" s="80">
        <v>2026</v>
      </c>
      <c r="B524" s="81" t="s">
        <v>142</v>
      </c>
      <c r="C524" s="81" t="s">
        <v>243</v>
      </c>
      <c r="D524" s="81" t="s">
        <v>120</v>
      </c>
      <c r="E524" s="81" t="str">
        <f>VLOOKUP(D524,'[2]Lista de Produtos CLASSIFICAÇÃO'!$E$103:$F$114,2,FALSE)</f>
        <v>Derivados</v>
      </c>
      <c r="F524" s="81" t="str">
        <f>VLOOKUP(C524,clientes!$C$3:$D$60,2,FALSE)</f>
        <v>ART PETRO</v>
      </c>
      <c r="G524" s="82">
        <v>9000</v>
      </c>
    </row>
    <row r="525" spans="1:7" x14ac:dyDescent="0.25">
      <c r="A525" s="83">
        <v>2026</v>
      </c>
      <c r="B525" s="84" t="s">
        <v>142</v>
      </c>
      <c r="C525" s="84" t="s">
        <v>165</v>
      </c>
      <c r="D525" s="84" t="s">
        <v>123</v>
      </c>
      <c r="E525" s="81" t="str">
        <f>VLOOKUP(D525,'[2]Lista de Produtos CLASSIFICAÇÃO'!$E$103:$F$114,2,FALSE)</f>
        <v>Aquecidos</v>
      </c>
      <c r="F525" s="81" t="str">
        <f>VLOOKUP(C525,clientes!$C$3:$D$60,2,FALSE)</f>
        <v>BRF</v>
      </c>
      <c r="G525" s="85">
        <v>3526.666666666667</v>
      </c>
    </row>
    <row r="526" spans="1:7" x14ac:dyDescent="0.25">
      <c r="A526" s="80">
        <v>2026</v>
      </c>
      <c r="B526" s="81" t="s">
        <v>142</v>
      </c>
      <c r="C526" s="81" t="s">
        <v>179</v>
      </c>
      <c r="D526" s="81" t="s">
        <v>26</v>
      </c>
      <c r="E526" s="81" t="str">
        <f>VLOOKUP(D526,'[2]Lista de Produtos CLASSIFICAÇÃO'!$E$103:$F$114,2,FALSE)</f>
        <v>Biocombustíveis</v>
      </c>
      <c r="F526" s="81" t="str">
        <f>VLOOKUP(C526,clientes!$C$3:$D$60,2,FALSE)</f>
        <v>BSBIOS</v>
      </c>
      <c r="G526" s="82">
        <v>6356.9767441860467</v>
      </c>
    </row>
    <row r="527" spans="1:7" x14ac:dyDescent="0.25">
      <c r="A527" s="83">
        <v>2026</v>
      </c>
      <c r="B527" s="84" t="s">
        <v>142</v>
      </c>
      <c r="C527" s="84" t="s">
        <v>239</v>
      </c>
      <c r="D527" s="84" t="s">
        <v>115</v>
      </c>
      <c r="E527" s="81" t="str">
        <f>VLOOKUP(D527,'[2]Lista de Produtos CLASSIFICAÇÃO'!$E$103:$F$114,2,FALSE)</f>
        <v>Soda Caustica</v>
      </c>
      <c r="F527" s="81" t="str">
        <f>VLOOKUP(C527,clientes!$C$3:$D$60,2,FALSE)</f>
        <v>BSC QUIMICA</v>
      </c>
      <c r="G527" s="85">
        <v>1786.666666666667</v>
      </c>
    </row>
    <row r="528" spans="1:7" x14ac:dyDescent="0.25">
      <c r="A528" s="80">
        <v>2026</v>
      </c>
      <c r="B528" s="81" t="s">
        <v>142</v>
      </c>
      <c r="C528" s="81" t="s">
        <v>177</v>
      </c>
      <c r="D528" s="81" t="s">
        <v>115</v>
      </c>
      <c r="E528" s="81" t="str">
        <f>VLOOKUP(D528,'[2]Lista de Produtos CLASSIFICAÇÃO'!$E$103:$F$114,2,FALSE)</f>
        <v>Soda Caustica</v>
      </c>
      <c r="F528" s="81" t="str">
        <f>VLOOKUP(C528,clientes!$C$3:$D$60,2,FALSE)</f>
        <v>BRENNTAG</v>
      </c>
      <c r="G528" s="82">
        <v>1020</v>
      </c>
    </row>
    <row r="529" spans="1:7" x14ac:dyDescent="0.25">
      <c r="A529" s="83">
        <v>2026</v>
      </c>
      <c r="B529" s="84" t="s">
        <v>142</v>
      </c>
      <c r="C529" s="84" t="s">
        <v>156</v>
      </c>
      <c r="D529" s="84" t="s">
        <v>123</v>
      </c>
      <c r="E529" s="81" t="str">
        <f>VLOOKUP(D529,'[2]Lista de Produtos CLASSIFICAÇÃO'!$E$103:$F$114,2,FALSE)</f>
        <v>Aquecidos</v>
      </c>
      <c r="F529" s="81" t="str">
        <f>VLOOKUP(C529,clientes!$C$3:$D$60,2,FALSE)</f>
        <v>BUNGE</v>
      </c>
      <c r="G529" s="85">
        <v>2111.1111111111109</v>
      </c>
    </row>
    <row r="530" spans="1:7" x14ac:dyDescent="0.25">
      <c r="A530" s="80">
        <v>2026</v>
      </c>
      <c r="B530" s="81" t="s">
        <v>142</v>
      </c>
      <c r="C530" s="81" t="s">
        <v>166</v>
      </c>
      <c r="D530" s="81" t="s">
        <v>123</v>
      </c>
      <c r="E530" s="81" t="str">
        <f>VLOOKUP(D530,'[2]Lista de Produtos CLASSIFICAÇÃO'!$E$103:$F$114,2,FALSE)</f>
        <v>Aquecidos</v>
      </c>
      <c r="F530" s="81" t="str">
        <f>VLOOKUP(C530,clientes!$C$3:$D$60,2,FALSE)</f>
        <v>CARGILL</v>
      </c>
      <c r="G530" s="82">
        <v>1035.555555555555</v>
      </c>
    </row>
    <row r="531" spans="1:7" x14ac:dyDescent="0.25">
      <c r="A531" s="83">
        <v>2026</v>
      </c>
      <c r="B531" s="84" t="s">
        <v>142</v>
      </c>
      <c r="C531" s="84" t="s">
        <v>166</v>
      </c>
      <c r="D531" s="84" t="s">
        <v>122</v>
      </c>
      <c r="E531" s="81" t="str">
        <f>VLOOKUP(D531,'[2]Lista de Produtos CLASSIFICAÇÃO'!$E$103:$F$114,2,FALSE)</f>
        <v>Óleo Vegetal</v>
      </c>
      <c r="F531" s="81" t="str">
        <f>VLOOKUP(C531,clientes!$C$3:$D$60,2,FALSE)</f>
        <v>CARGILL</v>
      </c>
      <c r="G531" s="85">
        <v>483.695652173913</v>
      </c>
    </row>
    <row r="532" spans="1:7" x14ac:dyDescent="0.25">
      <c r="A532" s="80">
        <v>2026</v>
      </c>
      <c r="B532" s="81" t="s">
        <v>142</v>
      </c>
      <c r="C532" s="81" t="s">
        <v>174</v>
      </c>
      <c r="D532" s="81" t="s">
        <v>123</v>
      </c>
      <c r="E532" s="81" t="str">
        <f>VLOOKUP(D532,'[2]Lista de Produtos CLASSIFICAÇÃO'!$E$103:$F$114,2,FALSE)</f>
        <v>Aquecidos</v>
      </c>
      <c r="F532" s="81" t="str">
        <f>VLOOKUP(C532,clientes!$C$3:$D$60,2,FALSE)</f>
        <v>CELENA</v>
      </c>
      <c r="G532" s="82">
        <v>13401.111111111109</v>
      </c>
    </row>
    <row r="533" spans="1:7" x14ac:dyDescent="0.25">
      <c r="A533" s="83">
        <v>2026</v>
      </c>
      <c r="B533" s="84" t="s">
        <v>142</v>
      </c>
      <c r="C533" s="84" t="s">
        <v>185</v>
      </c>
      <c r="D533" s="84" t="s">
        <v>120</v>
      </c>
      <c r="E533" s="81" t="str">
        <f>VLOOKUP(D533,'[2]Lista de Produtos CLASSIFICAÇÃO'!$E$103:$F$114,2,FALSE)</f>
        <v>Derivados</v>
      </c>
      <c r="F533" s="81" t="str">
        <f>VLOOKUP(C533,clientes!$C$3:$D$60,2,FALSE)</f>
        <v>CIAPETRO</v>
      </c>
      <c r="G533" s="85">
        <v>13493.975903614461</v>
      </c>
    </row>
    <row r="534" spans="1:7" x14ac:dyDescent="0.25">
      <c r="A534" s="80">
        <v>2026</v>
      </c>
      <c r="B534" s="81" t="s">
        <v>142</v>
      </c>
      <c r="C534" s="81" t="s">
        <v>181</v>
      </c>
      <c r="D534" s="81" t="s">
        <v>123</v>
      </c>
      <c r="E534" s="81" t="str">
        <f>VLOOKUP(D534,'[2]Lista de Produtos CLASSIFICAÇÃO'!$E$103:$F$114,2,FALSE)</f>
        <v>Aquecidos</v>
      </c>
      <c r="F534" s="81" t="str">
        <f>VLOOKUP(C534,clientes!$C$3:$D$60,2,FALSE)</f>
        <v>COAMO</v>
      </c>
      <c r="G534" s="82">
        <v>1786.666666666667</v>
      </c>
    </row>
    <row r="535" spans="1:7" x14ac:dyDescent="0.25">
      <c r="A535" s="83">
        <v>2026</v>
      </c>
      <c r="B535" s="84" t="s">
        <v>142</v>
      </c>
      <c r="C535" s="84" t="s">
        <v>236</v>
      </c>
      <c r="D535" s="84" t="s">
        <v>121</v>
      </c>
      <c r="E535" s="81" t="str">
        <f>VLOOKUP(D535,'[2]Lista de Produtos CLASSIFICAÇÃO'!$E$103:$F$114,2,FALSE)</f>
        <v>Biocombustíveis</v>
      </c>
      <c r="F535" s="81" t="str">
        <f>VLOOKUP(C535,clientes!$C$3:$D$60,2,FALSE)</f>
        <v>ETANOL OUTROS</v>
      </c>
      <c r="G535" s="85">
        <v>0</v>
      </c>
    </row>
    <row r="536" spans="1:7" x14ac:dyDescent="0.25">
      <c r="A536" s="80">
        <v>2026</v>
      </c>
      <c r="B536" s="81" t="s">
        <v>142</v>
      </c>
      <c r="C536" s="81" t="s">
        <v>172</v>
      </c>
      <c r="D536" s="81" t="s">
        <v>124</v>
      </c>
      <c r="E536" s="81" t="str">
        <f>VLOOKUP(D536,'[2]Lista de Produtos CLASSIFICAÇÃO'!$E$103:$F$114,2,FALSE)</f>
        <v>Outros</v>
      </c>
      <c r="F536" s="81" t="str">
        <f>VLOOKUP(C536,clientes!$C$3:$D$60,2,FALSE)</f>
        <v>EVONIK</v>
      </c>
      <c r="G536" s="82">
        <v>1927.8481012658231</v>
      </c>
    </row>
    <row r="537" spans="1:7" x14ac:dyDescent="0.25">
      <c r="A537" s="83">
        <v>2026</v>
      </c>
      <c r="B537" s="84" t="s">
        <v>142</v>
      </c>
      <c r="C537" s="84" t="s">
        <v>240</v>
      </c>
      <c r="D537" s="84" t="s">
        <v>121</v>
      </c>
      <c r="E537" s="81" t="str">
        <f>VLOOKUP(D537,'[2]Lista de Produtos CLASSIFICAÇÃO'!$E$103:$F$114,2,FALSE)</f>
        <v>Biocombustíveis</v>
      </c>
      <c r="F537" s="81" t="str">
        <f>VLOOKUP(C537,clientes!$C$3:$D$60,2,FALSE)</f>
        <v>FS</v>
      </c>
      <c r="G537" s="85">
        <v>9200</v>
      </c>
    </row>
    <row r="538" spans="1:7" x14ac:dyDescent="0.25">
      <c r="A538" s="80">
        <v>2026</v>
      </c>
      <c r="B538" s="81" t="s">
        <v>142</v>
      </c>
      <c r="C538" s="81" t="s">
        <v>240</v>
      </c>
      <c r="D538" s="81" t="s">
        <v>121</v>
      </c>
      <c r="E538" s="81" t="str">
        <f>VLOOKUP(D538,'[2]Lista de Produtos CLASSIFICAÇÃO'!$E$103:$F$114,2,FALSE)</f>
        <v>Biocombustíveis</v>
      </c>
      <c r="F538" s="81" t="str">
        <f>VLOOKUP(C538,clientes!$C$3:$D$60,2,FALSE)</f>
        <v>FS</v>
      </c>
      <c r="G538" s="82">
        <v>0</v>
      </c>
    </row>
    <row r="539" spans="1:7" x14ac:dyDescent="0.25">
      <c r="A539" s="83">
        <v>2026</v>
      </c>
      <c r="B539" s="84" t="s">
        <v>142</v>
      </c>
      <c r="C539" s="84" t="s">
        <v>237</v>
      </c>
      <c r="D539" s="84" t="s">
        <v>120</v>
      </c>
      <c r="E539" s="81" t="str">
        <f>VLOOKUP(D539,'[2]Lista de Produtos CLASSIFICAÇÃO'!$E$103:$F$114,2,FALSE)</f>
        <v>Derivados</v>
      </c>
      <c r="F539" s="81" t="str">
        <f>VLOOKUP(C539,clientes!$C$3:$D$60,2,FALSE)</f>
        <v>FORTEZA TRADING DMCC</v>
      </c>
      <c r="G539" s="85">
        <v>3660.2409638554218</v>
      </c>
    </row>
    <row r="540" spans="1:7" x14ac:dyDescent="0.25">
      <c r="A540" s="80">
        <v>2026</v>
      </c>
      <c r="B540" s="81" t="s">
        <v>142</v>
      </c>
      <c r="C540" s="81" t="s">
        <v>191</v>
      </c>
      <c r="D540" s="81" t="s">
        <v>115</v>
      </c>
      <c r="E540" s="81" t="str">
        <f>VLOOKUP(D540,'[2]Lista de Produtos CLASSIFICAÇÃO'!$E$103:$F$114,2,FALSE)</f>
        <v>Soda Caustica</v>
      </c>
      <c r="F540" s="81" t="str">
        <f>VLOOKUP(C540,clientes!$C$3:$D$60,2,FALSE)</f>
        <v>GPC</v>
      </c>
      <c r="G540" s="82">
        <v>873.33333333333337</v>
      </c>
    </row>
    <row r="541" spans="1:7" x14ac:dyDescent="0.25">
      <c r="A541" s="83">
        <v>2026</v>
      </c>
      <c r="B541" s="84" t="s">
        <v>142</v>
      </c>
      <c r="C541" s="84" t="s">
        <v>189</v>
      </c>
      <c r="D541" s="84" t="s">
        <v>123</v>
      </c>
      <c r="E541" s="81" t="str">
        <f>VLOOKUP(D541,'[2]Lista de Produtos CLASSIFICAÇÃO'!$E$103:$F$114,2,FALSE)</f>
        <v>Aquecidos</v>
      </c>
      <c r="F541" s="81" t="str">
        <f>VLOOKUP(C541,clientes!$C$3:$D$60,2,FALSE)</f>
        <v>ICOF</v>
      </c>
      <c r="G541" s="85">
        <v>4983.333333333333</v>
      </c>
    </row>
    <row r="542" spans="1:7" x14ac:dyDescent="0.25">
      <c r="A542" s="80">
        <v>2026</v>
      </c>
      <c r="B542" s="81" t="s">
        <v>142</v>
      </c>
      <c r="C542" s="81" t="s">
        <v>184</v>
      </c>
      <c r="D542" s="81" t="s">
        <v>122</v>
      </c>
      <c r="E542" s="81" t="str">
        <f>VLOOKUP(D542,'[2]Lista de Produtos CLASSIFICAÇÃO'!$E$103:$F$114,2,FALSE)</f>
        <v>Óleo Vegetal</v>
      </c>
      <c r="F542" s="81" t="str">
        <f>VLOOKUP(C542,clientes!$C$3:$D$60,2,FALSE)</f>
        <v>INGREDION</v>
      </c>
      <c r="G542" s="82">
        <v>295.65217391304338</v>
      </c>
    </row>
    <row r="543" spans="1:7" x14ac:dyDescent="0.25">
      <c r="A543" s="83">
        <v>2026</v>
      </c>
      <c r="B543" s="84" t="s">
        <v>142</v>
      </c>
      <c r="C543" s="84" t="s">
        <v>192</v>
      </c>
      <c r="D543" s="84" t="s">
        <v>121</v>
      </c>
      <c r="E543" s="81" t="str">
        <f>VLOOKUP(D543,'[2]Lista de Produtos CLASSIFICAÇÃO'!$E$103:$F$114,2,FALSE)</f>
        <v>Biocombustíveis</v>
      </c>
      <c r="F543" s="81" t="str">
        <f>VLOOKUP(C543,clientes!$C$3:$D$60,2,FALSE)</f>
        <v>INPASA</v>
      </c>
      <c r="G543" s="85">
        <v>12146.25</v>
      </c>
    </row>
    <row r="544" spans="1:7" x14ac:dyDescent="0.25">
      <c r="A544" s="80">
        <v>2026</v>
      </c>
      <c r="B544" s="81" t="s">
        <v>142</v>
      </c>
      <c r="C544" s="81" t="s">
        <v>192</v>
      </c>
      <c r="D544" s="81" t="s">
        <v>121</v>
      </c>
      <c r="E544" s="81" t="str">
        <f>VLOOKUP(D544,'[2]Lista de Produtos CLASSIFICAÇÃO'!$E$103:$F$114,2,FALSE)</f>
        <v>Biocombustíveis</v>
      </c>
      <c r="F544" s="81" t="str">
        <f>VLOOKUP(C544,clientes!$C$3:$D$60,2,FALSE)</f>
        <v>INPASA</v>
      </c>
      <c r="G544" s="82">
        <v>20000</v>
      </c>
    </row>
    <row r="545" spans="1:7" x14ac:dyDescent="0.25">
      <c r="A545" s="83">
        <v>2026</v>
      </c>
      <c r="B545" s="84" t="s">
        <v>142</v>
      </c>
      <c r="C545" s="84" t="s">
        <v>158</v>
      </c>
      <c r="D545" s="84" t="s">
        <v>120</v>
      </c>
      <c r="E545" s="81" t="str">
        <f>VLOOKUP(D545,'[2]Lista de Produtos CLASSIFICAÇÃO'!$E$103:$F$114,2,FALSE)</f>
        <v>Derivados</v>
      </c>
      <c r="F545" s="81" t="str">
        <f>VLOOKUP(C545,clientes!$C$3:$D$60,2,FALSE)</f>
        <v>IPIRANGA</v>
      </c>
      <c r="G545" s="85">
        <v>63000</v>
      </c>
    </row>
    <row r="546" spans="1:7" x14ac:dyDescent="0.25">
      <c r="A546" s="80">
        <v>2026</v>
      </c>
      <c r="B546" s="81" t="s">
        <v>142</v>
      </c>
      <c r="C546" s="81" t="s">
        <v>162</v>
      </c>
      <c r="D546" s="81" t="s">
        <v>123</v>
      </c>
      <c r="E546" s="81" t="str">
        <f>VLOOKUP(D546,'[2]Lista de Produtos CLASSIFICAÇÃO'!$E$103:$F$114,2,FALSE)</f>
        <v>Aquecidos</v>
      </c>
      <c r="F546" s="81" t="str">
        <f>VLOOKUP(C546,clientes!$C$3:$D$60,2,FALSE)</f>
        <v>JBS</v>
      </c>
      <c r="G546" s="82">
        <v>3444.4444444444439</v>
      </c>
    </row>
    <row r="547" spans="1:7" x14ac:dyDescent="0.25">
      <c r="A547" s="83">
        <v>2026</v>
      </c>
      <c r="B547" s="84" t="s">
        <v>142</v>
      </c>
      <c r="C547" s="84" t="s">
        <v>162</v>
      </c>
      <c r="D547" s="84" t="s">
        <v>115</v>
      </c>
      <c r="E547" s="81" t="str">
        <f>VLOOKUP(D547,'[2]Lista de Produtos CLASSIFICAÇÃO'!$E$103:$F$114,2,FALSE)</f>
        <v>Soda Caustica</v>
      </c>
      <c r="F547" s="81" t="str">
        <f>VLOOKUP(C547,clientes!$C$3:$D$60,2,FALSE)</f>
        <v>JBS</v>
      </c>
      <c r="G547" s="85">
        <v>1200</v>
      </c>
    </row>
    <row r="548" spans="1:7" x14ac:dyDescent="0.25">
      <c r="A548" s="80">
        <v>2026</v>
      </c>
      <c r="B548" s="81" t="s">
        <v>142</v>
      </c>
      <c r="C548" s="81" t="s">
        <v>169</v>
      </c>
      <c r="D548" s="81" t="s">
        <v>22</v>
      </c>
      <c r="E548" s="81" t="str">
        <f>VLOOKUP(D548,'[2]Lista de Produtos CLASSIFICAÇÃO'!$E$103:$F$114,2,FALSE)</f>
        <v>Metanol</v>
      </c>
      <c r="F548" s="81" t="str">
        <f>VLOOKUP(C548,clientes!$C$3:$D$60,2,FALSE)</f>
        <v>METHANEX</v>
      </c>
      <c r="G548" s="82">
        <v>0</v>
      </c>
    </row>
    <row r="549" spans="1:7" x14ac:dyDescent="0.25">
      <c r="A549" s="83">
        <v>2026</v>
      </c>
      <c r="B549" s="84" t="s">
        <v>142</v>
      </c>
      <c r="C549" s="84" t="s">
        <v>169</v>
      </c>
      <c r="D549" s="84" t="s">
        <v>22</v>
      </c>
      <c r="E549" s="81" t="str">
        <f>VLOOKUP(D549,'[2]Lista de Produtos CLASSIFICAÇÃO'!$E$103:$F$114,2,FALSE)</f>
        <v>Metanol</v>
      </c>
      <c r="F549" s="81" t="str">
        <f>VLOOKUP(C549,clientes!$C$3:$D$60,2,FALSE)</f>
        <v>METHANEX</v>
      </c>
      <c r="G549" s="85">
        <v>26959.49367088607</v>
      </c>
    </row>
    <row r="550" spans="1:7" x14ac:dyDescent="0.25">
      <c r="A550" s="80">
        <v>2026</v>
      </c>
      <c r="B550" s="81" t="s">
        <v>142</v>
      </c>
      <c r="C550" s="81" t="s">
        <v>170</v>
      </c>
      <c r="D550" s="81" t="s">
        <v>22</v>
      </c>
      <c r="E550" s="81" t="str">
        <f>VLOOKUP(D550,'[2]Lista de Produtos CLASSIFICAÇÃO'!$E$103:$F$114,2,FALSE)</f>
        <v>Metanol</v>
      </c>
      <c r="F550" s="81" t="str">
        <f>VLOOKUP(C550,clientes!$C$3:$D$60,2,FALSE)</f>
        <v>MITSUBISHI</v>
      </c>
      <c r="G550" s="82">
        <v>12239.24050632911</v>
      </c>
    </row>
    <row r="551" spans="1:7" x14ac:dyDescent="0.25">
      <c r="A551" s="83">
        <v>2026</v>
      </c>
      <c r="B551" s="84" t="s">
        <v>142</v>
      </c>
      <c r="C551" s="84" t="s">
        <v>186</v>
      </c>
      <c r="D551" s="84" t="s">
        <v>22</v>
      </c>
      <c r="E551" s="81" t="str">
        <f>VLOOKUP(D551,'[2]Lista de Produtos CLASSIFICAÇÃO'!$E$103:$F$114,2,FALSE)</f>
        <v>Metanol</v>
      </c>
      <c r="F551" s="81" t="str">
        <f>VLOOKUP(C551,clientes!$C$3:$D$60,2,FALSE)</f>
        <v>OQ TRADING</v>
      </c>
      <c r="G551" s="85">
        <v>0</v>
      </c>
    </row>
    <row r="552" spans="1:7" x14ac:dyDescent="0.25">
      <c r="A552" s="80">
        <v>2026</v>
      </c>
      <c r="B552" s="81" t="s">
        <v>142</v>
      </c>
      <c r="C552" s="81" t="s">
        <v>186</v>
      </c>
      <c r="D552" s="81" t="s">
        <v>22</v>
      </c>
      <c r="E552" s="81" t="str">
        <f>VLOOKUP(D552,'[2]Lista de Produtos CLASSIFICAÇÃO'!$E$103:$F$114,2,FALSE)</f>
        <v>Metanol</v>
      </c>
      <c r="F552" s="81" t="str">
        <f>VLOOKUP(C552,clientes!$C$3:$D$60,2,FALSE)</f>
        <v>OQ TRADING</v>
      </c>
      <c r="G552" s="82">
        <v>0</v>
      </c>
    </row>
    <row r="553" spans="1:7" x14ac:dyDescent="0.25">
      <c r="A553" s="83">
        <v>2026</v>
      </c>
      <c r="B553" s="84" t="s">
        <v>142</v>
      </c>
      <c r="C553" s="84" t="s">
        <v>178</v>
      </c>
      <c r="D553" s="84" t="s">
        <v>115</v>
      </c>
      <c r="E553" s="81" t="str">
        <f>VLOOKUP(D553,'[2]Lista de Produtos CLASSIFICAÇÃO'!$E$103:$F$114,2,FALSE)</f>
        <v>Soda Caustica</v>
      </c>
      <c r="F553" s="81" t="str">
        <f>VLOOKUP(C553,clientes!$C$3:$D$60,2,FALSE)</f>
        <v>OLIN BLUE CUBE</v>
      </c>
      <c r="G553" s="85">
        <v>15088.66666666667</v>
      </c>
    </row>
    <row r="554" spans="1:7" x14ac:dyDescent="0.25">
      <c r="A554" s="80">
        <v>2026</v>
      </c>
      <c r="B554" s="81" t="s">
        <v>142</v>
      </c>
      <c r="C554" s="81" t="s">
        <v>167</v>
      </c>
      <c r="D554" s="81" t="s">
        <v>122</v>
      </c>
      <c r="E554" s="81" t="str">
        <f>VLOOKUP(D554,'[2]Lista de Produtos CLASSIFICAÇÃO'!$E$103:$F$114,2,FALSE)</f>
        <v>Óleo Vegetal</v>
      </c>
      <c r="F554" s="81" t="str">
        <f>VLOOKUP(C554,clientes!$C$3:$D$60,2,FALSE)</f>
        <v>POOL</v>
      </c>
      <c r="G554" s="82">
        <v>17386.956521739128</v>
      </c>
    </row>
    <row r="555" spans="1:7" x14ac:dyDescent="0.25">
      <c r="A555" s="83">
        <v>2026</v>
      </c>
      <c r="B555" s="84" t="s">
        <v>142</v>
      </c>
      <c r="C555" s="84" t="s">
        <v>168</v>
      </c>
      <c r="D555" s="84" t="s">
        <v>122</v>
      </c>
      <c r="E555" s="81" t="str">
        <f>VLOOKUP(D555,'[2]Lista de Produtos CLASSIFICAÇÃO'!$E$103:$F$114,2,FALSE)</f>
        <v>Óleo Vegetal</v>
      </c>
      <c r="F555" s="81" t="str">
        <f>VLOOKUP(C555,clientes!$C$3:$D$60,2,FALSE)</f>
        <v>POOL EXCEDENTE</v>
      </c>
      <c r="G555" s="85">
        <v>652.17391304347825</v>
      </c>
    </row>
    <row r="556" spans="1:7" x14ac:dyDescent="0.25">
      <c r="A556" s="80">
        <v>2026</v>
      </c>
      <c r="B556" s="81" t="s">
        <v>142</v>
      </c>
      <c r="C556" s="81" t="s">
        <v>238</v>
      </c>
      <c r="D556" s="81" t="s">
        <v>26</v>
      </c>
      <c r="E556" s="81" t="str">
        <f>VLOOKUP(D556,'[2]Lista de Produtos CLASSIFICAÇÃO'!$E$103:$F$114,2,FALSE)</f>
        <v>Biocombustíveis</v>
      </c>
      <c r="F556" s="81" t="str">
        <f>VLOOKUP(C556,clientes!$C$3:$D$60,2,FALSE)</f>
        <v>PRISMA</v>
      </c>
      <c r="G556" s="82">
        <v>5137.2093023255811</v>
      </c>
    </row>
    <row r="557" spans="1:7" x14ac:dyDescent="0.25">
      <c r="A557" s="83">
        <v>2026</v>
      </c>
      <c r="B557" s="84" t="s">
        <v>142</v>
      </c>
      <c r="C557" s="84" t="s">
        <v>159</v>
      </c>
      <c r="D557" s="84" t="s">
        <v>120</v>
      </c>
      <c r="E557" s="81" t="str">
        <f>VLOOKUP(D557,'[2]Lista de Produtos CLASSIFICAÇÃO'!$E$103:$F$114,2,FALSE)</f>
        <v>Derivados</v>
      </c>
      <c r="F557" s="81" t="str">
        <f>VLOOKUP(C557,clientes!$C$3:$D$60,2,FALSE)</f>
        <v>RAIZEN</v>
      </c>
      <c r="G557" s="85">
        <v>45000</v>
      </c>
    </row>
    <row r="558" spans="1:7" x14ac:dyDescent="0.25">
      <c r="A558" s="80">
        <v>2026</v>
      </c>
      <c r="B558" s="81" t="s">
        <v>142</v>
      </c>
      <c r="C558" s="81" t="s">
        <v>242</v>
      </c>
      <c r="D558" s="81" t="s">
        <v>120</v>
      </c>
      <c r="E558" s="81" t="str">
        <f>VLOOKUP(D558,'[2]Lista de Produtos CLASSIFICAÇÃO'!$E$103:$F$114,2,FALSE)</f>
        <v>Derivados</v>
      </c>
      <c r="F558" s="81" t="str">
        <f>VLOOKUP(C558,clientes!$C$3:$D$60,2,FALSE)</f>
        <v>RODOOIL DISTRIBUIDORA</v>
      </c>
      <c r="G558" s="82">
        <v>18000</v>
      </c>
    </row>
    <row r="559" spans="1:7" x14ac:dyDescent="0.25">
      <c r="A559" s="83">
        <v>2026</v>
      </c>
      <c r="B559" s="84" t="s">
        <v>142</v>
      </c>
      <c r="C559" s="84" t="s">
        <v>241</v>
      </c>
      <c r="D559" s="84" t="s">
        <v>120</v>
      </c>
      <c r="E559" s="81" t="str">
        <f>VLOOKUP(D559,'[2]Lista de Produtos CLASSIFICAÇÃO'!$E$103:$F$114,2,FALSE)</f>
        <v>Derivados</v>
      </c>
      <c r="F559" s="81" t="str">
        <f>VLOOKUP(C559,clientes!$C$3:$D$60,2,FALSE)</f>
        <v>ROYAL FIC</v>
      </c>
      <c r="G559" s="85">
        <v>18000</v>
      </c>
    </row>
    <row r="560" spans="1:7" x14ac:dyDescent="0.25">
      <c r="A560" s="80">
        <v>2026</v>
      </c>
      <c r="B560" s="81" t="s">
        <v>142</v>
      </c>
      <c r="C560" s="81" t="s">
        <v>161</v>
      </c>
      <c r="D560" s="81" t="s">
        <v>120</v>
      </c>
      <c r="E560" s="81" t="str">
        <f>VLOOKUP(D560,'[2]Lista de Produtos CLASSIFICAÇÃO'!$E$103:$F$114,2,FALSE)</f>
        <v>Derivados</v>
      </c>
      <c r="F560" s="81" t="str">
        <f>VLOOKUP(C560,clientes!$C$3:$D$60,2,FALSE)</f>
        <v>SUL PLATA</v>
      </c>
      <c r="G560" s="82">
        <v>36000</v>
      </c>
    </row>
    <row r="561" spans="1:7" x14ac:dyDescent="0.25">
      <c r="A561" s="83">
        <v>2026</v>
      </c>
      <c r="B561" s="84" t="s">
        <v>142</v>
      </c>
      <c r="C561" s="84" t="s">
        <v>244</v>
      </c>
      <c r="D561" s="84" t="s">
        <v>120</v>
      </c>
      <c r="E561" s="81" t="str">
        <f>VLOOKUP(D561,'[2]Lista de Produtos CLASSIFICAÇÃO'!$E$103:$F$114,2,FALSE)</f>
        <v>Derivados</v>
      </c>
      <c r="F561" s="81" t="str">
        <f>VLOOKUP(C561,clientes!$C$3:$D$60,2,FALSE)</f>
        <v>TAURUS</v>
      </c>
      <c r="G561" s="85">
        <v>9000</v>
      </c>
    </row>
    <row r="562" spans="1:7" x14ac:dyDescent="0.25">
      <c r="A562" s="80">
        <v>2026</v>
      </c>
      <c r="B562" s="81" t="s">
        <v>142</v>
      </c>
      <c r="C562" s="81" t="s">
        <v>163</v>
      </c>
      <c r="D562" s="81" t="s">
        <v>115</v>
      </c>
      <c r="E562" s="81" t="str">
        <f>VLOOKUP(D562,'[2]Lista de Produtos CLASSIFICAÇÃO'!$E$103:$F$114,2,FALSE)</f>
        <v>Soda Caustica</v>
      </c>
      <c r="F562" s="81" t="str">
        <f>VLOOKUP(C562,clientes!$C$3:$D$60,2,FALSE)</f>
        <v>TRICON ENERGY</v>
      </c>
      <c r="G562" s="82">
        <v>3866.666666666667</v>
      </c>
    </row>
    <row r="563" spans="1:7" x14ac:dyDescent="0.25">
      <c r="A563" s="83">
        <v>2026</v>
      </c>
      <c r="B563" s="84" t="s">
        <v>142</v>
      </c>
      <c r="C563" s="84" t="s">
        <v>171</v>
      </c>
      <c r="D563" s="84" t="s">
        <v>22</v>
      </c>
      <c r="E563" s="81" t="str">
        <f>VLOOKUP(D563,'[2]Lista de Produtos CLASSIFICAÇÃO'!$E$103:$F$114,2,FALSE)</f>
        <v>Metanol</v>
      </c>
      <c r="F563" s="81" t="str">
        <f>VLOOKUP(C563,clientes!$C$3:$D$60,2,FALSE)</f>
        <v>VALENZ</v>
      </c>
      <c r="G563" s="85">
        <v>35727.848101265823</v>
      </c>
    </row>
    <row r="564" spans="1:7" x14ac:dyDescent="0.25">
      <c r="A564" s="80">
        <v>2026</v>
      </c>
      <c r="B564" s="81" t="s">
        <v>142</v>
      </c>
      <c r="C564" s="81" t="s">
        <v>160</v>
      </c>
      <c r="D564" s="81" t="s">
        <v>120</v>
      </c>
      <c r="E564" s="81" t="str">
        <f>VLOOKUP(D564,'[2]Lista de Produtos CLASSIFICAÇÃO'!$E$103:$F$114,2,FALSE)</f>
        <v>Derivados</v>
      </c>
      <c r="F564" s="81" t="str">
        <f>VLOOKUP(C564,clientes!$C$3:$D$60,2,FALSE)</f>
        <v>VIBRA</v>
      </c>
      <c r="G564" s="82">
        <v>0</v>
      </c>
    </row>
    <row r="565" spans="1:7" x14ac:dyDescent="0.25">
      <c r="A565" s="83">
        <v>2026</v>
      </c>
      <c r="B565" s="84" t="s">
        <v>142</v>
      </c>
      <c r="C565" s="84" t="s">
        <v>160</v>
      </c>
      <c r="D565" s="84" t="s">
        <v>120</v>
      </c>
      <c r="E565" s="81" t="str">
        <f>VLOOKUP(D565,'[2]Lista de Produtos CLASSIFICAÇÃO'!$E$103:$F$114,2,FALSE)</f>
        <v>Derivados</v>
      </c>
      <c r="F565" s="81" t="str">
        <f>VLOOKUP(C565,clientes!$C$3:$D$60,2,FALSE)</f>
        <v>VIBRA</v>
      </c>
      <c r="G565" s="85">
        <v>18000</v>
      </c>
    </row>
  </sheetData>
  <autoFilter ref="A1:G565" xr:uid="{28B119F2-6382-4CD1-B004-893D1E648F1A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6496-F3A5-4D86-A0C3-610F407BC5AE}">
  <sheetPr codeName="Planilha8"/>
  <dimension ref="C2:I41"/>
  <sheetViews>
    <sheetView workbookViewId="0">
      <selection activeCell="C1" sqref="C1:I1048576"/>
    </sheetView>
  </sheetViews>
  <sheetFormatPr defaultRowHeight="15" x14ac:dyDescent="0.25"/>
  <sheetData>
    <row r="2" spans="3:9" ht="15.75" thickBot="1" x14ac:dyDescent="0.3"/>
    <row r="3" spans="3:9" ht="16.5" thickTop="1" thickBot="1" x14ac:dyDescent="0.3">
      <c r="C3" s="87" t="s">
        <v>145</v>
      </c>
      <c r="D3" s="89" t="s">
        <v>146</v>
      </c>
      <c r="E3" s="90"/>
      <c r="F3" s="90"/>
      <c r="G3" s="90"/>
      <c r="H3" s="90"/>
      <c r="I3" s="91"/>
    </row>
    <row r="4" spans="3:9" ht="15.75" thickBot="1" x14ac:dyDescent="0.3">
      <c r="C4" s="88"/>
      <c r="D4" s="45">
        <v>2020</v>
      </c>
      <c r="E4" s="45">
        <v>2021</v>
      </c>
      <c r="F4" s="45">
        <v>2022</v>
      </c>
      <c r="G4" s="45">
        <v>2023</v>
      </c>
      <c r="H4" s="45">
        <v>2024</v>
      </c>
      <c r="I4" s="45">
        <v>2025</v>
      </c>
    </row>
    <row r="5" spans="3:9" ht="26.25" thickBot="1" x14ac:dyDescent="0.3">
      <c r="C5" s="39" t="s">
        <v>105</v>
      </c>
      <c r="D5" s="33">
        <v>669685</v>
      </c>
      <c r="E5" s="33">
        <v>706097</v>
      </c>
      <c r="F5" s="33">
        <v>1083725</v>
      </c>
      <c r="G5" s="33">
        <v>1107020</v>
      </c>
      <c r="H5" s="33">
        <v>479838</v>
      </c>
      <c r="I5" s="33">
        <v>717541</v>
      </c>
    </row>
    <row r="6" spans="3:9" ht="39" thickBot="1" x14ac:dyDescent="0.3">
      <c r="C6" s="39" t="s">
        <v>106</v>
      </c>
      <c r="D6" s="34">
        <v>0</v>
      </c>
      <c r="E6" s="34">
        <v>0</v>
      </c>
      <c r="F6" s="34">
        <v>0</v>
      </c>
      <c r="G6" s="33">
        <v>2999</v>
      </c>
      <c r="H6" s="34">
        <v>0</v>
      </c>
      <c r="I6" s="34">
        <v>0</v>
      </c>
    </row>
    <row r="7" spans="3:9" ht="26.25" thickBot="1" x14ac:dyDescent="0.3">
      <c r="C7" s="39" t="s">
        <v>35</v>
      </c>
      <c r="D7" s="34">
        <v>0</v>
      </c>
      <c r="E7" s="33">
        <v>14006</v>
      </c>
      <c r="F7" s="34">
        <v>0</v>
      </c>
      <c r="G7" s="34">
        <v>0</v>
      </c>
      <c r="H7" s="34">
        <v>0</v>
      </c>
      <c r="I7" s="34">
        <v>0</v>
      </c>
    </row>
    <row r="8" spans="3:9" ht="26.25" thickBot="1" x14ac:dyDescent="0.3">
      <c r="C8" s="39" t="s">
        <v>107</v>
      </c>
      <c r="D8" s="33">
        <v>2008</v>
      </c>
      <c r="E8" s="33">
        <v>6002</v>
      </c>
      <c r="F8" s="33">
        <v>14804</v>
      </c>
      <c r="G8" s="33">
        <v>19059</v>
      </c>
      <c r="H8" s="33">
        <v>33836</v>
      </c>
      <c r="I8" s="33">
        <v>58582</v>
      </c>
    </row>
    <row r="9" spans="3:9" ht="26.25" thickBot="1" x14ac:dyDescent="0.3">
      <c r="C9" s="39" t="s">
        <v>98</v>
      </c>
      <c r="D9" s="34">
        <v>0</v>
      </c>
      <c r="E9" s="34">
        <v>0</v>
      </c>
      <c r="F9" s="33">
        <v>1502</v>
      </c>
      <c r="G9" s="34">
        <v>0</v>
      </c>
      <c r="H9" s="34">
        <v>0</v>
      </c>
      <c r="I9" s="34">
        <v>0</v>
      </c>
    </row>
    <row r="10" spans="3:9" ht="26.25" thickBot="1" x14ac:dyDescent="0.3">
      <c r="C10" s="39" t="s">
        <v>108</v>
      </c>
      <c r="D10" s="33">
        <v>13704</v>
      </c>
      <c r="E10" s="33">
        <v>93503</v>
      </c>
      <c r="F10" s="33">
        <v>75065</v>
      </c>
      <c r="G10" s="33">
        <v>89057</v>
      </c>
      <c r="H10" s="33">
        <v>130147</v>
      </c>
      <c r="I10" s="33">
        <v>112895</v>
      </c>
    </row>
    <row r="11" spans="3:9" ht="51.75" thickBot="1" x14ac:dyDescent="0.3">
      <c r="C11" s="39" t="s">
        <v>109</v>
      </c>
      <c r="D11" s="34">
        <v>0</v>
      </c>
      <c r="E11" s="33">
        <v>1497</v>
      </c>
      <c r="F11" s="33">
        <v>4491</v>
      </c>
      <c r="G11" s="34">
        <v>497</v>
      </c>
      <c r="H11" s="33">
        <v>4979</v>
      </c>
      <c r="I11" s="33">
        <v>7492</v>
      </c>
    </row>
    <row r="12" spans="3:9" ht="26.25" thickBot="1" x14ac:dyDescent="0.3">
      <c r="C12" s="39" t="s">
        <v>58</v>
      </c>
      <c r="D12" s="33">
        <v>26405</v>
      </c>
      <c r="E12" s="33">
        <v>49600</v>
      </c>
      <c r="F12" s="33">
        <v>62486</v>
      </c>
      <c r="G12" s="33">
        <v>88713</v>
      </c>
      <c r="H12" s="33">
        <v>80307</v>
      </c>
      <c r="I12" s="33">
        <v>80541</v>
      </c>
    </row>
    <row r="13" spans="3:9" ht="51.75" thickBot="1" x14ac:dyDescent="0.3">
      <c r="C13" s="39" t="s">
        <v>86</v>
      </c>
      <c r="D13" s="33">
        <v>1919</v>
      </c>
      <c r="E13" s="33">
        <v>19289</v>
      </c>
      <c r="F13" s="33">
        <v>16726</v>
      </c>
      <c r="G13" s="33">
        <v>26179</v>
      </c>
      <c r="H13" s="33">
        <v>34177</v>
      </c>
      <c r="I13" s="33">
        <v>31994</v>
      </c>
    </row>
    <row r="14" spans="3:9" ht="26.25" thickBot="1" x14ac:dyDescent="0.3">
      <c r="C14" s="39" t="s">
        <v>49</v>
      </c>
      <c r="D14" s="33">
        <v>11302</v>
      </c>
      <c r="E14" s="33">
        <v>1859</v>
      </c>
      <c r="F14" s="33">
        <v>5104</v>
      </c>
      <c r="G14" s="34">
        <v>0</v>
      </c>
      <c r="H14" s="34">
        <v>0</v>
      </c>
      <c r="I14" s="34">
        <v>0</v>
      </c>
    </row>
    <row r="15" spans="3:9" ht="15.75" thickBot="1" x14ac:dyDescent="0.3">
      <c r="C15" s="40" t="s">
        <v>147</v>
      </c>
      <c r="D15" s="35">
        <v>725024</v>
      </c>
      <c r="E15" s="35">
        <v>891855</v>
      </c>
      <c r="F15" s="35">
        <v>1263902</v>
      </c>
      <c r="G15" s="35">
        <v>1333524</v>
      </c>
      <c r="H15" s="35">
        <v>763285</v>
      </c>
      <c r="I15" s="35">
        <v>1009045</v>
      </c>
    </row>
    <row r="16" spans="3:9" ht="26.25" thickBot="1" x14ac:dyDescent="0.3">
      <c r="C16" s="39" t="s">
        <v>30</v>
      </c>
      <c r="D16" s="34">
        <v>0</v>
      </c>
      <c r="E16" s="34">
        <v>0</v>
      </c>
      <c r="F16" s="33">
        <v>2191</v>
      </c>
      <c r="G16" s="33">
        <v>2590</v>
      </c>
      <c r="H16" s="33">
        <v>1830</v>
      </c>
      <c r="I16" s="34">
        <v>0</v>
      </c>
    </row>
    <row r="17" spans="3:9" ht="26.25" thickBot="1" x14ac:dyDescent="0.3">
      <c r="C17" s="39" t="s">
        <v>84</v>
      </c>
      <c r="D17" s="34">
        <v>0</v>
      </c>
      <c r="E17" s="33">
        <v>3009</v>
      </c>
      <c r="F17" s="34">
        <v>0</v>
      </c>
      <c r="G17" s="34">
        <v>0</v>
      </c>
      <c r="H17" s="33">
        <v>68417</v>
      </c>
      <c r="I17" s="33">
        <v>48709</v>
      </c>
    </row>
    <row r="18" spans="3:9" ht="39" thickBot="1" x14ac:dyDescent="0.3">
      <c r="C18" s="39" t="s">
        <v>40</v>
      </c>
      <c r="D18" s="33">
        <v>5689</v>
      </c>
      <c r="E18" s="33">
        <v>6362</v>
      </c>
      <c r="F18" s="34">
        <v>0</v>
      </c>
      <c r="G18" s="34">
        <v>0</v>
      </c>
      <c r="H18" s="34">
        <v>0</v>
      </c>
      <c r="I18" s="34">
        <v>0</v>
      </c>
    </row>
    <row r="19" spans="3:9" ht="26.25" thickBot="1" x14ac:dyDescent="0.3">
      <c r="C19" s="39" t="s">
        <v>90</v>
      </c>
      <c r="D19" s="34">
        <v>0</v>
      </c>
      <c r="E19" s="34">
        <v>0</v>
      </c>
      <c r="F19" s="34">
        <v>0</v>
      </c>
      <c r="G19" s="34">
        <v>0</v>
      </c>
      <c r="H19" s="33">
        <v>7881</v>
      </c>
      <c r="I19" s="34">
        <v>0</v>
      </c>
    </row>
    <row r="20" spans="3:9" ht="26.25" thickBot="1" x14ac:dyDescent="0.3">
      <c r="C20" s="39" t="s">
        <v>91</v>
      </c>
      <c r="D20" s="34">
        <v>0</v>
      </c>
      <c r="E20" s="34">
        <v>0</v>
      </c>
      <c r="F20" s="34">
        <v>0</v>
      </c>
      <c r="G20" s="34">
        <v>0</v>
      </c>
      <c r="H20" s="33">
        <v>4215</v>
      </c>
      <c r="I20" s="34">
        <v>0</v>
      </c>
    </row>
    <row r="21" spans="3:9" ht="15.75" thickBot="1" x14ac:dyDescent="0.3">
      <c r="C21" s="40" t="s">
        <v>74</v>
      </c>
      <c r="D21" s="35">
        <v>5689</v>
      </c>
      <c r="E21" s="35">
        <v>9371</v>
      </c>
      <c r="F21" s="35">
        <v>2191</v>
      </c>
      <c r="G21" s="35">
        <v>2590</v>
      </c>
      <c r="H21" s="35">
        <v>82343</v>
      </c>
      <c r="I21" s="35">
        <v>48709</v>
      </c>
    </row>
    <row r="22" spans="3:9" ht="51.75" thickBot="1" x14ac:dyDescent="0.3">
      <c r="C22" s="39" t="s">
        <v>110</v>
      </c>
      <c r="D22" s="33">
        <v>12424</v>
      </c>
      <c r="E22" s="33">
        <v>15541</v>
      </c>
      <c r="F22" s="33">
        <v>16068</v>
      </c>
      <c r="G22" s="33">
        <v>10111</v>
      </c>
      <c r="H22" s="33">
        <v>46905</v>
      </c>
      <c r="I22" s="33">
        <v>47427</v>
      </c>
    </row>
    <row r="23" spans="3:9" ht="39" thickBot="1" x14ac:dyDescent="0.3">
      <c r="C23" s="39" t="s">
        <v>111</v>
      </c>
      <c r="D23" s="33">
        <v>21256</v>
      </c>
      <c r="E23" s="34">
        <v>0</v>
      </c>
      <c r="F23" s="34">
        <v>0</v>
      </c>
      <c r="G23" s="34">
        <v>0</v>
      </c>
      <c r="H23" s="33">
        <v>18576</v>
      </c>
      <c r="I23" s="33">
        <v>31574</v>
      </c>
    </row>
    <row r="24" spans="3:9" ht="26.25" thickBot="1" x14ac:dyDescent="0.3">
      <c r="C24" s="39" t="s">
        <v>112</v>
      </c>
      <c r="D24" s="34">
        <v>0</v>
      </c>
      <c r="E24" s="34">
        <v>822</v>
      </c>
      <c r="F24" s="34">
        <v>557</v>
      </c>
      <c r="G24" s="34">
        <v>0</v>
      </c>
      <c r="H24" s="34">
        <v>0</v>
      </c>
      <c r="I24" s="34">
        <v>0</v>
      </c>
    </row>
    <row r="25" spans="3:9" ht="15.75" thickBot="1" x14ac:dyDescent="0.3">
      <c r="C25" s="39" t="s">
        <v>22</v>
      </c>
      <c r="D25" s="33">
        <v>551369</v>
      </c>
      <c r="E25" s="33">
        <v>655153</v>
      </c>
      <c r="F25" s="33">
        <v>655545</v>
      </c>
      <c r="G25" s="33">
        <v>852993</v>
      </c>
      <c r="H25" s="33">
        <v>844130</v>
      </c>
      <c r="I25" s="33">
        <v>898067</v>
      </c>
    </row>
    <row r="26" spans="3:9" ht="15.75" thickBot="1" x14ac:dyDescent="0.3">
      <c r="C26" s="40" t="s">
        <v>148</v>
      </c>
      <c r="D26" s="35">
        <v>585049</v>
      </c>
      <c r="E26" s="35">
        <v>671516</v>
      </c>
      <c r="F26" s="35">
        <v>672171</v>
      </c>
      <c r="G26" s="35">
        <v>863104</v>
      </c>
      <c r="H26" s="35">
        <v>909611</v>
      </c>
      <c r="I26" s="35">
        <v>977068</v>
      </c>
    </row>
    <row r="27" spans="3:9" ht="26.25" thickBot="1" x14ac:dyDescent="0.3">
      <c r="C27" s="39" t="s">
        <v>26</v>
      </c>
      <c r="D27" s="33">
        <v>3220</v>
      </c>
      <c r="E27" s="34">
        <v>0</v>
      </c>
      <c r="F27" s="33">
        <v>31421</v>
      </c>
      <c r="G27" s="33">
        <v>53844</v>
      </c>
      <c r="H27" s="33">
        <v>51903</v>
      </c>
      <c r="I27" s="33">
        <v>74740</v>
      </c>
    </row>
    <row r="28" spans="3:9" ht="26.25" thickBot="1" x14ac:dyDescent="0.3">
      <c r="C28" s="39" t="s">
        <v>100</v>
      </c>
      <c r="D28" s="33">
        <v>1160340</v>
      </c>
      <c r="E28" s="33">
        <v>830836</v>
      </c>
      <c r="F28" s="33">
        <v>1006404</v>
      </c>
      <c r="G28" s="33">
        <v>1041625</v>
      </c>
      <c r="H28" s="33">
        <v>1141213</v>
      </c>
      <c r="I28" s="33">
        <v>924009</v>
      </c>
    </row>
    <row r="29" spans="3:9" ht="26.25" thickBot="1" x14ac:dyDescent="0.3">
      <c r="C29" s="39" t="s">
        <v>51</v>
      </c>
      <c r="D29" s="33">
        <v>266363</v>
      </c>
      <c r="E29" s="33">
        <v>46082</v>
      </c>
      <c r="F29" s="33">
        <v>20066</v>
      </c>
      <c r="G29" s="33">
        <v>185583</v>
      </c>
      <c r="H29" s="33">
        <v>85572</v>
      </c>
      <c r="I29" s="33">
        <v>29484</v>
      </c>
    </row>
    <row r="30" spans="3:9" ht="15.75" thickBot="1" x14ac:dyDescent="0.3">
      <c r="C30" s="39" t="s">
        <v>59</v>
      </c>
      <c r="D30" s="34">
        <v>0</v>
      </c>
      <c r="E30" s="33">
        <v>266330</v>
      </c>
      <c r="F30" s="34">
        <v>0</v>
      </c>
      <c r="G30" s="33">
        <v>1295</v>
      </c>
      <c r="H30" s="33">
        <v>1003</v>
      </c>
      <c r="I30" s="34">
        <v>0</v>
      </c>
    </row>
    <row r="31" spans="3:9" ht="39" thickBot="1" x14ac:dyDescent="0.3">
      <c r="C31" s="39" t="s">
        <v>95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</row>
    <row r="32" spans="3:9" ht="26.25" thickBot="1" x14ac:dyDescent="0.3">
      <c r="C32" s="40" t="s">
        <v>149</v>
      </c>
      <c r="D32" s="35">
        <v>1429923</v>
      </c>
      <c r="E32" s="35">
        <v>1143248</v>
      </c>
      <c r="F32" s="35">
        <v>1057891</v>
      </c>
      <c r="G32" s="35">
        <v>1282347</v>
      </c>
      <c r="H32" s="35">
        <v>1279690</v>
      </c>
      <c r="I32" s="35">
        <v>1028233</v>
      </c>
    </row>
    <row r="33" spans="3:9" ht="26.25" thickBot="1" x14ac:dyDescent="0.3">
      <c r="C33" s="39" t="s">
        <v>113</v>
      </c>
      <c r="D33" s="33">
        <v>10740</v>
      </c>
      <c r="E33" s="33">
        <v>11523</v>
      </c>
      <c r="F33" s="33">
        <v>10237</v>
      </c>
      <c r="G33" s="33">
        <v>11496</v>
      </c>
      <c r="H33" s="33">
        <v>18022</v>
      </c>
      <c r="I33" s="33">
        <v>15077</v>
      </c>
    </row>
    <row r="34" spans="3:9" ht="15.75" thickBot="1" x14ac:dyDescent="0.3">
      <c r="C34" s="39" t="s">
        <v>96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</row>
    <row r="35" spans="3:9" ht="39" thickBot="1" x14ac:dyDescent="0.3">
      <c r="C35" s="39" t="s">
        <v>114</v>
      </c>
      <c r="D35" s="33">
        <v>26133</v>
      </c>
      <c r="E35" s="33">
        <v>33687</v>
      </c>
      <c r="F35" s="33">
        <v>27655</v>
      </c>
      <c r="G35" s="33">
        <v>35428</v>
      </c>
      <c r="H35" s="33">
        <v>33963</v>
      </c>
      <c r="I35" s="33">
        <v>33363</v>
      </c>
    </row>
    <row r="36" spans="3:9" ht="26.25" thickBot="1" x14ac:dyDescent="0.3">
      <c r="C36" s="39" t="s">
        <v>115</v>
      </c>
      <c r="D36" s="33">
        <v>43354</v>
      </c>
      <c r="E36" s="33">
        <v>62051</v>
      </c>
      <c r="F36" s="33">
        <v>146766</v>
      </c>
      <c r="G36" s="33">
        <v>199653</v>
      </c>
      <c r="H36" s="33">
        <v>212980</v>
      </c>
      <c r="I36" s="33">
        <v>253107</v>
      </c>
    </row>
    <row r="37" spans="3:9" ht="26.25" thickBot="1" x14ac:dyDescent="0.3">
      <c r="C37" s="41" t="s">
        <v>150</v>
      </c>
      <c r="D37" s="36">
        <v>80227</v>
      </c>
      <c r="E37" s="36">
        <v>107262</v>
      </c>
      <c r="F37" s="36">
        <v>184659</v>
      </c>
      <c r="G37" s="36">
        <v>246577</v>
      </c>
      <c r="H37" s="36">
        <v>264965</v>
      </c>
      <c r="I37" s="36">
        <v>301547</v>
      </c>
    </row>
    <row r="38" spans="3:9" ht="26.25" thickBot="1" x14ac:dyDescent="0.3">
      <c r="C38" s="42" t="s">
        <v>151</v>
      </c>
      <c r="D38" s="37">
        <v>2825912</v>
      </c>
      <c r="E38" s="37">
        <v>2823250</v>
      </c>
      <c r="F38" s="37">
        <v>3180813</v>
      </c>
      <c r="G38" s="37">
        <v>3728142</v>
      </c>
      <c r="H38" s="37">
        <v>3299894</v>
      </c>
      <c r="I38" s="37">
        <v>3364602</v>
      </c>
    </row>
    <row r="39" spans="3:9" ht="15.75" thickBot="1" x14ac:dyDescent="0.3">
      <c r="C39" s="42" t="s">
        <v>152</v>
      </c>
      <c r="D39" s="38">
        <v>0.14699999999999999</v>
      </c>
      <c r="E39" s="38">
        <v>0.1469</v>
      </c>
      <c r="F39" s="38">
        <v>0.16550000000000001</v>
      </c>
      <c r="G39" s="38">
        <v>0.19389999999999999</v>
      </c>
      <c r="H39" s="38">
        <v>0.17169999999999999</v>
      </c>
      <c r="I39" s="38">
        <v>0.17499999999999999</v>
      </c>
    </row>
    <row r="40" spans="3:9" ht="30.75" thickBot="1" x14ac:dyDescent="0.3">
      <c r="C40" s="43" t="s">
        <v>153</v>
      </c>
      <c r="D40" s="44">
        <v>19222613</v>
      </c>
      <c r="E40" s="31"/>
      <c r="F40" s="32"/>
      <c r="G40" s="32"/>
      <c r="H40" s="32"/>
      <c r="I40" s="32"/>
    </row>
    <row r="41" spans="3:9" ht="15.75" thickTop="1" x14ac:dyDescent="0.25"/>
  </sheetData>
  <mergeCells count="2">
    <mergeCell ref="C3:C4"/>
    <mergeCell ref="D3:I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26B5-ABA7-4BE9-A2D5-F11C64C51903}">
  <sheetPr codeName="Planilha9"/>
  <dimension ref="C2:I41"/>
  <sheetViews>
    <sheetView topLeftCell="A13" workbookViewId="0">
      <selection activeCell="I12" sqref="I12"/>
    </sheetView>
  </sheetViews>
  <sheetFormatPr defaultRowHeight="15" x14ac:dyDescent="0.25"/>
  <sheetData>
    <row r="2" spans="3:9" ht="15.75" thickBot="1" x14ac:dyDescent="0.3"/>
    <row r="3" spans="3:9" ht="16.5" thickTop="1" thickBot="1" x14ac:dyDescent="0.3">
      <c r="C3" s="87" t="s">
        <v>145</v>
      </c>
      <c r="D3" s="89" t="s">
        <v>146</v>
      </c>
      <c r="E3" s="90"/>
      <c r="F3" s="90"/>
      <c r="G3" s="90"/>
      <c r="H3" s="90"/>
      <c r="I3" s="91"/>
    </row>
    <row r="4" spans="3:9" ht="15.75" thickBot="1" x14ac:dyDescent="0.3">
      <c r="C4" s="88"/>
      <c r="D4" s="45">
        <v>2020</v>
      </c>
      <c r="E4" s="45">
        <v>2021</v>
      </c>
      <c r="F4" s="45">
        <v>2022</v>
      </c>
      <c r="G4" s="45">
        <v>2023</v>
      </c>
      <c r="H4" s="45">
        <v>2024</v>
      </c>
      <c r="I4" s="45">
        <v>2025</v>
      </c>
    </row>
    <row r="5" spans="3:9" ht="26.25" thickBot="1" x14ac:dyDescent="0.3">
      <c r="C5" s="39" t="s">
        <v>105</v>
      </c>
      <c r="D5" s="33">
        <v>692195</v>
      </c>
      <c r="E5" s="33">
        <v>784442</v>
      </c>
      <c r="F5" s="33">
        <v>1218106</v>
      </c>
      <c r="G5" s="33">
        <v>1201469</v>
      </c>
      <c r="H5" s="33">
        <v>520920</v>
      </c>
      <c r="I5" s="33">
        <v>764541</v>
      </c>
    </row>
    <row r="6" spans="3:9" ht="39" thickBot="1" x14ac:dyDescent="0.3">
      <c r="C6" s="39" t="s">
        <v>106</v>
      </c>
      <c r="D6" s="34">
        <v>0</v>
      </c>
      <c r="E6" s="34">
        <v>0</v>
      </c>
      <c r="F6" s="34">
        <v>0</v>
      </c>
      <c r="G6" s="33">
        <v>2999</v>
      </c>
      <c r="H6" s="34">
        <v>0</v>
      </c>
      <c r="I6" s="34">
        <v>0</v>
      </c>
    </row>
    <row r="7" spans="3:9" ht="26.25" thickBot="1" x14ac:dyDescent="0.3">
      <c r="C7" s="39" t="s">
        <v>35</v>
      </c>
      <c r="D7" s="33">
        <v>1994</v>
      </c>
      <c r="E7" s="33">
        <v>15996</v>
      </c>
      <c r="F7" s="34">
        <v>0</v>
      </c>
      <c r="G7" s="34">
        <v>0</v>
      </c>
      <c r="H7" s="34">
        <v>0</v>
      </c>
      <c r="I7" s="34">
        <v>0</v>
      </c>
    </row>
    <row r="8" spans="3:9" ht="26.25" thickBot="1" x14ac:dyDescent="0.3">
      <c r="C8" s="39" t="s">
        <v>107</v>
      </c>
      <c r="D8" s="33">
        <v>2008</v>
      </c>
      <c r="E8" s="33">
        <v>6002</v>
      </c>
      <c r="F8" s="33">
        <v>14804</v>
      </c>
      <c r="G8" s="33">
        <v>23590</v>
      </c>
      <c r="H8" s="33">
        <v>37836</v>
      </c>
      <c r="I8" s="33">
        <v>70009</v>
      </c>
    </row>
    <row r="9" spans="3:9" ht="26.25" thickBot="1" x14ac:dyDescent="0.3">
      <c r="C9" s="39" t="s">
        <v>98</v>
      </c>
      <c r="D9" s="34">
        <v>0</v>
      </c>
      <c r="E9" s="34">
        <v>0</v>
      </c>
      <c r="F9" s="33">
        <v>1502</v>
      </c>
      <c r="G9" s="34">
        <v>0</v>
      </c>
      <c r="H9" s="34">
        <v>0</v>
      </c>
      <c r="I9" s="34">
        <v>0</v>
      </c>
    </row>
    <row r="10" spans="3:9" ht="26.25" thickBot="1" x14ac:dyDescent="0.3">
      <c r="C10" s="39" t="s">
        <v>108</v>
      </c>
      <c r="D10" s="33">
        <v>13704</v>
      </c>
      <c r="E10" s="33">
        <v>97496</v>
      </c>
      <c r="F10" s="33">
        <v>92583</v>
      </c>
      <c r="G10" s="33">
        <v>94233</v>
      </c>
      <c r="H10" s="33">
        <v>137262</v>
      </c>
      <c r="I10" s="33">
        <v>115987</v>
      </c>
    </row>
    <row r="11" spans="3:9" ht="51.75" thickBot="1" x14ac:dyDescent="0.3">
      <c r="C11" s="39" t="s">
        <v>109</v>
      </c>
      <c r="D11" s="34">
        <v>0</v>
      </c>
      <c r="E11" s="33">
        <v>1497</v>
      </c>
      <c r="F11" s="33">
        <v>4989</v>
      </c>
      <c r="G11" s="34">
        <v>497</v>
      </c>
      <c r="H11" s="33">
        <v>4979</v>
      </c>
      <c r="I11" s="33">
        <v>8988</v>
      </c>
    </row>
    <row r="12" spans="3:9" ht="26.25" thickBot="1" x14ac:dyDescent="0.3">
      <c r="C12" s="39" t="s">
        <v>58</v>
      </c>
      <c r="D12" s="33">
        <v>26405</v>
      </c>
      <c r="E12" s="33">
        <v>51583</v>
      </c>
      <c r="F12" s="33">
        <v>78089</v>
      </c>
      <c r="G12" s="33">
        <v>100750</v>
      </c>
      <c r="H12" s="33">
        <v>84550</v>
      </c>
      <c r="I12" s="33">
        <v>86035</v>
      </c>
    </row>
    <row r="13" spans="3:9" ht="51.75" thickBot="1" x14ac:dyDescent="0.3">
      <c r="C13" s="39" t="s">
        <v>86</v>
      </c>
      <c r="D13" s="33">
        <v>1919</v>
      </c>
      <c r="E13" s="33">
        <v>19289</v>
      </c>
      <c r="F13" s="33">
        <v>19491</v>
      </c>
      <c r="G13" s="33">
        <v>27483</v>
      </c>
      <c r="H13" s="33">
        <v>34824</v>
      </c>
      <c r="I13" s="33">
        <v>34068</v>
      </c>
    </row>
    <row r="14" spans="3:9" ht="26.25" thickBot="1" x14ac:dyDescent="0.3">
      <c r="C14" s="39" t="s">
        <v>49</v>
      </c>
      <c r="D14" s="33">
        <v>12891</v>
      </c>
      <c r="E14" s="33">
        <v>1859</v>
      </c>
      <c r="F14" s="33">
        <v>5104</v>
      </c>
      <c r="G14" s="34">
        <v>0</v>
      </c>
      <c r="H14" s="34">
        <v>0</v>
      </c>
      <c r="I14" s="34">
        <v>0</v>
      </c>
    </row>
    <row r="15" spans="3:9" ht="15.75" thickBot="1" x14ac:dyDescent="0.3">
      <c r="C15" s="40" t="s">
        <v>147</v>
      </c>
      <c r="D15" s="35">
        <v>751118</v>
      </c>
      <c r="E15" s="35">
        <v>978166</v>
      </c>
      <c r="F15" s="35">
        <v>1434667</v>
      </c>
      <c r="G15" s="35">
        <v>1451021</v>
      </c>
      <c r="H15" s="35">
        <v>820371</v>
      </c>
      <c r="I15" s="35">
        <v>1079628</v>
      </c>
    </row>
    <row r="16" spans="3:9" ht="26.25" thickBot="1" x14ac:dyDescent="0.3">
      <c r="C16" s="39" t="s">
        <v>30</v>
      </c>
      <c r="D16" s="34">
        <v>0</v>
      </c>
      <c r="E16" s="34">
        <v>0</v>
      </c>
      <c r="F16" s="33">
        <v>3674</v>
      </c>
      <c r="G16" s="33">
        <v>2590</v>
      </c>
      <c r="H16" s="33">
        <v>1830</v>
      </c>
      <c r="I16" s="34">
        <v>0</v>
      </c>
    </row>
    <row r="17" spans="3:9" ht="26.25" thickBot="1" x14ac:dyDescent="0.3">
      <c r="C17" s="39" t="s">
        <v>84</v>
      </c>
      <c r="D17" s="33">
        <v>4995</v>
      </c>
      <c r="E17" s="33">
        <v>3009</v>
      </c>
      <c r="F17" s="34">
        <v>0</v>
      </c>
      <c r="G17" s="33">
        <v>10312</v>
      </c>
      <c r="H17" s="33">
        <v>72452</v>
      </c>
      <c r="I17" s="33">
        <v>48709</v>
      </c>
    </row>
    <row r="18" spans="3:9" ht="39" thickBot="1" x14ac:dyDescent="0.3">
      <c r="C18" s="39" t="s">
        <v>40</v>
      </c>
      <c r="D18" s="33">
        <v>5689</v>
      </c>
      <c r="E18" s="33">
        <v>6362</v>
      </c>
      <c r="F18" s="34">
        <v>0</v>
      </c>
      <c r="G18" s="34">
        <v>0</v>
      </c>
      <c r="H18" s="34">
        <v>0</v>
      </c>
      <c r="I18" s="34">
        <v>0</v>
      </c>
    </row>
    <row r="19" spans="3:9" ht="26.25" thickBot="1" x14ac:dyDescent="0.3">
      <c r="C19" s="39" t="s">
        <v>90</v>
      </c>
      <c r="D19" s="34">
        <v>0</v>
      </c>
      <c r="E19" s="34">
        <v>0</v>
      </c>
      <c r="F19" s="34">
        <v>0</v>
      </c>
      <c r="G19" s="34">
        <v>0</v>
      </c>
      <c r="H19" s="33">
        <v>7881</v>
      </c>
      <c r="I19" s="34">
        <v>0</v>
      </c>
    </row>
    <row r="20" spans="3:9" ht="26.25" thickBot="1" x14ac:dyDescent="0.3">
      <c r="C20" s="39" t="s">
        <v>91</v>
      </c>
      <c r="D20" s="34">
        <v>0</v>
      </c>
      <c r="E20" s="34">
        <v>0</v>
      </c>
      <c r="F20" s="34">
        <v>0</v>
      </c>
      <c r="G20" s="34">
        <v>0</v>
      </c>
      <c r="H20" s="33">
        <v>4215</v>
      </c>
      <c r="I20" s="34">
        <v>0</v>
      </c>
    </row>
    <row r="21" spans="3:9" ht="15.75" thickBot="1" x14ac:dyDescent="0.3">
      <c r="C21" s="40" t="s">
        <v>74</v>
      </c>
      <c r="D21" s="35">
        <v>10683</v>
      </c>
      <c r="E21" s="35">
        <v>9371</v>
      </c>
      <c r="F21" s="35">
        <v>3674</v>
      </c>
      <c r="G21" s="35">
        <v>12902</v>
      </c>
      <c r="H21" s="35">
        <v>86378</v>
      </c>
      <c r="I21" s="35">
        <v>48709</v>
      </c>
    </row>
    <row r="22" spans="3:9" ht="51.75" thickBot="1" x14ac:dyDescent="0.3">
      <c r="C22" s="39" t="s">
        <v>110</v>
      </c>
      <c r="D22" s="33">
        <v>21292</v>
      </c>
      <c r="E22" s="33">
        <v>19595</v>
      </c>
      <c r="F22" s="33">
        <v>16068</v>
      </c>
      <c r="G22" s="33">
        <v>10111</v>
      </c>
      <c r="H22" s="33">
        <v>46905</v>
      </c>
      <c r="I22" s="33">
        <v>54476</v>
      </c>
    </row>
    <row r="23" spans="3:9" ht="39" thickBot="1" x14ac:dyDescent="0.3">
      <c r="C23" s="39" t="s">
        <v>111</v>
      </c>
      <c r="D23" s="33">
        <v>21256</v>
      </c>
      <c r="E23" s="33">
        <v>7906</v>
      </c>
      <c r="F23" s="34">
        <v>0</v>
      </c>
      <c r="G23" s="34">
        <v>0</v>
      </c>
      <c r="H23" s="33">
        <v>18576</v>
      </c>
      <c r="I23" s="33">
        <v>31574</v>
      </c>
    </row>
    <row r="24" spans="3:9" ht="26.25" thickBot="1" x14ac:dyDescent="0.3">
      <c r="C24" s="39" t="s">
        <v>112</v>
      </c>
      <c r="D24" s="34">
        <v>0</v>
      </c>
      <c r="E24" s="34">
        <v>822</v>
      </c>
      <c r="F24" s="34">
        <v>557</v>
      </c>
      <c r="G24" s="34">
        <v>0</v>
      </c>
      <c r="H24" s="34">
        <v>0</v>
      </c>
      <c r="I24" s="34">
        <v>0</v>
      </c>
    </row>
    <row r="25" spans="3:9" ht="15.75" thickBot="1" x14ac:dyDescent="0.3">
      <c r="C25" s="39" t="s">
        <v>22</v>
      </c>
      <c r="D25" s="33">
        <v>654503</v>
      </c>
      <c r="E25" s="33">
        <v>756958</v>
      </c>
      <c r="F25" s="33">
        <v>761883</v>
      </c>
      <c r="G25" s="33">
        <v>978240</v>
      </c>
      <c r="H25" s="33">
        <v>1011296</v>
      </c>
      <c r="I25" s="33">
        <v>989883</v>
      </c>
    </row>
    <row r="26" spans="3:9" ht="15.75" thickBot="1" x14ac:dyDescent="0.3">
      <c r="C26" s="40" t="s">
        <v>148</v>
      </c>
      <c r="D26" s="35">
        <v>697051</v>
      </c>
      <c r="E26" s="35">
        <v>785280</v>
      </c>
      <c r="F26" s="35">
        <v>778508</v>
      </c>
      <c r="G26" s="35">
        <v>988351</v>
      </c>
      <c r="H26" s="35">
        <v>1076778</v>
      </c>
      <c r="I26" s="35">
        <v>1075933</v>
      </c>
    </row>
    <row r="27" spans="3:9" ht="26.25" thickBot="1" x14ac:dyDescent="0.3">
      <c r="C27" s="39" t="s">
        <v>26</v>
      </c>
      <c r="D27" s="33">
        <v>3220</v>
      </c>
      <c r="E27" s="34">
        <v>0</v>
      </c>
      <c r="F27" s="33">
        <v>40643</v>
      </c>
      <c r="G27" s="33">
        <v>61894</v>
      </c>
      <c r="H27" s="33">
        <v>55757</v>
      </c>
      <c r="I27" s="33">
        <v>74740</v>
      </c>
    </row>
    <row r="28" spans="3:9" ht="26.25" thickBot="1" x14ac:dyDescent="0.3">
      <c r="C28" s="39" t="s">
        <v>100</v>
      </c>
      <c r="D28" s="33">
        <v>1372501</v>
      </c>
      <c r="E28" s="33">
        <v>988945</v>
      </c>
      <c r="F28" s="33">
        <v>1162586</v>
      </c>
      <c r="G28" s="33">
        <v>1147286</v>
      </c>
      <c r="H28" s="33">
        <v>1272394</v>
      </c>
      <c r="I28" s="33">
        <v>1041096</v>
      </c>
    </row>
    <row r="29" spans="3:9" ht="26.25" thickBot="1" x14ac:dyDescent="0.3">
      <c r="C29" s="39" t="s">
        <v>51</v>
      </c>
      <c r="D29" s="33">
        <v>307051</v>
      </c>
      <c r="E29" s="33">
        <v>59326</v>
      </c>
      <c r="F29" s="33">
        <v>90066</v>
      </c>
      <c r="G29" s="33">
        <v>208196</v>
      </c>
      <c r="H29" s="33">
        <v>85572</v>
      </c>
      <c r="I29" s="33">
        <v>55648</v>
      </c>
    </row>
    <row r="30" spans="3:9" ht="15.75" thickBot="1" x14ac:dyDescent="0.3">
      <c r="C30" s="39" t="s">
        <v>59</v>
      </c>
      <c r="D30" s="33">
        <v>13376</v>
      </c>
      <c r="E30" s="33">
        <v>266330</v>
      </c>
      <c r="F30" s="34">
        <v>0</v>
      </c>
      <c r="G30" s="33">
        <v>1295</v>
      </c>
      <c r="H30" s="33">
        <v>1003</v>
      </c>
      <c r="I30" s="34">
        <v>0</v>
      </c>
    </row>
    <row r="31" spans="3:9" ht="39" thickBot="1" x14ac:dyDescent="0.3">
      <c r="C31" s="39" t="s">
        <v>95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</row>
    <row r="32" spans="3:9" ht="26.25" thickBot="1" x14ac:dyDescent="0.3">
      <c r="C32" s="40" t="s">
        <v>149</v>
      </c>
      <c r="D32" s="35">
        <v>1696148</v>
      </c>
      <c r="E32" s="35">
        <v>1314601</v>
      </c>
      <c r="F32" s="35">
        <v>1293294</v>
      </c>
      <c r="G32" s="35">
        <v>1418671</v>
      </c>
      <c r="H32" s="35">
        <v>1414725</v>
      </c>
      <c r="I32" s="35">
        <v>1171483</v>
      </c>
    </row>
    <row r="33" spans="3:9" ht="26.25" thickBot="1" x14ac:dyDescent="0.3">
      <c r="C33" s="39" t="s">
        <v>113</v>
      </c>
      <c r="D33" s="33">
        <v>12141</v>
      </c>
      <c r="E33" s="33">
        <v>13302</v>
      </c>
      <c r="F33" s="33">
        <v>10962</v>
      </c>
      <c r="G33" s="33">
        <v>14940</v>
      </c>
      <c r="H33" s="33">
        <v>19744</v>
      </c>
      <c r="I33" s="33">
        <v>17376</v>
      </c>
    </row>
    <row r="34" spans="3:9" ht="15.75" thickBot="1" x14ac:dyDescent="0.3">
      <c r="C34" s="39" t="s">
        <v>96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</row>
    <row r="35" spans="3:9" ht="39" thickBot="1" x14ac:dyDescent="0.3">
      <c r="C35" s="39" t="s">
        <v>114</v>
      </c>
      <c r="D35" s="33">
        <v>34378</v>
      </c>
      <c r="E35" s="33">
        <v>39463</v>
      </c>
      <c r="F35" s="33">
        <v>33670</v>
      </c>
      <c r="G35" s="33">
        <v>41934</v>
      </c>
      <c r="H35" s="33">
        <v>41182</v>
      </c>
      <c r="I35" s="33">
        <v>39145</v>
      </c>
    </row>
    <row r="36" spans="3:9" ht="26.25" thickBot="1" x14ac:dyDescent="0.3">
      <c r="C36" s="39" t="s">
        <v>115</v>
      </c>
      <c r="D36" s="33">
        <v>51011</v>
      </c>
      <c r="E36" s="33">
        <v>75983</v>
      </c>
      <c r="F36" s="33">
        <v>179592</v>
      </c>
      <c r="G36" s="33">
        <v>209578</v>
      </c>
      <c r="H36" s="33">
        <v>249729</v>
      </c>
      <c r="I36" s="33">
        <v>280665</v>
      </c>
    </row>
    <row r="37" spans="3:9" ht="26.25" thickBot="1" x14ac:dyDescent="0.3">
      <c r="C37" s="41" t="s">
        <v>150</v>
      </c>
      <c r="D37" s="36">
        <v>97530</v>
      </c>
      <c r="E37" s="36">
        <v>128748</v>
      </c>
      <c r="F37" s="36">
        <v>224224</v>
      </c>
      <c r="G37" s="36">
        <v>266452</v>
      </c>
      <c r="H37" s="36">
        <v>310654</v>
      </c>
      <c r="I37" s="36">
        <v>337187</v>
      </c>
    </row>
    <row r="38" spans="3:9" ht="26.25" thickBot="1" x14ac:dyDescent="0.3">
      <c r="C38" s="42" t="s">
        <v>151</v>
      </c>
      <c r="D38" s="47">
        <v>3252530</v>
      </c>
      <c r="E38" s="47">
        <v>3216166</v>
      </c>
      <c r="F38" s="47">
        <v>3734367</v>
      </c>
      <c r="G38" s="47">
        <v>4137397</v>
      </c>
      <c r="H38" s="47">
        <v>3708906</v>
      </c>
      <c r="I38" s="47">
        <v>3712941</v>
      </c>
    </row>
    <row r="39" spans="3:9" ht="15.75" thickBot="1" x14ac:dyDescent="0.3">
      <c r="C39" s="42" t="s">
        <v>152</v>
      </c>
      <c r="D39" s="46">
        <v>0.14949999999999999</v>
      </c>
      <c r="E39" s="46">
        <v>0.14779999999999999</v>
      </c>
      <c r="F39" s="46">
        <v>0.1716</v>
      </c>
      <c r="G39" s="46">
        <v>0.19009999999999999</v>
      </c>
      <c r="H39" s="46">
        <v>0.1704</v>
      </c>
      <c r="I39" s="46">
        <v>0.1706</v>
      </c>
    </row>
    <row r="40" spans="3:9" ht="27.75" thickBot="1" x14ac:dyDescent="0.3">
      <c r="C40" s="48" t="s">
        <v>153</v>
      </c>
      <c r="D40" s="49">
        <v>21762307</v>
      </c>
      <c r="E40" s="31"/>
      <c r="F40" s="32"/>
      <c r="G40" s="32"/>
      <c r="H40" s="32"/>
      <c r="I40" s="32"/>
    </row>
    <row r="41" spans="3:9" ht="15.75" thickTop="1" x14ac:dyDescent="0.25"/>
  </sheetData>
  <mergeCells count="2">
    <mergeCell ref="C3:C4"/>
    <mergeCell ref="D3:I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B4F6-0E86-4C31-8C3A-D1C8DFD41FF4}">
  <sheetPr codeName="Planilha10"/>
  <dimension ref="C2:I32"/>
  <sheetViews>
    <sheetView topLeftCell="A2" workbookViewId="0">
      <selection activeCell="I5" sqref="I5:I32"/>
    </sheetView>
  </sheetViews>
  <sheetFormatPr defaultRowHeight="15" x14ac:dyDescent="0.25"/>
  <sheetData>
    <row r="2" spans="3:9" ht="15.75" thickBot="1" x14ac:dyDescent="0.3"/>
    <row r="3" spans="3:9" ht="16.5" thickTop="1" thickBot="1" x14ac:dyDescent="0.3">
      <c r="C3" s="87" t="s">
        <v>145</v>
      </c>
      <c r="D3" s="89" t="s">
        <v>146</v>
      </c>
      <c r="E3" s="90"/>
      <c r="F3" s="90"/>
      <c r="G3" s="90"/>
      <c r="H3" s="90"/>
      <c r="I3" s="91"/>
    </row>
    <row r="4" spans="3:9" ht="15.75" thickBot="1" x14ac:dyDescent="0.3">
      <c r="C4" s="88"/>
      <c r="D4" s="45">
        <v>2020</v>
      </c>
      <c r="E4" s="45">
        <v>2021</v>
      </c>
      <c r="F4" s="45">
        <v>2022</v>
      </c>
      <c r="G4" s="45">
        <v>2023</v>
      </c>
      <c r="H4" s="45">
        <v>2024</v>
      </c>
      <c r="I4" s="45">
        <v>2025</v>
      </c>
    </row>
    <row r="5" spans="3:9" ht="26.25" thickBot="1" x14ac:dyDescent="0.3">
      <c r="C5" s="39" t="s">
        <v>105</v>
      </c>
      <c r="D5" s="33">
        <v>22510</v>
      </c>
      <c r="E5" s="33">
        <v>78345</v>
      </c>
      <c r="F5" s="33">
        <v>134381</v>
      </c>
      <c r="G5" s="33">
        <v>94449</v>
      </c>
      <c r="H5" s="33">
        <v>41082</v>
      </c>
      <c r="I5" s="33">
        <v>47000</v>
      </c>
    </row>
    <row r="6" spans="3:9" ht="39" thickBot="1" x14ac:dyDescent="0.3">
      <c r="C6" s="39" t="s">
        <v>106</v>
      </c>
      <c r="D6" s="34">
        <v>0</v>
      </c>
      <c r="E6" s="34">
        <v>0</v>
      </c>
      <c r="F6" s="34">
        <v>0</v>
      </c>
      <c r="G6" s="33">
        <v>0</v>
      </c>
      <c r="H6" s="34">
        <v>0</v>
      </c>
      <c r="I6" s="34">
        <v>0</v>
      </c>
    </row>
    <row r="7" spans="3:9" ht="26.25" thickBot="1" x14ac:dyDescent="0.3">
      <c r="C7" s="39" t="s">
        <v>35</v>
      </c>
      <c r="D7" s="33">
        <v>1994</v>
      </c>
      <c r="E7" s="33">
        <v>1990</v>
      </c>
      <c r="F7" s="34">
        <v>0</v>
      </c>
      <c r="G7" s="34">
        <v>0</v>
      </c>
      <c r="H7" s="34">
        <v>0</v>
      </c>
      <c r="I7" s="34">
        <v>0</v>
      </c>
    </row>
    <row r="8" spans="3:9" ht="26.25" thickBot="1" x14ac:dyDescent="0.3">
      <c r="C8" s="39" t="s">
        <v>107</v>
      </c>
      <c r="D8" s="33">
        <v>0</v>
      </c>
      <c r="E8" s="33">
        <v>0</v>
      </c>
      <c r="F8" s="33">
        <v>0</v>
      </c>
      <c r="G8" s="33">
        <v>4531</v>
      </c>
      <c r="H8" s="33">
        <v>4000</v>
      </c>
      <c r="I8" s="33">
        <v>11427</v>
      </c>
    </row>
    <row r="9" spans="3:9" ht="26.25" thickBot="1" x14ac:dyDescent="0.3">
      <c r="C9" s="39" t="s">
        <v>98</v>
      </c>
      <c r="D9" s="34">
        <v>0</v>
      </c>
      <c r="E9" s="34">
        <v>0</v>
      </c>
      <c r="F9" s="33">
        <v>0</v>
      </c>
      <c r="G9" s="34">
        <v>0</v>
      </c>
      <c r="H9" s="34">
        <v>0</v>
      </c>
      <c r="I9" s="34">
        <v>0</v>
      </c>
    </row>
    <row r="10" spans="3:9" ht="26.25" thickBot="1" x14ac:dyDescent="0.3">
      <c r="C10" s="39" t="s">
        <v>108</v>
      </c>
      <c r="D10" s="33">
        <v>0</v>
      </c>
      <c r="E10" s="33">
        <v>3993</v>
      </c>
      <c r="F10" s="33">
        <v>17518</v>
      </c>
      <c r="G10" s="33">
        <v>5176</v>
      </c>
      <c r="H10" s="33">
        <v>7115</v>
      </c>
      <c r="I10" s="33">
        <v>3092</v>
      </c>
    </row>
    <row r="11" spans="3:9" ht="51.75" thickBot="1" x14ac:dyDescent="0.3">
      <c r="C11" s="39" t="s">
        <v>109</v>
      </c>
      <c r="D11" s="34">
        <v>0</v>
      </c>
      <c r="E11" s="33">
        <v>0</v>
      </c>
      <c r="F11" s="33">
        <v>498</v>
      </c>
      <c r="G11" s="34">
        <v>0</v>
      </c>
      <c r="H11" s="33">
        <v>0</v>
      </c>
      <c r="I11" s="33">
        <v>1496</v>
      </c>
    </row>
    <row r="12" spans="3:9" ht="26.25" thickBot="1" x14ac:dyDescent="0.3">
      <c r="C12" s="39" t="s">
        <v>58</v>
      </c>
      <c r="D12" s="33">
        <v>0</v>
      </c>
      <c r="E12" s="33">
        <v>1983</v>
      </c>
      <c r="F12" s="33">
        <v>15603</v>
      </c>
      <c r="G12" s="33">
        <v>12037</v>
      </c>
      <c r="H12" s="33">
        <v>4243</v>
      </c>
      <c r="I12" s="33">
        <v>5494</v>
      </c>
    </row>
    <row r="13" spans="3:9" ht="51.75" thickBot="1" x14ac:dyDescent="0.3">
      <c r="C13" s="39" t="s">
        <v>86</v>
      </c>
      <c r="D13" s="33">
        <v>0</v>
      </c>
      <c r="E13" s="33">
        <v>0</v>
      </c>
      <c r="F13" s="33">
        <v>2765</v>
      </c>
      <c r="G13" s="33">
        <v>1304</v>
      </c>
      <c r="H13" s="33">
        <v>647</v>
      </c>
      <c r="I13" s="33">
        <v>2074</v>
      </c>
    </row>
    <row r="14" spans="3:9" ht="26.25" thickBot="1" x14ac:dyDescent="0.3">
      <c r="C14" s="39" t="s">
        <v>49</v>
      </c>
      <c r="D14" s="33">
        <v>1589</v>
      </c>
      <c r="E14" s="33">
        <v>0</v>
      </c>
      <c r="F14" s="33">
        <v>0</v>
      </c>
      <c r="G14" s="34">
        <v>0</v>
      </c>
      <c r="H14" s="34">
        <v>0</v>
      </c>
      <c r="I14" s="34">
        <v>0</v>
      </c>
    </row>
    <row r="15" spans="3:9" ht="26.25" thickBot="1" x14ac:dyDescent="0.3">
      <c r="C15" s="39" t="s">
        <v>30</v>
      </c>
      <c r="D15" s="34">
        <v>0</v>
      </c>
      <c r="E15" s="34">
        <v>0</v>
      </c>
      <c r="F15" s="33">
        <v>1483</v>
      </c>
      <c r="G15" s="33">
        <v>0</v>
      </c>
      <c r="H15" s="33">
        <v>0</v>
      </c>
      <c r="I15" s="34">
        <v>0</v>
      </c>
    </row>
    <row r="16" spans="3:9" ht="26.25" thickBot="1" x14ac:dyDescent="0.3">
      <c r="C16" s="39" t="s">
        <v>84</v>
      </c>
      <c r="D16" s="33">
        <v>4995</v>
      </c>
      <c r="E16" s="33">
        <v>0</v>
      </c>
      <c r="F16" s="34">
        <v>0</v>
      </c>
      <c r="G16" s="33">
        <v>10312</v>
      </c>
      <c r="H16" s="33">
        <v>4035</v>
      </c>
      <c r="I16" s="33">
        <v>0</v>
      </c>
    </row>
    <row r="17" spans="3:9" ht="39" thickBot="1" x14ac:dyDescent="0.3">
      <c r="C17" s="39" t="s">
        <v>40</v>
      </c>
      <c r="D17" s="33">
        <v>0</v>
      </c>
      <c r="E17" s="33">
        <v>0</v>
      </c>
      <c r="F17" s="34">
        <v>0</v>
      </c>
      <c r="G17" s="34">
        <v>0</v>
      </c>
      <c r="H17" s="34">
        <v>0</v>
      </c>
      <c r="I17" s="34">
        <v>0</v>
      </c>
    </row>
    <row r="18" spans="3:9" ht="26.25" thickBot="1" x14ac:dyDescent="0.3">
      <c r="C18" s="39" t="s">
        <v>90</v>
      </c>
      <c r="D18" s="34">
        <v>0</v>
      </c>
      <c r="E18" s="34">
        <v>0</v>
      </c>
      <c r="F18" s="34">
        <v>0</v>
      </c>
      <c r="G18" s="34">
        <v>0</v>
      </c>
      <c r="H18" s="33">
        <v>0</v>
      </c>
      <c r="I18" s="34">
        <v>0</v>
      </c>
    </row>
    <row r="19" spans="3:9" ht="26.25" thickBot="1" x14ac:dyDescent="0.3">
      <c r="C19" s="39" t="s">
        <v>91</v>
      </c>
      <c r="D19" s="34">
        <v>0</v>
      </c>
      <c r="E19" s="34">
        <v>0</v>
      </c>
      <c r="F19" s="34">
        <v>0</v>
      </c>
      <c r="G19" s="34">
        <v>0</v>
      </c>
      <c r="H19" s="33">
        <v>0</v>
      </c>
      <c r="I19" s="34">
        <v>0</v>
      </c>
    </row>
    <row r="20" spans="3:9" ht="51.75" thickBot="1" x14ac:dyDescent="0.3">
      <c r="C20" s="39" t="s">
        <v>110</v>
      </c>
      <c r="D20" s="33">
        <v>8868</v>
      </c>
      <c r="E20" s="33">
        <v>4054</v>
      </c>
      <c r="F20" s="33">
        <v>0</v>
      </c>
      <c r="G20" s="33">
        <v>0</v>
      </c>
      <c r="H20" s="33">
        <v>0</v>
      </c>
      <c r="I20" s="33">
        <v>7049</v>
      </c>
    </row>
    <row r="21" spans="3:9" ht="39" thickBot="1" x14ac:dyDescent="0.3">
      <c r="C21" s="39" t="s">
        <v>111</v>
      </c>
      <c r="D21" s="33">
        <v>0</v>
      </c>
      <c r="E21" s="33">
        <v>7906</v>
      </c>
      <c r="F21" s="34">
        <v>0</v>
      </c>
      <c r="G21" s="34">
        <v>0</v>
      </c>
      <c r="H21" s="33">
        <v>0</v>
      </c>
      <c r="I21" s="33">
        <v>0</v>
      </c>
    </row>
    <row r="22" spans="3:9" ht="26.25" thickBot="1" x14ac:dyDescent="0.3">
      <c r="C22" s="39" t="s">
        <v>112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</row>
    <row r="23" spans="3:9" ht="15.75" thickBot="1" x14ac:dyDescent="0.3">
      <c r="C23" s="39" t="s">
        <v>22</v>
      </c>
      <c r="D23" s="33">
        <v>103134</v>
      </c>
      <c r="E23" s="33">
        <v>101805</v>
      </c>
      <c r="F23" s="33">
        <v>106338</v>
      </c>
      <c r="G23" s="33">
        <v>125247</v>
      </c>
      <c r="H23" s="33">
        <v>167166</v>
      </c>
      <c r="I23" s="33">
        <v>91816</v>
      </c>
    </row>
    <row r="24" spans="3:9" ht="26.25" thickBot="1" x14ac:dyDescent="0.3">
      <c r="C24" s="39" t="s">
        <v>26</v>
      </c>
      <c r="D24" s="33">
        <v>0</v>
      </c>
      <c r="E24" s="34">
        <v>0</v>
      </c>
      <c r="F24" s="33">
        <v>9222</v>
      </c>
      <c r="G24" s="33">
        <v>8050</v>
      </c>
      <c r="H24" s="33">
        <v>3854</v>
      </c>
      <c r="I24" s="33">
        <v>0</v>
      </c>
    </row>
    <row r="25" spans="3:9" ht="26.25" thickBot="1" x14ac:dyDescent="0.3">
      <c r="C25" s="39" t="s">
        <v>100</v>
      </c>
      <c r="D25" s="33">
        <v>212161</v>
      </c>
      <c r="E25" s="33">
        <v>158109</v>
      </c>
      <c r="F25" s="33">
        <v>156182</v>
      </c>
      <c r="G25" s="33">
        <v>105661</v>
      </c>
      <c r="H25" s="33">
        <v>131181</v>
      </c>
      <c r="I25" s="33">
        <v>117087</v>
      </c>
    </row>
    <row r="26" spans="3:9" ht="26.25" thickBot="1" x14ac:dyDescent="0.3">
      <c r="C26" s="39" t="s">
        <v>51</v>
      </c>
      <c r="D26" s="33">
        <v>40688</v>
      </c>
      <c r="E26" s="33">
        <v>13244</v>
      </c>
      <c r="F26" s="33">
        <v>70000</v>
      </c>
      <c r="G26" s="33">
        <v>22613</v>
      </c>
      <c r="H26" s="33">
        <v>0</v>
      </c>
      <c r="I26" s="33">
        <v>26164</v>
      </c>
    </row>
    <row r="27" spans="3:9" ht="15.75" thickBot="1" x14ac:dyDescent="0.3">
      <c r="C27" s="39" t="s">
        <v>59</v>
      </c>
      <c r="D27" s="33">
        <v>13376</v>
      </c>
      <c r="E27" s="33">
        <v>0</v>
      </c>
      <c r="F27" s="34">
        <v>0</v>
      </c>
      <c r="G27" s="33">
        <v>0</v>
      </c>
      <c r="H27" s="33">
        <v>0</v>
      </c>
      <c r="I27" s="34">
        <v>0</v>
      </c>
    </row>
    <row r="28" spans="3:9" ht="39" thickBot="1" x14ac:dyDescent="0.3">
      <c r="C28" s="39" t="s">
        <v>95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</row>
    <row r="29" spans="3:9" ht="26.25" thickBot="1" x14ac:dyDescent="0.3">
      <c r="C29" s="39" t="s">
        <v>113</v>
      </c>
      <c r="D29" s="33">
        <v>1401</v>
      </c>
      <c r="E29" s="33">
        <v>1779</v>
      </c>
      <c r="F29" s="33">
        <v>725</v>
      </c>
      <c r="G29" s="33">
        <v>3444</v>
      </c>
      <c r="H29" s="33">
        <v>1722</v>
      </c>
      <c r="I29" s="33">
        <v>2299</v>
      </c>
    </row>
    <row r="30" spans="3:9" ht="15.75" thickBot="1" x14ac:dyDescent="0.3">
      <c r="C30" s="39" t="s">
        <v>96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</row>
    <row r="31" spans="3:9" ht="39" thickBot="1" x14ac:dyDescent="0.3">
      <c r="C31" s="39" t="s">
        <v>114</v>
      </c>
      <c r="D31" s="33">
        <v>8245</v>
      </c>
      <c r="E31" s="33">
        <v>5776</v>
      </c>
      <c r="F31" s="33">
        <v>6015</v>
      </c>
      <c r="G31" s="33">
        <v>6506</v>
      </c>
      <c r="H31" s="33">
        <v>7219</v>
      </c>
      <c r="I31" s="33">
        <v>5782</v>
      </c>
    </row>
    <row r="32" spans="3:9" ht="26.25" thickBot="1" x14ac:dyDescent="0.3">
      <c r="C32" s="39" t="s">
        <v>115</v>
      </c>
      <c r="D32" s="33">
        <v>7657</v>
      </c>
      <c r="E32" s="33">
        <v>13932</v>
      </c>
      <c r="F32" s="33">
        <v>32826</v>
      </c>
      <c r="G32" s="33">
        <v>9925</v>
      </c>
      <c r="H32" s="33">
        <v>36749</v>
      </c>
      <c r="I32" s="33">
        <v>27558</v>
      </c>
    </row>
  </sheetData>
  <mergeCells count="2">
    <mergeCell ref="C3:C4"/>
    <mergeCell ref="D3:I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1E30A1-F7F6-451F-883D-13E760B8C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</vt:i4>
      </vt:variant>
    </vt:vector>
  </HeadingPairs>
  <TitlesOfParts>
    <vt:vector size="14" baseType="lpstr">
      <vt:lpstr>Lista de Produtos CLASSIFICAÇÃO</vt:lpstr>
      <vt:lpstr>Banco de Dados - Fat.</vt:lpstr>
      <vt:lpstr>clientes</vt:lpstr>
      <vt:lpstr>Mov - Orçada</vt:lpstr>
      <vt:lpstr>Projeção - Ton  Movimentação</vt:lpstr>
      <vt:lpstr>Orçado</vt:lpstr>
      <vt:lpstr>TD - Produto</vt:lpstr>
      <vt:lpstr>TD - Grupo</vt:lpstr>
      <vt:lpstr>Projeção-Ocupação</vt:lpstr>
      <vt:lpstr>Projeção - Vol. Movimentação</vt:lpstr>
      <vt:lpstr>Planilha4</vt:lpstr>
      <vt:lpstr>Planilha5</vt:lpstr>
      <vt:lpstr>Diferença</vt:lpstr>
      <vt:lpstr>Orçado!DadosExternos_1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Lucas de Souza Fuck</dc:creator>
  <cp:lastModifiedBy>Marcus Vinicius Cunha dos Santos</cp:lastModifiedBy>
  <dcterms:created xsi:type="dcterms:W3CDTF">2015-06-05T18:19:34Z</dcterms:created>
  <dcterms:modified xsi:type="dcterms:W3CDTF">2026-06-03T21:32:40Z</dcterms:modified>
</cp:coreProperties>
</file>